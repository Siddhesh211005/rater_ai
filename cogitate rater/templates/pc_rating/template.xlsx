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eTable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_Schema" sheetId="5" state="visible" r:id="rId5"/>
  </sheets>
  <definedNames>
    <definedName name="INPUT_BuildingValue">'Inputs'!$B$12</definedName>
    <definedName name="INPUT_ContentsValue">'Inputs'!$B$13</definedName>
    <definedName name="INPUT_BILimit">'Inputs'!$B$14</definedName>
    <definedName name="INPUT_YearBuilt">'Inputs'!$B$15</definedName>
    <definedName name="INPUT_SquareFootage">'Inputs'!$B$16</definedName>
    <definedName name="INPUT_Stories">'Inputs'!$B$17</definedName>
    <definedName name="INPUT_ConstructionClass">'Inputs'!$B$18</definedName>
    <definedName name="INPUT_OccupancyCode">'Inputs'!$B$19</definedName>
    <definedName name="INPUT_ProtectionClass">'Inputs'!$B$20</definedName>
    <definedName name="INPUT_Sprinklered">'Inputs'!$B$21</definedName>
    <definedName name="INPUT_Deductible">'Inputs'!$B$23</definedName>
    <definedName name="INPUT_WindExclusion">'Inputs'!$B$24</definedName>
    <definedName name="INPUT_AlarmCredit">'Inputs'!$B$24</definedName>
    <definedName name="INPUT_PriorLosses">'Inputs'!$B$25</definedName>
    <definedName name="INPUT_AccountMod">'Inputs'!$B$27</definedName>
    <definedName name="INPUT_PolicyNumber">'Inputs'!$B$4</definedName>
    <definedName name="INPUT_InsuredName">'Inputs'!$B$5</definedName>
    <definedName name="INPUT_State">'Inputs'!$B$8</definedName>
    <definedName name="OUTPUT_BuildingPremium">'Outputs'!$B$4</definedName>
    <definedName name="OUTPUT_ContentsPremium">'Outputs'!$B$5</definedName>
    <definedName name="OUTPUT_BIPremium">'Outputs'!$B$6</definedName>
    <definedName name="OUTPUT_SubtotalPremium">'Outputs'!$B$7</definedName>
    <definedName name="OUTPUT_DeductibleCredit">'Outputs'!$B$8</definedName>
    <definedName name="OUTPUT_AccountModAdj">'Outputs'!$B$9</definedName>
    <definedName name="OUTPUT_TotalPremium">'Outputs'!$B$10</definedName>
    <definedName name="OUTPUT_BaseRate">'Outputs'!$B$14</definedName>
    <definedName name="OUTPUT_PCFactor">'Outputs'!$B$15</definedName>
    <definedName name="OUTPUT_AgeFactor">'Outputs'!$B$16</definedName>
    <definedName name="OUTPUT_DedFactor">'Outputs'!$B$17</definedName>
    <definedName name="OUTPUT_CombinedMod">'Outputs'!$B$18</definedName>
    <definedName name="OUTPUT_EffectiveRate">'Outputs'!$B$19</definedName>
    <definedName name="OUTPUT_TIV">'Outputs'!$B$20</definedName>
    <definedName name="OUTPUT_RateDetail">'Outputs'!$A$13:$C$20</definedName>
    <definedName name="OUTPUT_PolicyNumber">'Outputs'!$B$23</definedName>
    <definedName name="OUTPUT_InsuredName">'Outputs'!$B$24</definedName>
    <definedName name="OUTPUT_State">'Outputs'!$B$25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00"/>
    <numFmt numFmtId="167" formatCode="0.0000"/>
    <numFmt numFmtId="168" formatCode="$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i val="1"/>
      <color rgb="000000FF"/>
      <sz val="9"/>
    </font>
    <font>
      <name val="Arial"/>
      <i val="1"/>
      <color rgb="00375623"/>
      <sz val="9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17">
    <border>
      <left/>
      <right/>
      <top/>
      <bottom/>
      <diagonal/>
    </border>
    <border>
      <left style="medium">
        <color rgb="00595959"/>
      </left>
      <right style="thin">
        <color rgb="00BFBFBF"/>
      </right>
      <top style="medium">
        <color rgb="00595959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595959"/>
      </top>
      <bottom style="thin">
        <color rgb="00BFBFBF"/>
      </bottom>
    </border>
    <border>
      <left style="thin">
        <color rgb="00BFBFBF"/>
      </left>
      <right style="medium">
        <color rgb="00595959"/>
      </right>
      <top style="medium">
        <color rgb="00595959"/>
      </top>
      <bottom style="thin">
        <color rgb="00BFBFBF"/>
      </bottom>
    </border>
    <border>
      <left style="medium">
        <color rgb="00595959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595959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thin">
        <color rgb="00BFBFBF"/>
      </right>
      <top style="thin">
        <color rgb="00BFBFBF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  <border>
      <left style="thin">
        <color rgb="00BFBFBF"/>
      </left>
      <right style="medium">
        <color rgb="00595959"/>
      </right>
      <top style="thin">
        <color rgb="00BFBFBF"/>
      </top>
      <bottom style="medium">
        <color rgb="0059595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595959"/>
      </top>
      <bottom/>
      <diagonal/>
    </border>
    <border>
      <left/>
      <right style="thin">
        <color rgb="00BFBFBF"/>
      </right>
      <top style="medium">
        <color rgb="00595959"/>
      </top>
      <bottom/>
      <diagonal/>
    </border>
    <border>
      <left/>
      <right/>
      <top style="medium">
        <color rgb="00595959"/>
      </top>
      <bottom style="thin">
        <color rgb="00BFBFBF"/>
      </bottom>
      <diagonal/>
    </border>
    <border>
      <left/>
      <right style="thin">
        <color rgb="00BFBFBF"/>
      </right>
      <top style="medium">
        <color rgb="00595959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left" vertical="center"/>
    </xf>
    <xf numFmtId="0" fontId="4" fillId="4" borderId="5" applyAlignment="1" pivotButton="0" quotePrefix="0" xfId="0">
      <alignment horizontal="right" vertical="center"/>
    </xf>
    <xf numFmtId="0" fontId="5" fillId="0" borderId="6" applyAlignment="1" pivotButton="0" quotePrefix="0" xfId="0">
      <alignment horizontal="left" vertical="center"/>
    </xf>
    <xf numFmtId="49" fontId="4" fillId="4" borderId="5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49" fontId="4" fillId="4" borderId="8" applyAlignment="1" pivotButton="0" quotePrefix="0" xfId="0">
      <alignment horizontal="right" vertical="center"/>
    </xf>
    <xf numFmtId="0" fontId="5" fillId="0" borderId="9" applyAlignment="1" pivotButton="0" quotePrefix="0" xfId="0">
      <alignment horizontal="left" vertical="center"/>
    </xf>
    <xf numFmtId="164" fontId="4" fillId="4" borderId="5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" fontId="4" fillId="4" borderId="5" applyAlignment="1" pivotButton="0" quotePrefix="0" xfId="0">
      <alignment horizontal="right" vertical="center"/>
    </xf>
    <xf numFmtId="3" fontId="4" fillId="4" borderId="5" applyAlignment="1" pivotButton="0" quotePrefix="0" xfId="0">
      <alignment horizontal="right" vertical="center"/>
    </xf>
    <xf numFmtId="1" fontId="4" fillId="4" borderId="8" applyAlignment="1" pivotButton="0" quotePrefix="0" xfId="0">
      <alignment horizontal="right" vertical="center"/>
    </xf>
    <xf numFmtId="165" fontId="4" fillId="4" borderId="8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/>
    </xf>
    <xf numFmtId="166" fontId="11" fillId="0" borderId="5" applyAlignment="1" pivotButton="0" quotePrefix="0" xfId="0">
      <alignment horizontal="right"/>
    </xf>
    <xf numFmtId="166" fontId="11" fillId="0" borderId="6" applyAlignment="1" pivotButton="0" quotePrefix="0" xfId="0">
      <alignment horizontal="right"/>
    </xf>
    <xf numFmtId="0" fontId="10" fillId="0" borderId="7" applyAlignment="1" pivotButton="0" quotePrefix="0" xfId="0">
      <alignment horizontal="center"/>
    </xf>
    <xf numFmtId="166" fontId="11" fillId="0" borderId="8" applyAlignment="1" pivotButton="0" quotePrefix="0" xfId="0">
      <alignment horizontal="right"/>
    </xf>
    <xf numFmtId="166" fontId="11" fillId="0" borderId="9" applyAlignment="1" pivotButton="0" quotePrefix="0" xfId="0">
      <alignment horizontal="right"/>
    </xf>
    <xf numFmtId="2" fontId="11" fillId="0" borderId="6" applyAlignment="1" pivotButton="0" quotePrefix="0" xfId="0">
      <alignment horizontal="right"/>
    </xf>
    <xf numFmtId="0" fontId="10" fillId="0" borderId="4" pivotButton="0" quotePrefix="0" xfId="0"/>
    <xf numFmtId="0" fontId="10" fillId="0" borderId="7" pivotButton="0" quotePrefix="0" xfId="0"/>
    <xf numFmtId="2" fontId="11" fillId="0" borderId="9" applyAlignment="1" pivotButton="0" quotePrefix="0" xfId="0">
      <alignment horizontal="right"/>
    </xf>
    <xf numFmtId="2" fontId="6" fillId="6" borderId="6" applyAlignment="1" pivotButton="0" quotePrefix="0" xfId="0">
      <alignment horizontal="center" vertical="center" wrapText="1"/>
    </xf>
    <xf numFmtId="164" fontId="10" fillId="0" borderId="4" applyAlignment="1" pivotButton="0" quotePrefix="0" xfId="0">
      <alignment horizontal="right"/>
    </xf>
    <xf numFmtId="164" fontId="10" fillId="0" borderId="7" applyAlignment="1" pivotButton="0" quotePrefix="0" xfId="0">
      <alignment horizontal="right"/>
    </xf>
    <xf numFmtId="164" fontId="5" fillId="0" borderId="6" applyAlignment="1" pivotButton="0" quotePrefix="0" xfId="0">
      <alignment horizontal="right" vertical="center"/>
    </xf>
    <xf numFmtId="1" fontId="5" fillId="0" borderId="6" applyAlignment="1" pivotButton="0" quotePrefix="0" xfId="0">
      <alignment horizontal="right" vertical="center"/>
    </xf>
    <xf numFmtId="2" fontId="5" fillId="0" borderId="6" applyAlignment="1" pivotButton="0" quotePrefix="0" xfId="0">
      <alignment horizontal="right" vertical="center"/>
    </xf>
    <xf numFmtId="166" fontId="5" fillId="0" borderId="6" applyAlignment="1" pivotButton="0" quotePrefix="0" xfId="0">
      <alignment horizontal="right" vertical="center"/>
    </xf>
    <xf numFmtId="2" fontId="5" fillId="0" borderId="9" applyAlignment="1" pivotButton="0" quotePrefix="0" xfId="0">
      <alignment horizontal="right" vertical="center"/>
    </xf>
    <xf numFmtId="167" fontId="5" fillId="6" borderId="6" applyAlignment="1" pivotButton="0" quotePrefix="0" xfId="0">
      <alignment horizontal="right" vertical="center"/>
    </xf>
    <xf numFmtId="168" fontId="5" fillId="6" borderId="6" applyAlignment="1" pivotButton="0" quotePrefix="0" xfId="0">
      <alignment horizontal="right" vertical="center"/>
    </xf>
    <xf numFmtId="168" fontId="5" fillId="6" borderId="9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168" fontId="3" fillId="7" borderId="5" applyAlignment="1" pivotButton="0" quotePrefix="0" xfId="0">
      <alignment horizontal="right" vertical="center"/>
    </xf>
    <xf numFmtId="168" fontId="12" fillId="8" borderId="8" applyAlignment="1" pivotButton="0" quotePrefix="0" xfId="0">
      <alignment horizontal="right" vertical="center"/>
    </xf>
    <xf numFmtId="166" fontId="3" fillId="7" borderId="5" applyAlignment="1" pivotButton="0" quotePrefix="0" xfId="0">
      <alignment horizontal="right" vertical="center"/>
    </xf>
    <xf numFmtId="2" fontId="3" fillId="7" borderId="5" applyAlignment="1" pivotButton="0" quotePrefix="0" xfId="0">
      <alignment horizontal="right" vertical="center"/>
    </xf>
    <xf numFmtId="167" fontId="3" fillId="7" borderId="5" applyAlignment="1" pivotButton="0" quotePrefix="0" xfId="0">
      <alignment horizontal="right" vertical="center"/>
    </xf>
    <xf numFmtId="0" fontId="5" fillId="0" borderId="7" applyAlignment="1" pivotButton="0" quotePrefix="0" xfId="0">
      <alignment horizontal="left" vertical="center"/>
    </xf>
    <xf numFmtId="164" fontId="3" fillId="7" borderId="8" applyAlignment="1" pivotButton="0" quotePrefix="0" xfId="0">
      <alignment horizontal="right" vertical="center"/>
    </xf>
    <xf numFmtId="0" fontId="3" fillId="7" borderId="5" applyAlignment="1" pivotButton="0" quotePrefix="0" xfId="0">
      <alignment horizontal="right" vertical="center"/>
    </xf>
    <xf numFmtId="0" fontId="3" fillId="7" borderId="8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F00"/>
    <outlinePr summaryBelow="1" summaryRight="1"/>
    <pageSetUpPr/>
  </sheetPr>
  <dimension ref="A1:D3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30" customWidth="1" min="4" max="4"/>
  </cols>
  <sheetData>
    <row r="1" ht="30" customHeight="1">
      <c r="A1" s="1" t="inlineStr">
        <is>
          <t>P&amp;C RATING ENGINE — INPUT PARAMETERS</t>
        </is>
      </c>
    </row>
    <row r="3">
      <c r="A3" s="2" t="inlineStr">
        <is>
          <t>RISK IDENTIFICATION</t>
        </is>
      </c>
      <c r="B3" s="56" t="n"/>
      <c r="C3" s="56" t="n"/>
      <c r="D3" s="57" t="n"/>
    </row>
    <row r="4">
      <c r="A4" s="5" t="inlineStr">
        <is>
          <t>Policy Number</t>
        </is>
      </c>
      <c r="B4" s="6" t="inlineStr">
        <is>
          <t>POL-2025-001</t>
        </is>
      </c>
      <c r="C4" s="7" t="inlineStr">
        <is>
          <t>INPUT_RiskID_A</t>
        </is>
      </c>
    </row>
    <row r="5">
      <c r="A5" s="5" t="inlineStr">
        <is>
          <t>Insured Name</t>
        </is>
      </c>
      <c r="B5" s="6" t="inlineStr">
        <is>
          <t>Sample Insured LLC</t>
        </is>
      </c>
      <c r="C5" s="7" t="inlineStr">
        <is>
          <t>INPUT_RiskID_B</t>
        </is>
      </c>
    </row>
    <row r="6">
      <c r="A6" s="5" t="inlineStr">
        <is>
          <t>Effective Date</t>
        </is>
      </c>
      <c r="B6" s="8" t="inlineStr">
        <is>
          <t>2025-01-01</t>
        </is>
      </c>
      <c r="C6" s="7" t="inlineStr">
        <is>
          <t>INPUT_RiskID_C</t>
        </is>
      </c>
    </row>
    <row r="7">
      <c r="A7" s="5" t="inlineStr">
        <is>
          <t>Expiration Date</t>
        </is>
      </c>
      <c r="B7" s="8" t="inlineStr">
        <is>
          <t>2026-01-01</t>
        </is>
      </c>
      <c r="C7" s="7" t="inlineStr">
        <is>
          <t>INPUT_RiskID_D</t>
        </is>
      </c>
    </row>
    <row r="8">
      <c r="A8" s="5" t="inlineStr">
        <is>
          <t>State</t>
        </is>
      </c>
      <c r="B8" s="8" t="inlineStr">
        <is>
          <t>FL</t>
        </is>
      </c>
      <c r="C8" s="7" t="inlineStr">
        <is>
          <t>INPUT_RiskID_E</t>
        </is>
      </c>
    </row>
    <row r="9">
      <c r="A9" s="9" t="inlineStr">
        <is>
          <t>Line of Business</t>
        </is>
      </c>
      <c r="B9" s="10" t="inlineStr">
        <is>
          <t>Commercial Property</t>
        </is>
      </c>
      <c r="C9" s="11" t="inlineStr">
        <is>
          <t>INPUT_RiskID_F</t>
        </is>
      </c>
    </row>
    <row r="11">
      <c r="A11" s="2" t="inlineStr">
        <is>
          <t>PROPERTY CHARACTERISTICS</t>
        </is>
      </c>
      <c r="B11" s="56" t="n"/>
      <c r="C11" s="56" t="n"/>
      <c r="D11" s="57" t="n"/>
    </row>
    <row r="12">
      <c r="A12" s="5" t="inlineStr">
        <is>
          <t>Building Value ($)</t>
        </is>
      </c>
      <c r="B12" s="12" t="n">
        <v>2500000</v>
      </c>
      <c r="C12" s="7" t="inlineStr">
        <is>
          <t>INPUT_BuildingValue</t>
        </is>
      </c>
      <c r="D12" s="13" t="inlineStr">
        <is>
          <t>← API writes here</t>
        </is>
      </c>
    </row>
    <row r="13">
      <c r="A13" s="5" t="inlineStr">
        <is>
          <t>Contents Value ($)</t>
        </is>
      </c>
      <c r="B13" s="12" t="n">
        <v>500000</v>
      </c>
      <c r="C13" s="7" t="inlineStr">
        <is>
          <t>INPUT_ContentsValue</t>
        </is>
      </c>
      <c r="D13" s="13" t="inlineStr">
        <is>
          <t>← API writes here</t>
        </is>
      </c>
    </row>
    <row r="14">
      <c r="A14" s="5" t="inlineStr">
        <is>
          <t>Business Income Limit ($)</t>
        </is>
      </c>
      <c r="B14" s="12" t="n">
        <v>250000</v>
      </c>
      <c r="C14" s="7" t="inlineStr">
        <is>
          <t>INPUT_BILimit</t>
        </is>
      </c>
      <c r="D14" s="13" t="inlineStr">
        <is>
          <t>← API writes here</t>
        </is>
      </c>
    </row>
    <row r="15">
      <c r="A15" s="5" t="inlineStr">
        <is>
          <t>Year Built</t>
        </is>
      </c>
      <c r="B15" s="14" t="n">
        <v>1995</v>
      </c>
      <c r="C15" s="7" t="inlineStr">
        <is>
          <t>INPUT_YearBuilt</t>
        </is>
      </c>
      <c r="D15" s="13" t="inlineStr">
        <is>
          <t>← API writes here</t>
        </is>
      </c>
    </row>
    <row r="16">
      <c r="A16" s="5" t="inlineStr">
        <is>
          <t>Square Footage</t>
        </is>
      </c>
      <c r="B16" s="15" t="n">
        <v>12000</v>
      </c>
      <c r="C16" s="7" t="inlineStr">
        <is>
          <t>INPUT_SquareFootage</t>
        </is>
      </c>
      <c r="D16" s="13" t="inlineStr">
        <is>
          <t>← API writes here</t>
        </is>
      </c>
    </row>
    <row r="17">
      <c r="A17" s="5" t="inlineStr">
        <is>
          <t>Number of Stories</t>
        </is>
      </c>
      <c r="B17" s="14" t="n">
        <v>2</v>
      </c>
      <c r="C17" s="7" t="inlineStr">
        <is>
          <t>INPUT_Stories</t>
        </is>
      </c>
      <c r="D17" s="13" t="inlineStr">
        <is>
          <t>← API writes here</t>
        </is>
      </c>
    </row>
    <row r="18">
      <c r="A18" s="5" t="inlineStr">
        <is>
          <t>Construction Class (1-6)</t>
        </is>
      </c>
      <c r="B18" s="14" t="n">
        <v>2</v>
      </c>
      <c r="C18" s="7" t="inlineStr">
        <is>
          <t>INPUT_ConstructionClass</t>
        </is>
      </c>
      <c r="D18" s="13" t="inlineStr">
        <is>
          <t>← API writes here</t>
        </is>
      </c>
    </row>
    <row r="19">
      <c r="A19" s="5" t="inlineStr">
        <is>
          <t>Occupancy Code</t>
        </is>
      </c>
      <c r="B19" s="8" t="inlineStr">
        <is>
          <t>04</t>
        </is>
      </c>
      <c r="C19" s="7" t="inlineStr">
        <is>
          <t>INPUT_OccupancyCode</t>
        </is>
      </c>
      <c r="D19" s="13" t="inlineStr">
        <is>
          <t>← API writes here</t>
        </is>
      </c>
    </row>
    <row r="20">
      <c r="A20" s="5" t="inlineStr">
        <is>
          <t>Protection Class (1-10)</t>
        </is>
      </c>
      <c r="B20" s="14" t="n">
        <v>5</v>
      </c>
      <c r="C20" s="7" t="inlineStr">
        <is>
          <t>INPUT_ProtectionClass</t>
        </is>
      </c>
      <c r="D20" s="13" t="inlineStr">
        <is>
          <t>← API writes here</t>
        </is>
      </c>
    </row>
    <row r="21">
      <c r="A21" s="9" t="inlineStr">
        <is>
          <t>Sprinklered (1=Yes, 0=No)</t>
        </is>
      </c>
      <c r="B21" s="16" t="n">
        <v>1</v>
      </c>
      <c r="C21" s="11" t="inlineStr">
        <is>
          <t>INPUT_Sprinklered</t>
        </is>
      </c>
      <c r="D21" s="13" t="inlineStr">
        <is>
          <t>← API writes here</t>
        </is>
      </c>
    </row>
    <row r="23">
      <c r="A23" s="2" t="inlineStr">
        <is>
          <t>MODIFIERS &amp; CREDITS</t>
        </is>
      </c>
      <c r="B23" s="56" t="n"/>
      <c r="C23" s="56" t="n"/>
      <c r="D23" s="57" t="n"/>
    </row>
    <row r="24">
      <c r="A24" s="5" t="inlineStr">
        <is>
          <t>Deductible ($)</t>
        </is>
      </c>
      <c r="B24" s="12" t="n">
        <v>5000</v>
      </c>
      <c r="C24" s="7" t="inlineStr">
        <is>
          <t>INPUT_Deductible</t>
        </is>
      </c>
    </row>
    <row r="25">
      <c r="A25" s="5" t="inlineStr">
        <is>
          <t>Wind/Hail Exclusion (1=Yes)</t>
        </is>
      </c>
      <c r="B25" s="14" t="n">
        <v>0</v>
      </c>
      <c r="C25" s="7" t="inlineStr">
        <is>
          <t>INPUT_WindExclusion</t>
        </is>
      </c>
    </row>
    <row r="26">
      <c r="A26" s="5" t="inlineStr">
        <is>
          <t>Alarm Credit (1=Yes)</t>
        </is>
      </c>
      <c r="B26" s="14" t="n">
        <v>1</v>
      </c>
      <c r="C26" s="7" t="inlineStr">
        <is>
          <t>INPUT_AlarmCredit</t>
        </is>
      </c>
    </row>
    <row r="27">
      <c r="A27" s="5" t="inlineStr">
        <is>
          <t>Prior Losses (count, 3yr)</t>
        </is>
      </c>
      <c r="B27" s="14" t="n">
        <v>1</v>
      </c>
      <c r="C27" s="7" t="inlineStr">
        <is>
          <t>INPUT_PriorLosses</t>
        </is>
      </c>
    </row>
    <row r="28">
      <c r="A28" s="9" t="inlineStr">
        <is>
          <t>Account Credit/Debit (%)</t>
        </is>
      </c>
      <c r="B28" s="17" t="n">
        <v>0.05</v>
      </c>
      <c r="C28" s="11" t="inlineStr">
        <is>
          <t>INPUT_AccountMod</t>
        </is>
      </c>
    </row>
    <row r="30">
      <c r="A30" s="18" t="inlineStr">
        <is>
          <t>LEGEND</t>
        </is>
      </c>
    </row>
    <row r="31">
      <c r="A31" s="19" t="inlineStr">
        <is>
          <t>Blue + Yellow = API Input Cell (write here)</t>
        </is>
      </c>
    </row>
    <row r="32">
      <c r="A32" s="20" t="inlineStr">
        <is>
          <t>Green = Calculated Output (read here)</t>
        </is>
      </c>
    </row>
  </sheetData>
  <mergeCells count="5">
    <mergeCell ref="A1:D1"/>
    <mergeCell ref="A23:D23"/>
    <mergeCell ref="A3:D3"/>
    <mergeCell ref="A30:D30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2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5" customHeight="1">
      <c r="A1" s="21" t="inlineStr">
        <is>
          <t>ACTUARIAL RATE TABLES</t>
        </is>
      </c>
    </row>
    <row r="3">
      <c r="A3" s="2" t="inlineStr">
        <is>
          <t>BASE RATE PER $1,000 TIV — BY CONSTRUCTION CLASS</t>
        </is>
      </c>
      <c r="B3" s="56" t="n"/>
      <c r="C3" s="56" t="n"/>
      <c r="D3" s="57" t="n"/>
    </row>
    <row r="4">
      <c r="A4" s="22" t="inlineStr">
        <is>
          <t>Construction Class</t>
        </is>
      </c>
      <c r="B4" s="23" t="inlineStr">
        <is>
          <t>Building Rate</t>
        </is>
      </c>
      <c r="C4" s="23" t="inlineStr">
        <is>
          <t>Contents Rate</t>
        </is>
      </c>
      <c r="D4" s="24" t="inlineStr">
        <is>
          <t>BI Rate</t>
        </is>
      </c>
    </row>
    <row r="5">
      <c r="A5" s="25" t="n">
        <v>1</v>
      </c>
      <c r="B5" s="26" t="n">
        <v>0.85</v>
      </c>
      <c r="C5" s="26" t="n">
        <v>0.95</v>
      </c>
      <c r="D5" s="27" t="n">
        <v>0.65</v>
      </c>
    </row>
    <row r="6">
      <c r="A6" s="25" t="n">
        <v>2</v>
      </c>
      <c r="B6" s="26" t="n">
        <v>1.05</v>
      </c>
      <c r="C6" s="26" t="n">
        <v>1.15</v>
      </c>
      <c r="D6" s="27" t="n">
        <v>0.8</v>
      </c>
    </row>
    <row r="7">
      <c r="A7" s="25" t="n">
        <v>3</v>
      </c>
      <c r="B7" s="26" t="n">
        <v>1.35</v>
      </c>
      <c r="C7" s="26" t="n">
        <v>1.45</v>
      </c>
      <c r="D7" s="27" t="n">
        <v>1</v>
      </c>
    </row>
    <row r="8">
      <c r="A8" s="25" t="n">
        <v>4</v>
      </c>
      <c r="B8" s="26" t="n">
        <v>0.9</v>
      </c>
      <c r="C8" s="26" t="n">
        <v>1</v>
      </c>
      <c r="D8" s="27" t="n">
        <v>0.7</v>
      </c>
    </row>
    <row r="9">
      <c r="A9" s="25" t="n">
        <v>5</v>
      </c>
      <c r="B9" s="26" t="n">
        <v>1.2</v>
      </c>
      <c r="C9" s="26" t="n">
        <v>1.3</v>
      </c>
      <c r="D9" s="27" t="n">
        <v>0.9</v>
      </c>
    </row>
    <row r="10">
      <c r="A10" s="28" t="n">
        <v>6</v>
      </c>
      <c r="B10" s="29" t="n">
        <v>1.6</v>
      </c>
      <c r="C10" s="29" t="n">
        <v>1.75</v>
      </c>
      <c r="D10" s="30" t="n">
        <v>1.2</v>
      </c>
    </row>
    <row r="12">
      <c r="A12" s="2" t="inlineStr">
        <is>
          <t>PROTECTION CLASS FACTOR</t>
        </is>
      </c>
      <c r="B12" s="57" t="n"/>
      <c r="D12" s="2" t="inlineStr">
        <is>
          <t>AGE LOAD FACTOR</t>
        </is>
      </c>
      <c r="E12" s="57" t="n"/>
    </row>
    <row r="13">
      <c r="A13" s="22" t="inlineStr">
        <is>
          <t>Prot Class</t>
        </is>
      </c>
      <c r="B13" s="24" t="inlineStr">
        <is>
          <t>Factor</t>
        </is>
      </c>
      <c r="D13" s="22" t="inlineStr">
        <is>
          <t>Age Band</t>
        </is>
      </c>
      <c r="E13" s="24" t="inlineStr">
        <is>
          <t>Factor</t>
        </is>
      </c>
    </row>
    <row r="14">
      <c r="A14" s="25" t="n">
        <v>1</v>
      </c>
      <c r="B14" s="31" t="n">
        <v>0.7</v>
      </c>
      <c r="D14" s="32" t="inlineStr">
        <is>
          <t>0-10 years</t>
        </is>
      </c>
      <c r="E14" s="31" t="n">
        <v>1</v>
      </c>
    </row>
    <row r="15">
      <c r="A15" s="25" t="n">
        <v>2</v>
      </c>
      <c r="B15" s="31" t="n">
        <v>0.75</v>
      </c>
      <c r="D15" s="32" t="inlineStr">
        <is>
          <t>11-20 years</t>
        </is>
      </c>
      <c r="E15" s="31" t="n">
        <v>1.05</v>
      </c>
    </row>
    <row r="16">
      <c r="A16" s="25" t="n">
        <v>3</v>
      </c>
      <c r="B16" s="31" t="n">
        <v>0.8</v>
      </c>
      <c r="D16" s="32" t="inlineStr">
        <is>
          <t>21-30 years</t>
        </is>
      </c>
      <c r="E16" s="31" t="n">
        <v>1.12</v>
      </c>
    </row>
    <row r="17">
      <c r="A17" s="25" t="n">
        <v>4</v>
      </c>
      <c r="B17" s="31" t="n">
        <v>0.88</v>
      </c>
      <c r="D17" s="32" t="inlineStr">
        <is>
          <t>31-40 years</t>
        </is>
      </c>
      <c r="E17" s="31" t="n">
        <v>1.2</v>
      </c>
    </row>
    <row r="18">
      <c r="A18" s="25" t="n">
        <v>5</v>
      </c>
      <c r="B18" s="31" t="n">
        <v>1</v>
      </c>
      <c r="D18" s="32" t="inlineStr">
        <is>
          <t>41-50 years</t>
        </is>
      </c>
      <c r="E18" s="31" t="n">
        <v>1.3</v>
      </c>
    </row>
    <row r="19">
      <c r="A19" s="25" t="n">
        <v>6</v>
      </c>
      <c r="B19" s="31" t="n">
        <v>1.12</v>
      </c>
      <c r="D19" s="33" t="inlineStr">
        <is>
          <t>&gt;50 years</t>
        </is>
      </c>
      <c r="E19" s="34" t="n">
        <v>1.45</v>
      </c>
    </row>
    <row r="20">
      <c r="A20" s="25" t="n">
        <v>7</v>
      </c>
      <c r="B20" s="31" t="n">
        <v>1.25</v>
      </c>
    </row>
    <row r="21">
      <c r="A21" s="2" t="inlineStr">
        <is>
          <t>DEDUCTIBLE CREDIT</t>
        </is>
      </c>
      <c r="B21" s="57" t="n"/>
      <c r="D21" s="2" t="inlineStr">
        <is>
          <t>MISC CREDITS/SURCHARGES</t>
        </is>
      </c>
      <c r="E21" s="57" t="n"/>
    </row>
    <row r="22">
      <c r="A22" s="22" t="inlineStr">
        <is>
          <t>Deductible ($)</t>
        </is>
      </c>
      <c r="B22" s="35" t="inlineStr">
        <is>
          <t>Credit Factor</t>
        </is>
      </c>
      <c r="D22" s="22" t="inlineStr">
        <is>
          <t>Factor</t>
        </is>
      </c>
      <c r="E22" s="24" t="inlineStr">
        <is>
          <t>Value</t>
        </is>
      </c>
    </row>
    <row r="23">
      <c r="A23" s="36" t="n">
        <v>1000</v>
      </c>
      <c r="B23" s="31" t="n">
        <v>1</v>
      </c>
      <c r="D23" s="32" t="inlineStr">
        <is>
          <t>Sprinkler Credit</t>
        </is>
      </c>
      <c r="E23" s="31" t="n">
        <v>0.9</v>
      </c>
    </row>
    <row r="24">
      <c r="A24" s="36" t="n">
        <v>2500</v>
      </c>
      <c r="B24" s="31" t="n">
        <v>0.95</v>
      </c>
      <c r="D24" s="32" t="inlineStr">
        <is>
          <t>Alarm Credit</t>
        </is>
      </c>
      <c r="E24" s="31" t="n">
        <v>0.97</v>
      </c>
    </row>
    <row r="25">
      <c r="A25" s="36" t="n">
        <v>5000</v>
      </c>
      <c r="B25" s="31" t="n">
        <v>0.9</v>
      </c>
      <c r="D25" s="32" t="inlineStr">
        <is>
          <t>Wind/Hail Excl Credit</t>
        </is>
      </c>
      <c r="E25" s="31" t="n">
        <v>0.85</v>
      </c>
    </row>
    <row r="26">
      <c r="A26" s="36" t="n">
        <v>10000</v>
      </c>
      <c r="B26" s="31" t="n">
        <v>0.83</v>
      </c>
      <c r="D26" s="33" t="inlineStr">
        <is>
          <t>Loss Surcharge (per occ)</t>
        </is>
      </c>
      <c r="E26" s="34" t="n">
        <v>1.08</v>
      </c>
    </row>
    <row r="27">
      <c r="A27" s="36" t="n">
        <v>25000</v>
      </c>
      <c r="B27" s="31" t="n">
        <v>0.75</v>
      </c>
    </row>
    <row r="28">
      <c r="A28" s="37" t="n">
        <v>50000</v>
      </c>
      <c r="B28" s="34" t="n">
        <v>0.68</v>
      </c>
    </row>
  </sheetData>
  <mergeCells count="6">
    <mergeCell ref="A1:D1"/>
    <mergeCell ref="A21:B21"/>
    <mergeCell ref="D21:E21"/>
    <mergeCell ref="A3:D3"/>
    <mergeCell ref="D12:E1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</cols>
  <sheetData>
    <row r="1" ht="25" customHeight="1">
      <c r="A1" s="21" t="inlineStr">
        <is>
          <t>RATING CALCULATIONS — INTERMEDIATE STEPS</t>
        </is>
      </c>
    </row>
    <row r="3">
      <c r="A3" s="2" t="inlineStr">
        <is>
          <t>STEP 1 — DERIVED INPUTS</t>
        </is>
      </c>
      <c r="B3" s="56" t="n"/>
      <c r="C3" s="57" t="n"/>
    </row>
    <row r="4">
      <c r="A4" s="5" t="inlineStr">
        <is>
          <t>TIV (Building + Contents)</t>
        </is>
      </c>
      <c r="B4" s="38">
        <f>Inputs!B12+Inputs!B13</f>
        <v/>
      </c>
      <c r="C4" s="13" t="inlineStr">
        <is>
          <t>Calc row 4</t>
        </is>
      </c>
    </row>
    <row r="5">
      <c r="A5" s="5" t="inlineStr">
        <is>
          <t>Age of Building (years)</t>
        </is>
      </c>
      <c r="B5" s="39">
        <f>2025-Inputs!B15</f>
        <v/>
      </c>
      <c r="C5" s="13" t="inlineStr">
        <is>
          <t>Calc row 5</t>
        </is>
      </c>
    </row>
    <row r="6">
      <c r="A6" s="5" t="inlineStr">
        <is>
          <t>Age Factor</t>
        </is>
      </c>
      <c r="B6" s="40">
        <f>IF(B5&lt;=10,1.00,IF(B5&lt;=20,1.05,IF(B5&lt;=30,1.12,IF(B5&lt;=40,1.20,IF(B5&lt;=50,1.30,1.45)))))</f>
        <v/>
      </c>
      <c r="C6" s="13" t="inlineStr">
        <is>
          <t>Calc row 6</t>
        </is>
      </c>
    </row>
    <row r="7">
      <c r="A7" s="5" t="inlineStr">
        <is>
          <t>Construction Class (lookup)</t>
        </is>
      </c>
      <c r="B7" s="39">
        <f>Inputs!B18</f>
        <v/>
      </c>
      <c r="C7" s="13" t="inlineStr">
        <is>
          <t>Calc row 7</t>
        </is>
      </c>
    </row>
    <row r="8">
      <c r="A8" s="5" t="inlineStr">
        <is>
          <t>Base Building Rate (per $1k)</t>
        </is>
      </c>
      <c r="B8" s="41">
        <f>INDEX(RateTables!B5:B10,MATCH(B7,RateTables!A5:A10,0))</f>
        <v/>
      </c>
      <c r="C8" s="13" t="inlineStr">
        <is>
          <t>Calc row 8</t>
        </is>
      </c>
    </row>
    <row r="9">
      <c r="A9" s="5" t="inlineStr">
        <is>
          <t>Base Contents Rate (per $1k)</t>
        </is>
      </c>
      <c r="B9" s="41">
        <f>INDEX(RateTables!C5:C10,MATCH(B7,RateTables!A5:A10,0))</f>
        <v/>
      </c>
      <c r="C9" s="13" t="inlineStr">
        <is>
          <t>Calc row 9</t>
        </is>
      </c>
    </row>
    <row r="10">
      <c r="A10" s="5" t="inlineStr">
        <is>
          <t>Base BI Rate (per $1k)</t>
        </is>
      </c>
      <c r="B10" s="41">
        <f>INDEX(RateTables!D5:D10,MATCH(B7,RateTables!A5:A10,0))</f>
        <v/>
      </c>
      <c r="C10" s="13" t="inlineStr">
        <is>
          <t>Calc row 10</t>
        </is>
      </c>
    </row>
    <row r="11">
      <c r="A11" s="5" t="inlineStr">
        <is>
          <t>Protection Class Factor</t>
        </is>
      </c>
      <c r="B11" s="40">
        <f>INDEX(RateTables!B14:B23,MATCH(Inputs!B20,RateTables!A14:A23,0))</f>
        <v/>
      </c>
      <c r="C11" s="13" t="inlineStr">
        <is>
          <t>Calc row 11</t>
        </is>
      </c>
    </row>
    <row r="12">
      <c r="A12" s="5" t="inlineStr">
        <is>
          <t>Deductible Credit Factor</t>
        </is>
      </c>
      <c r="B12" s="40">
        <f>INDEX(RateTables!B23:B28,MATCH(Inputs!B23,RateTables!A23:A28,1))</f>
        <v/>
      </c>
      <c r="C12" s="13" t="inlineStr">
        <is>
          <t>Calc row 12</t>
        </is>
      </c>
    </row>
    <row r="13">
      <c r="A13" s="5" t="inlineStr">
        <is>
          <t>Sprinkler Factor</t>
        </is>
      </c>
      <c r="B13" s="40">
        <f>IF(Inputs!B21=1,RateTables!E23,1.00)</f>
        <v/>
      </c>
      <c r="C13" s="13" t="inlineStr">
        <is>
          <t>Calc row 13</t>
        </is>
      </c>
    </row>
    <row r="14">
      <c r="A14" s="5" t="inlineStr">
        <is>
          <t>Alarm Factor</t>
        </is>
      </c>
      <c r="B14" s="40">
        <f>IF(Inputs!B24=1,RateTables!E24,1.00)</f>
        <v/>
      </c>
      <c r="C14" s="13" t="inlineStr">
        <is>
          <t>Calc row 14</t>
        </is>
      </c>
    </row>
    <row r="15">
      <c r="A15" s="5" t="inlineStr">
        <is>
          <t>Wind Exclusion Factor</t>
        </is>
      </c>
      <c r="B15" s="40">
        <f>IF(Inputs!B24=0,RateTables!E25,1.00)</f>
        <v/>
      </c>
      <c r="C15" s="13" t="inlineStr">
        <is>
          <t>Calc row 15</t>
        </is>
      </c>
    </row>
    <row r="16">
      <c r="A16" s="5" t="inlineStr">
        <is>
          <t>Loss Surcharge Factor</t>
        </is>
      </c>
      <c r="B16" s="40">
        <f>IF(Inputs!B25&gt;0,(1+(Inputs!B25*(RateTables!E26-1))),1.00)</f>
        <v/>
      </c>
      <c r="C16" s="13" t="inlineStr">
        <is>
          <t>Calc row 16</t>
        </is>
      </c>
    </row>
    <row r="17">
      <c r="A17" s="9" t="inlineStr">
        <is>
          <t>Account Mod Factor</t>
        </is>
      </c>
      <c r="B17" s="42">
        <f>1+Inputs!B27</f>
        <v/>
      </c>
      <c r="C17" s="13" t="inlineStr">
        <is>
          <t>Calc row 17</t>
        </is>
      </c>
    </row>
    <row r="19">
      <c r="A19" s="2" t="inlineStr">
        <is>
          <t>STEP 2 — PREMIUM CALCULATION</t>
        </is>
      </c>
      <c r="B19" s="56" t="n"/>
      <c r="C19" s="57" t="n"/>
    </row>
    <row r="20">
      <c r="A20" s="5" t="inlineStr">
        <is>
          <t>Combined Rate Modifier</t>
        </is>
      </c>
      <c r="B20" s="43">
        <f>B12*B13*B14*B15*B16*B17</f>
        <v/>
      </c>
    </row>
    <row r="21">
      <c r="A21" s="5" t="inlineStr">
        <is>
          <t>Building Premium (pre-deductible)</t>
        </is>
      </c>
      <c r="B21" s="44">
        <f>(Inputs!B12/1000)*B8*B20</f>
        <v/>
      </c>
    </row>
    <row r="22">
      <c r="A22" s="5" t="inlineStr">
        <is>
          <t>Contents Premium (pre-deductible)</t>
        </is>
      </c>
      <c r="B22" s="44">
        <f>(Inputs!B13/1000)*B9*B20</f>
        <v/>
      </c>
    </row>
    <row r="23">
      <c r="A23" s="5" t="inlineStr">
        <is>
          <t>BI Premium (pre-deductible)</t>
        </is>
      </c>
      <c r="B23" s="44">
        <f>(Inputs!B14/1000)*B10*B20</f>
        <v/>
      </c>
    </row>
    <row r="24">
      <c r="A24" s="5" t="inlineStr">
        <is>
          <t>Subtotal (pre-deductible)</t>
        </is>
      </c>
      <c r="B24" s="44">
        <f>B21+B22+B23</f>
        <v/>
      </c>
    </row>
    <row r="25">
      <c r="A25" s="5" t="inlineStr">
        <is>
          <t>Deductible Credit Applied</t>
        </is>
      </c>
      <c r="B25" s="44">
        <f>B24*B11</f>
        <v/>
      </c>
    </row>
    <row r="26">
      <c r="A26" s="9" t="inlineStr">
        <is>
          <t>Account Mod Applied</t>
        </is>
      </c>
      <c r="B26" s="45">
        <f>B25*B17</f>
        <v/>
      </c>
    </row>
  </sheetData>
  <mergeCells count="3">
    <mergeCell ref="A1:C1"/>
    <mergeCell ref="A19:C19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C2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</cols>
  <sheetData>
    <row r="1" ht="28" customHeight="1">
      <c r="A1" s="21" t="inlineStr">
        <is>
          <t>RATING ENGINE OUTPUTS — API READS THIS SHEET</t>
        </is>
      </c>
    </row>
    <row r="3">
      <c r="A3" s="2" t="inlineStr">
        <is>
          <t>PREMIUM SUMMARY</t>
        </is>
      </c>
      <c r="B3" s="56" t="n"/>
      <c r="C3" s="57" t="n"/>
    </row>
    <row r="4">
      <c r="A4" s="46" t="inlineStr">
        <is>
          <t>Building Premium</t>
        </is>
      </c>
      <c r="B4" s="47">
        <f>Calculations!B21</f>
        <v/>
      </c>
      <c r="C4" s="7" t="inlineStr">
        <is>
          <t>OUTPUT_BuildingPremium</t>
        </is>
      </c>
    </row>
    <row r="5">
      <c r="A5" s="46" t="inlineStr">
        <is>
          <t>Contents Premium</t>
        </is>
      </c>
      <c r="B5" s="47">
        <f>Calculations!B22</f>
        <v/>
      </c>
      <c r="C5" s="7" t="inlineStr">
        <is>
          <t>OUTPUT_ContentsPremium</t>
        </is>
      </c>
    </row>
    <row r="6">
      <c r="A6" s="46" t="inlineStr">
        <is>
          <t>Business Income Premium</t>
        </is>
      </c>
      <c r="B6" s="47">
        <f>Calculations!B23</f>
        <v/>
      </c>
      <c r="C6" s="7" t="inlineStr">
        <is>
          <t>OUTPUT_BIPremium</t>
        </is>
      </c>
    </row>
    <row r="7">
      <c r="A7" s="46" t="inlineStr">
        <is>
          <t>Subtotal Premium</t>
        </is>
      </c>
      <c r="B7" s="47">
        <f>Calculations!B24</f>
        <v/>
      </c>
      <c r="C7" s="7" t="inlineStr">
        <is>
          <t>OUTPUT_SubtotalPremium</t>
        </is>
      </c>
    </row>
    <row r="8">
      <c r="A8" s="46" t="inlineStr">
        <is>
          <t>Deductible Credit ($)</t>
        </is>
      </c>
      <c r="B8" s="47">
        <f>Calculations!B24-Calculations!B25</f>
        <v/>
      </c>
      <c r="C8" s="7" t="inlineStr">
        <is>
          <t>OUTPUT_DeductibleCredit</t>
        </is>
      </c>
    </row>
    <row r="9">
      <c r="A9" s="46" t="inlineStr">
        <is>
          <t>Account Mod Adjustment</t>
        </is>
      </c>
      <c r="B9" s="47">
        <f>Calculations!B26-Calculations!B25</f>
        <v/>
      </c>
      <c r="C9" s="7" t="inlineStr">
        <is>
          <t>OUTPUT_AccountModAdj</t>
        </is>
      </c>
    </row>
    <row r="10" ht="20" customHeight="1">
      <c r="A10" s="9" t="inlineStr">
        <is>
          <t>TOTAL ANNUAL PREMIUM</t>
        </is>
      </c>
      <c r="B10" s="48">
        <f>Calculations!B26</f>
        <v/>
      </c>
      <c r="C10" s="11" t="inlineStr">
        <is>
          <t>OUTPUT_TotalPremium</t>
        </is>
      </c>
    </row>
    <row r="12">
      <c r="A12" s="2" t="inlineStr">
        <is>
          <t>RATE DETAIL (OUTPUT TABLE — read range A13:C20)</t>
        </is>
      </c>
      <c r="B12" s="56" t="n"/>
      <c r="C12" s="57" t="n"/>
    </row>
    <row r="13">
      <c r="A13" s="22" t="inlineStr">
        <is>
          <t>Factor</t>
        </is>
      </c>
      <c r="B13" s="23" t="inlineStr">
        <is>
          <t>Value</t>
        </is>
      </c>
      <c r="C13" s="24" t="inlineStr">
        <is>
          <t>Named Range</t>
        </is>
      </c>
    </row>
    <row r="14">
      <c r="A14" s="46" t="inlineStr">
        <is>
          <t>Base Building Rate (/$1k)</t>
        </is>
      </c>
      <c r="B14" s="49">
        <f>Calculations!B8</f>
        <v/>
      </c>
      <c r="C14" s="7" t="inlineStr">
        <is>
          <t>OUTPUT_BaseRate</t>
        </is>
      </c>
    </row>
    <row r="15">
      <c r="A15" s="46" t="inlineStr">
        <is>
          <t>Protection Class Factor</t>
        </is>
      </c>
      <c r="B15" s="50">
        <f>Calculations!B11</f>
        <v/>
      </c>
      <c r="C15" s="7" t="inlineStr">
        <is>
          <t>OUTPUT_PCFactor</t>
        </is>
      </c>
    </row>
    <row r="16">
      <c r="A16" s="46" t="inlineStr">
        <is>
          <t>Age Load Factor</t>
        </is>
      </c>
      <c r="B16" s="50">
        <f>Calculations!B6</f>
        <v/>
      </c>
      <c r="C16" s="7" t="inlineStr">
        <is>
          <t>OUTPUT_AgeFactor</t>
        </is>
      </c>
    </row>
    <row r="17">
      <c r="A17" s="46" t="inlineStr">
        <is>
          <t>Deductible Factor</t>
        </is>
      </c>
      <c r="B17" s="50">
        <f>Calculations!B12</f>
        <v/>
      </c>
      <c r="C17" s="7" t="inlineStr">
        <is>
          <t>OUTPUT_DedFactor</t>
        </is>
      </c>
    </row>
    <row r="18">
      <c r="A18" s="46" t="inlineStr">
        <is>
          <t>Combined Rate Modifier</t>
        </is>
      </c>
      <c r="B18" s="51">
        <f>Calculations!B20</f>
        <v/>
      </c>
      <c r="C18" s="7" t="inlineStr">
        <is>
          <t>OUTPUT_CombinedMod</t>
        </is>
      </c>
    </row>
    <row r="19">
      <c r="A19" s="46" t="inlineStr">
        <is>
          <t>Effective Rate Per $1k TIV</t>
        </is>
      </c>
      <c r="B19" s="49">
        <f>Calculations!B8*Calculations!B20</f>
        <v/>
      </c>
      <c r="C19" s="7" t="inlineStr">
        <is>
          <t>OUTPUT_EffectiveRate</t>
        </is>
      </c>
    </row>
    <row r="20">
      <c r="A20" s="52" t="inlineStr">
        <is>
          <t>TIV</t>
        </is>
      </c>
      <c r="B20" s="53">
        <f>Calculations!B4</f>
        <v/>
      </c>
      <c r="C20" s="11" t="inlineStr">
        <is>
          <t>OUTPUT_TIV</t>
        </is>
      </c>
    </row>
    <row r="22">
      <c r="A22" s="2" t="inlineStr">
        <is>
          <t>POLICY IDENTIFIERS (passthrough)</t>
        </is>
      </c>
      <c r="B22" s="56" t="n"/>
      <c r="C22" s="57" t="n"/>
    </row>
    <row r="23">
      <c r="A23" s="46" t="inlineStr">
        <is>
          <t>Policy Number</t>
        </is>
      </c>
      <c r="B23" s="54">
        <f>Inputs!B4</f>
        <v/>
      </c>
      <c r="C23" s="7" t="inlineStr">
        <is>
          <t>OUTPUT_PolicyNumber</t>
        </is>
      </c>
    </row>
    <row r="24">
      <c r="A24" s="46" t="inlineStr">
        <is>
          <t>Insured Name</t>
        </is>
      </c>
      <c r="B24" s="54">
        <f>Inputs!B5</f>
        <v/>
      </c>
      <c r="C24" s="7" t="inlineStr">
        <is>
          <t>OUTPUT_InsuredName</t>
        </is>
      </c>
    </row>
    <row r="25">
      <c r="A25" s="46" t="inlineStr">
        <is>
          <t>State</t>
        </is>
      </c>
      <c r="B25" s="54">
        <f>Inputs!B8</f>
        <v/>
      </c>
      <c r="C25" s="7" t="inlineStr">
        <is>
          <t>OUTPUT_State</t>
        </is>
      </c>
    </row>
    <row r="26">
      <c r="A26" s="52" t="inlineStr">
        <is>
          <t>Effective Date</t>
        </is>
      </c>
      <c r="B26" s="55">
        <f>Inputs!B6</f>
        <v/>
      </c>
      <c r="C26" s="11" t="inlineStr">
        <is>
          <t>OUTPUT_EffectiveDate</t>
        </is>
      </c>
    </row>
  </sheetData>
  <mergeCells count="4">
    <mergeCell ref="A1:C1"/>
    <mergeCell ref="A3:C3"/>
    <mergeCell ref="A12:C12"/>
    <mergeCell ref="A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Target Cell</t>
        </is>
      </c>
      <c r="C1" t="inlineStr">
        <is>
          <t>Type</t>
        </is>
      </c>
      <c r="D1" t="inlineStr">
        <is>
          <t>Label</t>
        </is>
      </c>
      <c r="E1" t="inlineStr">
        <is>
          <t>Direction</t>
        </is>
      </c>
      <c r="F1" t="inlineStr">
        <is>
          <t>Group</t>
        </is>
      </c>
      <c r="G1" t="inlineStr">
        <is>
          <t>Dropdown Options</t>
        </is>
      </c>
      <c r="H1" t="inlineStr">
        <is>
          <t>Default Value</t>
        </is>
      </c>
    </row>
    <row r="2">
      <c r="A2" t="inlineStr">
        <is>
          <t>policy_number</t>
        </is>
      </c>
      <c r="B2" t="inlineStr">
        <is>
          <t>Inputs!B4</t>
        </is>
      </c>
      <c r="C2" t="inlineStr">
        <is>
          <t>text</t>
        </is>
      </c>
      <c r="D2" t="inlineStr">
        <is>
          <t>Policy Number</t>
        </is>
      </c>
      <c r="E2" t="inlineStr">
        <is>
          <t>input</t>
        </is>
      </c>
      <c r="F2" t="inlineStr">
        <is>
          <t>Risk Identification</t>
        </is>
      </c>
      <c r="H2" t="inlineStr">
        <is>
          <t>POL-2025-001</t>
        </is>
      </c>
    </row>
    <row r="3">
      <c r="A3" t="inlineStr">
        <is>
          <t>insured_name</t>
        </is>
      </c>
      <c r="B3" t="inlineStr">
        <is>
          <t>Inputs!B5</t>
        </is>
      </c>
      <c r="C3" t="inlineStr">
        <is>
          <t>text</t>
        </is>
      </c>
      <c r="D3" t="inlineStr">
        <is>
          <t>Insured Name</t>
        </is>
      </c>
      <c r="E3" t="inlineStr">
        <is>
          <t>input</t>
        </is>
      </c>
      <c r="F3" t="inlineStr">
        <is>
          <t>Risk Identification</t>
        </is>
      </c>
      <c r="H3" t="inlineStr">
        <is>
          <t>Sample Insured LLC</t>
        </is>
      </c>
    </row>
    <row r="4">
      <c r="A4" t="inlineStr">
        <is>
          <t>effective_date</t>
        </is>
      </c>
      <c r="B4" t="inlineStr">
        <is>
          <t>Inputs!B6</t>
        </is>
      </c>
      <c r="C4" t="inlineStr">
        <is>
          <t>text</t>
        </is>
      </c>
      <c r="D4" t="inlineStr">
        <is>
          <t>Effective Date</t>
        </is>
      </c>
      <c r="E4" t="inlineStr">
        <is>
          <t>input</t>
        </is>
      </c>
      <c r="F4" t="inlineStr">
        <is>
          <t>Risk Identification</t>
        </is>
      </c>
      <c r="H4" t="inlineStr">
        <is>
          <t>2025-01-01</t>
        </is>
      </c>
    </row>
    <row r="5">
      <c r="A5" t="inlineStr">
        <is>
          <t>expiration_date</t>
        </is>
      </c>
      <c r="B5" t="inlineStr">
        <is>
          <t>Inputs!B7</t>
        </is>
      </c>
      <c r="C5" t="inlineStr">
        <is>
          <t>text</t>
        </is>
      </c>
      <c r="D5" t="inlineStr">
        <is>
          <t>Expiration Date</t>
        </is>
      </c>
      <c r="E5" t="inlineStr">
        <is>
          <t>input</t>
        </is>
      </c>
      <c r="F5" t="inlineStr">
        <is>
          <t>Risk Identification</t>
        </is>
      </c>
      <c r="H5" t="inlineStr">
        <is>
          <t>2026-01-01</t>
        </is>
      </c>
    </row>
    <row r="6">
      <c r="A6" t="inlineStr">
        <is>
          <t>state</t>
        </is>
      </c>
      <c r="B6" t="inlineStr">
        <is>
          <t>Inputs!B8</t>
        </is>
      </c>
      <c r="C6" t="inlineStr">
        <is>
          <t>text</t>
        </is>
      </c>
      <c r="D6" t="inlineStr">
        <is>
          <t>State</t>
        </is>
      </c>
      <c r="E6" t="inlineStr">
        <is>
          <t>input</t>
        </is>
      </c>
      <c r="F6" t="inlineStr">
        <is>
          <t>Risk Identification</t>
        </is>
      </c>
      <c r="H6" t="inlineStr">
        <is>
          <t>FL</t>
        </is>
      </c>
    </row>
    <row r="7">
      <c r="A7" t="inlineStr">
        <is>
          <t>lob</t>
        </is>
      </c>
      <c r="B7" t="inlineStr">
        <is>
          <t>Inputs!B9</t>
        </is>
      </c>
      <c r="C7" t="inlineStr">
        <is>
          <t>text</t>
        </is>
      </c>
      <c r="D7" t="inlineStr">
        <is>
          <t>Line of Business</t>
        </is>
      </c>
      <c r="E7" t="inlineStr">
        <is>
          <t>input</t>
        </is>
      </c>
      <c r="F7" t="inlineStr">
        <is>
          <t>Risk Identification</t>
        </is>
      </c>
      <c r="H7" t="inlineStr">
        <is>
          <t>Commercial Property</t>
        </is>
      </c>
    </row>
    <row r="8">
      <c r="A8" t="inlineStr">
        <is>
          <t>building_value</t>
        </is>
      </c>
      <c r="B8" t="inlineStr">
        <is>
          <t>Inputs!B12</t>
        </is>
      </c>
      <c r="C8" t="inlineStr">
        <is>
          <t>number</t>
        </is>
      </c>
      <c r="D8" t="inlineStr">
        <is>
          <t>Building Value ($)</t>
        </is>
      </c>
      <c r="E8" t="inlineStr">
        <is>
          <t>input</t>
        </is>
      </c>
      <c r="F8" t="inlineStr">
        <is>
          <t>Property Characteristics</t>
        </is>
      </c>
      <c r="H8" t="inlineStr">
        <is>
          <t>2500000</t>
        </is>
      </c>
    </row>
    <row r="9">
      <c r="A9" t="inlineStr">
        <is>
          <t>contents_value</t>
        </is>
      </c>
      <c r="B9" t="inlineStr">
        <is>
          <t>Inputs!B13</t>
        </is>
      </c>
      <c r="C9" t="inlineStr">
        <is>
          <t>number</t>
        </is>
      </c>
      <c r="D9" t="inlineStr">
        <is>
          <t>Contents Value ($)</t>
        </is>
      </c>
      <c r="E9" t="inlineStr">
        <is>
          <t>input</t>
        </is>
      </c>
      <c r="F9" t="inlineStr">
        <is>
          <t>Property Characteristics</t>
        </is>
      </c>
      <c r="H9" t="inlineStr">
        <is>
          <t>500000</t>
        </is>
      </c>
    </row>
    <row r="10">
      <c r="A10" t="inlineStr">
        <is>
          <t>bi_limit</t>
        </is>
      </c>
      <c r="B10" t="inlineStr">
        <is>
          <t>Inputs!B14</t>
        </is>
      </c>
      <c r="C10" t="inlineStr">
        <is>
          <t>number</t>
        </is>
      </c>
      <c r="D10" t="inlineStr">
        <is>
          <t>Business Income Limit ($)</t>
        </is>
      </c>
      <c r="E10" t="inlineStr">
        <is>
          <t>input</t>
        </is>
      </c>
      <c r="F10" t="inlineStr">
        <is>
          <t>Property Characteristics</t>
        </is>
      </c>
      <c r="H10" t="inlineStr">
        <is>
          <t>250000</t>
        </is>
      </c>
    </row>
    <row r="11">
      <c r="A11" t="inlineStr">
        <is>
          <t>year_built</t>
        </is>
      </c>
      <c r="B11" t="inlineStr">
        <is>
          <t>Inputs!B15</t>
        </is>
      </c>
      <c r="C11" t="inlineStr">
        <is>
          <t>number</t>
        </is>
      </c>
      <c r="D11" t="inlineStr">
        <is>
          <t>Year Built</t>
        </is>
      </c>
      <c r="E11" t="inlineStr">
        <is>
          <t>input</t>
        </is>
      </c>
      <c r="F11" t="inlineStr">
        <is>
          <t>Property Characteristics</t>
        </is>
      </c>
      <c r="H11" t="inlineStr">
        <is>
          <t>1995</t>
        </is>
      </c>
    </row>
    <row r="12">
      <c r="A12" t="inlineStr">
        <is>
          <t>square_footage</t>
        </is>
      </c>
      <c r="B12" t="inlineStr">
        <is>
          <t>Inputs!B16</t>
        </is>
      </c>
      <c r="C12" t="inlineStr">
        <is>
          <t>number</t>
        </is>
      </c>
      <c r="D12" t="inlineStr">
        <is>
          <t>Square Footage</t>
        </is>
      </c>
      <c r="E12" t="inlineStr">
        <is>
          <t>input</t>
        </is>
      </c>
      <c r="F12" t="inlineStr">
        <is>
          <t>Property Characteristics</t>
        </is>
      </c>
      <c r="H12" t="inlineStr">
        <is>
          <t>12000</t>
        </is>
      </c>
    </row>
    <row r="13">
      <c r="A13" t="inlineStr">
        <is>
          <t>stories</t>
        </is>
      </c>
      <c r="B13" t="inlineStr">
        <is>
          <t>Inputs!B17</t>
        </is>
      </c>
      <c r="C13" t="inlineStr">
        <is>
          <t>number</t>
        </is>
      </c>
      <c r="D13" t="inlineStr">
        <is>
          <t>Number of Stories</t>
        </is>
      </c>
      <c r="E13" t="inlineStr">
        <is>
          <t>input</t>
        </is>
      </c>
      <c r="F13" t="inlineStr">
        <is>
          <t>Property Characteristics</t>
        </is>
      </c>
      <c r="H13" t="inlineStr">
        <is>
          <t>2</t>
        </is>
      </c>
    </row>
    <row r="14">
      <c r="A14" t="inlineStr">
        <is>
          <t>construction_class</t>
        </is>
      </c>
      <c r="B14" t="inlineStr">
        <is>
          <t>Inputs!B18</t>
        </is>
      </c>
      <c r="C14" t="inlineStr">
        <is>
          <t>number</t>
        </is>
      </c>
      <c r="D14" t="inlineStr">
        <is>
          <t>Construction Class (1-6)</t>
        </is>
      </c>
      <c r="E14" t="inlineStr">
        <is>
          <t>input</t>
        </is>
      </c>
      <c r="F14" t="inlineStr">
        <is>
          <t>Property Characteristics</t>
        </is>
      </c>
      <c r="G14" t="inlineStr">
        <is>
          <t>1;2;3;4;5;6</t>
        </is>
      </c>
      <c r="H14" t="inlineStr">
        <is>
          <t>2</t>
        </is>
      </c>
    </row>
    <row r="15">
      <c r="A15" t="inlineStr">
        <is>
          <t>occupancy_code</t>
        </is>
      </c>
      <c r="B15" t="inlineStr">
        <is>
          <t>Inputs!B19</t>
        </is>
      </c>
      <c r="C15" t="inlineStr">
        <is>
          <t>text</t>
        </is>
      </c>
      <c r="D15" t="inlineStr">
        <is>
          <t>Occupancy Code</t>
        </is>
      </c>
      <c r="E15" t="inlineStr">
        <is>
          <t>input</t>
        </is>
      </c>
      <c r="F15" t="inlineStr">
        <is>
          <t>Property Characteristics</t>
        </is>
      </c>
      <c r="H15" t="inlineStr">
        <is>
          <t>04</t>
        </is>
      </c>
    </row>
    <row r="16">
      <c r="A16" t="inlineStr">
        <is>
          <t>protection_class</t>
        </is>
      </c>
      <c r="B16" t="inlineStr">
        <is>
          <t>Inputs!B20</t>
        </is>
      </c>
      <c r="C16" t="inlineStr">
        <is>
          <t>number</t>
        </is>
      </c>
      <c r="D16" t="inlineStr">
        <is>
          <t>Protection Class (1-10)</t>
        </is>
      </c>
      <c r="E16" t="inlineStr">
        <is>
          <t>input</t>
        </is>
      </c>
      <c r="F16" t="inlineStr">
        <is>
          <t>Property Characteristics</t>
        </is>
      </c>
      <c r="G16" t="inlineStr">
        <is>
          <t>1;2;3;4;5;6;7</t>
        </is>
      </c>
      <c r="H16" t="inlineStr">
        <is>
          <t>5</t>
        </is>
      </c>
    </row>
    <row r="17">
      <c r="A17" t="inlineStr">
        <is>
          <t>sprinklered</t>
        </is>
      </c>
      <c r="B17" t="inlineStr">
        <is>
          <t>Inputs!B21</t>
        </is>
      </c>
      <c r="C17" t="inlineStr">
        <is>
          <t>number</t>
        </is>
      </c>
      <c r="D17" t="inlineStr">
        <is>
          <t>Sprinklered (1=Yes)</t>
        </is>
      </c>
      <c r="E17" t="inlineStr">
        <is>
          <t>input</t>
        </is>
      </c>
      <c r="F17" t="inlineStr">
        <is>
          <t>Modifiers</t>
        </is>
      </c>
      <c r="G17" t="inlineStr">
        <is>
          <t>1;0</t>
        </is>
      </c>
      <c r="H17" t="inlineStr">
        <is>
          <t>1</t>
        </is>
      </c>
    </row>
    <row r="18">
      <c r="A18" t="inlineStr">
        <is>
          <t>deductible</t>
        </is>
      </c>
      <c r="B18" t="inlineStr">
        <is>
          <t>Inputs!B24</t>
        </is>
      </c>
      <c r="C18" t="inlineStr">
        <is>
          <t>number</t>
        </is>
      </c>
      <c r="D18" t="inlineStr">
        <is>
          <t>Deductible ($)</t>
        </is>
      </c>
      <c r="E18" t="inlineStr">
        <is>
          <t>input</t>
        </is>
      </c>
      <c r="F18" t="inlineStr">
        <is>
          <t>Modifiers</t>
        </is>
      </c>
      <c r="G18" t="inlineStr">
        <is>
          <t>1000;2500;5000;10000;25000;50000</t>
        </is>
      </c>
      <c r="H18" t="inlineStr">
        <is>
          <t>5000</t>
        </is>
      </c>
    </row>
    <row r="19">
      <c r="A19" t="inlineStr">
        <is>
          <t>wind_exclusion</t>
        </is>
      </c>
      <c r="B19" t="inlineStr">
        <is>
          <t>Inputs!B25</t>
        </is>
      </c>
      <c r="C19" t="inlineStr">
        <is>
          <t>number</t>
        </is>
      </c>
      <c r="D19" t="inlineStr">
        <is>
          <t>Wind/Hail Exclusion</t>
        </is>
      </c>
      <c r="E19" t="inlineStr">
        <is>
          <t>input</t>
        </is>
      </c>
      <c r="F19" t="inlineStr">
        <is>
          <t>Modifiers</t>
        </is>
      </c>
      <c r="G19" t="inlineStr">
        <is>
          <t>1;0</t>
        </is>
      </c>
      <c r="H19" t="inlineStr">
        <is>
          <t>0</t>
        </is>
      </c>
    </row>
    <row r="20">
      <c r="A20" t="inlineStr">
        <is>
          <t>alarm_credit</t>
        </is>
      </c>
      <c r="B20" t="inlineStr">
        <is>
          <t>Inputs!B26</t>
        </is>
      </c>
      <c r="C20" t="inlineStr">
        <is>
          <t>number</t>
        </is>
      </c>
      <c r="D20" t="inlineStr">
        <is>
          <t>Alarm Credit (1=Yes)</t>
        </is>
      </c>
      <c r="E20" t="inlineStr">
        <is>
          <t>input</t>
        </is>
      </c>
      <c r="F20" t="inlineStr">
        <is>
          <t>Modifiers</t>
        </is>
      </c>
      <c r="G20" t="inlineStr">
        <is>
          <t>1;0</t>
        </is>
      </c>
      <c r="H20" t="inlineStr">
        <is>
          <t>1</t>
        </is>
      </c>
    </row>
    <row r="21">
      <c r="A21" t="inlineStr">
        <is>
          <t>prior_losses</t>
        </is>
      </c>
      <c r="B21" t="inlineStr">
        <is>
          <t>Inputs!B27</t>
        </is>
      </c>
      <c r="C21" t="inlineStr">
        <is>
          <t>number</t>
        </is>
      </c>
      <c r="D21" t="inlineStr">
        <is>
          <t>Prior Losses</t>
        </is>
      </c>
      <c r="E21" t="inlineStr">
        <is>
          <t>input</t>
        </is>
      </c>
      <c r="F21" t="inlineStr">
        <is>
          <t>Modifiers</t>
        </is>
      </c>
      <c r="H21" t="inlineStr">
        <is>
          <t>1</t>
        </is>
      </c>
    </row>
    <row r="22">
      <c r="A22" t="inlineStr">
        <is>
          <t>account_mod</t>
        </is>
      </c>
      <c r="B22" t="inlineStr">
        <is>
          <t>Inputs!B28</t>
        </is>
      </c>
      <c r="C22" t="inlineStr">
        <is>
          <t>number</t>
        </is>
      </c>
      <c r="D22" t="inlineStr">
        <is>
          <t>Account Credit/Debit (%)</t>
        </is>
      </c>
      <c r="E22" t="inlineStr">
        <is>
          <t>input</t>
        </is>
      </c>
      <c r="F22" t="inlineStr">
        <is>
          <t>Modifiers</t>
        </is>
      </c>
      <c r="H22" t="inlineStr">
        <is>
          <t>0.05</t>
        </is>
      </c>
    </row>
    <row r="23">
      <c r="A23" t="inlineStr">
        <is>
          <t>building_premium</t>
        </is>
      </c>
      <c r="B23" t="inlineStr">
        <is>
          <t>Outputs!B4</t>
        </is>
      </c>
      <c r="C23" t="inlineStr">
        <is>
          <t>number</t>
        </is>
      </c>
      <c r="D23" t="inlineStr">
        <is>
          <t>Building Premium</t>
        </is>
      </c>
      <c r="E23" t="inlineStr">
        <is>
          <t>output</t>
        </is>
      </c>
    </row>
    <row r="24">
      <c r="A24" t="inlineStr">
        <is>
          <t>contents_premium</t>
        </is>
      </c>
      <c r="B24" t="inlineStr">
        <is>
          <t>Outputs!B5</t>
        </is>
      </c>
      <c r="C24" t="inlineStr">
        <is>
          <t>number</t>
        </is>
      </c>
      <c r="D24" t="inlineStr">
        <is>
          <t>Contents Premium</t>
        </is>
      </c>
      <c r="E24" t="inlineStr">
        <is>
          <t>output</t>
        </is>
      </c>
    </row>
    <row r="25">
      <c r="A25" t="inlineStr">
        <is>
          <t>business_income_premium</t>
        </is>
      </c>
      <c r="B25" t="inlineStr">
        <is>
          <t>Outputs!B6</t>
        </is>
      </c>
      <c r="C25" t="inlineStr">
        <is>
          <t>number</t>
        </is>
      </c>
      <c r="D25" t="inlineStr">
        <is>
          <t>Business Income Premium</t>
        </is>
      </c>
      <c r="E25" t="inlineStr">
        <is>
          <t>output</t>
        </is>
      </c>
    </row>
    <row r="26">
      <c r="A26" t="inlineStr">
        <is>
          <t>subtotal_premium</t>
        </is>
      </c>
      <c r="B26" t="inlineStr">
        <is>
          <t>Outputs!B7</t>
        </is>
      </c>
      <c r="C26" t="inlineStr">
        <is>
          <t>number</t>
        </is>
      </c>
      <c r="D26" t="inlineStr">
        <is>
          <t>Subtotal Premium</t>
        </is>
      </c>
      <c r="E26" t="inlineStr">
        <is>
          <t>output</t>
        </is>
      </c>
    </row>
    <row r="27">
      <c r="A27" t="inlineStr">
        <is>
          <t>deductible_credit</t>
        </is>
      </c>
      <c r="B27" t="inlineStr">
        <is>
          <t>Outputs!B8</t>
        </is>
      </c>
      <c r="C27" t="inlineStr">
        <is>
          <t>number</t>
        </is>
      </c>
      <c r="D27" t="inlineStr">
        <is>
          <t>Deductible Credit ($)</t>
        </is>
      </c>
      <c r="E27" t="inlineStr">
        <is>
          <t>output</t>
        </is>
      </c>
    </row>
    <row r="28">
      <c r="A28" t="inlineStr">
        <is>
          <t>account_mod_adj</t>
        </is>
      </c>
      <c r="B28" t="inlineStr">
        <is>
          <t>Outputs!B9</t>
        </is>
      </c>
      <c r="C28" t="inlineStr">
        <is>
          <t>number</t>
        </is>
      </c>
      <c r="D28" t="inlineStr">
        <is>
          <t>Account Mod Adjustment</t>
        </is>
      </c>
      <c r="E28" t="inlineStr">
        <is>
          <t>output</t>
        </is>
      </c>
    </row>
    <row r="29">
      <c r="A29" t="inlineStr">
        <is>
          <t>premium</t>
        </is>
      </c>
      <c r="B29" t="inlineStr">
        <is>
          <t>Outputs!B10</t>
        </is>
      </c>
      <c r="C29" t="inlineStr">
        <is>
          <t>number</t>
        </is>
      </c>
      <c r="D29" t="inlineStr">
        <is>
          <t>TOTAL ANNUAL PREMIUM</t>
        </is>
      </c>
      <c r="E29" t="inlineStr">
        <is>
          <t>output</t>
        </is>
      </c>
    </row>
    <row r="30">
      <c r="A30" t="inlineStr">
        <is>
          <t>base_building_rate</t>
        </is>
      </c>
      <c r="B30" t="inlineStr">
        <is>
          <t>Outputs!B14</t>
        </is>
      </c>
      <c r="C30" t="inlineStr">
        <is>
          <t>number</t>
        </is>
      </c>
      <c r="D30" t="inlineStr">
        <is>
          <t>Base Building Rate (/$1k)</t>
        </is>
      </c>
      <c r="E30" t="inlineStr">
        <is>
          <t>output</t>
        </is>
      </c>
    </row>
    <row r="31">
      <c r="A31" t="inlineStr">
        <is>
          <t>protection_class_factor</t>
        </is>
      </c>
      <c r="B31" t="inlineStr">
        <is>
          <t>Outputs!B15</t>
        </is>
      </c>
      <c r="C31" t="inlineStr">
        <is>
          <t>number</t>
        </is>
      </c>
      <c r="D31" t="inlineStr">
        <is>
          <t>Protection Class Factor</t>
        </is>
      </c>
      <c r="E31" t="inlineStr">
        <is>
          <t>output</t>
        </is>
      </c>
    </row>
    <row r="32">
      <c r="A32" t="inlineStr">
        <is>
          <t>age_load_factor</t>
        </is>
      </c>
      <c r="B32" t="inlineStr">
        <is>
          <t>Outputs!B16</t>
        </is>
      </c>
      <c r="C32" t="inlineStr">
        <is>
          <t>number</t>
        </is>
      </c>
      <c r="D32" t="inlineStr">
        <is>
          <t>Age Load Factor</t>
        </is>
      </c>
      <c r="E32" t="inlineStr">
        <is>
          <t>output</t>
        </is>
      </c>
    </row>
    <row r="33">
      <c r="A33" t="inlineStr">
        <is>
          <t>deductible_factor</t>
        </is>
      </c>
      <c r="B33" t="inlineStr">
        <is>
          <t>Outputs!B17</t>
        </is>
      </c>
      <c r="C33" t="inlineStr">
        <is>
          <t>number</t>
        </is>
      </c>
      <c r="D33" t="inlineStr">
        <is>
          <t>Deductible Factor</t>
        </is>
      </c>
      <c r="E33" t="inlineStr">
        <is>
          <t>output</t>
        </is>
      </c>
    </row>
    <row r="34">
      <c r="A34" t="inlineStr">
        <is>
          <t>combined_rate_modifier</t>
        </is>
      </c>
      <c r="B34" t="inlineStr">
        <is>
          <t>Outputs!B18</t>
        </is>
      </c>
      <c r="C34" t="inlineStr">
        <is>
          <t>number</t>
        </is>
      </c>
      <c r="D34" t="inlineStr">
        <is>
          <t>Combined Rate Modifier</t>
        </is>
      </c>
      <c r="E34" t="inlineStr">
        <is>
          <t>output</t>
        </is>
      </c>
    </row>
    <row r="35">
      <c r="A35" t="inlineStr">
        <is>
          <t>effective_rate_per_1k</t>
        </is>
      </c>
      <c r="B35" t="inlineStr">
        <is>
          <t>Outputs!B19</t>
        </is>
      </c>
      <c r="C35" t="inlineStr">
        <is>
          <t>number</t>
        </is>
      </c>
      <c r="D35" t="inlineStr">
        <is>
          <t>Effective Rate Per $1k TIV</t>
        </is>
      </c>
      <c r="E35" t="inlineStr">
        <is>
          <t>output</t>
        </is>
      </c>
    </row>
    <row r="36">
      <c r="A36" t="inlineStr">
        <is>
          <t>tiv</t>
        </is>
      </c>
      <c r="B36" t="inlineStr">
        <is>
          <t>Outputs!B20</t>
        </is>
      </c>
      <c r="C36" t="inlineStr">
        <is>
          <t>number</t>
        </is>
      </c>
      <c r="D36" t="inlineStr">
        <is>
          <t>TIV</t>
        </is>
      </c>
      <c r="E3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2026-03-13T15:24:47Z</dcterms:created>
  <dcterms:modified xmlns:dcterms="http://purl.org/dc/terms/" xmlns:xsi="http://www.w3.org/2001/XMLSchema-instance" xsi:type="dcterms:W3CDTF">2026-03-18T14:24:26Z</dcterms:modified>
</cp:coreProperties>
</file>