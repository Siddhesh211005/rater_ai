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0" yWindow="740" windowWidth="30240" windowHeight="17760" tabRatio="587" firstSheet="6" activeTab="1" autoFilterDateGrouping="1"/>
  </bookViews>
  <sheets>
    <sheet xmlns:r="http://schemas.openxmlformats.org/officeDocument/2006/relationships" name="Inception of Cover Rater" sheetId="1" state="visible" r:id="rId1"/>
    <sheet xmlns:r="http://schemas.openxmlformats.org/officeDocument/2006/relationships" name="MTA Rater (Amended)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States" sheetId="4" state="visible" r:id="rId4"/>
    <sheet xmlns:r="http://schemas.openxmlformats.org/officeDocument/2006/relationships" name="SystemInception" sheetId="5" state="visible" r:id="rId5"/>
    <sheet xmlns:r="http://schemas.openxmlformats.org/officeDocument/2006/relationships" name="Tier 1 &amp; 2" sheetId="6" state="visible" r:id="rId6"/>
    <sheet xmlns:r="http://schemas.openxmlformats.org/officeDocument/2006/relationships" name="MTACoverage" sheetId="7" state="visible" r:id="rId7"/>
    <sheet xmlns:r="http://schemas.openxmlformats.org/officeDocument/2006/relationships" name="Cole Quote Sheet" sheetId="8" state="visible" r:id="rId8"/>
    <sheet xmlns:r="http://schemas.openxmlformats.org/officeDocument/2006/relationships" name="_Schema" sheetId="9" state="visible" r:id="rId9"/>
  </sheets>
  <definedNames>
    <definedName name="_xlnm.Print_Area" localSheetId="0">'Inception of Cover Rater'!$A$1:$S$106</definedName>
    <definedName name="_xlnm.Print_Area" localSheetId="1">'MTA Rater (Amended)'!$A$1:$Q$106</definedName>
    <definedName name="_Hlk171681997" localSheetId="2">Rates!#REF!</definedName>
    <definedName name="_xlnm.Print_Area" localSheetId="7">'Cole Quote Sheet'!$A$1:$G$46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[$$-409]#,##0"/>
    <numFmt numFmtId="165" formatCode="_-* #,##0.00_-;\-* #,##0.00_-;_-* &quot;-&quot;??_-;_-@_-"/>
    <numFmt numFmtId="166" formatCode="0.000%"/>
    <numFmt numFmtId="167" formatCode="[$$-409]#,##0.00"/>
    <numFmt numFmtId="168" formatCode="_-* #,##0_-;\-* #,##0_-;_-* &quot;-&quot;??_-;_-@_-"/>
    <numFmt numFmtId="169" formatCode="[$$-C09]#,##0"/>
    <numFmt numFmtId="170" formatCode="[$$-1004]#,##0.00;\-[$$-1004]#,##0.00"/>
    <numFmt numFmtId="171" formatCode="&quot;$&quot;#,##0.00_);[Red]\(&quot;$&quot;#,##0.00\)"/>
    <numFmt numFmtId="172" formatCode="[$$-409]#,##0_ ;\-[$$-409]#,##0\ "/>
    <numFmt numFmtId="173" formatCode="[$$-409]#,##0.00_ ;\-[$$-409]#,##0.00\ "/>
    <numFmt numFmtId="174" formatCode="[$-F800]dddd\,\ mmmm\ dd\,\ yyyy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0000"/>
      <sz val="10"/>
      <u val="single"/>
    </font>
    <font>
      <name val="Arial"/>
      <family val="2"/>
      <color indexed="8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22"/>
      <u val="single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sz val="10"/>
    </font>
    <font>
      <name val="Calibri"/>
      <family val="2"/>
      <b val="1"/>
      <color rgb="FF00B050"/>
      <sz val="11"/>
      <u val="single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" fillId="0" borderId="0"/>
    <xf numFmtId="165" fontId="1" fillId="0" borderId="0"/>
    <xf numFmtId="9" fontId="1" fillId="0" borderId="0"/>
    <xf numFmtId="165" fontId="4" fillId="0" borderId="0"/>
    <xf numFmtId="44" fontId="4" fillId="0" borderId="0"/>
    <xf numFmtId="9" fontId="4" fillId="0" borderId="0"/>
  </cellStyleXfs>
  <cellXfs count="289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0" borderId="0" pivotButton="0" quotePrefix="0" xfId="0"/>
    <xf numFmtId="165" fontId="0" fillId="0" borderId="0" applyAlignment="1" pivotButton="0" quotePrefix="0" xfId="1">
      <alignment horizontal="right"/>
    </xf>
    <xf numFmtId="166" fontId="0" fillId="0" borderId="0" applyAlignment="1" pivotButton="0" quotePrefix="0" xfId="2">
      <alignment horizontal="right"/>
    </xf>
    <xf numFmtId="165" fontId="0" fillId="0" borderId="0" applyAlignment="1" pivotButton="0" quotePrefix="0" xfId="1">
      <alignment horizontal="right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pivotButton="0" quotePrefix="0" xfId="0"/>
    <xf numFmtId="166" fontId="0" fillId="0" borderId="0" applyAlignment="1" pivotButton="0" quotePrefix="0" xfId="2">
      <alignment vertical="center"/>
    </xf>
    <xf numFmtId="166" fontId="0" fillId="0" borderId="0" applyAlignment="1" pivotButton="0" quotePrefix="0" xfId="0">
      <alignment horizontal="right"/>
    </xf>
    <xf numFmtId="165" fontId="1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1">
      <alignment horizontal="left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165" fontId="0" fillId="0" borderId="0" applyAlignment="1" pivotButton="0" quotePrefix="0" xfId="1">
      <alignment horizontal="right"/>
    </xf>
    <xf numFmtId="0" fontId="0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167" fontId="0" fillId="0" borderId="0" applyAlignment="1" pivotButton="0" quotePrefix="0" xfId="1">
      <alignment horizontal="left"/>
    </xf>
    <xf numFmtId="0" fontId="0" fillId="0" borderId="7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165" fontId="2" fillId="0" borderId="0" applyAlignment="1" pivotButton="0" quotePrefix="0" xfId="1">
      <alignment horizontal="left"/>
    </xf>
    <xf numFmtId="0" fontId="2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167" fontId="2" fillId="0" borderId="8" applyAlignment="1" pivotButton="0" quotePrefix="0" xfId="1">
      <alignment horizontal="left"/>
    </xf>
    <xf numFmtId="0" fontId="0" fillId="0" borderId="3" applyAlignment="1" pivotButton="0" quotePrefix="0" xfId="0">
      <alignment horizontal="left"/>
    </xf>
    <xf numFmtId="167" fontId="0" fillId="0" borderId="5" applyAlignment="1" pivotButton="0" quotePrefix="0" xfId="1">
      <alignment horizontal="left"/>
    </xf>
    <xf numFmtId="167" fontId="0" fillId="0" borderId="7" applyAlignment="1" pivotButton="0" quotePrefix="0" xfId="1">
      <alignment horizontal="left"/>
    </xf>
    <xf numFmtId="0" fontId="2" fillId="0" borderId="2" pivotButton="0" quotePrefix="0" xfId="0"/>
    <xf numFmtId="0" fontId="0" fillId="0" borderId="9" applyAlignment="1" pivotButton="0" quotePrefix="0" xfId="0">
      <alignment horizontal="left"/>
    </xf>
    <xf numFmtId="164" fontId="0" fillId="0" borderId="9" applyAlignment="1" pivotButton="0" quotePrefix="0" xfId="0">
      <alignment horizontal="right"/>
    </xf>
    <xf numFmtId="10" fontId="0" fillId="0" borderId="9" applyAlignment="1" pivotButton="0" quotePrefix="0" xfId="0">
      <alignment horizontal="right"/>
    </xf>
    <xf numFmtId="0" fontId="0" fillId="0" borderId="8" applyAlignment="1" pivotButton="0" quotePrefix="0" xfId="0">
      <alignment horizontal="left"/>
    </xf>
    <xf numFmtId="164" fontId="0" fillId="0" borderId="8" applyAlignment="1" pivotButton="0" quotePrefix="0" xfId="0">
      <alignment horizontal="right"/>
    </xf>
    <xf numFmtId="10" fontId="0" fillId="0" borderId="8" applyAlignment="1" pivotButton="0" quotePrefix="0" xfId="0">
      <alignment horizontal="right"/>
    </xf>
    <xf numFmtId="0" fontId="0" fillId="0" borderId="10" pivotButton="0" quotePrefix="0" xfId="0"/>
    <xf numFmtId="0" fontId="0" fillId="0" borderId="12" applyAlignment="1" pivotButton="0" quotePrefix="0" xfId="0">
      <alignment horizontal="left"/>
    </xf>
    <xf numFmtId="164" fontId="0" fillId="0" borderId="12" applyAlignment="1" pivotButton="0" quotePrefix="0" xfId="0">
      <alignment horizontal="right"/>
    </xf>
    <xf numFmtId="165" fontId="0" fillId="0" borderId="0" applyAlignment="1" pivotButton="0" quotePrefix="0" xfId="1">
      <alignment horizontal="right"/>
    </xf>
    <xf numFmtId="165" fontId="0" fillId="0" borderId="0" pivotButton="0" quotePrefix="0" xfId="1"/>
    <xf numFmtId="165" fontId="5" fillId="0" borderId="0" pivotButton="0" quotePrefix="0" xfId="1"/>
    <xf numFmtId="0" fontId="5" fillId="0" borderId="0" pivotButton="0" quotePrefix="0" xfId="0"/>
    <xf numFmtId="165" fontId="0" fillId="0" borderId="0" pivotButton="0" quotePrefix="0" xfId="0"/>
    <xf numFmtId="166" fontId="0" fillId="0" borderId="9" applyAlignment="1" pivotButton="0" quotePrefix="0" xfId="2">
      <alignment horizontal="right"/>
    </xf>
    <xf numFmtId="0" fontId="2" fillId="0" borderId="8" applyAlignment="1" pivotButton="0" quotePrefix="0" xfId="0">
      <alignment horizontal="left"/>
    </xf>
    <xf numFmtId="164" fontId="2" fillId="0" borderId="8" applyAlignment="1" pivotButton="0" quotePrefix="0" xfId="0">
      <alignment horizontal="right"/>
    </xf>
    <xf numFmtId="165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2" fillId="0" borderId="9" applyAlignment="1" pivotButton="0" quotePrefix="0" xfId="0">
      <alignment horizontal="left" wrapText="1"/>
    </xf>
    <xf numFmtId="0" fontId="2" fillId="0" borderId="3" applyAlignment="1" pivotButton="0" quotePrefix="0" xfId="0">
      <alignment horizontal="left" wrapText="1"/>
    </xf>
    <xf numFmtId="0" fontId="2" fillId="0" borderId="4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10" fontId="2" fillId="0" borderId="2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68" fontId="0" fillId="0" borderId="9" applyAlignment="1" pivotButton="0" quotePrefix="0" xfId="1">
      <alignment horizontal="right"/>
    </xf>
    <xf numFmtId="168" fontId="0" fillId="0" borderId="8" applyAlignment="1" pivotButton="0" quotePrefix="0" xfId="1">
      <alignment horizontal="right"/>
    </xf>
    <xf numFmtId="168" fontId="0" fillId="0" borderId="12" applyAlignment="1" pivotButton="0" quotePrefix="0" xfId="1">
      <alignment horizontal="right"/>
    </xf>
    <xf numFmtId="168" fontId="0" fillId="0" borderId="0" applyAlignment="1" pivotButton="0" quotePrefix="0" xfId="1">
      <alignment horizontal="right"/>
    </xf>
    <xf numFmtId="168" fontId="0" fillId="0" borderId="9" applyAlignment="1" pivotButton="0" quotePrefix="0" xfId="1">
      <alignment horizontal="right"/>
    </xf>
    <xf numFmtId="9" fontId="0" fillId="0" borderId="5" applyAlignment="1" pivotButton="0" quotePrefix="0" xfId="2">
      <alignment horizontal="left"/>
    </xf>
    <xf numFmtId="0" fontId="2" fillId="0" borderId="6" pivotButton="0" quotePrefix="0" xfId="0"/>
    <xf numFmtId="9" fontId="2" fillId="0" borderId="7" applyAlignment="1" pivotButton="0" quotePrefix="0" xfId="2">
      <alignment horizontal="left"/>
    </xf>
    <xf numFmtId="165" fontId="0" fillId="0" borderId="3" applyAlignment="1" pivotButton="0" quotePrefix="0" xfId="1">
      <alignment horizontal="right"/>
    </xf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165" fontId="0" fillId="0" borderId="5" applyAlignment="1" pivotButton="0" quotePrefix="0" xfId="1">
      <alignment horizontal="right" wrapText="1"/>
    </xf>
    <xf numFmtId="0" fontId="0" fillId="0" borderId="6" applyAlignment="1" pivotButton="0" quotePrefix="0" xfId="0">
      <alignment wrapText="1"/>
    </xf>
    <xf numFmtId="0" fontId="0" fillId="0" borderId="8" applyAlignment="1" pivotButton="0" quotePrefix="0" xfId="0">
      <alignment horizontal="left" wrapText="1"/>
    </xf>
    <xf numFmtId="165" fontId="0" fillId="0" borderId="7" applyAlignment="1" pivotButton="0" quotePrefix="0" xfId="1">
      <alignment horizontal="right" wrapText="1"/>
    </xf>
    <xf numFmtId="165" fontId="2" fillId="0" borderId="5" applyAlignment="1" pivotButton="0" quotePrefix="0" xfId="1">
      <alignment horizontal="left"/>
    </xf>
    <xf numFmtId="9" fontId="2" fillId="0" borderId="0" applyAlignment="1" pivotButton="0" quotePrefix="0" xfId="2">
      <alignment horizontal="left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1">
      <alignment horizontal="right" wrapText="1"/>
    </xf>
    <xf numFmtId="0" fontId="2" fillId="4" borderId="0" pivotButton="0" quotePrefix="0" xfId="0"/>
    <xf numFmtId="0" fontId="0" fillId="4" borderId="0" applyAlignment="1" pivotButton="0" quotePrefix="0" xfId="0">
      <alignment horizontal="left" wrapText="1"/>
    </xf>
    <xf numFmtId="165" fontId="0" fillId="4" borderId="0" applyAlignment="1" pivotButton="0" quotePrefix="0" xfId="1">
      <alignment horizontal="right" wrapText="1"/>
    </xf>
    <xf numFmtId="165" fontId="0" fillId="4" borderId="0" applyAlignment="1" pivotButton="0" quotePrefix="0" xfId="1">
      <alignment horizontal="right"/>
    </xf>
    <xf numFmtId="0" fontId="0" fillId="4" borderId="0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2" fillId="0" borderId="1" pivotButton="0" quotePrefix="0" xfId="0"/>
    <xf numFmtId="10" fontId="0" fillId="2" borderId="14" applyAlignment="1" pivotButton="0" quotePrefix="0" xfId="2">
      <alignment horizontal="right"/>
    </xf>
    <xf numFmtId="165" fontId="2" fillId="0" borderId="13" applyAlignment="1" pivotButton="0" quotePrefix="0" xfId="1">
      <alignment horizontal="right"/>
    </xf>
    <xf numFmtId="9" fontId="0" fillId="0" borderId="0" pivotButton="0" quotePrefix="0" xfId="2"/>
    <xf numFmtId="9" fontId="0" fillId="0" borderId="3" applyAlignment="1" pivotButton="0" quotePrefix="0" xfId="2">
      <alignment horizontal="right"/>
    </xf>
    <xf numFmtId="9" fontId="0" fillId="0" borderId="7" applyAlignment="1" pivotButton="0" quotePrefix="0" xfId="2">
      <alignment horizontal="right"/>
    </xf>
    <xf numFmtId="9" fontId="0" fillId="0" borderId="11" applyAlignment="1" pivotButton="0" quotePrefix="0" xfId="2">
      <alignment horizontal="right"/>
    </xf>
    <xf numFmtId="9" fontId="0" fillId="0" borderId="5" applyAlignment="1" pivotButton="0" quotePrefix="0" xfId="2">
      <alignment horizontal="right"/>
    </xf>
    <xf numFmtId="9" fontId="0" fillId="0" borderId="5" pivotButton="0" quotePrefix="0" xfId="2"/>
    <xf numFmtId="9" fontId="0" fillId="4" borderId="0" pivotButton="0" quotePrefix="0" xfId="2"/>
    <xf numFmtId="169" fontId="0" fillId="0" borderId="9" applyAlignment="1" pivotButton="0" quotePrefix="0" xfId="1">
      <alignment horizontal="right"/>
    </xf>
    <xf numFmtId="169" fontId="0" fillId="0" borderId="0" applyAlignment="1" pivotButton="0" quotePrefix="0" xfId="1">
      <alignment horizontal="right"/>
    </xf>
    <xf numFmtId="169" fontId="0" fillId="0" borderId="9" applyAlignment="1" pivotButton="0" quotePrefix="0" xfId="0">
      <alignment horizontal="right"/>
    </xf>
    <xf numFmtId="169" fontId="2" fillId="0" borderId="8" applyAlignment="1" pivotButton="0" quotePrefix="0" xfId="0">
      <alignment horizontal="right"/>
    </xf>
    <xf numFmtId="169" fontId="2" fillId="0" borderId="8" applyAlignment="1" pivotButton="0" quotePrefix="0" xfId="1">
      <alignment horizontal="right"/>
    </xf>
    <xf numFmtId="170" fontId="0" fillId="0" borderId="9" applyAlignment="1" pivotButton="0" quotePrefix="0" xfId="1">
      <alignment horizontal="right"/>
    </xf>
    <xf numFmtId="170" fontId="0" fillId="0" borderId="0" applyAlignment="1" pivotButton="0" quotePrefix="0" xfId="1">
      <alignment horizontal="right"/>
    </xf>
    <xf numFmtId="170" fontId="2" fillId="0" borderId="8" applyAlignment="1" pivotButton="0" quotePrefix="0" xfId="1">
      <alignment horizontal="right"/>
    </xf>
    <xf numFmtId="170" fontId="7" fillId="3" borderId="8" pivotButton="0" quotePrefix="0" xfId="1"/>
    <xf numFmtId="14" fontId="0" fillId="0" borderId="0" applyAlignment="1" pivotButton="0" quotePrefix="0" xfId="1">
      <alignment horizontal="right"/>
    </xf>
    <xf numFmtId="0" fontId="0" fillId="0" borderId="0" applyAlignment="1" pivotButton="0" quotePrefix="0" xfId="1">
      <alignment horizontal="right"/>
    </xf>
    <xf numFmtId="0" fontId="0" fillId="5" borderId="2" applyAlignment="1" pivotButton="0" quotePrefix="0" xfId="0">
      <alignment horizontal="right"/>
    </xf>
    <xf numFmtId="165" fontId="0" fillId="5" borderId="3" applyAlignment="1" pivotButton="0" quotePrefix="0" xfId="1">
      <alignment horizontal="right"/>
    </xf>
    <xf numFmtId="0" fontId="0" fillId="5" borderId="4" applyAlignment="1" pivotButton="0" quotePrefix="0" xfId="0">
      <alignment horizontal="right"/>
    </xf>
    <xf numFmtId="165" fontId="0" fillId="5" borderId="5" applyAlignment="1" pivotButton="0" quotePrefix="0" xfId="1">
      <alignment horizontal="right"/>
    </xf>
    <xf numFmtId="0" fontId="2" fillId="5" borderId="6" applyAlignment="1" pivotButton="0" quotePrefix="0" xfId="0">
      <alignment horizontal="right"/>
    </xf>
    <xf numFmtId="165" fontId="0" fillId="5" borderId="7" applyAlignment="1" pivotButton="0" quotePrefix="0" xfId="1">
      <alignment horizontal="right"/>
    </xf>
    <xf numFmtId="167" fontId="1" fillId="0" borderId="8" applyAlignment="1" pivotButton="0" quotePrefix="0" xfId="1">
      <alignment horizontal="right"/>
    </xf>
    <xf numFmtId="168" fontId="0" fillId="0" borderId="0" applyAlignment="1" pivotButton="0" quotePrefix="0" xfId="1">
      <alignment horizontal="right"/>
    </xf>
    <xf numFmtId="168" fontId="0" fillId="0" borderId="8" applyAlignment="1" pivotButton="0" quotePrefix="0" xfId="1">
      <alignment horizontal="right"/>
    </xf>
    <xf numFmtId="169" fontId="0" fillId="0" borderId="12" applyAlignment="1" pivotButton="0" quotePrefix="0" xfId="0">
      <alignment horizontal="right"/>
    </xf>
    <xf numFmtId="165" fontId="0" fillId="0" borderId="5" applyAlignment="1" pivotButton="0" quotePrefix="0" xfId="1">
      <alignment horizontal="right" wrapText="1"/>
    </xf>
    <xf numFmtId="165" fontId="0" fillId="0" borderId="7" applyAlignment="1" pivotButton="0" quotePrefix="0" xfId="1">
      <alignment horizontal="right" wrapText="1"/>
    </xf>
    <xf numFmtId="165" fontId="2" fillId="0" borderId="5" pivotButton="0" quotePrefix="0" xfId="1"/>
    <xf numFmtId="165" fontId="0" fillId="0" borderId="5" applyAlignment="1" pivotButton="0" quotePrefix="0" xfId="1">
      <alignment wrapText="1"/>
    </xf>
    <xf numFmtId="170" fontId="0" fillId="0" borderId="0" applyAlignment="1" pivotButton="0" quotePrefix="0" xfId="1">
      <alignment horizontal="right"/>
    </xf>
    <xf numFmtId="9" fontId="0" fillId="0" borderId="5" applyAlignment="1" pivotButton="0" quotePrefix="0" xfId="2">
      <alignment horizontal="right"/>
    </xf>
    <xf numFmtId="165" fontId="0" fillId="0" borderId="0" pivotButton="0" quotePrefix="0" xfId="1"/>
    <xf numFmtId="9" fontId="0" fillId="0" borderId="0" applyAlignment="1" pivotButton="0" quotePrefix="0" xfId="2">
      <alignment horizontal="right"/>
    </xf>
    <xf numFmtId="10" fontId="0" fillId="0" borderId="0" pivotButton="0" quotePrefix="0" xfId="2"/>
    <xf numFmtId="0" fontId="0" fillId="0" borderId="11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0" fontId="0" fillId="0" borderId="12" applyAlignment="1" pivotButton="0" quotePrefix="0" xfId="0">
      <alignment horizontal="right"/>
    </xf>
    <xf numFmtId="170" fontId="2" fillId="0" borderId="12" applyAlignment="1" pivotButton="0" quotePrefix="0" xfId="0">
      <alignment horizontal="right"/>
    </xf>
    <xf numFmtId="40" fontId="2" fillId="0" borderId="0" pivotButton="0" quotePrefix="0" xfId="0"/>
    <xf numFmtId="40" fontId="0" fillId="0" borderId="0" pivotButton="0" quotePrefix="0" xfId="0"/>
    <xf numFmtId="0" fontId="8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right"/>
    </xf>
    <xf numFmtId="167" fontId="2" fillId="0" borderId="12" applyAlignment="1" pivotButton="0" quotePrefix="0" xfId="1">
      <alignment horizontal="right"/>
    </xf>
    <xf numFmtId="167" fontId="0" fillId="0" borderId="12" applyAlignment="1" pivotButton="0" quotePrefix="0" xfId="1">
      <alignment horizontal="right"/>
    </xf>
    <xf numFmtId="167" fontId="0" fillId="0" borderId="9" applyAlignment="1" pivotButton="0" quotePrefix="0" xfId="1">
      <alignment horizontal="right"/>
    </xf>
    <xf numFmtId="167" fontId="0" fillId="0" borderId="0" applyAlignment="1" pivotButton="0" quotePrefix="0" xfId="1">
      <alignment horizontal="right"/>
    </xf>
    <xf numFmtId="167" fontId="2" fillId="0" borderId="3" applyAlignment="1" pivotButton="0" quotePrefix="0" xfId="1">
      <alignment horizontal="right"/>
    </xf>
    <xf numFmtId="167" fontId="2" fillId="0" borderId="5" pivotButton="0" quotePrefix="0" xfId="1"/>
    <xf numFmtId="167" fontId="2" fillId="0" borderId="5" applyAlignment="1" pivotButton="0" quotePrefix="0" xfId="1">
      <alignment horizontal="right"/>
    </xf>
    <xf numFmtId="167" fontId="0" fillId="0" borderId="5" applyAlignment="1" pivotButton="0" quotePrefix="0" xfId="1">
      <alignment horizontal="right"/>
    </xf>
    <xf numFmtId="167" fontId="0" fillId="0" borderId="3" applyAlignment="1" pivotButton="0" quotePrefix="0" xfId="1">
      <alignment horizontal="right"/>
    </xf>
    <xf numFmtId="167" fontId="2" fillId="0" borderId="7" applyAlignment="1" pivotButton="0" quotePrefix="0" xfId="1">
      <alignment horizontal="right"/>
    </xf>
    <xf numFmtId="167" fontId="0" fillId="0" borderId="9" applyAlignment="1" pivotButton="0" quotePrefix="0" xfId="1">
      <alignment horizontal="right"/>
    </xf>
    <xf numFmtId="167" fontId="0" fillId="0" borderId="0" applyAlignment="1" pivotButton="0" quotePrefix="0" xfId="1">
      <alignment horizontal="right"/>
    </xf>
    <xf numFmtId="167" fontId="0" fillId="0" borderId="8" applyAlignment="1" pivotButton="0" quotePrefix="0" xfId="0">
      <alignment horizontal="right"/>
    </xf>
    <xf numFmtId="167" fontId="0" fillId="0" borderId="12" applyAlignment="1" pivotButton="0" quotePrefix="0" xfId="0">
      <alignment horizontal="right"/>
    </xf>
    <xf numFmtId="167" fontId="0" fillId="0" borderId="9" applyAlignment="1" pivotButton="0" quotePrefix="0" xfId="0">
      <alignment horizontal="right"/>
    </xf>
    <xf numFmtId="167" fontId="0" fillId="0" borderId="0" applyAlignment="1" pivotButton="0" quotePrefix="0" xfId="0">
      <alignment horizontal="left"/>
    </xf>
    <xf numFmtId="171" fontId="0" fillId="0" borderId="0" pivotButton="0" quotePrefix="0" xfId="0"/>
    <xf numFmtId="14" fontId="0" fillId="0" borderId="0" pivotButton="0" quotePrefix="0" xfId="0"/>
    <xf numFmtId="171" fontId="0" fillId="0" borderId="0" applyAlignment="1" pivotButton="0" quotePrefix="0" xfId="1">
      <alignment horizontal="right"/>
    </xf>
    <xf numFmtId="171" fontId="2" fillId="0" borderId="0" applyAlignment="1" pivotButton="0" quotePrefix="0" xfId="1">
      <alignment horizontal="right"/>
    </xf>
    <xf numFmtId="14" fontId="0" fillId="0" borderId="0" applyAlignment="1" pivotButton="0" quotePrefix="0" xfId="1">
      <alignment horizontal="right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 wrapText="1"/>
    </xf>
    <xf numFmtId="172" fontId="15" fillId="0" borderId="0" applyAlignment="1" pivotButton="0" quotePrefix="0" xfId="1">
      <alignment horizontal="right" vertical="center" wrapText="1"/>
    </xf>
    <xf numFmtId="9" fontId="15" fillId="0" borderId="0" applyAlignment="1" pivotButton="0" quotePrefix="0" xfId="2">
      <alignment horizontal="right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8" fontId="15" fillId="0" borderId="0" applyAlignment="1" pivotButton="0" quotePrefix="0" xfId="1">
      <alignment horizontal="right" vertical="center" wrapText="1"/>
    </xf>
    <xf numFmtId="173" fontId="17" fillId="0" borderId="0" applyAlignment="1" pivotButton="0" quotePrefix="0" xfId="1">
      <alignment vertical="center" wrapText="1"/>
    </xf>
    <xf numFmtId="173" fontId="17" fillId="0" borderId="0" applyAlignment="1" pivotButton="0" quotePrefix="0" xfId="1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/>
    </xf>
    <xf numFmtId="166" fontId="0" fillId="0" borderId="0" pivotButton="0" quotePrefix="0" xfId="2"/>
    <xf numFmtId="166" fontId="0" fillId="0" borderId="8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6" fontId="0" fillId="0" borderId="12" applyAlignment="1" pivotButton="0" quotePrefix="0" xfId="0">
      <alignment horizontal="right"/>
    </xf>
    <xf numFmtId="170" fontId="7" fillId="0" borderId="8" pivotButton="0" quotePrefix="0" xfId="1"/>
    <xf numFmtId="164" fontId="7" fillId="0" borderId="0" applyAlignment="1" pivotButton="0" quotePrefix="0" xfId="0">
      <alignment horizontal="left"/>
    </xf>
    <xf numFmtId="0" fontId="1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165" fontId="2" fillId="0" borderId="0" applyAlignment="1" pivotButton="0" quotePrefix="0" xfId="1">
      <alignment horizontal="right"/>
    </xf>
    <xf numFmtId="165" fontId="2" fillId="0" borderId="0" pivotButton="0" quotePrefix="0" xfId="1"/>
    <xf numFmtId="165" fontId="0" fillId="0" borderId="0" applyAlignment="1" pivotButton="0" quotePrefix="0" xfId="1">
      <alignment wrapText="1"/>
    </xf>
    <xf numFmtId="165" fontId="0" fillId="0" borderId="0" applyAlignment="1" pivotButton="0" quotePrefix="0" xfId="1">
      <alignment horizontal="right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horizontal="left" vertical="center" wrapText="1"/>
    </xf>
    <xf numFmtId="165" fontId="2" fillId="0" borderId="9" applyAlignment="1" pivotButton="0" quotePrefix="0" xfId="1">
      <alignment horizontal="right" vertical="center" wrapText="1"/>
    </xf>
    <xf numFmtId="165" fontId="2" fillId="0" borderId="9" applyAlignment="1" pivotButton="0" quotePrefix="0" xfId="1">
      <alignment horizontal="right" vertical="center" wrapText="1"/>
    </xf>
    <xf numFmtId="0" fontId="2" fillId="0" borderId="9" applyAlignment="1" pivotButton="0" quotePrefix="0" xfId="0">
      <alignment horizontal="right" vertical="center" wrapText="1"/>
    </xf>
    <xf numFmtId="9" fontId="2" fillId="0" borderId="3" applyAlignment="1" pivotButton="0" quotePrefix="0" xfId="2">
      <alignment horizontal="right" vertical="center" wrapText="1"/>
    </xf>
    <xf numFmtId="14" fontId="0" fillId="5" borderId="0" applyAlignment="1" pivotButton="0" quotePrefix="0" xfId="1">
      <alignment horizontal="right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10" fontId="0" fillId="0" borderId="0" pivotButton="0" quotePrefix="0" xfId="0"/>
    <xf numFmtId="169" fontId="0" fillId="0" borderId="9" applyAlignment="1" pivotButton="0" quotePrefix="0" xfId="1">
      <alignment horizontal="right"/>
    </xf>
    <xf numFmtId="169" fontId="0" fillId="0" borderId="0" applyAlignment="1" pivotButton="0" quotePrefix="0" xfId="1">
      <alignment horizontal="right"/>
    </xf>
    <xf numFmtId="169" fontId="2" fillId="0" borderId="8" applyAlignment="1" pivotButton="0" quotePrefix="0" xfId="1">
      <alignment horizontal="right"/>
    </xf>
    <xf numFmtId="9" fontId="18" fillId="0" borderId="5" applyAlignment="1" pivotButton="0" quotePrefix="0" xfId="2">
      <alignment horizontal="right"/>
    </xf>
    <xf numFmtId="167" fontId="0" fillId="0" borderId="5" applyAlignment="1" pivotButton="0" quotePrefix="0" xfId="1">
      <alignment horizontal="left"/>
    </xf>
    <xf numFmtId="167" fontId="0" fillId="0" borderId="7" applyAlignment="1" pivotButton="0" quotePrefix="0" xfId="1">
      <alignment horizontal="left"/>
    </xf>
    <xf numFmtId="165" fontId="2" fillId="0" borderId="0" applyAlignment="1" pivotButton="0" quotePrefix="0" xfId="1">
      <alignment horizontal="left"/>
    </xf>
    <xf numFmtId="167" fontId="0" fillId="0" borderId="0" applyAlignment="1" pivotButton="0" quotePrefix="0" xfId="1">
      <alignment horizontal="left"/>
    </xf>
    <xf numFmtId="168" fontId="5" fillId="0" borderId="9" applyAlignment="1" pivotButton="0" quotePrefix="0" xfId="1">
      <alignment horizontal="right"/>
    </xf>
    <xf numFmtId="168" fontId="5" fillId="0" borderId="0" applyAlignment="1" pivotButton="0" quotePrefix="0" xfId="1">
      <alignment horizontal="right"/>
    </xf>
    <xf numFmtId="0" fontId="2" fillId="0" borderId="9" applyAlignment="1" pivotButton="0" quotePrefix="0" xfId="0">
      <alignment horizontal="left"/>
    </xf>
    <xf numFmtId="164" fontId="0" fillId="0" borderId="8" applyAlignment="1" pivotButton="0" quotePrefix="0" xfId="0">
      <alignment horizontal="left"/>
    </xf>
    <xf numFmtId="0" fontId="2" fillId="0" borderId="3" applyAlignment="1" pivotButton="0" quotePrefix="0" xfId="2">
      <alignment horizontal="right"/>
    </xf>
    <xf numFmtId="0" fontId="2" fillId="0" borderId="5" applyAlignment="1" pivotButton="0" quotePrefix="0" xfId="2">
      <alignment horizontal="right"/>
    </xf>
    <xf numFmtId="0" fontId="2" fillId="0" borderId="7" applyAlignment="1" pivotButton="0" quotePrefix="0" xfId="2">
      <alignment horizontal="right"/>
    </xf>
    <xf numFmtId="174" fontId="0" fillId="0" borderId="11" applyAlignment="1" pivotButton="0" quotePrefix="0" xfId="0">
      <alignment horizontal="right"/>
    </xf>
    <xf numFmtId="0" fontId="0" fillId="0" borderId="9" applyAlignment="1" pivotButton="0" quotePrefix="0" xfId="1">
      <alignment horizontal="right"/>
    </xf>
    <xf numFmtId="0" fontId="0" fillId="0" borderId="0" applyAlignment="1" pivotButton="0" quotePrefix="0" xfId="1">
      <alignment horizontal="right"/>
    </xf>
    <xf numFmtId="0" fontId="2" fillId="0" borderId="8" applyAlignment="1" pivotButton="0" quotePrefix="0" xfId="1">
      <alignment horizontal="right"/>
    </xf>
    <xf numFmtId="0" fontId="0" fillId="0" borderId="0" applyAlignment="1" pivotButton="0" quotePrefix="0" xfId="1">
      <alignment horizontal="right"/>
    </xf>
    <xf numFmtId="0" fontId="2" fillId="0" borderId="8" applyAlignment="1" pivotButton="0" quotePrefix="0" xfId="1">
      <alignment horizontal="right"/>
    </xf>
    <xf numFmtId="0" fontId="2" fillId="0" borderId="8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165" fontId="14" fillId="0" borderId="0" applyAlignment="1" pivotButton="0" quotePrefix="0" xfId="1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1">
      <alignment horizontal="right"/>
    </xf>
    <xf numFmtId="165" fontId="0" fillId="0" borderId="0" pivotButton="0" quotePrefix="0" xfId="1"/>
    <xf numFmtId="165" fontId="14" fillId="0" borderId="0" applyAlignment="1" pivotButton="0" quotePrefix="0" xfId="1">
      <alignment horizontal="center" vertical="center" wrapText="1"/>
    </xf>
    <xf numFmtId="174" fontId="0" fillId="0" borderId="11" applyAlignment="1" pivotButton="0" quotePrefix="0" xfId="0">
      <alignment horizontal="right"/>
    </xf>
    <xf numFmtId="165" fontId="2" fillId="0" borderId="9" applyAlignment="1" pivotButton="0" quotePrefix="0" xfId="1">
      <alignment horizontal="right" vertical="center" wrapText="1"/>
    </xf>
    <xf numFmtId="165" fontId="0" fillId="0" borderId="0" applyAlignment="1" pivotButton="0" quotePrefix="0" xfId="1">
      <alignment wrapText="1"/>
    </xf>
    <xf numFmtId="164" fontId="0" fillId="0" borderId="9" applyAlignment="1" pivotButton="0" quotePrefix="0" xfId="0">
      <alignment horizontal="right"/>
    </xf>
    <xf numFmtId="168" fontId="0" fillId="0" borderId="9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68" fontId="0" fillId="0" borderId="0" applyAlignment="1" pivotButton="0" quotePrefix="0" xfId="1">
      <alignment horizontal="right"/>
    </xf>
    <xf numFmtId="164" fontId="2" fillId="0" borderId="8" applyAlignment="1" pivotButton="0" quotePrefix="0" xfId="0">
      <alignment horizontal="right"/>
    </xf>
    <xf numFmtId="164" fontId="0" fillId="0" borderId="8" applyAlignment="1" pivotButton="0" quotePrefix="0" xfId="0">
      <alignment horizontal="right"/>
    </xf>
    <xf numFmtId="168" fontId="0" fillId="0" borderId="8" applyAlignment="1" pivotButton="0" quotePrefix="0" xfId="1">
      <alignment horizontal="right"/>
    </xf>
    <xf numFmtId="164" fontId="0" fillId="0" borderId="12" applyAlignment="1" pivotButton="0" quotePrefix="0" xfId="0">
      <alignment horizontal="right"/>
    </xf>
    <xf numFmtId="168" fontId="0" fillId="0" borderId="12" applyAlignment="1" pivotButton="0" quotePrefix="0" xfId="1">
      <alignment horizontal="right"/>
    </xf>
    <xf numFmtId="168" fontId="5" fillId="0" borderId="9" applyAlignment="1" pivotButton="0" quotePrefix="0" xfId="1">
      <alignment horizontal="right"/>
    </xf>
    <xf numFmtId="168" fontId="5" fillId="0" borderId="0" applyAlignment="1" pivotButton="0" quotePrefix="0" xfId="1">
      <alignment horizontal="right"/>
    </xf>
    <xf numFmtId="164" fontId="0" fillId="0" borderId="8" applyAlignment="1" pivotButton="0" quotePrefix="0" xfId="0">
      <alignment horizontal="left"/>
    </xf>
    <xf numFmtId="165" fontId="5" fillId="0" borderId="0" pivotButton="0" quotePrefix="0" xfId="1"/>
    <xf numFmtId="165" fontId="0" fillId="0" borderId="0" applyAlignment="1" pivotButton="0" quotePrefix="0" xfId="0">
      <alignment horizontal="left"/>
    </xf>
    <xf numFmtId="165" fontId="1" fillId="0" borderId="0" applyAlignment="1" pivotButton="0" quotePrefix="0" xfId="1">
      <alignment horizontal="right"/>
    </xf>
    <xf numFmtId="165" fontId="2" fillId="0" borderId="0" applyAlignment="1" pivotButton="0" quotePrefix="0" xfId="1">
      <alignment horizontal="right"/>
    </xf>
    <xf numFmtId="165" fontId="2" fillId="0" borderId="13" applyAlignment="1" pivotButton="0" quotePrefix="0" xfId="1">
      <alignment horizontal="right"/>
    </xf>
    <xf numFmtId="165" fontId="0" fillId="0" borderId="0" pivotButton="0" quotePrefix="0" xfId="0"/>
    <xf numFmtId="165" fontId="0" fillId="0" borderId="3" applyAlignment="1" pivotButton="0" quotePrefix="0" xfId="1">
      <alignment horizontal="right"/>
    </xf>
    <xf numFmtId="165" fontId="2" fillId="0" borderId="5" pivotButton="0" quotePrefix="0" xfId="1"/>
    <xf numFmtId="165" fontId="2" fillId="0" borderId="0" pivotButton="0" quotePrefix="0" xfId="1"/>
    <xf numFmtId="165" fontId="0" fillId="0" borderId="5" applyAlignment="1" pivotButton="0" quotePrefix="0" xfId="1">
      <alignment wrapText="1"/>
    </xf>
    <xf numFmtId="165" fontId="0" fillId="0" borderId="5" applyAlignment="1" pivotButton="0" quotePrefix="0" xfId="1">
      <alignment horizontal="right" wrapText="1"/>
    </xf>
    <xf numFmtId="165" fontId="0" fillId="0" borderId="0" applyAlignment="1" pivotButton="0" quotePrefix="0" xfId="1">
      <alignment horizontal="right" wrapText="1"/>
    </xf>
    <xf numFmtId="165" fontId="0" fillId="0" borderId="7" applyAlignment="1" pivotButton="0" quotePrefix="0" xfId="1">
      <alignment horizontal="right" wrapText="1"/>
    </xf>
    <xf numFmtId="165" fontId="0" fillId="4" borderId="0" applyAlignment="1" pivotButton="0" quotePrefix="0" xfId="1">
      <alignment horizontal="right" wrapText="1"/>
    </xf>
    <xf numFmtId="165" fontId="0" fillId="4" borderId="0" applyAlignment="1" pivotButton="0" quotePrefix="0" xfId="1">
      <alignment horizontal="right"/>
    </xf>
    <xf numFmtId="165" fontId="0" fillId="0" borderId="0" applyAlignment="1" pivotButton="0" quotePrefix="0" xfId="1">
      <alignment horizontal="left"/>
    </xf>
    <xf numFmtId="165" fontId="2" fillId="0" borderId="0" applyAlignment="1" pivotButton="0" quotePrefix="0" xfId="1">
      <alignment horizontal="left"/>
    </xf>
    <xf numFmtId="171" fontId="2" fillId="0" borderId="0" applyAlignment="1" pivotButton="0" quotePrefix="0" xfId="1">
      <alignment horizontal="right"/>
    </xf>
    <xf numFmtId="171" fontId="0" fillId="0" borderId="0" applyAlignment="1" pivotButton="0" quotePrefix="0" xfId="1">
      <alignment horizontal="right"/>
    </xf>
    <xf numFmtId="165" fontId="2" fillId="0" borderId="5" applyAlignment="1" pivotButton="0" quotePrefix="0" xfId="1">
      <alignment horizontal="left"/>
    </xf>
    <xf numFmtId="165" fontId="0" fillId="5" borderId="3" applyAlignment="1" pivotButton="0" quotePrefix="0" xfId="1">
      <alignment horizontal="right"/>
    </xf>
    <xf numFmtId="165" fontId="0" fillId="5" borderId="5" applyAlignment="1" pivotButton="0" quotePrefix="0" xfId="1">
      <alignment horizontal="right"/>
    </xf>
    <xf numFmtId="165" fontId="0" fillId="5" borderId="7" applyAlignment="1" pivotButton="0" quotePrefix="0" xfId="1">
      <alignment horizontal="right"/>
    </xf>
    <xf numFmtId="164" fontId="0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171" fontId="0" fillId="0" borderId="0" pivotButton="0" quotePrefix="0" xfId="0"/>
    <xf numFmtId="165" fontId="17" fillId="0" borderId="0" applyAlignment="1" pivotButton="0" quotePrefix="0" xfId="0">
      <alignment horizontal="right" vertical="center" wrapText="1"/>
    </xf>
    <xf numFmtId="172" fontId="15" fillId="0" borderId="0" applyAlignment="1" pivotButton="0" quotePrefix="0" xfId="1">
      <alignment horizontal="right" vertical="center" wrapText="1"/>
    </xf>
    <xf numFmtId="168" fontId="15" fillId="0" borderId="0" applyAlignment="1" pivotButton="0" quotePrefix="0" xfId="1">
      <alignment horizontal="right" vertical="center" wrapText="1"/>
    </xf>
    <xf numFmtId="173" fontId="17" fillId="0" borderId="0" applyAlignment="1" pivotButton="0" quotePrefix="0" xfId="1">
      <alignment vertical="center" wrapText="1"/>
    </xf>
    <xf numFmtId="173" fontId="17" fillId="0" borderId="0" applyAlignment="1" pivotButton="0" quotePrefix="0" xfId="1">
      <alignment horizontal="right" vertical="center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Currency 2" xfId="4"/>
    <cellStyle name="Percent 2" xf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3070225</colOff>
      <row>1</row>
      <rowOff>266699</rowOff>
    </from>
    <to>
      <col>2</col>
      <colOff>1208315</colOff>
      <row>6</row>
      <rowOff>260933</rowOff>
    </to>
    <pic>
      <nvPicPr>
        <cNvPr id="2" name="logo" descr="Cole Agency In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84925" y="563879"/>
          <a:ext cx="6360070" cy="1480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FD145"/>
  <sheetViews>
    <sheetView zoomScale="156" zoomScaleNormal="80" workbookViewId="0">
      <pane ySplit="8" topLeftCell="A33" activePane="bottomLeft" state="frozen"/>
      <selection pane="bottomLeft" activeCell="B3" sqref="B3"/>
      <selection activeCell="A8" sqref="A8:N8"/>
    </sheetView>
  </sheetViews>
  <sheetFormatPr baseColWidth="8" defaultColWidth="8.85546875" defaultRowHeight="15"/>
  <cols>
    <col width="33.28515625" customWidth="1" min="1" max="1"/>
    <col width="46.28515625" bestFit="1" customWidth="1" style="15" min="2" max="2"/>
    <col width="46" bestFit="1" customWidth="1" style="15" min="3" max="3"/>
    <col width="20.42578125" customWidth="1" style="15" min="4" max="4"/>
    <col width="16.7109375" bestFit="1" customWidth="1" style="240" min="5" max="5"/>
    <col width="20.7109375" customWidth="1" style="240" min="6" max="7"/>
    <col width="10.7109375" customWidth="1" style="240" min="8" max="9"/>
    <col width="17.28515625" bestFit="1" customWidth="1" style="240" min="10" max="10"/>
    <col width="10.85546875" customWidth="1" style="240" min="11" max="11"/>
    <col width="24.28515625" customWidth="1" style="1" min="12" max="12"/>
    <col width="19.42578125" customWidth="1" style="240" min="13" max="13"/>
    <col width="11.42578125" customWidth="1" style="240" min="14" max="14"/>
    <col width="19.140625" customWidth="1" style="90" min="15" max="15"/>
    <col width="10.28515625" customWidth="1" style="241" min="16" max="16"/>
  </cols>
  <sheetData>
    <row r="1">
      <c r="A1" s="87" t="inlineStr">
        <is>
          <t>INSURED</t>
        </is>
      </c>
      <c r="B1" s="127" t="n"/>
    </row>
    <row r="2">
      <c r="A2" s="87" t="inlineStr">
        <is>
          <t>INSURED ADDRESS</t>
        </is>
      </c>
      <c r="B2" s="127" t="n"/>
      <c r="E2" s="15" t="n"/>
      <c r="F2" s="242" t="inlineStr">
        <is>
          <t>BUILDER'S RISK - NOT COVERED</t>
        </is>
      </c>
    </row>
    <row r="3">
      <c r="A3" s="87" t="inlineStr">
        <is>
          <t>STATE - LOCATION OF FARM</t>
        </is>
      </c>
      <c r="B3" s="128" t="inlineStr">
        <is>
          <t>AR</t>
        </is>
      </c>
      <c r="E3" s="15" t="n"/>
    </row>
    <row r="4">
      <c r="A4" s="87" t="inlineStr">
        <is>
          <t>COUNTY - LOCATION OF FARM</t>
        </is>
      </c>
      <c r="B4" s="128" t="n"/>
    </row>
    <row r="5">
      <c r="A5" s="87" t="inlineStr">
        <is>
          <t>PROPOSED EFFECTIVE DATE</t>
        </is>
      </c>
      <c r="B5" s="243" t="n"/>
    </row>
    <row r="6">
      <c r="A6" s="87" t="inlineStr">
        <is>
          <t>PROPOSED EXPIRY DATE</t>
        </is>
      </c>
      <c r="B6" s="243" t="n"/>
    </row>
    <row r="8" ht="62.1" customFormat="1" customHeight="1" s="79">
      <c r="A8" s="202" t="inlineStr">
        <is>
          <t>Coverage No:</t>
        </is>
      </c>
      <c r="B8" s="203" t="inlineStr">
        <is>
          <t>Coverage Type</t>
        </is>
      </c>
      <c r="C8" s="203" t="inlineStr">
        <is>
          <t>Item Description</t>
        </is>
      </c>
      <c r="D8" s="203" t="inlineStr">
        <is>
          <t>Location #</t>
        </is>
      </c>
      <c r="E8" s="244" t="inlineStr">
        <is>
          <t>EXPIRING RISK LIMIT</t>
        </is>
      </c>
      <c r="F8" s="244" t="inlineStr">
        <is>
          <t>Risk Limit (Required)</t>
        </is>
      </c>
      <c r="G8" s="244" t="inlineStr">
        <is>
          <t>Year of Construction (Cov A &amp; G)                 Year of Equipment   (Cov F)</t>
        </is>
      </c>
      <c r="H8" s="244" t="inlineStr">
        <is>
          <t>Age of Roof</t>
        </is>
      </c>
      <c r="I8" s="244" t="inlineStr">
        <is>
          <t>Type of Roof</t>
        </is>
      </c>
      <c r="J8" s="244" t="inlineStr">
        <is>
          <t>Coverage Basis</t>
        </is>
      </c>
      <c r="K8" s="244" t="inlineStr">
        <is>
          <t>Cause of Loss</t>
        </is>
      </c>
      <c r="L8" s="206" t="inlineStr">
        <is>
          <t>Rate</t>
        </is>
      </c>
      <c r="M8" s="244" t="inlineStr">
        <is>
          <t>Premium</t>
        </is>
      </c>
      <c r="N8" s="206" t="inlineStr">
        <is>
          <t>Deductibles</t>
        </is>
      </c>
      <c r="O8" s="207" t="inlineStr">
        <is>
          <t>W/H Deductible</t>
        </is>
      </c>
      <c r="P8" s="245" t="n"/>
    </row>
    <row r="9">
      <c r="A9" s="17" t="inlineStr">
        <is>
          <t>Coverage A</t>
        </is>
      </c>
      <c r="B9" s="35" t="inlineStr">
        <is>
          <t xml:space="preserve">Dwelling </t>
        </is>
      </c>
      <c r="C9" s="35" t="inlineStr">
        <is>
          <t xml:space="preserve">#1 </t>
        </is>
      </c>
      <c r="D9" s="35" t="n"/>
      <c r="E9" s="212" t="n"/>
      <c r="F9" s="212">
        <f>E9*103%</f>
        <v/>
      </c>
      <c r="G9" s="228" t="n"/>
      <c r="H9" s="228" t="n"/>
      <c r="I9" s="212" t="n"/>
      <c r="J9" s="246" t="n"/>
      <c r="K9" s="246" t="n"/>
      <c r="L9" s="37" t="n"/>
      <c r="M9" s="102" t="n"/>
      <c r="N9" s="247" t="n">
        <v>2500</v>
      </c>
      <c r="O9" s="91" t="n"/>
    </row>
    <row r="10">
      <c r="A10" s="18" t="n"/>
      <c r="C10" s="15" t="inlineStr">
        <is>
          <t>#2</t>
        </is>
      </c>
      <c r="E10" s="213" t="n"/>
      <c r="F10" s="213">
        <f>E10*103%</f>
        <v/>
      </c>
      <c r="G10" s="231" t="n"/>
      <c r="H10" s="231" t="n"/>
      <c r="I10" s="213" t="n"/>
      <c r="J10" s="248" t="n"/>
      <c r="K10" s="248" t="n"/>
      <c r="L10" s="129" t="n"/>
      <c r="M10" s="122" t="n"/>
      <c r="N10" s="249" t="n">
        <v>2500</v>
      </c>
      <c r="O10" s="123" t="n"/>
    </row>
    <row r="11">
      <c r="A11" s="18" t="n"/>
      <c r="C11" s="15" t="inlineStr">
        <is>
          <t>#3</t>
        </is>
      </c>
      <c r="E11" s="213" t="n"/>
      <c r="F11" s="213">
        <f>E11*103%</f>
        <v/>
      </c>
      <c r="G11" s="231" t="n"/>
      <c r="H11" s="231" t="n"/>
      <c r="I11" s="213" t="n"/>
      <c r="J11" s="248" t="n"/>
      <c r="K11" s="248" t="n"/>
      <c r="L11" s="129" t="n"/>
      <c r="M11" s="122" t="n"/>
      <c r="N11" s="249" t="n">
        <v>2500</v>
      </c>
      <c r="O11" s="123" t="n"/>
    </row>
    <row r="12">
      <c r="A12" s="18" t="n"/>
      <c r="C12" s="15" t="inlineStr">
        <is>
          <t>#4</t>
        </is>
      </c>
      <c r="E12" s="213" t="n"/>
      <c r="F12" s="213">
        <f>E12*103%</f>
        <v/>
      </c>
      <c r="G12" s="231" t="n"/>
      <c r="H12" s="231" t="n"/>
      <c r="I12" s="213" t="n"/>
      <c r="J12" s="248" t="n"/>
      <c r="K12" s="248" t="n"/>
      <c r="L12" s="129" t="n"/>
      <c r="M12" s="122" t="n"/>
      <c r="N12" s="249" t="n">
        <v>2500</v>
      </c>
      <c r="O12" s="123" t="n"/>
    </row>
    <row r="13">
      <c r="A13" s="18" t="n"/>
      <c r="C13" s="15" t="inlineStr">
        <is>
          <t>#5</t>
        </is>
      </c>
      <c r="E13" s="213" t="n"/>
      <c r="F13" s="213">
        <f>E13*103%</f>
        <v/>
      </c>
      <c r="G13" s="231" t="n"/>
      <c r="H13" s="231" t="n"/>
      <c r="I13" s="213" t="n"/>
      <c r="J13" s="248" t="n"/>
      <c r="K13" s="248" t="n"/>
      <c r="L13" s="129" t="n"/>
      <c r="M13" s="122" t="n"/>
      <c r="N13" s="249" t="n">
        <v>2500</v>
      </c>
      <c r="O13" s="123" t="n"/>
    </row>
    <row r="14">
      <c r="A14" s="18" t="n"/>
      <c r="C14" s="15" t="inlineStr">
        <is>
          <t>#6</t>
        </is>
      </c>
      <c r="E14" s="213" t="n"/>
      <c r="F14" s="213">
        <f>E14*103%</f>
        <v/>
      </c>
      <c r="G14" s="231" t="n"/>
      <c r="H14" s="231" t="n"/>
      <c r="I14" s="213" t="n"/>
      <c r="J14" s="248" t="n"/>
      <c r="K14" s="248" t="n"/>
      <c r="L14" s="129" t="n"/>
      <c r="M14" s="122" t="n"/>
      <c r="N14" s="249" t="n">
        <v>2500</v>
      </c>
      <c r="O14" s="123" t="n"/>
    </row>
    <row r="15">
      <c r="A15" s="19" t="n"/>
      <c r="B15" s="38" t="n"/>
      <c r="C15" s="50" t="inlineStr">
        <is>
          <t>Coverage A Total</t>
        </is>
      </c>
      <c r="D15" s="50" t="n"/>
      <c r="E15" s="214" t="n"/>
      <c r="F15" s="214">
        <f>SUM(F9:F14)</f>
        <v/>
      </c>
      <c r="G15" s="232" t="n"/>
      <c r="H15" s="232" t="n"/>
      <c r="I15" s="214" t="n"/>
      <c r="J15" s="250" t="n"/>
      <c r="K15" s="251" t="n"/>
      <c r="L15" s="190">
        <f>Rates!B1</f>
        <v/>
      </c>
      <c r="M15" s="104">
        <f>F15*L15</f>
        <v/>
      </c>
      <c r="N15" s="252" t="n"/>
      <c r="O15" s="92" t="n"/>
    </row>
    <row r="16">
      <c r="A16" s="18" t="inlineStr">
        <is>
          <t xml:space="preserve">Coverage B </t>
        </is>
      </c>
      <c r="B16" s="15" t="inlineStr">
        <is>
          <t xml:space="preserve">Private Structures </t>
        </is>
      </c>
      <c r="C16" s="15" t="inlineStr">
        <is>
          <t xml:space="preserve">#1 </t>
        </is>
      </c>
      <c r="D16" s="35" t="n"/>
      <c r="E16" s="213" t="n"/>
      <c r="F16" s="212">
        <f>E16*103%</f>
        <v/>
      </c>
      <c r="G16" s="231" t="n"/>
      <c r="H16" s="231" t="n"/>
      <c r="I16" s="213" t="n"/>
      <c r="J16" s="246" t="n"/>
      <c r="K16" s="246" t="n"/>
      <c r="L16" s="13" t="n"/>
      <c r="M16" s="122" t="n"/>
      <c r="N16" s="247" t="n">
        <v>2500</v>
      </c>
      <c r="O16" s="123" t="n"/>
    </row>
    <row r="17">
      <c r="A17" s="18" t="n"/>
      <c r="C17" s="15" t="inlineStr">
        <is>
          <t>#2</t>
        </is>
      </c>
      <c r="E17" s="213" t="n"/>
      <c r="F17" s="213">
        <f>E17*103%</f>
        <v/>
      </c>
      <c r="G17" s="231" t="n"/>
      <c r="H17" s="231" t="n"/>
      <c r="I17" s="213" t="n"/>
      <c r="J17" s="248" t="n"/>
      <c r="K17" s="248" t="n"/>
      <c r="L17" s="13" t="n"/>
      <c r="M17" s="122" t="n"/>
      <c r="N17" s="249" t="n">
        <v>2500</v>
      </c>
      <c r="O17" s="123" t="n"/>
    </row>
    <row r="18">
      <c r="A18" s="18" t="n"/>
      <c r="C18" s="15" t="inlineStr">
        <is>
          <t>#3</t>
        </is>
      </c>
      <c r="E18" s="213" t="n"/>
      <c r="F18" s="213">
        <f>E18*103%</f>
        <v/>
      </c>
      <c r="G18" s="231" t="n"/>
      <c r="H18" s="231" t="n"/>
      <c r="I18" s="213" t="n"/>
      <c r="J18" s="248" t="n"/>
      <c r="K18" s="248" t="n"/>
      <c r="L18" s="13" t="n"/>
      <c r="M18" s="122" t="n"/>
      <c r="N18" s="249" t="n">
        <v>2500</v>
      </c>
      <c r="O18" s="123" t="n"/>
    </row>
    <row r="19">
      <c r="A19" s="18" t="n"/>
      <c r="C19" s="15" t="inlineStr">
        <is>
          <t>#4</t>
        </is>
      </c>
      <c r="E19" s="213" t="n"/>
      <c r="F19" s="213">
        <f>E19*103%</f>
        <v/>
      </c>
      <c r="G19" s="231" t="n"/>
      <c r="H19" s="231" t="n"/>
      <c r="I19" s="213" t="n"/>
      <c r="J19" s="248" t="n"/>
      <c r="K19" s="248" t="n"/>
      <c r="L19" s="13" t="n"/>
      <c r="M19" s="122" t="n"/>
      <c r="N19" s="249" t="n">
        <v>2500</v>
      </c>
      <c r="O19" s="123" t="n"/>
    </row>
    <row r="20">
      <c r="A20" s="18" t="n"/>
      <c r="C20" s="15" t="inlineStr">
        <is>
          <t>#5</t>
        </is>
      </c>
      <c r="E20" s="213" t="n"/>
      <c r="F20" s="213">
        <f>E20*103%</f>
        <v/>
      </c>
      <c r="G20" s="231" t="n"/>
      <c r="H20" s="231" t="n"/>
      <c r="I20" s="213" t="n"/>
      <c r="J20" s="248" t="n"/>
      <c r="K20" s="248" t="n"/>
      <c r="L20" s="13" t="n"/>
      <c r="M20" s="122" t="n"/>
      <c r="N20" s="249" t="n">
        <v>2500</v>
      </c>
      <c r="O20" s="123" t="n"/>
    </row>
    <row r="21">
      <c r="A21" s="18" t="n"/>
      <c r="C21" s="15" t="inlineStr">
        <is>
          <t>#6</t>
        </is>
      </c>
      <c r="E21" s="213" t="n"/>
      <c r="F21" s="213">
        <f>E21*103%</f>
        <v/>
      </c>
      <c r="G21" s="231" t="n"/>
      <c r="H21" s="231" t="n"/>
      <c r="I21" s="213" t="n"/>
      <c r="J21" s="248" t="n"/>
      <c r="K21" s="248" t="n"/>
      <c r="L21" s="13" t="n"/>
      <c r="M21" s="122" t="n"/>
      <c r="N21" s="249" t="n">
        <v>2500</v>
      </c>
      <c r="O21" s="123" t="n"/>
    </row>
    <row r="22">
      <c r="A22" s="19" t="n"/>
      <c r="B22" s="38" t="n"/>
      <c r="C22" s="50" t="inlineStr">
        <is>
          <t>Coverage B Total</t>
        </is>
      </c>
      <c r="D22" s="50" t="n"/>
      <c r="E22" s="214" t="n"/>
      <c r="F22" s="214">
        <f>SUM(F16:F21)</f>
        <v/>
      </c>
      <c r="G22" s="232" t="n"/>
      <c r="H22" s="232" t="n"/>
      <c r="I22" s="214" t="n"/>
      <c r="J22" s="250" t="n"/>
      <c r="K22" s="251" t="n"/>
      <c r="L22" s="190">
        <f>Rates!B2</f>
        <v/>
      </c>
      <c r="M22" s="104">
        <f>F22*L22</f>
        <v/>
      </c>
      <c r="N22" s="252" t="n"/>
      <c r="O22" s="92" t="n"/>
    </row>
    <row r="23">
      <c r="A23" s="17" t="inlineStr">
        <is>
          <t>Coverage C</t>
        </is>
      </c>
      <c r="B23" s="35" t="inlineStr">
        <is>
          <t>Personal Property - All</t>
        </is>
      </c>
      <c r="C23" s="35" t="inlineStr">
        <is>
          <t xml:space="preserve">#1 </t>
        </is>
      </c>
      <c r="D23" s="35" t="n"/>
      <c r="E23" s="212" t="n"/>
      <c r="F23" s="212">
        <f>E23</f>
        <v/>
      </c>
      <c r="G23" s="228" t="n"/>
      <c r="H23" s="228" t="n"/>
      <c r="I23" s="212" t="n"/>
      <c r="J23" s="246" t="n"/>
      <c r="K23" s="246" t="n"/>
      <c r="L23" s="191" t="n"/>
      <c r="M23" s="102" t="n"/>
      <c r="N23" s="247" t="n">
        <v>2500</v>
      </c>
      <c r="O23" s="91" t="n"/>
    </row>
    <row r="24">
      <c r="A24" s="18" t="n"/>
      <c r="C24" s="15" t="inlineStr">
        <is>
          <t>#2</t>
        </is>
      </c>
      <c r="E24" s="213" t="n"/>
      <c r="F24" s="213">
        <f>E24</f>
        <v/>
      </c>
      <c r="G24" s="231" t="n"/>
      <c r="H24" s="231" t="n"/>
      <c r="I24" s="213" t="n"/>
      <c r="J24" s="248" t="n"/>
      <c r="K24" s="248" t="n"/>
      <c r="L24" s="13" t="n"/>
      <c r="M24" s="122" t="n"/>
      <c r="N24" s="249" t="n">
        <v>2500</v>
      </c>
      <c r="O24" s="123" t="n"/>
    </row>
    <row r="25">
      <c r="A25" s="18" t="n"/>
      <c r="C25" s="15" t="inlineStr">
        <is>
          <t>#3</t>
        </is>
      </c>
      <c r="E25" s="213" t="n"/>
      <c r="F25" s="213">
        <f>E25</f>
        <v/>
      </c>
      <c r="G25" s="231" t="n"/>
      <c r="H25" s="231" t="n"/>
      <c r="I25" s="213" t="n"/>
      <c r="J25" s="248" t="n"/>
      <c r="K25" s="248" t="n"/>
      <c r="L25" s="13" t="n"/>
      <c r="M25" s="122" t="n"/>
      <c r="N25" s="249" t="n">
        <v>2500</v>
      </c>
      <c r="O25" s="123" t="n"/>
    </row>
    <row r="26">
      <c r="A26" s="18" t="n"/>
      <c r="C26" s="15" t="inlineStr">
        <is>
          <t>#4</t>
        </is>
      </c>
      <c r="E26" s="213" t="n"/>
      <c r="F26" s="213">
        <f>E26</f>
        <v/>
      </c>
      <c r="G26" s="231" t="n"/>
      <c r="H26" s="231" t="n"/>
      <c r="I26" s="213" t="n"/>
      <c r="J26" s="248" t="n"/>
      <c r="K26" s="248" t="n"/>
      <c r="L26" s="13" t="n"/>
      <c r="M26" s="122" t="n"/>
      <c r="N26" s="249" t="n">
        <v>2500</v>
      </c>
      <c r="O26" s="123" t="n"/>
    </row>
    <row r="27">
      <c r="A27" s="18" t="n"/>
      <c r="C27" s="15" t="inlineStr">
        <is>
          <t>#5</t>
        </is>
      </c>
      <c r="E27" s="213" t="n"/>
      <c r="F27" s="213">
        <f>E27</f>
        <v/>
      </c>
      <c r="G27" s="231" t="n"/>
      <c r="H27" s="231" t="n"/>
      <c r="I27" s="213" t="n"/>
      <c r="J27" s="248" t="n"/>
      <c r="K27" s="248" t="n"/>
      <c r="L27" s="13" t="n"/>
      <c r="M27" s="122" t="n"/>
      <c r="N27" s="249" t="n">
        <v>2500</v>
      </c>
      <c r="O27" s="123" t="n"/>
    </row>
    <row r="28">
      <c r="A28" s="18" t="n"/>
      <c r="C28" s="15" t="inlineStr">
        <is>
          <t>#6</t>
        </is>
      </c>
      <c r="E28" s="213" t="n"/>
      <c r="F28" s="213">
        <f>E28</f>
        <v/>
      </c>
      <c r="G28" s="231" t="n"/>
      <c r="H28" s="231" t="n"/>
      <c r="I28" s="213" t="n"/>
      <c r="J28" s="248" t="n"/>
      <c r="K28" s="248" t="n"/>
      <c r="L28" s="13" t="n"/>
      <c r="M28" s="122" t="n"/>
      <c r="N28" s="249" t="n">
        <v>2500</v>
      </c>
      <c r="O28" s="123" t="n"/>
    </row>
    <row r="29">
      <c r="A29" s="19" t="n"/>
      <c r="B29" s="38" t="n"/>
      <c r="C29" s="50" t="inlineStr">
        <is>
          <t xml:space="preserve">Coverage C Total </t>
        </is>
      </c>
      <c r="D29" s="38" t="n"/>
      <c r="E29" s="214" t="n"/>
      <c r="F29" s="214">
        <f>SUM(F23:F27)</f>
        <v/>
      </c>
      <c r="G29" s="232" t="n"/>
      <c r="H29" s="232" t="n"/>
      <c r="I29" s="214" t="n"/>
      <c r="J29" s="250" t="n"/>
      <c r="K29" s="251" t="n"/>
      <c r="L29" s="190" t="n">
        <v>0.0045</v>
      </c>
      <c r="M29" s="104">
        <f>F29*L29</f>
        <v/>
      </c>
      <c r="N29" s="252" t="n"/>
      <c r="O29" s="92" t="n"/>
    </row>
    <row r="30">
      <c r="A30" s="18" t="n"/>
      <c r="B30" s="15" t="inlineStr">
        <is>
          <t>Personal Property - Scheduled Jewelry</t>
        </is>
      </c>
      <c r="C30" s="15" t="inlineStr">
        <is>
          <t xml:space="preserve">#1 </t>
        </is>
      </c>
      <c r="D30" s="35" t="n"/>
      <c r="E30" s="213" t="n"/>
      <c r="F30" s="213">
        <f>E30</f>
        <v/>
      </c>
      <c r="G30" s="231" t="n"/>
      <c r="H30" s="231" t="n"/>
      <c r="I30" s="213" t="n"/>
      <c r="J30" s="248" t="n"/>
      <c r="K30" s="248" t="n"/>
      <c r="L30" s="13" t="n"/>
      <c r="M30" s="122" t="n"/>
      <c r="N30" s="249" t="inlineStr">
        <is>
          <t>Nil</t>
        </is>
      </c>
      <c r="O30" s="123" t="n"/>
    </row>
    <row r="31">
      <c r="A31" s="18" t="n"/>
      <c r="C31" s="15" t="inlineStr">
        <is>
          <t>#2</t>
        </is>
      </c>
      <c r="E31" s="213" t="n"/>
      <c r="F31" s="213">
        <f>E31</f>
        <v/>
      </c>
      <c r="G31" s="231" t="n"/>
      <c r="H31" s="231" t="n"/>
      <c r="I31" s="213" t="n"/>
      <c r="J31" s="248" t="n"/>
      <c r="K31" s="248" t="n"/>
      <c r="L31" s="13" t="n"/>
      <c r="M31" s="122" t="n"/>
      <c r="N31" s="249" t="inlineStr">
        <is>
          <t>Nil</t>
        </is>
      </c>
      <c r="O31" s="123" t="n"/>
    </row>
    <row r="32">
      <c r="A32" s="18" t="n"/>
      <c r="C32" s="15" t="inlineStr">
        <is>
          <t>#3</t>
        </is>
      </c>
      <c r="E32" s="213" t="n"/>
      <c r="F32" s="213">
        <f>E32</f>
        <v/>
      </c>
      <c r="G32" s="231" t="n"/>
      <c r="H32" s="231" t="n"/>
      <c r="I32" s="213" t="n"/>
      <c r="J32" s="248" t="n"/>
      <c r="K32" s="248" t="n"/>
      <c r="L32" s="13" t="n"/>
      <c r="M32" s="122" t="n"/>
      <c r="N32" s="249" t="inlineStr">
        <is>
          <t>Nil</t>
        </is>
      </c>
      <c r="O32" s="123" t="n"/>
    </row>
    <row r="33">
      <c r="A33" s="19" t="n"/>
      <c r="B33" s="38" t="n"/>
      <c r="C33" s="50" t="inlineStr">
        <is>
          <t>Coverage C Total (Scheduled Jewelry ONLY)</t>
        </is>
      </c>
      <c r="D33" s="50" t="n"/>
      <c r="E33" s="214" t="n"/>
      <c r="F33" s="214">
        <f>SUM(F30:F32)</f>
        <v/>
      </c>
      <c r="G33" s="232" t="n"/>
      <c r="H33" s="232" t="n"/>
      <c r="I33" s="214" t="n"/>
      <c r="J33" s="250" t="n"/>
      <c r="K33" s="251" t="n"/>
      <c r="L33" s="190" t="n">
        <v>0.013</v>
      </c>
      <c r="M33" s="104">
        <f>F33*L33</f>
        <v/>
      </c>
      <c r="N33" s="252" t="n"/>
      <c r="O33" s="92" t="n"/>
    </row>
    <row r="34">
      <c r="A34" s="17" t="inlineStr">
        <is>
          <t xml:space="preserve">Coverage D </t>
        </is>
      </c>
      <c r="B34" s="35" t="inlineStr">
        <is>
          <t>Loss of Use (Additional Living Expenses)</t>
        </is>
      </c>
      <c r="C34" s="35" t="inlineStr">
        <is>
          <t xml:space="preserve">#1 </t>
        </is>
      </c>
      <c r="D34" s="35" t="n"/>
      <c r="E34" s="212" t="n"/>
      <c r="F34" s="212">
        <f>E34</f>
        <v/>
      </c>
      <c r="G34" s="228" t="n"/>
      <c r="H34" s="228" t="n"/>
      <c r="I34" s="212" t="n"/>
      <c r="J34" s="246" t="n"/>
      <c r="K34" s="246" t="n"/>
      <c r="L34" s="191" t="n"/>
      <c r="M34" s="102" t="n"/>
      <c r="N34" s="247" t="inlineStr">
        <is>
          <t>Nil</t>
        </is>
      </c>
      <c r="O34" s="91" t="n"/>
    </row>
    <row r="35">
      <c r="A35" s="18" t="n"/>
      <c r="C35" s="15" t="inlineStr">
        <is>
          <t>#2</t>
        </is>
      </c>
      <c r="E35" s="213" t="n"/>
      <c r="F35" s="213">
        <f>E35</f>
        <v/>
      </c>
      <c r="G35" s="231" t="n"/>
      <c r="H35" s="231" t="n"/>
      <c r="I35" s="213" t="n"/>
      <c r="J35" s="248" t="n"/>
      <c r="K35" s="248" t="n"/>
      <c r="L35" s="13" t="n"/>
      <c r="M35" s="122" t="n"/>
      <c r="N35" s="249" t="inlineStr">
        <is>
          <t>Nil</t>
        </is>
      </c>
      <c r="O35" s="123" t="n"/>
    </row>
    <row r="36">
      <c r="A36" s="18" t="n"/>
      <c r="C36" s="15" t="inlineStr">
        <is>
          <t>#3</t>
        </is>
      </c>
      <c r="E36" s="213" t="n"/>
      <c r="F36" s="213">
        <f>E36</f>
        <v/>
      </c>
      <c r="G36" s="231" t="n"/>
      <c r="H36" s="231" t="n"/>
      <c r="I36" s="213" t="n"/>
      <c r="J36" s="248" t="n"/>
      <c r="K36" s="248" t="n"/>
      <c r="L36" s="13" t="n"/>
      <c r="M36" s="122" t="n"/>
      <c r="N36" s="249" t="inlineStr">
        <is>
          <t>Nil</t>
        </is>
      </c>
      <c r="O36" s="123" t="n"/>
    </row>
    <row r="37">
      <c r="A37" s="18" t="n"/>
      <c r="C37" s="15" t="inlineStr">
        <is>
          <t>#4</t>
        </is>
      </c>
      <c r="E37" s="213" t="n"/>
      <c r="F37" s="213">
        <f>E37</f>
        <v/>
      </c>
      <c r="G37" s="231" t="n"/>
      <c r="H37" s="231" t="n"/>
      <c r="I37" s="213" t="n"/>
      <c r="J37" s="248" t="n"/>
      <c r="K37" s="248" t="n"/>
      <c r="L37" s="13" t="n"/>
      <c r="M37" s="122" t="n"/>
      <c r="N37" s="249" t="inlineStr">
        <is>
          <t>Nil</t>
        </is>
      </c>
      <c r="O37" s="123" t="n"/>
    </row>
    <row r="38">
      <c r="A38" s="18" t="n"/>
      <c r="C38" s="15" t="inlineStr">
        <is>
          <t>#5</t>
        </is>
      </c>
      <c r="E38" s="213" t="n"/>
      <c r="F38" s="213">
        <f>E38</f>
        <v/>
      </c>
      <c r="G38" s="231" t="n"/>
      <c r="H38" s="231" t="n"/>
      <c r="I38" s="213" t="n"/>
      <c r="J38" s="248" t="n"/>
      <c r="K38" s="248" t="n"/>
      <c r="L38" s="13" t="n"/>
      <c r="M38" s="122" t="n"/>
      <c r="N38" s="249" t="inlineStr">
        <is>
          <t>Nil</t>
        </is>
      </c>
      <c r="O38" s="123" t="n"/>
    </row>
    <row r="39">
      <c r="A39" s="18" t="n"/>
      <c r="C39" s="15" t="inlineStr">
        <is>
          <t>#6</t>
        </is>
      </c>
      <c r="E39" s="213" t="n"/>
      <c r="F39" s="213">
        <f>E39</f>
        <v/>
      </c>
      <c r="G39" s="231" t="n"/>
      <c r="H39" s="231" t="n"/>
      <c r="I39" s="213" t="n"/>
      <c r="J39" s="248" t="n"/>
      <c r="K39" s="248" t="n"/>
      <c r="L39" s="13" t="n"/>
      <c r="M39" s="122" t="n"/>
      <c r="N39" s="249" t="inlineStr">
        <is>
          <t>Nil</t>
        </is>
      </c>
      <c r="O39" s="123" t="n"/>
    </row>
    <row r="40">
      <c r="A40" s="19" t="n"/>
      <c r="B40" s="38" t="n"/>
      <c r="C40" s="50" t="inlineStr">
        <is>
          <t>Coverage D Total</t>
        </is>
      </c>
      <c r="D40" s="50" t="n"/>
      <c r="E40" s="100" t="n"/>
      <c r="F40" s="100">
        <f>SUM(F34:F39)</f>
        <v/>
      </c>
      <c r="G40" s="233" t="n"/>
      <c r="H40" s="233" t="n"/>
      <c r="I40" s="100" t="n"/>
      <c r="J40" s="250" t="n"/>
      <c r="K40" s="251" t="n"/>
      <c r="L40" s="190">
        <f>Rates!B4</f>
        <v/>
      </c>
      <c r="M40" s="104">
        <f>F40*L40</f>
        <v/>
      </c>
      <c r="N40" s="252" t="n"/>
      <c r="O40" s="92" t="n"/>
    </row>
    <row r="41">
      <c r="A41" s="41" t="inlineStr">
        <is>
          <t>Coverage E</t>
        </is>
      </c>
      <c r="B41" s="42" t="inlineStr">
        <is>
          <t>Blanket Farm Personal Property</t>
        </is>
      </c>
      <c r="C41" s="42" t="inlineStr">
        <is>
          <t>MISC SMALL TOOLS, EQUIP, SUPPLIES</t>
        </is>
      </c>
      <c r="D41" s="35" t="n"/>
      <c r="E41" s="117" t="n"/>
      <c r="F41" s="117" t="n">
        <v>0</v>
      </c>
      <c r="G41" s="234" t="n"/>
      <c r="H41" s="234" t="n"/>
      <c r="I41" s="117" t="n"/>
      <c r="J41" s="253" t="n"/>
      <c r="K41" s="253" t="n"/>
      <c r="L41" s="192">
        <f>Rates!B5</f>
        <v/>
      </c>
      <c r="M41" s="132">
        <f>F41*L41</f>
        <v/>
      </c>
      <c r="N41" s="254" t="n">
        <v>1000</v>
      </c>
      <c r="O41" s="93" t="n"/>
    </row>
    <row r="42">
      <c r="A42" s="17" t="inlineStr">
        <is>
          <t>Coverage F</t>
        </is>
      </c>
      <c r="B42" s="35" t="inlineStr">
        <is>
          <t>Schedule Farm Personal Property</t>
        </is>
      </c>
      <c r="C42" s="35" t="inlineStr">
        <is>
          <t xml:space="preserve">#1 </t>
        </is>
      </c>
      <c r="D42" s="35" t="n"/>
      <c r="E42" s="99" t="n"/>
      <c r="F42" s="212">
        <f>E42</f>
        <v/>
      </c>
      <c r="G42" s="235" t="n"/>
      <c r="H42" s="235" t="n"/>
      <c r="I42" s="99" t="n"/>
      <c r="J42" s="246" t="n"/>
      <c r="K42" s="246" t="n"/>
      <c r="L42" s="191" t="n"/>
      <c r="M42" s="102" t="n"/>
      <c r="N42" s="255" t="n">
        <v>2500</v>
      </c>
      <c r="O42" s="91" t="n"/>
    </row>
    <row r="43">
      <c r="A43" s="18" t="n"/>
      <c r="C43" s="15" t="inlineStr">
        <is>
          <t>#2</t>
        </is>
      </c>
      <c r="E43" s="130" t="n"/>
      <c r="F43" s="213">
        <f>E43</f>
        <v/>
      </c>
      <c r="G43" s="1" t="n"/>
      <c r="H43" s="1" t="n"/>
      <c r="I43" s="130" t="n"/>
      <c r="J43" s="248" t="n"/>
      <c r="K43" s="248" t="n"/>
      <c r="L43" s="13" t="n"/>
      <c r="M43" s="122" t="n"/>
      <c r="N43" s="256" t="n">
        <v>2500</v>
      </c>
      <c r="O43" s="123" t="n"/>
    </row>
    <row r="44">
      <c r="A44" s="18" t="n"/>
      <c r="C44" s="15" t="inlineStr">
        <is>
          <t>#3</t>
        </is>
      </c>
      <c r="E44" s="130" t="n"/>
      <c r="F44" s="213">
        <f>E44</f>
        <v/>
      </c>
      <c r="G44" s="1" t="n"/>
      <c r="H44" s="1" t="n"/>
      <c r="I44" s="130" t="n"/>
      <c r="J44" s="248" t="n"/>
      <c r="K44" s="248" t="n"/>
      <c r="L44" s="13" t="n"/>
      <c r="M44" s="122" t="n"/>
      <c r="N44" s="256" t="n">
        <v>2500</v>
      </c>
      <c r="O44" s="123" t="n"/>
    </row>
    <row r="45">
      <c r="A45" s="18" t="n"/>
      <c r="C45" s="15" t="inlineStr">
        <is>
          <t>#4</t>
        </is>
      </c>
      <c r="E45" s="130" t="n"/>
      <c r="F45" s="213">
        <f>E45</f>
        <v/>
      </c>
      <c r="G45" s="1" t="n"/>
      <c r="H45" s="1" t="n"/>
      <c r="I45" s="130" t="n"/>
      <c r="J45" s="248" t="n"/>
      <c r="K45" s="248" t="n"/>
      <c r="L45" s="13" t="n"/>
      <c r="M45" s="122" t="n"/>
      <c r="N45" s="249" t="n">
        <v>2500</v>
      </c>
      <c r="O45" s="123" t="n"/>
    </row>
    <row r="46">
      <c r="A46" s="18" t="n"/>
      <c r="C46" s="15" t="inlineStr">
        <is>
          <t>#5</t>
        </is>
      </c>
      <c r="E46" s="130" t="n"/>
      <c r="F46" s="213">
        <f>E46</f>
        <v/>
      </c>
      <c r="G46" s="1" t="n"/>
      <c r="H46" s="1" t="n"/>
      <c r="I46" s="130" t="n"/>
      <c r="J46" s="248" t="n"/>
      <c r="K46" s="248" t="n"/>
      <c r="L46" s="13" t="n"/>
      <c r="M46" s="122" t="n"/>
      <c r="N46" s="249" t="n">
        <v>2500</v>
      </c>
      <c r="O46" s="123" t="n"/>
    </row>
    <row r="47">
      <c r="A47" s="18" t="n"/>
      <c r="C47" s="15" t="inlineStr">
        <is>
          <t>#6</t>
        </is>
      </c>
      <c r="E47" s="130" t="n"/>
      <c r="F47" s="213">
        <f>E47</f>
        <v/>
      </c>
      <c r="G47" s="1" t="n"/>
      <c r="H47" s="1" t="n"/>
      <c r="I47" s="130" t="n"/>
      <c r="J47" s="248" t="n"/>
      <c r="K47" s="248" t="n"/>
      <c r="L47" s="13" t="n"/>
      <c r="M47" s="122" t="n"/>
      <c r="N47" s="249" t="n">
        <v>2500</v>
      </c>
      <c r="O47" s="123" t="n"/>
    </row>
    <row r="48">
      <c r="A48" s="18" t="n"/>
      <c r="C48" s="15" t="inlineStr">
        <is>
          <t>#7</t>
        </is>
      </c>
      <c r="E48" s="130" t="n"/>
      <c r="F48" s="213">
        <f>E48</f>
        <v/>
      </c>
      <c r="G48" s="1" t="n"/>
      <c r="H48" s="1" t="n"/>
      <c r="I48" s="130" t="n"/>
      <c r="J48" s="248" t="n"/>
      <c r="K48" s="248" t="n"/>
      <c r="L48" s="13" t="n"/>
      <c r="M48" s="122" t="n"/>
      <c r="N48" s="249" t="n">
        <v>2500</v>
      </c>
      <c r="O48" s="123" t="n"/>
    </row>
    <row r="49">
      <c r="A49" s="18" t="n"/>
      <c r="C49" s="15" t="inlineStr">
        <is>
          <t>#8</t>
        </is>
      </c>
      <c r="E49" s="130" t="n"/>
      <c r="F49" s="213">
        <f>E49</f>
        <v/>
      </c>
      <c r="G49" s="1" t="n"/>
      <c r="H49" s="1" t="n"/>
      <c r="I49" s="130" t="n"/>
      <c r="J49" s="248" t="n"/>
      <c r="K49" s="248" t="n"/>
      <c r="L49" s="13" t="n"/>
      <c r="M49" s="122" t="n"/>
      <c r="N49" s="249" t="n">
        <v>2500</v>
      </c>
      <c r="O49" s="123" t="n"/>
    </row>
    <row r="50">
      <c r="A50" s="18" t="n"/>
      <c r="C50" s="15" t="inlineStr">
        <is>
          <t>#9</t>
        </is>
      </c>
      <c r="E50" s="130" t="n"/>
      <c r="F50" s="213">
        <f>E50</f>
        <v/>
      </c>
      <c r="G50" s="1" t="n"/>
      <c r="H50" s="1" t="n"/>
      <c r="I50" s="130" t="n"/>
      <c r="J50" s="248" t="n"/>
      <c r="K50" s="248" t="n"/>
      <c r="L50" s="13" t="n"/>
      <c r="M50" s="122" t="n"/>
      <c r="N50" s="249" t="n">
        <v>2500</v>
      </c>
      <c r="O50" s="123" t="n"/>
    </row>
    <row r="51">
      <c r="A51" s="18" t="n"/>
      <c r="C51" s="15" t="inlineStr">
        <is>
          <t>#10</t>
        </is>
      </c>
      <c r="E51" s="130" t="n"/>
      <c r="F51" s="213">
        <f>E51</f>
        <v/>
      </c>
      <c r="G51" s="1" t="n"/>
      <c r="H51" s="1" t="n"/>
      <c r="I51" s="130" t="n"/>
      <c r="J51" s="248" t="n"/>
      <c r="K51" s="248" t="n"/>
      <c r="L51" s="13" t="n"/>
      <c r="M51" s="122" t="n"/>
      <c r="N51" s="249" t="n">
        <v>2500</v>
      </c>
      <c r="O51" s="123" t="n"/>
    </row>
    <row r="52">
      <c r="A52" s="18" t="n"/>
      <c r="C52" s="15" t="inlineStr">
        <is>
          <t>#11</t>
        </is>
      </c>
      <c r="E52" s="130" t="n"/>
      <c r="F52" s="213">
        <f>E52</f>
        <v/>
      </c>
      <c r="G52" s="1" t="n"/>
      <c r="H52" s="1" t="n"/>
      <c r="I52" s="130" t="n"/>
      <c r="J52" s="248" t="n"/>
      <c r="K52" s="248" t="n"/>
      <c r="L52" s="13" t="n"/>
      <c r="M52" s="122" t="n"/>
      <c r="N52" s="249" t="n">
        <v>2500</v>
      </c>
      <c r="O52" s="123" t="n"/>
    </row>
    <row r="53">
      <c r="A53" s="18" t="n"/>
      <c r="C53" s="15" t="inlineStr">
        <is>
          <t>#12</t>
        </is>
      </c>
      <c r="E53" s="130" t="n"/>
      <c r="F53" s="213">
        <f>E53</f>
        <v/>
      </c>
      <c r="G53" s="1" t="n"/>
      <c r="H53" s="1" t="n"/>
      <c r="I53" s="130" t="n"/>
      <c r="J53" s="248" t="n"/>
      <c r="K53" s="248" t="n"/>
      <c r="L53" s="13" t="n"/>
      <c r="M53" s="122" t="n"/>
      <c r="N53" s="249" t="n">
        <v>2500</v>
      </c>
      <c r="O53" s="123" t="n"/>
    </row>
    <row r="54">
      <c r="A54" s="18" t="n"/>
      <c r="C54" s="15" t="inlineStr">
        <is>
          <t>#13</t>
        </is>
      </c>
      <c r="E54" s="130" t="n"/>
      <c r="F54" s="213">
        <f>E54</f>
        <v/>
      </c>
      <c r="G54" s="1" t="n"/>
      <c r="H54" s="1" t="n"/>
      <c r="I54" s="130" t="n"/>
      <c r="J54" s="248" t="n"/>
      <c r="K54" s="248" t="n"/>
      <c r="L54" s="13" t="n"/>
      <c r="M54" s="122" t="n"/>
      <c r="N54" s="249" t="n">
        <v>2500</v>
      </c>
      <c r="O54" s="123" t="n"/>
    </row>
    <row r="55">
      <c r="A55" s="18" t="n"/>
      <c r="C55" s="15" t="inlineStr">
        <is>
          <t>#14</t>
        </is>
      </c>
      <c r="E55" s="130" t="n"/>
      <c r="F55" s="213">
        <f>E55</f>
        <v/>
      </c>
      <c r="G55" s="1" t="n"/>
      <c r="H55" s="1" t="n"/>
      <c r="I55" s="130" t="n"/>
      <c r="J55" s="248" t="n"/>
      <c r="K55" s="248" t="n"/>
      <c r="L55" s="13" t="n"/>
      <c r="M55" s="122" t="n"/>
      <c r="N55" s="249" t="n">
        <v>2500</v>
      </c>
      <c r="O55" s="123" t="n"/>
    </row>
    <row r="56">
      <c r="A56" s="18" t="n"/>
      <c r="C56" s="15" t="inlineStr">
        <is>
          <t>#15</t>
        </is>
      </c>
      <c r="E56" s="130" t="n"/>
      <c r="F56" s="213">
        <f>E56</f>
        <v/>
      </c>
      <c r="G56" s="1" t="n"/>
      <c r="H56" s="1" t="n"/>
      <c r="I56" s="130" t="n"/>
      <c r="J56" s="248" t="n"/>
      <c r="K56" s="248" t="n"/>
      <c r="L56" s="13" t="n"/>
      <c r="M56" s="122" t="n"/>
      <c r="N56" s="249" t="n">
        <v>2500</v>
      </c>
      <c r="O56" s="123" t="n"/>
    </row>
    <row r="57">
      <c r="A57" s="18" t="n"/>
      <c r="C57" s="15" t="inlineStr">
        <is>
          <t>#16</t>
        </is>
      </c>
      <c r="E57" s="130" t="n"/>
      <c r="F57" s="213">
        <f>E57</f>
        <v/>
      </c>
      <c r="G57" s="1" t="n"/>
      <c r="H57" s="1" t="n"/>
      <c r="I57" s="130" t="n"/>
      <c r="J57" s="248" t="n"/>
      <c r="K57" s="248" t="n"/>
      <c r="L57" s="13" t="n"/>
      <c r="M57" s="122" t="n"/>
      <c r="N57" s="249" t="n">
        <v>2500</v>
      </c>
      <c r="O57" s="123" t="n"/>
    </row>
    <row r="58">
      <c r="A58" s="18" t="n"/>
      <c r="C58" s="15" t="inlineStr">
        <is>
          <t>#17</t>
        </is>
      </c>
      <c r="E58" s="130" t="n"/>
      <c r="F58" s="213">
        <f>E58</f>
        <v/>
      </c>
      <c r="G58" s="1" t="n"/>
      <c r="H58" s="1" t="n"/>
      <c r="I58" s="130" t="n"/>
      <c r="J58" s="248" t="n"/>
      <c r="K58" s="248" t="n"/>
      <c r="L58" s="13" t="n"/>
      <c r="M58" s="122" t="n"/>
      <c r="N58" s="249" t="n">
        <v>2500</v>
      </c>
      <c r="O58" s="123" t="n"/>
    </row>
    <row r="59">
      <c r="A59" s="18" t="n"/>
      <c r="C59" s="15" t="inlineStr">
        <is>
          <t>#18</t>
        </is>
      </c>
      <c r="E59" s="130" t="n"/>
      <c r="F59" s="213">
        <f>E59</f>
        <v/>
      </c>
      <c r="G59" s="1" t="n"/>
      <c r="H59" s="1" t="n"/>
      <c r="I59" s="130" t="n"/>
      <c r="J59" s="248" t="n"/>
      <c r="K59" s="248" t="n"/>
      <c r="L59" s="13" t="n"/>
      <c r="M59" s="122" t="n"/>
      <c r="N59" s="249" t="n">
        <v>2500</v>
      </c>
      <c r="O59" s="123" t="n"/>
    </row>
    <row r="60">
      <c r="A60" s="18" t="n"/>
      <c r="C60" s="15" t="inlineStr">
        <is>
          <t>#19</t>
        </is>
      </c>
      <c r="E60" s="130" t="n"/>
      <c r="F60" s="213">
        <f>E60</f>
        <v/>
      </c>
      <c r="G60" s="1" t="n"/>
      <c r="H60" s="1" t="n"/>
      <c r="I60" s="130" t="n"/>
      <c r="J60" s="248" t="n"/>
      <c r="K60" s="248" t="n"/>
      <c r="L60" s="13" t="n"/>
      <c r="M60" s="122" t="n"/>
      <c r="N60" s="249" t="n">
        <v>2500</v>
      </c>
      <c r="O60" s="123" t="n"/>
    </row>
    <row r="61">
      <c r="A61" s="18" t="n"/>
      <c r="C61" s="15" t="inlineStr">
        <is>
          <t>#20</t>
        </is>
      </c>
      <c r="E61" s="130" t="n"/>
      <c r="F61" s="213">
        <f>E61</f>
        <v/>
      </c>
      <c r="G61" s="1" t="n"/>
      <c r="H61" s="1" t="n"/>
      <c r="I61" s="130" t="n"/>
      <c r="J61" s="248" t="n"/>
      <c r="K61" s="248" t="n"/>
      <c r="L61" s="13" t="n"/>
      <c r="M61" s="122" t="n"/>
      <c r="N61" s="249" t="n">
        <v>2500</v>
      </c>
      <c r="O61" s="123" t="n"/>
    </row>
    <row r="62">
      <c r="A62" s="19" t="n"/>
      <c r="B62" s="38" t="n"/>
      <c r="C62" s="50" t="inlineStr">
        <is>
          <t>Coverage F Total</t>
        </is>
      </c>
      <c r="D62" s="50" t="n"/>
      <c r="E62" s="100" t="n"/>
      <c r="F62" s="100">
        <f>SUM(F42:F61)</f>
        <v/>
      </c>
      <c r="G62" s="233" t="n"/>
      <c r="H62" s="233" t="n"/>
      <c r="I62" s="100" t="n"/>
      <c r="J62" s="251" t="n"/>
      <c r="K62" s="251" t="n"/>
      <c r="L62" s="190">
        <f>Rates!B6</f>
        <v/>
      </c>
      <c r="M62" s="104">
        <f>F62*L62</f>
        <v/>
      </c>
      <c r="N62" s="252" t="n"/>
      <c r="O62" s="92" t="n"/>
    </row>
    <row r="63">
      <c r="A63" s="17" t="inlineStr">
        <is>
          <t>Coverage G</t>
        </is>
      </c>
      <c r="B63" s="35" t="inlineStr">
        <is>
          <t>Farm Outbuilding and Structures</t>
        </is>
      </c>
      <c r="C63" s="35" t="inlineStr">
        <is>
          <t>#1</t>
        </is>
      </c>
      <c r="D63" s="35" t="n"/>
      <c r="E63" s="99" t="n"/>
      <c r="F63" s="212" t="n"/>
      <c r="G63" s="235" t="n"/>
      <c r="H63" s="235" t="n"/>
      <c r="I63" s="212" t="n"/>
      <c r="J63" s="246" t="n"/>
      <c r="K63" s="246" t="n"/>
      <c r="L63" s="191" t="n"/>
      <c r="M63" s="102" t="n"/>
      <c r="N63" s="247" t="n">
        <v>5000</v>
      </c>
      <c r="O63" s="91" t="n">
        <v>0.02</v>
      </c>
    </row>
    <row r="64">
      <c r="A64" s="18" t="n"/>
      <c r="C64" s="15" t="inlineStr">
        <is>
          <t>#2</t>
        </is>
      </c>
      <c r="E64" s="248" t="n"/>
      <c r="F64" s="213" t="n"/>
      <c r="G64" s="1" t="n"/>
      <c r="H64" s="1" t="n"/>
      <c r="I64" s="213" t="n"/>
      <c r="J64" s="248" t="n"/>
      <c r="K64" s="248" t="n"/>
      <c r="L64" s="129" t="n"/>
      <c r="M64" s="122" t="n"/>
      <c r="N64" s="249" t="n">
        <v>5000</v>
      </c>
      <c r="O64" s="123" t="n">
        <v>0.02</v>
      </c>
    </row>
    <row r="65">
      <c r="A65" s="18" t="n"/>
      <c r="C65" s="15" t="inlineStr">
        <is>
          <t>#3</t>
        </is>
      </c>
      <c r="E65" s="248" t="n"/>
      <c r="F65" s="213" t="n"/>
      <c r="G65" s="1" t="n"/>
      <c r="H65" s="1" t="n"/>
      <c r="I65" s="213" t="n"/>
      <c r="J65" s="248" t="n"/>
      <c r="K65" s="248" t="n"/>
      <c r="L65" s="129" t="n"/>
      <c r="M65" s="122" t="n"/>
      <c r="N65" s="249" t="n">
        <v>5000</v>
      </c>
      <c r="O65" s="123" t="n">
        <v>0.02</v>
      </c>
    </row>
    <row r="66">
      <c r="A66" s="18" t="n"/>
      <c r="C66" s="15" t="inlineStr">
        <is>
          <t>#4</t>
        </is>
      </c>
      <c r="E66" s="248" t="n"/>
      <c r="F66" s="213">
        <f>E66*103%</f>
        <v/>
      </c>
      <c r="G66" s="1" t="n"/>
      <c r="H66" s="1" t="n"/>
      <c r="I66" s="213" t="n"/>
      <c r="J66" s="248" t="n"/>
      <c r="K66" s="248" t="n"/>
      <c r="L66" s="129" t="n"/>
      <c r="M66" s="122" t="n"/>
      <c r="N66" s="249" t="n">
        <v>5000</v>
      </c>
      <c r="O66" s="123" t="n">
        <v>0.02</v>
      </c>
    </row>
    <row r="67">
      <c r="A67" s="18" t="n"/>
      <c r="C67" s="15" t="inlineStr">
        <is>
          <t>#5</t>
        </is>
      </c>
      <c r="E67" s="248" t="n"/>
      <c r="F67" s="213">
        <f>E67*103%</f>
        <v/>
      </c>
      <c r="G67" s="1" t="n"/>
      <c r="H67" s="1" t="n"/>
      <c r="I67" s="213" t="n"/>
      <c r="J67" s="248" t="n"/>
      <c r="K67" s="248" t="n"/>
      <c r="L67" s="129" t="n"/>
      <c r="M67" s="122" t="n"/>
      <c r="N67" s="249" t="n">
        <v>5000</v>
      </c>
      <c r="O67" s="123" t="n">
        <v>0.02</v>
      </c>
    </row>
    <row r="68">
      <c r="A68" s="18" t="n"/>
      <c r="C68" s="15" t="inlineStr">
        <is>
          <t>#6</t>
        </is>
      </c>
      <c r="E68" s="248" t="n"/>
      <c r="F68" s="213">
        <f>E68*103%</f>
        <v/>
      </c>
      <c r="G68" s="1" t="n"/>
      <c r="H68" s="1" t="n"/>
      <c r="I68" s="213" t="n"/>
      <c r="J68" s="248" t="n"/>
      <c r="K68" s="248" t="n"/>
      <c r="L68" s="129" t="n"/>
      <c r="M68" s="122" t="n"/>
      <c r="N68" s="249" t="n">
        <v>5000</v>
      </c>
      <c r="O68" s="123" t="n">
        <v>0.02</v>
      </c>
    </row>
    <row r="69">
      <c r="A69" s="18" t="n"/>
      <c r="C69" s="15" t="inlineStr">
        <is>
          <t>#7</t>
        </is>
      </c>
      <c r="E69" s="248" t="n"/>
      <c r="F69" s="213">
        <f>E69*103%</f>
        <v/>
      </c>
      <c r="G69" s="1" t="n"/>
      <c r="H69" s="1" t="n"/>
      <c r="I69" s="213" t="n"/>
      <c r="J69" s="248" t="n"/>
      <c r="K69" s="248" t="n"/>
      <c r="L69" s="129" t="n"/>
      <c r="M69" s="122" t="n"/>
      <c r="N69" s="249" t="n">
        <v>5000</v>
      </c>
      <c r="O69" s="123" t="n">
        <v>0.02</v>
      </c>
    </row>
    <row r="70">
      <c r="A70" s="18" t="n"/>
      <c r="C70" s="15" t="inlineStr">
        <is>
          <t>#8</t>
        </is>
      </c>
      <c r="E70" s="248" t="n"/>
      <c r="F70" s="213">
        <f>E70*103%</f>
        <v/>
      </c>
      <c r="G70" s="1" t="n"/>
      <c r="H70" s="1" t="n"/>
      <c r="I70" s="213" t="n"/>
      <c r="J70" s="248" t="n"/>
      <c r="K70" s="248" t="n"/>
      <c r="L70" s="129" t="n"/>
      <c r="M70" s="122" t="n"/>
      <c r="N70" s="249" t="n">
        <v>5000</v>
      </c>
      <c r="O70" s="123" t="n">
        <v>0.02</v>
      </c>
    </row>
    <row r="71">
      <c r="A71" s="18" t="n"/>
      <c r="C71" s="15" t="inlineStr">
        <is>
          <t>#9</t>
        </is>
      </c>
      <c r="E71" s="248" t="n"/>
      <c r="F71" s="213">
        <f>E71*103%</f>
        <v/>
      </c>
      <c r="G71" s="1" t="n"/>
      <c r="H71" s="1" t="n"/>
      <c r="I71" s="213" t="n"/>
      <c r="J71" s="248" t="n"/>
      <c r="K71" s="248" t="n"/>
      <c r="L71" s="129" t="n"/>
      <c r="M71" s="122" t="n"/>
      <c r="N71" s="249" t="n">
        <v>5000</v>
      </c>
      <c r="O71" s="123" t="n">
        <v>0.02</v>
      </c>
    </row>
    <row r="72">
      <c r="A72" s="18" t="n"/>
      <c r="C72" s="15" t="inlineStr">
        <is>
          <t>#10</t>
        </is>
      </c>
      <c r="E72" s="248" t="n"/>
      <c r="F72" s="213">
        <f>E72*103%</f>
        <v/>
      </c>
      <c r="G72" s="1" t="n"/>
      <c r="H72" s="1" t="n"/>
      <c r="I72" s="213" t="n"/>
      <c r="J72" s="248" t="n"/>
      <c r="K72" s="248" t="n"/>
      <c r="L72" s="129" t="n"/>
      <c r="M72" s="122" t="n"/>
      <c r="N72" s="249" t="n">
        <v>5000</v>
      </c>
      <c r="O72" s="123" t="n">
        <v>0.02</v>
      </c>
      <c r="P72" s="15" t="n"/>
    </row>
    <row r="73">
      <c r="A73" s="18" t="n"/>
      <c r="C73" s="15" t="inlineStr">
        <is>
          <t>#11</t>
        </is>
      </c>
      <c r="E73" s="248" t="n"/>
      <c r="F73" s="213">
        <f>E73*103%</f>
        <v/>
      </c>
      <c r="G73" s="1" t="n"/>
      <c r="H73" s="1" t="n"/>
      <c r="I73" s="213" t="n"/>
      <c r="J73" s="248" t="n"/>
      <c r="K73" s="248" t="n"/>
      <c r="L73" s="129" t="n"/>
      <c r="M73" s="122" t="n"/>
      <c r="N73" s="249" t="n">
        <v>5000</v>
      </c>
      <c r="O73" s="123" t="n">
        <v>0.02</v>
      </c>
      <c r="P73" s="15" t="n"/>
    </row>
    <row r="74">
      <c r="A74" s="18" t="n"/>
      <c r="C74" s="15" t="inlineStr">
        <is>
          <t>#12</t>
        </is>
      </c>
      <c r="E74" s="248" t="n"/>
      <c r="F74" s="213">
        <f>E74*103%</f>
        <v/>
      </c>
      <c r="G74" s="1" t="n"/>
      <c r="H74" s="1" t="n"/>
      <c r="I74" s="213" t="n"/>
      <c r="J74" s="248" t="n"/>
      <c r="K74" s="248" t="n"/>
      <c r="L74" s="129" t="n"/>
      <c r="M74" s="122" t="n"/>
      <c r="N74" s="249" t="n">
        <v>5000</v>
      </c>
      <c r="O74" s="123" t="n">
        <v>0.02</v>
      </c>
    </row>
    <row r="75">
      <c r="A75" s="18" t="n"/>
      <c r="C75" s="15" t="inlineStr">
        <is>
          <t>#13</t>
        </is>
      </c>
      <c r="E75" s="248" t="n"/>
      <c r="F75" s="213">
        <f>E75*103%</f>
        <v/>
      </c>
      <c r="G75" s="1" t="n"/>
      <c r="H75" s="1" t="n"/>
      <c r="I75" s="213" t="n"/>
      <c r="J75" s="248" t="n"/>
      <c r="K75" s="248" t="n"/>
      <c r="L75" s="129" t="n"/>
      <c r="M75" s="122" t="n"/>
      <c r="N75" s="249" t="n">
        <v>5000</v>
      </c>
      <c r="O75" s="123" t="n">
        <v>0.02</v>
      </c>
    </row>
    <row r="76">
      <c r="A76" s="18" t="n"/>
      <c r="C76" s="15" t="inlineStr">
        <is>
          <t>#14</t>
        </is>
      </c>
      <c r="E76" s="130" t="n"/>
      <c r="F76" s="213">
        <f>E76*103%</f>
        <v/>
      </c>
      <c r="G76" s="1" t="n"/>
      <c r="H76" s="1" t="n"/>
      <c r="I76" s="213" t="n"/>
      <c r="J76" s="248" t="n"/>
      <c r="K76" s="248" t="n"/>
      <c r="L76" s="129" t="n"/>
      <c r="M76" s="122" t="n"/>
      <c r="N76" s="249" t="n">
        <v>5000</v>
      </c>
      <c r="O76" s="123" t="n">
        <v>0.02</v>
      </c>
    </row>
    <row r="77">
      <c r="A77" s="18" t="n"/>
      <c r="C77" s="15" t="inlineStr">
        <is>
          <t>#15</t>
        </is>
      </c>
      <c r="E77" s="130" t="n"/>
      <c r="F77" s="213">
        <f>E77*103%</f>
        <v/>
      </c>
      <c r="G77" s="1" t="n"/>
      <c r="H77" s="1" t="n"/>
      <c r="I77" s="213" t="n"/>
      <c r="J77" s="248" t="n"/>
      <c r="K77" s="248" t="n"/>
      <c r="L77" s="129" t="n"/>
      <c r="M77" s="122" t="n"/>
      <c r="N77" s="249" t="n">
        <v>5000</v>
      </c>
      <c r="O77" s="123" t="n">
        <v>0.02</v>
      </c>
    </row>
    <row r="78">
      <c r="A78" s="18" t="n"/>
      <c r="C78" s="15" t="inlineStr">
        <is>
          <t>#16</t>
        </is>
      </c>
      <c r="E78" s="130" t="n"/>
      <c r="F78" s="213">
        <f>E78*103%</f>
        <v/>
      </c>
      <c r="G78" s="1" t="n"/>
      <c r="H78" s="1" t="n"/>
      <c r="I78" s="213" t="n"/>
      <c r="J78" s="248" t="n"/>
      <c r="K78" s="248" t="n"/>
      <c r="L78" s="129" t="n"/>
      <c r="M78" s="122" t="n"/>
      <c r="N78" s="249" t="n">
        <v>5000</v>
      </c>
      <c r="O78" s="123" t="n">
        <v>0.02</v>
      </c>
    </row>
    <row r="79">
      <c r="A79" s="18" t="n"/>
      <c r="C79" s="15" t="inlineStr">
        <is>
          <t>#17</t>
        </is>
      </c>
      <c r="E79" s="130" t="n"/>
      <c r="F79" s="213">
        <f>E79*103%</f>
        <v/>
      </c>
      <c r="G79" s="1" t="n"/>
      <c r="H79" s="1" t="n"/>
      <c r="I79" s="213" t="n"/>
      <c r="J79" s="248" t="n"/>
      <c r="K79" s="248" t="n"/>
      <c r="L79" s="129" t="n"/>
      <c r="M79" s="122" t="n"/>
      <c r="N79" s="249" t="n">
        <v>5000</v>
      </c>
      <c r="O79" s="123" t="n">
        <v>0.02</v>
      </c>
    </row>
    <row r="80">
      <c r="A80" s="18" t="n"/>
      <c r="C80" s="15" t="inlineStr">
        <is>
          <t>#18</t>
        </is>
      </c>
      <c r="E80" s="130" t="n"/>
      <c r="F80" s="213">
        <f>E80*103%</f>
        <v/>
      </c>
      <c r="G80" s="1" t="n"/>
      <c r="H80" s="1" t="n"/>
      <c r="I80" s="213" t="n"/>
      <c r="J80" s="248" t="n"/>
      <c r="K80" s="248" t="n"/>
      <c r="L80" s="129" t="n"/>
      <c r="M80" s="122" t="n"/>
      <c r="N80" s="249" t="n">
        <v>5000</v>
      </c>
      <c r="O80" s="123" t="n">
        <v>0.02</v>
      </c>
    </row>
    <row r="81">
      <c r="A81" s="18" t="n"/>
      <c r="C81" s="15" t="inlineStr">
        <is>
          <t>#19</t>
        </is>
      </c>
      <c r="E81" s="130" t="n"/>
      <c r="F81" s="213">
        <f>E81*103%</f>
        <v/>
      </c>
      <c r="G81" s="1" t="n"/>
      <c r="H81" s="1" t="n"/>
      <c r="I81" s="213" t="n"/>
      <c r="J81" s="248" t="n"/>
      <c r="K81" s="248" t="n"/>
      <c r="L81" s="129" t="n"/>
      <c r="M81" s="122" t="n"/>
      <c r="N81" s="249" t="n">
        <v>5000</v>
      </c>
      <c r="O81" s="123" t="n">
        <v>0.02</v>
      </c>
    </row>
    <row r="82">
      <c r="A82" s="18" t="n"/>
      <c r="C82" s="15" t="inlineStr">
        <is>
          <t>#20</t>
        </is>
      </c>
      <c r="E82" s="130" t="n"/>
      <c r="F82" s="213">
        <f>E82*103%</f>
        <v/>
      </c>
      <c r="G82" s="1" t="n"/>
      <c r="H82" s="1" t="n"/>
      <c r="I82" s="213" t="n"/>
      <c r="J82" s="248" t="n"/>
      <c r="K82" s="248" t="n"/>
      <c r="L82" s="129" t="n"/>
      <c r="M82" s="122" t="n"/>
      <c r="N82" s="249" t="n">
        <v>5000</v>
      </c>
      <c r="O82" s="123" t="n">
        <v>0.02</v>
      </c>
      <c r="P82" s="241" t="n"/>
    </row>
    <row r="83">
      <c r="A83" s="18" t="n"/>
      <c r="C83" s="15" t="inlineStr">
        <is>
          <t>Coverage G Total (exclusing Solar Panels)</t>
        </is>
      </c>
      <c r="E83" s="130" t="n"/>
      <c r="F83" s="130">
        <f>SUM(F63:F82)</f>
        <v/>
      </c>
      <c r="G83" s="1" t="n"/>
      <c r="H83" s="1" t="n"/>
      <c r="I83" s="130" t="n"/>
      <c r="J83" s="248" t="n"/>
      <c r="K83" s="13" t="n">
        <v>0.0047</v>
      </c>
      <c r="L83" s="122">
        <f>F83*K83</f>
        <v/>
      </c>
      <c r="N83" s="249" t="n"/>
      <c r="O83" s="123" t="n"/>
      <c r="P83" s="241" t="n"/>
    </row>
    <row r="84" ht="15" customHeight="1">
      <c r="A84" s="18" t="n"/>
      <c r="E84" s="130" t="n"/>
      <c r="F84" s="130" t="n"/>
      <c r="G84" s="1" t="n"/>
      <c r="H84" s="1" t="n"/>
      <c r="I84" s="130" t="n"/>
      <c r="J84" s="248" t="n"/>
      <c r="K84" s="13" t="n"/>
      <c r="L84" s="122" t="n"/>
      <c r="N84" s="249" t="n"/>
      <c r="O84" s="123" t="n"/>
      <c r="P84" s="241" t="n"/>
    </row>
    <row r="85" ht="15" customHeight="1">
      <c r="A85" s="18" t="n"/>
      <c r="E85" s="130" t="n"/>
      <c r="F85" s="130" t="n"/>
      <c r="G85" s="1" t="n"/>
      <c r="H85" s="1" t="n"/>
      <c r="I85" s="130" t="n"/>
      <c r="J85" s="248" t="n"/>
      <c r="K85" s="13" t="n"/>
      <c r="L85" s="122" t="n"/>
      <c r="N85" s="249" t="n"/>
      <c r="O85" s="215" t="inlineStr">
        <is>
          <t>IF BUILDER'S RISK IS COVERED, USD 5,000 DEDUCTIBLE AND 2% WIND AND HAIL DEDUCTIBLE MUST APPLY DURING CONSTRUCTION.</t>
        </is>
      </c>
      <c r="P85" s="241" t="n"/>
    </row>
    <row r="86" ht="15" customHeight="1">
      <c r="A86" s="18" t="n"/>
      <c r="E86" s="130" t="n"/>
      <c r="F86" s="130" t="n"/>
      <c r="G86" s="1" t="n"/>
      <c r="H86" s="1" t="n"/>
      <c r="I86" s="130" t="n"/>
      <c r="J86" s="248" t="n"/>
      <c r="K86" s="13" t="n"/>
      <c r="L86" s="122" t="n"/>
      <c r="N86" s="249" t="n"/>
      <c r="O86" s="123" t="n"/>
      <c r="P86" s="241" t="n"/>
    </row>
    <row r="87">
      <c r="A87" s="18" t="inlineStr">
        <is>
          <t>Coverage G</t>
        </is>
      </c>
      <c r="B87" s="15" t="inlineStr">
        <is>
          <t>Solar Panels</t>
        </is>
      </c>
      <c r="C87" s="15" t="inlineStr">
        <is>
          <t xml:space="preserve">#1 </t>
        </is>
      </c>
      <c r="E87" s="130" t="n"/>
      <c r="F87" s="130">
        <f>E87</f>
        <v/>
      </c>
      <c r="G87" s="1" t="n"/>
      <c r="H87" s="1" t="n"/>
      <c r="I87" s="130" t="n"/>
      <c r="J87" s="248" t="n"/>
      <c r="K87" s="13" t="n">
        <v>0.02</v>
      </c>
      <c r="L87" s="122">
        <f>F87*K87</f>
        <v/>
      </c>
      <c r="N87" s="125" t="n">
        <v>0.05</v>
      </c>
      <c r="O87" s="123" t="inlineStr">
        <is>
          <t>Minimium $5,000</t>
        </is>
      </c>
      <c r="P87" s="241" t="n"/>
    </row>
    <row r="88">
      <c r="A88" s="18" t="n"/>
      <c r="E88" s="130" t="n"/>
      <c r="F88" s="130" t="n"/>
      <c r="G88" s="1" t="n"/>
      <c r="H88" s="1" t="n"/>
      <c r="I88" s="130" t="n"/>
      <c r="J88" s="248" t="n"/>
      <c r="K88" s="248" t="n"/>
      <c r="L88" s="129" t="n"/>
      <c r="M88" s="122" t="n"/>
      <c r="N88" s="249" t="n"/>
      <c r="O88" s="123" t="n"/>
    </row>
    <row r="89">
      <c r="A89" s="19" t="n"/>
      <c r="B89" s="38" t="n"/>
      <c r="C89" s="50" t="inlineStr">
        <is>
          <t>Coverage G Grand Total</t>
        </is>
      </c>
      <c r="D89" s="50" t="n"/>
      <c r="E89" s="100" t="n"/>
      <c r="F89" s="100">
        <f>F83+F87</f>
        <v/>
      </c>
      <c r="G89" s="100" t="n"/>
      <c r="H89" s="100" t="n"/>
      <c r="I89" s="100" t="n"/>
      <c r="J89" s="250" t="n"/>
      <c r="K89" s="250" t="n"/>
      <c r="L89" s="40" t="n"/>
      <c r="M89" s="193">
        <f>SUM(L83+L87)*(100%+B106)</f>
        <v/>
      </c>
      <c r="N89" s="252" t="n"/>
      <c r="O89" s="92" t="n"/>
    </row>
    <row r="90">
      <c r="A90" s="19" t="inlineStr">
        <is>
          <t>Coverage H</t>
        </is>
      </c>
      <c r="B90" s="38" t="inlineStr">
        <is>
          <t>Farm Personal Liability</t>
        </is>
      </c>
      <c r="C90" s="38" t="n"/>
      <c r="D90" s="38" t="n"/>
      <c r="E90" s="251" t="n">
        <v>1000000</v>
      </c>
      <c r="F90" s="251">
        <f>E90</f>
        <v/>
      </c>
      <c r="G90" s="257" t="inlineStr">
        <is>
          <t>per occurrence, $2,000,000 in the annual aggregate</t>
        </is>
      </c>
      <c r="H90" s="251" t="n"/>
      <c r="I90" s="251" t="n"/>
      <c r="J90" s="251" t="n"/>
      <c r="K90" s="251" t="n"/>
      <c r="L90" s="153" t="n">
        <v>500</v>
      </c>
      <c r="M90" s="114">
        <f>Rates!B13</f>
        <v/>
      </c>
      <c r="N90" s="252" t="n"/>
      <c r="O90" s="92" t="n"/>
      <c r="P90" s="258" t="n"/>
      <c r="Q90" s="47" t="n"/>
    </row>
    <row r="91">
      <c r="A91" s="41" t="inlineStr">
        <is>
          <t>Coverage I</t>
        </is>
      </c>
      <c r="B91" s="42" t="inlineStr">
        <is>
          <t>Medical Payments to Others</t>
        </is>
      </c>
      <c r="C91" s="42" t="n"/>
      <c r="D91" s="42" t="n"/>
      <c r="E91" s="253" t="n">
        <v>10000</v>
      </c>
      <c r="F91" s="251">
        <f>E91</f>
        <v/>
      </c>
      <c r="G91" s="253" t="n"/>
      <c r="H91" s="253" t="n"/>
      <c r="I91" s="253" t="n"/>
      <c r="J91" s="253" t="n"/>
      <c r="K91" s="253" t="n"/>
      <c r="L91" s="154" t="inlineStr">
        <is>
          <t>Included</t>
        </is>
      </c>
      <c r="M91" s="142" t="inlineStr">
        <is>
          <t>Included</t>
        </is>
      </c>
      <c r="N91" s="254" t="n"/>
      <c r="O91" s="93" t="n"/>
      <c r="P91" s="15" t="n"/>
      <c r="Q91" s="15" t="n"/>
      <c r="R91" s="248" t="n"/>
      <c r="S91" s="248" t="n"/>
      <c r="T91" s="240" t="n"/>
      <c r="U91" s="240" t="n"/>
      <c r="W91" s="15" t="n"/>
      <c r="X91" s="15" t="n"/>
      <c r="Y91" s="248" t="n"/>
      <c r="Z91" s="248" t="n"/>
      <c r="AA91" s="240" t="n"/>
      <c r="AB91" s="240" t="n"/>
      <c r="AD91" s="15" t="n"/>
      <c r="AE91" s="15" t="n"/>
      <c r="AF91" s="248" t="n"/>
      <c r="AG91" s="248" t="n"/>
      <c r="AH91" s="240" t="n"/>
      <c r="AI91" s="240" t="n"/>
      <c r="AK91" s="15" t="n"/>
      <c r="AL91" s="15" t="n"/>
      <c r="AM91" s="248" t="n"/>
      <c r="AN91" s="248" t="n"/>
      <c r="AO91" s="240" t="n"/>
      <c r="AP91" s="240" t="n"/>
      <c r="AR91" s="15" t="n"/>
      <c r="AS91" s="15" t="n"/>
      <c r="AT91" s="248" t="n"/>
      <c r="AU91" s="248" t="n"/>
      <c r="AV91" s="240" t="n"/>
      <c r="AW91" s="240" t="n"/>
      <c r="AY91" s="15" t="n"/>
      <c r="AZ91" s="15" t="n"/>
      <c r="BA91" s="248" t="n"/>
      <c r="BB91" s="248" t="n"/>
      <c r="BC91" s="240" t="n"/>
      <c r="BD91" s="240" t="n"/>
      <c r="BF91" s="15" t="n"/>
      <c r="BG91" s="15" t="n"/>
      <c r="BH91" s="248" t="n"/>
      <c r="BI91" s="248" t="n"/>
      <c r="BJ91" s="240" t="n"/>
      <c r="BK91" s="240" t="n"/>
      <c r="BM91" s="15" t="n"/>
      <c r="BN91" s="15" t="n"/>
      <c r="BO91" s="248" t="n"/>
      <c r="BP91" s="248" t="n"/>
      <c r="BQ91" s="240" t="n"/>
      <c r="BR91" s="240" t="n"/>
      <c r="BT91" s="15" t="n"/>
      <c r="BU91" s="15" t="n"/>
      <c r="BV91" s="248" t="n"/>
      <c r="BW91" s="248" t="n"/>
      <c r="BX91" s="240" t="n"/>
      <c r="BY91" s="240" t="n"/>
      <c r="CA91" s="15" t="n"/>
      <c r="CB91" s="15" t="n"/>
      <c r="CC91" s="248" t="n"/>
      <c r="CD91" s="248" t="n"/>
      <c r="CE91" s="240" t="n"/>
      <c r="CF91" s="240" t="n"/>
      <c r="CH91" s="15" t="n"/>
      <c r="CI91" s="15" t="n"/>
      <c r="CJ91" s="248" t="n"/>
      <c r="CK91" s="248" t="n"/>
      <c r="CL91" s="240" t="n"/>
      <c r="CM91" s="240" t="n"/>
      <c r="CO91" s="15" t="n"/>
      <c r="CP91" s="15" t="n"/>
      <c r="CQ91" s="248" t="n"/>
      <c r="CR91" s="248" t="n"/>
      <c r="CS91" s="240" t="n"/>
      <c r="CT91" s="240" t="n"/>
      <c r="CV91" s="15" t="n"/>
      <c r="CW91" s="15" t="n"/>
      <c r="CX91" s="248" t="n"/>
      <c r="CY91" s="248" t="n"/>
      <c r="CZ91" s="240" t="n"/>
      <c r="DA91" s="240" t="n"/>
      <c r="DC91" s="15" t="n"/>
      <c r="DD91" s="15" t="n"/>
      <c r="DE91" s="248" t="n"/>
      <c r="DF91" s="248" t="n"/>
      <c r="DG91" s="240" t="n"/>
      <c r="DH91" s="240" t="n"/>
      <c r="DJ91" s="15" t="n"/>
      <c r="DK91" s="15" t="n"/>
      <c r="DL91" s="248" t="n"/>
      <c r="DM91" s="248" t="n"/>
      <c r="DN91" s="240" t="n"/>
      <c r="DO91" s="240" t="n"/>
      <c r="DQ91" s="15" t="n"/>
      <c r="DR91" s="15" t="n"/>
      <c r="DS91" s="248" t="n"/>
      <c r="DT91" s="248" t="n"/>
      <c r="DU91" s="240" t="n"/>
      <c r="DV91" s="240" t="n"/>
      <c r="DX91" s="15" t="n"/>
      <c r="DY91" s="15" t="n"/>
      <c r="DZ91" s="248" t="n"/>
      <c r="EA91" s="248" t="n"/>
      <c r="EB91" s="240" t="n"/>
      <c r="EC91" s="240" t="n"/>
      <c r="EE91" s="15" t="n"/>
      <c r="EF91" s="15" t="n"/>
      <c r="EG91" s="248" t="n"/>
      <c r="EH91" s="248" t="n"/>
      <c r="EI91" s="240" t="n"/>
      <c r="EJ91" s="240" t="n"/>
      <c r="EL91" s="15" t="n"/>
      <c r="EM91" s="15" t="n"/>
      <c r="EN91" s="248" t="n"/>
      <c r="EO91" s="248" t="n"/>
      <c r="EP91" s="240" t="n"/>
      <c r="EQ91" s="240" t="n"/>
      <c r="ES91" s="15" t="n"/>
      <c r="ET91" s="15" t="n"/>
      <c r="EU91" s="248" t="n"/>
      <c r="EV91" s="248" t="n"/>
      <c r="EW91" s="240" t="n"/>
      <c r="EX91" s="240" t="n"/>
      <c r="EZ91" s="15" t="n"/>
      <c r="FA91" s="15" t="n"/>
      <c r="FB91" s="248" t="n"/>
      <c r="FC91" s="248" t="n"/>
      <c r="FD91" s="240" t="n"/>
      <c r="FE91" s="240" t="n"/>
      <c r="FG91" s="15" t="n"/>
      <c r="FH91" s="15" t="n"/>
      <c r="FI91" s="248" t="n"/>
      <c r="FJ91" s="248" t="n"/>
      <c r="FK91" s="240" t="n"/>
      <c r="FL91" s="240" t="n"/>
      <c r="FN91" s="15" t="n"/>
      <c r="FO91" s="15" t="n"/>
      <c r="FP91" s="248" t="n"/>
      <c r="FQ91" s="248" t="n"/>
      <c r="FR91" s="240" t="n"/>
      <c r="FS91" s="240" t="n"/>
      <c r="FU91" s="15" t="n"/>
      <c r="FV91" s="15" t="n"/>
      <c r="FW91" s="248" t="n"/>
      <c r="FX91" s="248" t="n"/>
      <c r="FY91" s="240" t="n"/>
      <c r="FZ91" s="240" t="n"/>
      <c r="GB91" s="15" t="n"/>
      <c r="GC91" s="15" t="n"/>
      <c r="GD91" s="248" t="n"/>
      <c r="GE91" s="248" t="n"/>
      <c r="GF91" s="240" t="n"/>
      <c r="GG91" s="240" t="n"/>
      <c r="GI91" s="15" t="n"/>
      <c r="GJ91" s="15" t="n"/>
      <c r="GK91" s="248" t="n"/>
      <c r="GL91" s="248" t="n"/>
      <c r="GM91" s="240" t="n"/>
      <c r="GN91" s="240" t="n"/>
      <c r="GP91" s="15" t="n"/>
      <c r="GQ91" s="15" t="n"/>
      <c r="GR91" s="248" t="n"/>
      <c r="GS91" s="248" t="n"/>
      <c r="GT91" s="240" t="n"/>
      <c r="GU91" s="240" t="n"/>
      <c r="GW91" s="15" t="n"/>
      <c r="GX91" s="15" t="n"/>
      <c r="GY91" s="248" t="n"/>
      <c r="GZ91" s="248" t="n"/>
      <c r="HA91" s="240" t="n"/>
      <c r="HB91" s="240" t="n"/>
      <c r="HD91" s="15" t="n"/>
      <c r="HE91" s="15" t="n"/>
      <c r="HF91" s="248" t="n"/>
      <c r="HG91" s="248" t="n"/>
      <c r="HH91" s="240" t="n"/>
      <c r="HI91" s="240" t="n"/>
      <c r="HK91" s="15" t="n"/>
      <c r="HL91" s="15" t="n"/>
      <c r="HM91" s="248" t="n"/>
      <c r="HN91" s="248" t="n"/>
      <c r="HO91" s="240" t="n"/>
      <c r="HP91" s="240" t="n"/>
      <c r="HR91" s="15" t="n"/>
      <c r="HS91" s="15" t="n"/>
      <c r="HT91" s="248" t="n"/>
      <c r="HU91" s="248" t="n"/>
      <c r="HV91" s="240" t="n"/>
      <c r="HW91" s="240" t="n"/>
      <c r="HY91" s="15" t="n"/>
      <c r="HZ91" s="15" t="n"/>
      <c r="IA91" s="248" t="n"/>
      <c r="IB91" s="248" t="n"/>
      <c r="IC91" s="240" t="n"/>
      <c r="ID91" s="240" t="n"/>
      <c r="IF91" s="15" t="n"/>
      <c r="IG91" s="15" t="n"/>
      <c r="IH91" s="248" t="n"/>
      <c r="II91" s="248" t="n"/>
      <c r="IJ91" s="240" t="n"/>
      <c r="IK91" s="240" t="n"/>
      <c r="IM91" s="15" t="n"/>
      <c r="IN91" s="15" t="n"/>
      <c r="IO91" s="248" t="n"/>
      <c r="IP91" s="248" t="n"/>
      <c r="IQ91" s="240" t="n"/>
      <c r="IR91" s="240" t="n"/>
      <c r="IT91" s="15" t="n"/>
      <c r="IU91" s="15" t="n"/>
      <c r="IV91" s="248" t="n"/>
      <c r="IW91" s="248" t="n"/>
      <c r="IX91" s="240" t="n"/>
      <c r="IY91" s="240" t="n"/>
      <c r="JA91" s="15" t="n"/>
      <c r="JB91" s="15" t="n"/>
      <c r="JC91" s="248" t="n"/>
      <c r="JD91" s="248" t="n"/>
      <c r="JE91" s="240" t="n"/>
      <c r="JF91" s="240" t="n"/>
      <c r="JH91" s="15" t="n"/>
      <c r="JI91" s="15" t="n"/>
      <c r="JJ91" s="248" t="n"/>
      <c r="JK91" s="248" t="n"/>
      <c r="JL91" s="240" t="n"/>
      <c r="JM91" s="240" t="n"/>
      <c r="JO91" s="15" t="n"/>
      <c r="JP91" s="15" t="n"/>
      <c r="JQ91" s="248" t="n"/>
      <c r="JR91" s="248" t="n"/>
      <c r="JS91" s="240" t="n"/>
      <c r="JT91" s="240" t="n"/>
      <c r="JV91" s="15" t="n"/>
      <c r="JW91" s="15" t="n"/>
      <c r="JX91" s="248" t="n"/>
      <c r="JY91" s="248" t="n"/>
      <c r="JZ91" s="240" t="n"/>
      <c r="KA91" s="240" t="n"/>
      <c r="KC91" s="15" t="n"/>
      <c r="KD91" s="15" t="n"/>
      <c r="KE91" s="248" t="n"/>
      <c r="KF91" s="248" t="n"/>
      <c r="KG91" s="240" t="n"/>
      <c r="KH91" s="240" t="n"/>
      <c r="KJ91" s="15" t="n"/>
      <c r="KK91" s="15" t="n"/>
      <c r="KL91" s="248" t="n"/>
      <c r="KM91" s="248" t="n"/>
      <c r="KN91" s="240" t="n"/>
      <c r="KO91" s="240" t="n"/>
      <c r="KQ91" s="15" t="n"/>
      <c r="KR91" s="15" t="n"/>
      <c r="KS91" s="248" t="n"/>
      <c r="KT91" s="248" t="n"/>
      <c r="KU91" s="240" t="n"/>
      <c r="KV91" s="240" t="n"/>
      <c r="KX91" s="15" t="n"/>
      <c r="KY91" s="15" t="n"/>
      <c r="KZ91" s="248" t="n"/>
      <c r="LA91" s="248" t="n"/>
      <c r="LB91" s="240" t="n"/>
      <c r="LC91" s="240" t="n"/>
      <c r="LE91" s="15" t="n"/>
      <c r="LF91" s="15" t="n"/>
      <c r="LG91" s="248" t="n"/>
      <c r="LH91" s="248" t="n"/>
      <c r="LI91" s="240" t="n"/>
      <c r="LJ91" s="240" t="n"/>
      <c r="LL91" s="15" t="n"/>
      <c r="LM91" s="15" t="n"/>
      <c r="LN91" s="248" t="n"/>
      <c r="LO91" s="248" t="n"/>
      <c r="LP91" s="240" t="n"/>
      <c r="LQ91" s="240" t="n"/>
      <c r="LS91" s="15" t="n"/>
      <c r="LT91" s="15" t="n"/>
      <c r="LU91" s="248" t="n"/>
      <c r="LV91" s="248" t="n"/>
      <c r="LW91" s="240" t="n"/>
      <c r="LX91" s="240" t="n"/>
      <c r="LZ91" s="15" t="n"/>
      <c r="MA91" s="15" t="n"/>
      <c r="MB91" s="248" t="n"/>
      <c r="MC91" s="248" t="n"/>
      <c r="MD91" s="240" t="n"/>
      <c r="ME91" s="240" t="n"/>
      <c r="MG91" s="15" t="n"/>
      <c r="MH91" s="15" t="n"/>
      <c r="MI91" s="248" t="n"/>
      <c r="MJ91" s="248" t="n"/>
      <c r="MK91" s="240" t="n"/>
      <c r="ML91" s="240" t="n"/>
      <c r="MN91" s="15" t="n"/>
      <c r="MO91" s="15" t="n"/>
      <c r="MP91" s="248" t="n"/>
      <c r="MQ91" s="248" t="n"/>
      <c r="MR91" s="240" t="n"/>
      <c r="MS91" s="240" t="n"/>
      <c r="MU91" s="15" t="n"/>
      <c r="MV91" s="15" t="n"/>
      <c r="MW91" s="248" t="n"/>
      <c r="MX91" s="248" t="n"/>
      <c r="MY91" s="240" t="n"/>
      <c r="MZ91" s="240" t="n"/>
      <c r="NB91" s="15" t="n"/>
      <c r="NC91" s="15" t="n"/>
      <c r="ND91" s="248" t="n"/>
      <c r="NE91" s="248" t="n"/>
      <c r="NF91" s="240" t="n"/>
      <c r="NG91" s="240" t="n"/>
      <c r="NI91" s="15" t="n"/>
      <c r="NJ91" s="15" t="n"/>
      <c r="NK91" s="248" t="n"/>
      <c r="NL91" s="248" t="n"/>
      <c r="NM91" s="240" t="n"/>
      <c r="NN91" s="240" t="n"/>
      <c r="NP91" s="15" t="n"/>
      <c r="NQ91" s="15" t="n"/>
      <c r="NR91" s="248" t="n"/>
      <c r="NS91" s="248" t="n"/>
      <c r="NT91" s="240" t="n"/>
      <c r="NU91" s="240" t="n"/>
      <c r="NW91" s="15" t="n"/>
      <c r="NX91" s="15" t="n"/>
      <c r="NY91" s="248" t="n"/>
      <c r="NZ91" s="248" t="n"/>
      <c r="OA91" s="240" t="n"/>
      <c r="OB91" s="240" t="n"/>
      <c r="OD91" s="15" t="n"/>
      <c r="OE91" s="15" t="n"/>
      <c r="OF91" s="248" t="n"/>
      <c r="OG91" s="248" t="n"/>
      <c r="OH91" s="240" t="n"/>
      <c r="OI91" s="240" t="n"/>
      <c r="OK91" s="15" t="n"/>
      <c r="OL91" s="15" t="n"/>
      <c r="OM91" s="248" t="n"/>
      <c r="ON91" s="248" t="n"/>
      <c r="OO91" s="240" t="n"/>
      <c r="OP91" s="240" t="n"/>
      <c r="OR91" s="15" t="n"/>
      <c r="OS91" s="15" t="n"/>
      <c r="OT91" s="248" t="n"/>
      <c r="OU91" s="248" t="n"/>
      <c r="OV91" s="240" t="n"/>
      <c r="OW91" s="240" t="n"/>
      <c r="OY91" s="15" t="n"/>
      <c r="OZ91" s="15" t="n"/>
      <c r="PA91" s="248" t="n"/>
      <c r="PB91" s="248" t="n"/>
      <c r="PC91" s="240" t="n"/>
      <c r="PD91" s="240" t="n"/>
      <c r="PF91" s="15" t="n"/>
      <c r="PG91" s="15" t="n"/>
      <c r="PH91" s="248" t="n"/>
      <c r="PI91" s="248" t="n"/>
      <c r="PJ91" s="240" t="n"/>
      <c r="PK91" s="240" t="n"/>
      <c r="PM91" s="15" t="n"/>
      <c r="PN91" s="15" t="n"/>
      <c r="PO91" s="248" t="n"/>
      <c r="PP91" s="248" t="n"/>
      <c r="PQ91" s="240" t="n"/>
      <c r="PR91" s="240" t="n"/>
      <c r="PT91" s="15" t="n"/>
      <c r="PU91" s="15" t="n"/>
      <c r="PV91" s="248" t="n"/>
      <c r="PW91" s="248" t="n"/>
      <c r="PX91" s="240" t="n"/>
      <c r="PY91" s="240" t="n"/>
      <c r="QA91" s="15" t="n"/>
      <c r="QB91" s="15" t="n"/>
      <c r="QC91" s="248" t="n"/>
      <c r="QD91" s="248" t="n"/>
      <c r="QE91" s="240" t="n"/>
      <c r="QF91" s="240" t="n"/>
      <c r="QH91" s="15" t="n"/>
      <c r="QI91" s="15" t="n"/>
      <c r="QJ91" s="248" t="n"/>
      <c r="QK91" s="248" t="n"/>
      <c r="QL91" s="240" t="n"/>
      <c r="QM91" s="240" t="n"/>
      <c r="QO91" s="15" t="n"/>
      <c r="QP91" s="15" t="n"/>
      <c r="QQ91" s="248" t="n"/>
      <c r="QR91" s="248" t="n"/>
      <c r="QS91" s="240" t="n"/>
      <c r="QT91" s="240" t="n"/>
      <c r="QV91" s="15" t="n"/>
      <c r="QW91" s="15" t="n"/>
      <c r="QX91" s="248" t="n"/>
      <c r="QY91" s="248" t="n"/>
      <c r="QZ91" s="240" t="n"/>
      <c r="RA91" s="240" t="n"/>
      <c r="RC91" s="15" t="n"/>
      <c r="RD91" s="15" t="n"/>
      <c r="RE91" s="248" t="n"/>
      <c r="RF91" s="248" t="n"/>
      <c r="RG91" s="240" t="n"/>
      <c r="RH91" s="240" t="n"/>
      <c r="RJ91" s="15" t="n"/>
      <c r="RK91" s="15" t="n"/>
      <c r="RL91" s="248" t="n"/>
      <c r="RM91" s="248" t="n"/>
      <c r="RN91" s="240" t="n"/>
      <c r="RO91" s="240" t="n"/>
      <c r="RQ91" s="15" t="n"/>
      <c r="RR91" s="15" t="n"/>
      <c r="RS91" s="248" t="n"/>
      <c r="RT91" s="248" t="n"/>
      <c r="RU91" s="240" t="n"/>
      <c r="RV91" s="240" t="n"/>
      <c r="RX91" s="15" t="n"/>
      <c r="RY91" s="15" t="n"/>
      <c r="RZ91" s="248" t="n"/>
      <c r="SA91" s="248" t="n"/>
      <c r="SB91" s="240" t="n"/>
      <c r="SC91" s="240" t="n"/>
      <c r="SE91" s="15" t="n"/>
      <c r="SF91" s="15" t="n"/>
      <c r="SG91" s="248" t="n"/>
      <c r="SH91" s="248" t="n"/>
      <c r="SI91" s="240" t="n"/>
      <c r="SJ91" s="240" t="n"/>
      <c r="SL91" s="15" t="n"/>
      <c r="SM91" s="15" t="n"/>
      <c r="SN91" s="248" t="n"/>
      <c r="SO91" s="248" t="n"/>
      <c r="SP91" s="240" t="n"/>
      <c r="SQ91" s="240" t="n"/>
      <c r="SS91" s="15" t="n"/>
      <c r="ST91" s="15" t="n"/>
      <c r="SU91" s="248" t="n"/>
      <c r="SV91" s="248" t="n"/>
      <c r="SW91" s="240" t="n"/>
      <c r="SX91" s="240" t="n"/>
      <c r="SZ91" s="15" t="n"/>
      <c r="TA91" s="15" t="n"/>
      <c r="TB91" s="248" t="n"/>
      <c r="TC91" s="248" t="n"/>
      <c r="TD91" s="240" t="n"/>
      <c r="TE91" s="240" t="n"/>
      <c r="TG91" s="15" t="n"/>
      <c r="TH91" s="15" t="n"/>
      <c r="TI91" s="248" t="n"/>
      <c r="TJ91" s="248" t="n"/>
      <c r="TK91" s="240" t="n"/>
      <c r="TL91" s="240" t="n"/>
      <c r="TN91" s="15" t="n"/>
      <c r="TO91" s="15" t="n"/>
      <c r="TP91" s="248" t="n"/>
      <c r="TQ91" s="248" t="n"/>
      <c r="TR91" s="240" t="n"/>
      <c r="TS91" s="240" t="n"/>
      <c r="TU91" s="15" t="n"/>
      <c r="TV91" s="15" t="n"/>
      <c r="TW91" s="248" t="n"/>
      <c r="TX91" s="248" t="n"/>
      <c r="TY91" s="240" t="n"/>
      <c r="TZ91" s="240" t="n"/>
      <c r="UB91" s="15" t="n"/>
      <c r="UC91" s="15" t="n"/>
      <c r="UD91" s="248" t="n"/>
      <c r="UE91" s="248" t="n"/>
      <c r="UF91" s="240" t="n"/>
      <c r="UG91" s="240" t="n"/>
      <c r="UI91" s="15" t="n"/>
      <c r="UJ91" s="15" t="n"/>
      <c r="UK91" s="248" t="n"/>
      <c r="UL91" s="248" t="n"/>
      <c r="UM91" s="240" t="n"/>
      <c r="UN91" s="240" t="n"/>
      <c r="UP91" s="15" t="n"/>
      <c r="UQ91" s="15" t="n"/>
      <c r="UR91" s="248" t="n"/>
      <c r="US91" s="248" t="n"/>
      <c r="UT91" s="240" t="n"/>
      <c r="UU91" s="240" t="n"/>
      <c r="UW91" s="15" t="n"/>
      <c r="UX91" s="15" t="n"/>
      <c r="UY91" s="248" t="n"/>
      <c r="UZ91" s="248" t="n"/>
      <c r="VA91" s="240" t="n"/>
      <c r="VB91" s="240" t="n"/>
      <c r="VD91" s="15" t="n"/>
      <c r="VE91" s="15" t="n"/>
      <c r="VF91" s="248" t="n"/>
      <c r="VG91" s="248" t="n"/>
      <c r="VH91" s="240" t="n"/>
      <c r="VI91" s="240" t="n"/>
      <c r="VK91" s="15" t="n"/>
      <c r="VL91" s="15" t="n"/>
      <c r="VM91" s="248" t="n"/>
      <c r="VN91" s="248" t="n"/>
      <c r="VO91" s="240" t="n"/>
      <c r="VP91" s="240" t="n"/>
      <c r="VR91" s="15" t="n"/>
      <c r="VS91" s="15" t="n"/>
      <c r="VT91" s="248" t="n"/>
      <c r="VU91" s="248" t="n"/>
      <c r="VV91" s="240" t="n"/>
      <c r="VW91" s="240" t="n"/>
      <c r="VY91" s="15" t="n"/>
      <c r="VZ91" s="15" t="n"/>
      <c r="WA91" s="248" t="n"/>
      <c r="WB91" s="248" t="n"/>
      <c r="WC91" s="240" t="n"/>
      <c r="WD91" s="240" t="n"/>
      <c r="WF91" s="15" t="n"/>
      <c r="WG91" s="15" t="n"/>
      <c r="WH91" s="248" t="n"/>
      <c r="WI91" s="248" t="n"/>
      <c r="WJ91" s="240" t="n"/>
      <c r="WK91" s="240" t="n"/>
      <c r="WM91" s="15" t="n"/>
      <c r="WN91" s="15" t="n"/>
      <c r="WO91" s="248" t="n"/>
      <c r="WP91" s="248" t="n"/>
      <c r="WQ91" s="240" t="n"/>
      <c r="WR91" s="240" t="n"/>
      <c r="WT91" s="15" t="n"/>
      <c r="WU91" s="15" t="n"/>
      <c r="WV91" s="248" t="n"/>
      <c r="WW91" s="248" t="n"/>
      <c r="WX91" s="240" t="n"/>
      <c r="WY91" s="240" t="n"/>
      <c r="XA91" s="15" t="n"/>
      <c r="XB91" s="15" t="n"/>
      <c r="XC91" s="248" t="n"/>
      <c r="XD91" s="248" t="n"/>
      <c r="XE91" s="240" t="n"/>
      <c r="XF91" s="240" t="n"/>
      <c r="XH91" s="15" t="n"/>
      <c r="XI91" s="15" t="n"/>
      <c r="XJ91" s="248" t="n"/>
      <c r="XK91" s="248" t="n"/>
      <c r="XL91" s="240" t="n"/>
      <c r="XM91" s="240" t="n"/>
      <c r="XO91" s="15" t="n"/>
      <c r="XP91" s="15" t="n"/>
      <c r="XQ91" s="248" t="n"/>
      <c r="XR91" s="248" t="n"/>
      <c r="XS91" s="240" t="n"/>
      <c r="XT91" s="240" t="n"/>
      <c r="XV91" s="15" t="n"/>
      <c r="XW91" s="15" t="n"/>
      <c r="XX91" s="248" t="n"/>
      <c r="XY91" s="248" t="n"/>
      <c r="XZ91" s="240" t="n"/>
      <c r="YA91" s="240" t="n"/>
      <c r="YC91" s="15" t="n"/>
      <c r="YD91" s="15" t="n"/>
      <c r="YE91" s="248" t="n"/>
      <c r="YF91" s="248" t="n"/>
      <c r="YG91" s="240" t="n"/>
      <c r="YH91" s="240" t="n"/>
      <c r="YJ91" s="15" t="n"/>
      <c r="YK91" s="15" t="n"/>
      <c r="YL91" s="248" t="n"/>
      <c r="YM91" s="248" t="n"/>
      <c r="YN91" s="240" t="n"/>
      <c r="YO91" s="240" t="n"/>
      <c r="YQ91" s="15" t="n"/>
      <c r="YR91" s="15" t="n"/>
      <c r="YS91" s="248" t="n"/>
      <c r="YT91" s="248" t="n"/>
      <c r="YU91" s="240" t="n"/>
      <c r="YV91" s="240" t="n"/>
      <c r="YX91" s="15" t="n"/>
      <c r="YY91" s="15" t="n"/>
      <c r="YZ91" s="248" t="n"/>
      <c r="ZA91" s="248" t="n"/>
      <c r="ZB91" s="240" t="n"/>
      <c r="ZC91" s="240" t="n"/>
      <c r="ZE91" s="15" t="n"/>
      <c r="ZF91" s="15" t="n"/>
      <c r="ZG91" s="248" t="n"/>
      <c r="ZH91" s="248" t="n"/>
      <c r="ZI91" s="240" t="n"/>
      <c r="ZJ91" s="240" t="n"/>
      <c r="ZL91" s="15" t="n"/>
      <c r="ZM91" s="15" t="n"/>
      <c r="ZN91" s="248" t="n"/>
      <c r="ZO91" s="248" t="n"/>
      <c r="ZP91" s="240" t="n"/>
      <c r="ZQ91" s="240" t="n"/>
      <c r="ZS91" s="15" t="n"/>
      <c r="ZT91" s="15" t="n"/>
      <c r="ZU91" s="248" t="n"/>
      <c r="ZV91" s="248" t="n"/>
      <c r="ZW91" s="240" t="n"/>
      <c r="ZX91" s="240" t="n"/>
      <c r="ZZ91" s="15" t="n"/>
      <c r="AAA91" s="15" t="n"/>
      <c r="AAB91" s="248" t="n"/>
      <c r="AAC91" s="248" t="n"/>
      <c r="AAD91" s="240" t="n"/>
      <c r="AAE91" s="240" t="n"/>
      <c r="AAG91" s="15" t="n"/>
      <c r="AAH91" s="15" t="n"/>
      <c r="AAI91" s="248" t="n"/>
      <c r="AAJ91" s="248" t="n"/>
      <c r="AAK91" s="240" t="n"/>
      <c r="AAL91" s="240" t="n"/>
      <c r="AAN91" s="15" t="n"/>
      <c r="AAO91" s="15" t="n"/>
      <c r="AAP91" s="248" t="n"/>
      <c r="AAQ91" s="248" t="n"/>
      <c r="AAR91" s="240" t="n"/>
      <c r="AAS91" s="240" t="n"/>
      <c r="AAU91" s="15" t="n"/>
      <c r="AAV91" s="15" t="n"/>
      <c r="AAW91" s="248" t="n"/>
      <c r="AAX91" s="248" t="n"/>
      <c r="AAY91" s="240" t="n"/>
      <c r="AAZ91" s="240" t="n"/>
      <c r="ABB91" s="15" t="n"/>
      <c r="ABC91" s="15" t="n"/>
      <c r="ABD91" s="248" t="n"/>
      <c r="ABE91" s="248" t="n"/>
      <c r="ABF91" s="240" t="n"/>
      <c r="ABG91" s="240" t="n"/>
      <c r="ABI91" s="15" t="n"/>
      <c r="ABJ91" s="15" t="n"/>
      <c r="ABK91" s="248" t="n"/>
      <c r="ABL91" s="248" t="n"/>
      <c r="ABM91" s="240" t="n"/>
      <c r="ABN91" s="240" t="n"/>
      <c r="ABP91" s="15" t="n"/>
      <c r="ABQ91" s="15" t="n"/>
      <c r="ABR91" s="248" t="n"/>
      <c r="ABS91" s="248" t="n"/>
      <c r="ABT91" s="240" t="n"/>
      <c r="ABU91" s="240" t="n"/>
      <c r="ABW91" s="15" t="n"/>
      <c r="ABX91" s="15" t="n"/>
      <c r="ABY91" s="248" t="n"/>
      <c r="ABZ91" s="248" t="n"/>
      <c r="ACA91" s="240" t="n"/>
      <c r="ACB91" s="240" t="n"/>
      <c r="ACD91" s="15" t="n"/>
      <c r="ACE91" s="15" t="n"/>
      <c r="ACF91" s="248" t="n"/>
      <c r="ACG91" s="248" t="n"/>
      <c r="ACH91" s="240" t="n"/>
      <c r="ACI91" s="240" t="n"/>
      <c r="ACK91" s="15" t="n"/>
      <c r="ACL91" s="15" t="n"/>
      <c r="ACM91" s="248" t="n"/>
      <c r="ACN91" s="248" t="n"/>
      <c r="ACO91" s="240" t="n"/>
      <c r="ACP91" s="240" t="n"/>
      <c r="ACR91" s="15" t="n"/>
      <c r="ACS91" s="15" t="n"/>
      <c r="ACT91" s="248" t="n"/>
      <c r="ACU91" s="248" t="n"/>
      <c r="ACV91" s="240" t="n"/>
      <c r="ACW91" s="240" t="n"/>
      <c r="ACY91" s="15" t="n"/>
      <c r="ACZ91" s="15" t="n"/>
      <c r="ADA91" s="248" t="n"/>
      <c r="ADB91" s="248" t="n"/>
      <c r="ADC91" s="240" t="n"/>
      <c r="ADD91" s="240" t="n"/>
      <c r="ADF91" s="15" t="n"/>
      <c r="ADG91" s="15" t="n"/>
      <c r="ADH91" s="248" t="n"/>
      <c r="ADI91" s="248" t="n"/>
      <c r="ADJ91" s="240" t="n"/>
      <c r="ADK91" s="240" t="n"/>
      <c r="ADM91" s="15" t="n"/>
      <c r="ADN91" s="15" t="n"/>
      <c r="ADO91" s="248" t="n"/>
      <c r="ADP91" s="248" t="n"/>
      <c r="ADQ91" s="240" t="n"/>
      <c r="ADR91" s="240" t="n"/>
      <c r="ADT91" s="15" t="n"/>
      <c r="ADU91" s="15" t="n"/>
      <c r="ADV91" s="248" t="n"/>
      <c r="ADW91" s="248" t="n"/>
      <c r="ADX91" s="240" t="n"/>
      <c r="ADY91" s="240" t="n"/>
      <c r="AEA91" s="15" t="n"/>
      <c r="AEB91" s="15" t="n"/>
      <c r="AEC91" s="248" t="n"/>
      <c r="AED91" s="248" t="n"/>
      <c r="AEE91" s="240" t="n"/>
      <c r="AEF91" s="240" t="n"/>
      <c r="AEH91" s="15" t="n"/>
      <c r="AEI91" s="15" t="n"/>
      <c r="AEJ91" s="248" t="n"/>
      <c r="AEK91" s="248" t="n"/>
      <c r="AEL91" s="240" t="n"/>
      <c r="AEM91" s="240" t="n"/>
      <c r="AEO91" s="15" t="n"/>
      <c r="AEP91" s="15" t="n"/>
      <c r="AEQ91" s="248" t="n"/>
      <c r="AER91" s="248" t="n"/>
      <c r="AES91" s="240" t="n"/>
      <c r="AET91" s="240" t="n"/>
      <c r="AEV91" s="15" t="n"/>
      <c r="AEW91" s="15" t="n"/>
      <c r="AEX91" s="248" t="n"/>
      <c r="AEY91" s="248" t="n"/>
      <c r="AEZ91" s="240" t="n"/>
      <c r="AFA91" s="240" t="n"/>
      <c r="AFC91" s="15" t="n"/>
      <c r="AFD91" s="15" t="n"/>
      <c r="AFE91" s="248" t="n"/>
      <c r="AFF91" s="248" t="n"/>
      <c r="AFG91" s="240" t="n"/>
      <c r="AFH91" s="240" t="n"/>
      <c r="AFJ91" s="15" t="n"/>
      <c r="AFK91" s="15" t="n"/>
      <c r="AFL91" s="248" t="n"/>
      <c r="AFM91" s="248" t="n"/>
      <c r="AFN91" s="240" t="n"/>
      <c r="AFO91" s="240" t="n"/>
      <c r="AFQ91" s="15" t="n"/>
      <c r="AFR91" s="15" t="n"/>
      <c r="AFS91" s="248" t="n"/>
      <c r="AFT91" s="248" t="n"/>
      <c r="AFU91" s="240" t="n"/>
      <c r="AFV91" s="240" t="n"/>
      <c r="AFX91" s="15" t="n"/>
      <c r="AFY91" s="15" t="n"/>
      <c r="AFZ91" s="248" t="n"/>
      <c r="AGA91" s="248" t="n"/>
      <c r="AGB91" s="240" t="n"/>
      <c r="AGC91" s="240" t="n"/>
      <c r="AGE91" s="15" t="n"/>
      <c r="AGF91" s="15" t="n"/>
      <c r="AGG91" s="248" t="n"/>
      <c r="AGH91" s="248" t="n"/>
      <c r="AGI91" s="240" t="n"/>
      <c r="AGJ91" s="240" t="n"/>
      <c r="AGL91" s="15" t="n"/>
      <c r="AGM91" s="15" t="n"/>
      <c r="AGN91" s="248" t="n"/>
      <c r="AGO91" s="248" t="n"/>
      <c r="AGP91" s="240" t="n"/>
      <c r="AGQ91" s="240" t="n"/>
      <c r="AGS91" s="15" t="n"/>
      <c r="AGT91" s="15" t="n"/>
      <c r="AGU91" s="248" t="n"/>
      <c r="AGV91" s="248" t="n"/>
      <c r="AGW91" s="240" t="n"/>
      <c r="AGX91" s="240" t="n"/>
      <c r="AGZ91" s="15" t="n"/>
      <c r="AHA91" s="15" t="n"/>
      <c r="AHB91" s="248" t="n"/>
      <c r="AHC91" s="248" t="n"/>
      <c r="AHD91" s="240" t="n"/>
      <c r="AHE91" s="240" t="n"/>
      <c r="AHG91" s="15" t="n"/>
      <c r="AHH91" s="15" t="n"/>
      <c r="AHI91" s="248" t="n"/>
      <c r="AHJ91" s="248" t="n"/>
      <c r="AHK91" s="240" t="n"/>
      <c r="AHL91" s="240" t="n"/>
      <c r="AHN91" s="15" t="n"/>
      <c r="AHO91" s="15" t="n"/>
      <c r="AHP91" s="248" t="n"/>
      <c r="AHQ91" s="248" t="n"/>
      <c r="AHR91" s="240" t="n"/>
      <c r="AHS91" s="240" t="n"/>
      <c r="AHU91" s="15" t="n"/>
      <c r="AHV91" s="15" t="n"/>
      <c r="AHW91" s="248" t="n"/>
      <c r="AHX91" s="248" t="n"/>
      <c r="AHY91" s="240" t="n"/>
      <c r="AHZ91" s="240" t="n"/>
      <c r="AIB91" s="15" t="n"/>
      <c r="AIC91" s="15" t="n"/>
      <c r="AID91" s="248" t="n"/>
      <c r="AIE91" s="248" t="n"/>
      <c r="AIF91" s="240" t="n"/>
      <c r="AIG91" s="240" t="n"/>
      <c r="AII91" s="15" t="n"/>
      <c r="AIJ91" s="15" t="n"/>
      <c r="AIK91" s="248" t="n"/>
      <c r="AIL91" s="248" t="n"/>
      <c r="AIM91" s="240" t="n"/>
      <c r="AIN91" s="240" t="n"/>
      <c r="AIP91" s="15" t="n"/>
      <c r="AIQ91" s="15" t="n"/>
      <c r="AIR91" s="248" t="n"/>
      <c r="AIS91" s="248" t="n"/>
      <c r="AIT91" s="240" t="n"/>
      <c r="AIU91" s="240" t="n"/>
      <c r="AIW91" s="15" t="n"/>
      <c r="AIX91" s="15" t="n"/>
      <c r="AIY91" s="248" t="n"/>
      <c r="AIZ91" s="248" t="n"/>
      <c r="AJA91" s="240" t="n"/>
      <c r="AJB91" s="240" t="n"/>
      <c r="AJD91" s="15" t="n"/>
      <c r="AJE91" s="15" t="n"/>
      <c r="AJF91" s="248" t="n"/>
      <c r="AJG91" s="248" t="n"/>
      <c r="AJH91" s="240" t="n"/>
      <c r="AJI91" s="240" t="n"/>
      <c r="AJK91" s="15" t="n"/>
      <c r="AJL91" s="15" t="n"/>
      <c r="AJM91" s="248" t="n"/>
      <c r="AJN91" s="248" t="n"/>
      <c r="AJO91" s="240" t="n"/>
      <c r="AJP91" s="240" t="n"/>
      <c r="AJR91" s="15" t="n"/>
      <c r="AJS91" s="15" t="n"/>
      <c r="AJT91" s="248" t="n"/>
      <c r="AJU91" s="248" t="n"/>
      <c r="AJV91" s="240" t="n"/>
      <c r="AJW91" s="240" t="n"/>
      <c r="AJY91" s="15" t="n"/>
      <c r="AJZ91" s="15" t="n"/>
      <c r="AKA91" s="248" t="n"/>
      <c r="AKB91" s="248" t="n"/>
      <c r="AKC91" s="240" t="n"/>
      <c r="AKD91" s="240" t="n"/>
      <c r="AKF91" s="15" t="n"/>
      <c r="AKG91" s="15" t="n"/>
      <c r="AKH91" s="248" t="n"/>
      <c r="AKI91" s="248" t="n"/>
      <c r="AKJ91" s="240" t="n"/>
      <c r="AKK91" s="240" t="n"/>
      <c r="AKM91" s="15" t="n"/>
      <c r="AKN91" s="15" t="n"/>
      <c r="AKO91" s="248" t="n"/>
      <c r="AKP91" s="248" t="n"/>
      <c r="AKQ91" s="240" t="n"/>
      <c r="AKR91" s="240" t="n"/>
      <c r="AKT91" s="15" t="n"/>
      <c r="AKU91" s="15" t="n"/>
      <c r="AKV91" s="248" t="n"/>
      <c r="AKW91" s="248" t="n"/>
      <c r="AKX91" s="240" t="n"/>
      <c r="AKY91" s="240" t="n"/>
      <c r="ALA91" s="15" t="n"/>
      <c r="ALB91" s="15" t="n"/>
      <c r="ALC91" s="248" t="n"/>
      <c r="ALD91" s="248" t="n"/>
      <c r="ALE91" s="240" t="n"/>
      <c r="ALF91" s="240" t="n"/>
      <c r="ALH91" s="15" t="n"/>
      <c r="ALI91" s="15" t="n"/>
      <c r="ALJ91" s="248" t="n"/>
      <c r="ALK91" s="248" t="n"/>
      <c r="ALL91" s="240" t="n"/>
      <c r="ALM91" s="240" t="n"/>
      <c r="ALO91" s="15" t="n"/>
      <c r="ALP91" s="15" t="n"/>
      <c r="ALQ91" s="248" t="n"/>
      <c r="ALR91" s="248" t="n"/>
      <c r="ALS91" s="240" t="n"/>
      <c r="ALT91" s="240" t="n"/>
      <c r="ALV91" s="15" t="n"/>
      <c r="ALW91" s="15" t="n"/>
      <c r="ALX91" s="248" t="n"/>
      <c r="ALY91" s="248" t="n"/>
      <c r="ALZ91" s="240" t="n"/>
      <c r="AMA91" s="240" t="n"/>
      <c r="AMC91" s="15" t="n"/>
      <c r="AMD91" s="15" t="n"/>
      <c r="AME91" s="248" t="n"/>
      <c r="AMF91" s="248" t="n"/>
      <c r="AMG91" s="240" t="n"/>
      <c r="AMH91" s="240" t="n"/>
      <c r="AMJ91" s="15" t="n"/>
      <c r="AMK91" s="15" t="n"/>
      <c r="AML91" s="248" t="n"/>
      <c r="AMM91" s="248" t="n"/>
      <c r="AMN91" s="240" t="n"/>
      <c r="AMO91" s="240" t="n"/>
      <c r="AMQ91" s="15" t="n"/>
      <c r="AMR91" s="15" t="n"/>
      <c r="AMS91" s="248" t="n"/>
      <c r="AMT91" s="248" t="n"/>
      <c r="AMU91" s="240" t="n"/>
      <c r="AMV91" s="240" t="n"/>
      <c r="AMX91" s="15" t="n"/>
      <c r="AMY91" s="15" t="n"/>
      <c r="AMZ91" s="248" t="n"/>
      <c r="ANA91" s="248" t="n"/>
      <c r="ANB91" s="240" t="n"/>
      <c r="ANC91" s="240" t="n"/>
      <c r="ANE91" s="15" t="n"/>
      <c r="ANF91" s="15" t="n"/>
      <c r="ANG91" s="248" t="n"/>
      <c r="ANH91" s="248" t="n"/>
      <c r="ANI91" s="240" t="n"/>
      <c r="ANJ91" s="240" t="n"/>
      <c r="ANL91" s="15" t="n"/>
      <c r="ANM91" s="15" t="n"/>
      <c r="ANN91" s="248" t="n"/>
      <c r="ANO91" s="248" t="n"/>
      <c r="ANP91" s="240" t="n"/>
      <c r="ANQ91" s="240" t="n"/>
      <c r="ANS91" s="15" t="n"/>
      <c r="ANT91" s="15" t="n"/>
      <c r="ANU91" s="248" t="n"/>
      <c r="ANV91" s="248" t="n"/>
      <c r="ANW91" s="240" t="n"/>
      <c r="ANX91" s="240" t="n"/>
      <c r="ANZ91" s="15" t="n"/>
      <c r="AOA91" s="15" t="n"/>
      <c r="AOB91" s="248" t="n"/>
      <c r="AOC91" s="248" t="n"/>
      <c r="AOD91" s="240" t="n"/>
      <c r="AOE91" s="240" t="n"/>
      <c r="AOG91" s="15" t="n"/>
      <c r="AOH91" s="15" t="n"/>
      <c r="AOI91" s="248" t="n"/>
      <c r="AOJ91" s="248" t="n"/>
      <c r="AOK91" s="240" t="n"/>
      <c r="AOL91" s="240" t="n"/>
      <c r="AON91" s="15" t="n"/>
      <c r="AOO91" s="15" t="n"/>
      <c r="AOP91" s="248" t="n"/>
      <c r="AOQ91" s="248" t="n"/>
      <c r="AOR91" s="240" t="n"/>
      <c r="AOS91" s="240" t="n"/>
      <c r="AOU91" s="15" t="n"/>
      <c r="AOV91" s="15" t="n"/>
      <c r="AOW91" s="248" t="n"/>
      <c r="AOX91" s="248" t="n"/>
      <c r="AOY91" s="240" t="n"/>
      <c r="AOZ91" s="240" t="n"/>
      <c r="APB91" s="15" t="n"/>
      <c r="APC91" s="15" t="n"/>
      <c r="APD91" s="248" t="n"/>
      <c r="APE91" s="248" t="n"/>
      <c r="APF91" s="240" t="n"/>
      <c r="APG91" s="240" t="n"/>
      <c r="API91" s="15" t="n"/>
      <c r="APJ91" s="15" t="n"/>
      <c r="APK91" s="248" t="n"/>
      <c r="APL91" s="248" t="n"/>
      <c r="APM91" s="240" t="n"/>
      <c r="APN91" s="240" t="n"/>
      <c r="APP91" s="15" t="n"/>
      <c r="APQ91" s="15" t="n"/>
      <c r="APR91" s="248" t="n"/>
      <c r="APS91" s="248" t="n"/>
      <c r="APT91" s="240" t="n"/>
      <c r="APU91" s="240" t="n"/>
      <c r="APW91" s="15" t="n"/>
      <c r="APX91" s="15" t="n"/>
      <c r="APY91" s="248" t="n"/>
      <c r="APZ91" s="248" t="n"/>
      <c r="AQA91" s="240" t="n"/>
      <c r="AQB91" s="240" t="n"/>
      <c r="AQD91" s="15" t="n"/>
      <c r="AQE91" s="15" t="n"/>
      <c r="AQF91" s="248" t="n"/>
      <c r="AQG91" s="248" t="n"/>
      <c r="AQH91" s="240" t="n"/>
      <c r="AQI91" s="240" t="n"/>
      <c r="AQK91" s="15" t="n"/>
      <c r="AQL91" s="15" t="n"/>
      <c r="AQM91" s="248" t="n"/>
      <c r="AQN91" s="248" t="n"/>
      <c r="AQO91" s="240" t="n"/>
      <c r="AQP91" s="240" t="n"/>
      <c r="AQR91" s="15" t="n"/>
      <c r="AQS91" s="15" t="n"/>
      <c r="AQT91" s="248" t="n"/>
      <c r="AQU91" s="248" t="n"/>
      <c r="AQV91" s="240" t="n"/>
      <c r="AQW91" s="240" t="n"/>
      <c r="AQY91" s="15" t="n"/>
      <c r="AQZ91" s="15" t="n"/>
      <c r="ARA91" s="248" t="n"/>
      <c r="ARB91" s="248" t="n"/>
      <c r="ARC91" s="240" t="n"/>
      <c r="ARD91" s="240" t="n"/>
      <c r="ARF91" s="15" t="n"/>
      <c r="ARG91" s="15" t="n"/>
      <c r="ARH91" s="248" t="n"/>
      <c r="ARI91" s="248" t="n"/>
      <c r="ARJ91" s="240" t="n"/>
      <c r="ARK91" s="240" t="n"/>
      <c r="ARM91" s="15" t="n"/>
      <c r="ARN91" s="15" t="n"/>
      <c r="ARO91" s="248" t="n"/>
      <c r="ARP91" s="248" t="n"/>
      <c r="ARQ91" s="240" t="n"/>
      <c r="ARR91" s="240" t="n"/>
      <c r="ART91" s="15" t="n"/>
      <c r="ARU91" s="15" t="n"/>
      <c r="ARV91" s="248" t="n"/>
      <c r="ARW91" s="248" t="n"/>
      <c r="ARX91" s="240" t="n"/>
      <c r="ARY91" s="240" t="n"/>
      <c r="ASA91" s="15" t="n"/>
      <c r="ASB91" s="15" t="n"/>
      <c r="ASC91" s="248" t="n"/>
      <c r="ASD91" s="248" t="n"/>
      <c r="ASE91" s="240" t="n"/>
      <c r="ASF91" s="240" t="n"/>
      <c r="ASH91" s="15" t="n"/>
      <c r="ASI91" s="15" t="n"/>
      <c r="ASJ91" s="248" t="n"/>
      <c r="ASK91" s="248" t="n"/>
      <c r="ASL91" s="240" t="n"/>
      <c r="ASM91" s="240" t="n"/>
      <c r="ASO91" s="15" t="n"/>
      <c r="ASP91" s="15" t="n"/>
      <c r="ASQ91" s="248" t="n"/>
      <c r="ASR91" s="248" t="n"/>
      <c r="ASS91" s="240" t="n"/>
      <c r="AST91" s="240" t="n"/>
      <c r="ASV91" s="15" t="n"/>
      <c r="ASW91" s="15" t="n"/>
      <c r="ASX91" s="248" t="n"/>
      <c r="ASY91" s="248" t="n"/>
      <c r="ASZ91" s="240" t="n"/>
      <c r="ATA91" s="240" t="n"/>
      <c r="ATC91" s="15" t="n"/>
      <c r="ATD91" s="15" t="n"/>
      <c r="ATE91" s="248" t="n"/>
      <c r="ATF91" s="248" t="n"/>
      <c r="ATG91" s="240" t="n"/>
      <c r="ATH91" s="240" t="n"/>
      <c r="ATJ91" s="15" t="n"/>
      <c r="ATK91" s="15" t="n"/>
      <c r="ATL91" s="248" t="n"/>
      <c r="ATM91" s="248" t="n"/>
      <c r="ATN91" s="240" t="n"/>
      <c r="ATO91" s="240" t="n"/>
      <c r="ATQ91" s="15" t="n"/>
      <c r="ATR91" s="15" t="n"/>
      <c r="ATS91" s="248" t="n"/>
      <c r="ATT91" s="248" t="n"/>
      <c r="ATU91" s="240" t="n"/>
      <c r="ATV91" s="240" t="n"/>
      <c r="ATX91" s="15" t="n"/>
      <c r="ATY91" s="15" t="n"/>
      <c r="ATZ91" s="248" t="n"/>
      <c r="AUA91" s="248" t="n"/>
      <c r="AUB91" s="240" t="n"/>
      <c r="AUC91" s="240" t="n"/>
      <c r="AUE91" s="15" t="n"/>
      <c r="AUF91" s="15" t="n"/>
      <c r="AUG91" s="248" t="n"/>
      <c r="AUH91" s="248" t="n"/>
      <c r="AUI91" s="240" t="n"/>
      <c r="AUJ91" s="240" t="n"/>
      <c r="AUL91" s="15" t="n"/>
      <c r="AUM91" s="15" t="n"/>
      <c r="AUN91" s="248" t="n"/>
      <c r="AUO91" s="248" t="n"/>
      <c r="AUP91" s="240" t="n"/>
      <c r="AUQ91" s="240" t="n"/>
      <c r="AUS91" s="15" t="n"/>
      <c r="AUT91" s="15" t="n"/>
      <c r="AUU91" s="248" t="n"/>
      <c r="AUV91" s="248" t="n"/>
      <c r="AUW91" s="240" t="n"/>
      <c r="AUX91" s="240" t="n"/>
      <c r="AUZ91" s="15" t="n"/>
      <c r="AVA91" s="15" t="n"/>
      <c r="AVB91" s="248" t="n"/>
      <c r="AVC91" s="248" t="n"/>
      <c r="AVD91" s="240" t="n"/>
      <c r="AVE91" s="240" t="n"/>
      <c r="AVG91" s="15" t="n"/>
      <c r="AVH91" s="15" t="n"/>
      <c r="AVI91" s="248" t="n"/>
      <c r="AVJ91" s="248" t="n"/>
      <c r="AVK91" s="240" t="n"/>
      <c r="AVL91" s="240" t="n"/>
      <c r="AVN91" s="15" t="n"/>
      <c r="AVO91" s="15" t="n"/>
      <c r="AVP91" s="248" t="n"/>
      <c r="AVQ91" s="248" t="n"/>
      <c r="AVR91" s="240" t="n"/>
      <c r="AVS91" s="240" t="n"/>
      <c r="AVU91" s="15" t="n"/>
      <c r="AVV91" s="15" t="n"/>
      <c r="AVW91" s="248" t="n"/>
      <c r="AVX91" s="248" t="n"/>
      <c r="AVY91" s="240" t="n"/>
      <c r="AVZ91" s="240" t="n"/>
      <c r="AWB91" s="15" t="n"/>
      <c r="AWC91" s="15" t="n"/>
      <c r="AWD91" s="248" t="n"/>
      <c r="AWE91" s="248" t="n"/>
      <c r="AWF91" s="240" t="n"/>
      <c r="AWG91" s="240" t="n"/>
      <c r="AWI91" s="15" t="n"/>
      <c r="AWJ91" s="15" t="n"/>
      <c r="AWK91" s="248" t="n"/>
      <c r="AWL91" s="248" t="n"/>
      <c r="AWM91" s="240" t="n"/>
      <c r="AWN91" s="240" t="n"/>
      <c r="AWP91" s="15" t="n"/>
      <c r="AWQ91" s="15" t="n"/>
      <c r="AWR91" s="248" t="n"/>
      <c r="AWS91" s="248" t="n"/>
      <c r="AWT91" s="240" t="n"/>
      <c r="AWU91" s="240" t="n"/>
      <c r="AWW91" s="15" t="n"/>
      <c r="AWX91" s="15" t="n"/>
      <c r="AWY91" s="248" t="n"/>
      <c r="AWZ91" s="248" t="n"/>
      <c r="AXA91" s="240" t="n"/>
      <c r="AXB91" s="240" t="n"/>
      <c r="AXD91" s="15" t="n"/>
      <c r="AXE91" s="15" t="n"/>
      <c r="AXF91" s="248" t="n"/>
      <c r="AXG91" s="248" t="n"/>
      <c r="AXH91" s="240" t="n"/>
      <c r="AXI91" s="240" t="n"/>
      <c r="AXK91" s="15" t="n"/>
      <c r="AXL91" s="15" t="n"/>
      <c r="AXM91" s="248" t="n"/>
      <c r="AXN91" s="248" t="n"/>
      <c r="AXO91" s="240" t="n"/>
      <c r="AXP91" s="240" t="n"/>
      <c r="AXR91" s="15" t="n"/>
      <c r="AXS91" s="15" t="n"/>
      <c r="AXT91" s="248" t="n"/>
      <c r="AXU91" s="248" t="n"/>
      <c r="AXV91" s="240" t="n"/>
      <c r="AXW91" s="240" t="n"/>
      <c r="AXY91" s="15" t="n"/>
      <c r="AXZ91" s="15" t="n"/>
      <c r="AYA91" s="248" t="n"/>
      <c r="AYB91" s="248" t="n"/>
      <c r="AYC91" s="240" t="n"/>
      <c r="AYD91" s="240" t="n"/>
      <c r="AYF91" s="15" t="n"/>
      <c r="AYG91" s="15" t="n"/>
      <c r="AYH91" s="248" t="n"/>
      <c r="AYI91" s="248" t="n"/>
      <c r="AYJ91" s="240" t="n"/>
      <c r="AYK91" s="240" t="n"/>
      <c r="AYM91" s="15" t="n"/>
      <c r="AYN91" s="15" t="n"/>
      <c r="AYO91" s="248" t="n"/>
      <c r="AYP91" s="248" t="n"/>
      <c r="AYQ91" s="240" t="n"/>
      <c r="AYR91" s="240" t="n"/>
      <c r="AYT91" s="15" t="n"/>
      <c r="AYU91" s="15" t="n"/>
      <c r="AYV91" s="248" t="n"/>
      <c r="AYW91" s="248" t="n"/>
      <c r="AYX91" s="240" t="n"/>
      <c r="AYY91" s="240" t="n"/>
      <c r="AZA91" s="15" t="n"/>
      <c r="AZB91" s="15" t="n"/>
      <c r="AZC91" s="248" t="n"/>
      <c r="AZD91" s="248" t="n"/>
      <c r="AZE91" s="240" t="n"/>
      <c r="AZF91" s="240" t="n"/>
      <c r="AZH91" s="15" t="n"/>
      <c r="AZI91" s="15" t="n"/>
      <c r="AZJ91" s="248" t="n"/>
      <c r="AZK91" s="248" t="n"/>
      <c r="AZL91" s="240" t="n"/>
      <c r="AZM91" s="240" t="n"/>
      <c r="AZO91" s="15" t="n"/>
      <c r="AZP91" s="15" t="n"/>
      <c r="AZQ91" s="248" t="n"/>
      <c r="AZR91" s="248" t="n"/>
      <c r="AZS91" s="240" t="n"/>
      <c r="AZT91" s="240" t="n"/>
      <c r="AZV91" s="15" t="n"/>
      <c r="AZW91" s="15" t="n"/>
      <c r="AZX91" s="248" t="n"/>
      <c r="AZY91" s="248" t="n"/>
      <c r="AZZ91" s="240" t="n"/>
      <c r="BAA91" s="240" t="n"/>
      <c r="BAC91" s="15" t="n"/>
      <c r="BAD91" s="15" t="n"/>
      <c r="BAE91" s="248" t="n"/>
      <c r="BAF91" s="248" t="n"/>
      <c r="BAG91" s="240" t="n"/>
      <c r="BAH91" s="240" t="n"/>
      <c r="BAJ91" s="15" t="n"/>
      <c r="BAK91" s="15" t="n"/>
      <c r="BAL91" s="248" t="n"/>
      <c r="BAM91" s="248" t="n"/>
      <c r="BAN91" s="240" t="n"/>
      <c r="BAO91" s="240" t="n"/>
      <c r="BAQ91" s="15" t="n"/>
      <c r="BAR91" s="15" t="n"/>
      <c r="BAS91" s="248" t="n"/>
      <c r="BAT91" s="248" t="n"/>
      <c r="BAU91" s="240" t="n"/>
      <c r="BAV91" s="240" t="n"/>
      <c r="BAX91" s="15" t="n"/>
      <c r="BAY91" s="15" t="n"/>
      <c r="BAZ91" s="248" t="n"/>
      <c r="BBA91" s="248" t="n"/>
      <c r="BBB91" s="240" t="n"/>
      <c r="BBC91" s="240" t="n"/>
      <c r="BBE91" s="15" t="n"/>
      <c r="BBF91" s="15" t="n"/>
      <c r="BBG91" s="248" t="n"/>
      <c r="BBH91" s="248" t="n"/>
      <c r="BBI91" s="240" t="n"/>
      <c r="BBJ91" s="240" t="n"/>
      <c r="BBL91" s="15" t="n"/>
      <c r="BBM91" s="15" t="n"/>
      <c r="BBN91" s="248" t="n"/>
      <c r="BBO91" s="248" t="n"/>
      <c r="BBP91" s="240" t="n"/>
      <c r="BBQ91" s="240" t="n"/>
      <c r="BBS91" s="15" t="n"/>
      <c r="BBT91" s="15" t="n"/>
      <c r="BBU91" s="248" t="n"/>
      <c r="BBV91" s="248" t="n"/>
      <c r="BBW91" s="240" t="n"/>
      <c r="BBX91" s="240" t="n"/>
      <c r="BBZ91" s="15" t="n"/>
      <c r="BCA91" s="15" t="n"/>
      <c r="BCB91" s="248" t="n"/>
      <c r="BCC91" s="248" t="n"/>
      <c r="BCD91" s="240" t="n"/>
      <c r="BCE91" s="240" t="n"/>
      <c r="BCG91" s="15" t="n"/>
      <c r="BCH91" s="15" t="n"/>
      <c r="BCI91" s="248" t="n"/>
      <c r="BCJ91" s="248" t="n"/>
      <c r="BCK91" s="240" t="n"/>
      <c r="BCL91" s="240" t="n"/>
      <c r="BCN91" s="15" t="n"/>
      <c r="BCO91" s="15" t="n"/>
      <c r="BCP91" s="248" t="n"/>
      <c r="BCQ91" s="248" t="n"/>
      <c r="BCR91" s="240" t="n"/>
      <c r="BCS91" s="240" t="n"/>
      <c r="BCU91" s="15" t="n"/>
      <c r="BCV91" s="15" t="n"/>
      <c r="BCW91" s="248" t="n"/>
      <c r="BCX91" s="248" t="n"/>
      <c r="BCY91" s="240" t="n"/>
      <c r="BCZ91" s="240" t="n"/>
      <c r="BDB91" s="15" t="n"/>
      <c r="BDC91" s="15" t="n"/>
      <c r="BDD91" s="248" t="n"/>
      <c r="BDE91" s="248" t="n"/>
      <c r="BDF91" s="240" t="n"/>
      <c r="BDG91" s="240" t="n"/>
      <c r="BDI91" s="15" t="n"/>
      <c r="BDJ91" s="15" t="n"/>
      <c r="BDK91" s="248" t="n"/>
      <c r="BDL91" s="248" t="n"/>
      <c r="BDM91" s="240" t="n"/>
      <c r="BDN91" s="240" t="n"/>
      <c r="BDP91" s="15" t="n"/>
      <c r="BDQ91" s="15" t="n"/>
      <c r="BDR91" s="248" t="n"/>
      <c r="BDS91" s="248" t="n"/>
      <c r="BDT91" s="240" t="n"/>
      <c r="BDU91" s="240" t="n"/>
      <c r="BDW91" s="15" t="n"/>
      <c r="BDX91" s="15" t="n"/>
      <c r="BDY91" s="248" t="n"/>
      <c r="BDZ91" s="248" t="n"/>
      <c r="BEA91" s="240" t="n"/>
      <c r="BEB91" s="240" t="n"/>
      <c r="BED91" s="15" t="n"/>
      <c r="BEE91" s="15" t="n"/>
      <c r="BEF91" s="248" t="n"/>
      <c r="BEG91" s="248" t="n"/>
      <c r="BEH91" s="240" t="n"/>
      <c r="BEI91" s="240" t="n"/>
      <c r="BEK91" s="15" t="n"/>
      <c r="BEL91" s="15" t="n"/>
      <c r="BEM91" s="248" t="n"/>
      <c r="BEN91" s="248" t="n"/>
      <c r="BEO91" s="240" t="n"/>
      <c r="BEP91" s="240" t="n"/>
      <c r="BER91" s="15" t="n"/>
      <c r="BES91" s="15" t="n"/>
      <c r="BET91" s="248" t="n"/>
      <c r="BEU91" s="248" t="n"/>
      <c r="BEV91" s="240" t="n"/>
      <c r="BEW91" s="240" t="n"/>
      <c r="BEY91" s="15" t="n"/>
      <c r="BEZ91" s="15" t="n"/>
      <c r="BFA91" s="248" t="n"/>
      <c r="BFB91" s="248" t="n"/>
      <c r="BFC91" s="240" t="n"/>
      <c r="BFD91" s="240" t="n"/>
      <c r="BFF91" s="15" t="n"/>
      <c r="BFG91" s="15" t="n"/>
      <c r="BFH91" s="248" t="n"/>
      <c r="BFI91" s="248" t="n"/>
      <c r="BFJ91" s="240" t="n"/>
      <c r="BFK91" s="240" t="n"/>
      <c r="BFM91" s="15" t="n"/>
      <c r="BFN91" s="15" t="n"/>
      <c r="BFO91" s="248" t="n"/>
      <c r="BFP91" s="248" t="n"/>
      <c r="BFQ91" s="240" t="n"/>
      <c r="BFR91" s="240" t="n"/>
      <c r="BFT91" s="15" t="n"/>
      <c r="BFU91" s="15" t="n"/>
      <c r="BFV91" s="248" t="n"/>
      <c r="BFW91" s="248" t="n"/>
      <c r="BFX91" s="240" t="n"/>
      <c r="BFY91" s="240" t="n"/>
      <c r="BGA91" s="15" t="n"/>
      <c r="BGB91" s="15" t="n"/>
      <c r="BGC91" s="248" t="n"/>
      <c r="BGD91" s="248" t="n"/>
      <c r="BGE91" s="240" t="n"/>
      <c r="BGF91" s="240" t="n"/>
      <c r="BGH91" s="15" t="n"/>
      <c r="BGI91" s="15" t="n"/>
      <c r="BGJ91" s="248" t="n"/>
      <c r="BGK91" s="248" t="n"/>
      <c r="BGL91" s="240" t="n"/>
      <c r="BGM91" s="240" t="n"/>
      <c r="BGO91" s="15" t="n"/>
      <c r="BGP91" s="15" t="n"/>
      <c r="BGQ91" s="248" t="n"/>
      <c r="BGR91" s="248" t="n"/>
      <c r="BGS91" s="240" t="n"/>
      <c r="BGT91" s="240" t="n"/>
      <c r="BGV91" s="15" t="n"/>
      <c r="BGW91" s="15" t="n"/>
      <c r="BGX91" s="248" t="n"/>
      <c r="BGY91" s="248" t="n"/>
      <c r="BGZ91" s="240" t="n"/>
      <c r="BHA91" s="240" t="n"/>
      <c r="BHC91" s="15" t="n"/>
      <c r="BHD91" s="15" t="n"/>
      <c r="BHE91" s="248" t="n"/>
      <c r="BHF91" s="248" t="n"/>
      <c r="BHG91" s="240" t="n"/>
      <c r="BHH91" s="240" t="n"/>
      <c r="BHJ91" s="15" t="n"/>
      <c r="BHK91" s="15" t="n"/>
      <c r="BHL91" s="248" t="n"/>
      <c r="BHM91" s="248" t="n"/>
      <c r="BHN91" s="240" t="n"/>
      <c r="BHO91" s="240" t="n"/>
      <c r="BHQ91" s="15" t="n"/>
      <c r="BHR91" s="15" t="n"/>
      <c r="BHS91" s="248" t="n"/>
      <c r="BHT91" s="248" t="n"/>
      <c r="BHU91" s="240" t="n"/>
      <c r="BHV91" s="240" t="n"/>
      <c r="BHX91" s="15" t="n"/>
      <c r="BHY91" s="15" t="n"/>
      <c r="BHZ91" s="248" t="n"/>
      <c r="BIA91" s="248" t="n"/>
      <c r="BIB91" s="240" t="n"/>
      <c r="BIC91" s="240" t="n"/>
      <c r="BIE91" s="15" t="n"/>
      <c r="BIF91" s="15" t="n"/>
      <c r="BIG91" s="248" t="n"/>
      <c r="BIH91" s="248" t="n"/>
      <c r="BII91" s="240" t="n"/>
      <c r="BIJ91" s="240" t="n"/>
      <c r="BIL91" s="15" t="n"/>
      <c r="BIM91" s="15" t="n"/>
      <c r="BIN91" s="248" t="n"/>
      <c r="BIO91" s="248" t="n"/>
      <c r="BIP91" s="240" t="n"/>
      <c r="BIQ91" s="240" t="n"/>
      <c r="BIS91" s="15" t="n"/>
      <c r="BIT91" s="15" t="n"/>
      <c r="BIU91" s="248" t="n"/>
      <c r="BIV91" s="248" t="n"/>
      <c r="BIW91" s="240" t="n"/>
      <c r="BIX91" s="240" t="n"/>
      <c r="BIZ91" s="15" t="n"/>
      <c r="BJA91" s="15" t="n"/>
      <c r="BJB91" s="248" t="n"/>
      <c r="BJC91" s="248" t="n"/>
      <c r="BJD91" s="240" t="n"/>
      <c r="BJE91" s="240" t="n"/>
      <c r="BJG91" s="15" t="n"/>
      <c r="BJH91" s="15" t="n"/>
      <c r="BJI91" s="248" t="n"/>
      <c r="BJJ91" s="248" t="n"/>
      <c r="BJK91" s="240" t="n"/>
      <c r="BJL91" s="240" t="n"/>
      <c r="BJN91" s="15" t="n"/>
      <c r="BJO91" s="15" t="n"/>
      <c r="BJP91" s="248" t="n"/>
      <c r="BJQ91" s="248" t="n"/>
      <c r="BJR91" s="240" t="n"/>
      <c r="BJS91" s="240" t="n"/>
      <c r="BJU91" s="15" t="n"/>
      <c r="BJV91" s="15" t="n"/>
      <c r="BJW91" s="248" t="n"/>
      <c r="BJX91" s="248" t="n"/>
      <c r="BJY91" s="240" t="n"/>
      <c r="BJZ91" s="240" t="n"/>
      <c r="BKB91" s="15" t="n"/>
      <c r="BKC91" s="15" t="n"/>
      <c r="BKD91" s="248" t="n"/>
      <c r="BKE91" s="248" t="n"/>
      <c r="BKF91" s="240" t="n"/>
      <c r="BKG91" s="240" t="n"/>
      <c r="BKI91" s="15" t="n"/>
      <c r="BKJ91" s="15" t="n"/>
      <c r="BKK91" s="248" t="n"/>
      <c r="BKL91" s="248" t="n"/>
      <c r="BKM91" s="240" t="n"/>
      <c r="BKN91" s="240" t="n"/>
      <c r="BKP91" s="15" t="n"/>
      <c r="BKQ91" s="15" t="n"/>
      <c r="BKR91" s="248" t="n"/>
      <c r="BKS91" s="248" t="n"/>
      <c r="BKT91" s="240" t="n"/>
      <c r="BKU91" s="240" t="n"/>
      <c r="BKW91" s="15" t="n"/>
      <c r="BKX91" s="15" t="n"/>
      <c r="BKY91" s="248" t="n"/>
      <c r="BKZ91" s="248" t="n"/>
      <c r="BLA91" s="240" t="n"/>
      <c r="BLB91" s="240" t="n"/>
      <c r="BLD91" s="15" t="n"/>
      <c r="BLE91" s="15" t="n"/>
      <c r="BLF91" s="248" t="n"/>
      <c r="BLG91" s="248" t="n"/>
      <c r="BLH91" s="240" t="n"/>
      <c r="BLI91" s="240" t="n"/>
      <c r="BLK91" s="15" t="n"/>
      <c r="BLL91" s="15" t="n"/>
      <c r="BLM91" s="248" t="n"/>
      <c r="BLN91" s="248" t="n"/>
      <c r="BLO91" s="240" t="n"/>
      <c r="BLP91" s="240" t="n"/>
      <c r="BLR91" s="15" t="n"/>
      <c r="BLS91" s="15" t="n"/>
      <c r="BLT91" s="248" t="n"/>
      <c r="BLU91" s="248" t="n"/>
      <c r="BLV91" s="240" t="n"/>
      <c r="BLW91" s="240" t="n"/>
      <c r="BLY91" s="15" t="n"/>
      <c r="BLZ91" s="15" t="n"/>
      <c r="BMA91" s="248" t="n"/>
      <c r="BMB91" s="248" t="n"/>
      <c r="BMC91" s="240" t="n"/>
      <c r="BMD91" s="240" t="n"/>
      <c r="BMF91" s="15" t="n"/>
      <c r="BMG91" s="15" t="n"/>
      <c r="BMH91" s="248" t="n"/>
      <c r="BMI91" s="248" t="n"/>
      <c r="BMJ91" s="240" t="n"/>
      <c r="BMK91" s="240" t="n"/>
      <c r="BMM91" s="15" t="n"/>
      <c r="BMN91" s="15" t="n"/>
      <c r="BMO91" s="248" t="n"/>
      <c r="BMP91" s="248" t="n"/>
      <c r="BMQ91" s="240" t="n"/>
      <c r="BMR91" s="240" t="n"/>
      <c r="BMT91" s="15" t="n"/>
      <c r="BMU91" s="15" t="n"/>
      <c r="BMV91" s="248" t="n"/>
      <c r="BMW91" s="248" t="n"/>
      <c r="BMX91" s="240" t="n"/>
      <c r="BMY91" s="240" t="n"/>
      <c r="BNA91" s="15" t="n"/>
      <c r="BNB91" s="15" t="n"/>
      <c r="BNC91" s="248" t="n"/>
      <c r="BND91" s="248" t="n"/>
      <c r="BNE91" s="240" t="n"/>
      <c r="BNF91" s="240" t="n"/>
      <c r="BNH91" s="15" t="n"/>
      <c r="BNI91" s="15" t="n"/>
      <c r="BNJ91" s="248" t="n"/>
      <c r="BNK91" s="248" t="n"/>
      <c r="BNL91" s="240" t="n"/>
      <c r="BNM91" s="240" t="n"/>
      <c r="BNO91" s="15" t="n"/>
      <c r="BNP91" s="15" t="n"/>
      <c r="BNQ91" s="248" t="n"/>
      <c r="BNR91" s="248" t="n"/>
      <c r="BNS91" s="240" t="n"/>
      <c r="BNT91" s="240" t="n"/>
      <c r="BNV91" s="15" t="n"/>
      <c r="BNW91" s="15" t="n"/>
      <c r="BNX91" s="248" t="n"/>
      <c r="BNY91" s="248" t="n"/>
      <c r="BNZ91" s="240" t="n"/>
      <c r="BOA91" s="240" t="n"/>
      <c r="BOC91" s="15" t="n"/>
      <c r="BOD91" s="15" t="n"/>
      <c r="BOE91" s="248" t="n"/>
      <c r="BOF91" s="248" t="n"/>
      <c r="BOG91" s="240" t="n"/>
      <c r="BOH91" s="240" t="n"/>
      <c r="BOJ91" s="15" t="n"/>
      <c r="BOK91" s="15" t="n"/>
      <c r="BOL91" s="248" t="n"/>
      <c r="BOM91" s="248" t="n"/>
      <c r="BON91" s="240" t="n"/>
      <c r="BOO91" s="240" t="n"/>
      <c r="BOQ91" s="15" t="n"/>
      <c r="BOR91" s="15" t="n"/>
      <c r="BOS91" s="248" t="n"/>
      <c r="BOT91" s="248" t="n"/>
      <c r="BOU91" s="240" t="n"/>
      <c r="BOV91" s="240" t="n"/>
      <c r="BOX91" s="15" t="n"/>
      <c r="BOY91" s="15" t="n"/>
      <c r="BOZ91" s="248" t="n"/>
      <c r="BPA91" s="248" t="n"/>
      <c r="BPB91" s="240" t="n"/>
      <c r="BPC91" s="240" t="n"/>
      <c r="BPE91" s="15" t="n"/>
      <c r="BPF91" s="15" t="n"/>
      <c r="BPG91" s="248" t="n"/>
      <c r="BPH91" s="248" t="n"/>
      <c r="BPI91" s="240" t="n"/>
      <c r="BPJ91" s="240" t="n"/>
      <c r="BPL91" s="15" t="n"/>
      <c r="BPM91" s="15" t="n"/>
      <c r="BPN91" s="248" t="n"/>
      <c r="BPO91" s="248" t="n"/>
      <c r="BPP91" s="240" t="n"/>
      <c r="BPQ91" s="240" t="n"/>
      <c r="BPS91" s="15" t="n"/>
      <c r="BPT91" s="15" t="n"/>
      <c r="BPU91" s="248" t="n"/>
      <c r="BPV91" s="248" t="n"/>
      <c r="BPW91" s="240" t="n"/>
      <c r="BPX91" s="240" t="n"/>
      <c r="BPZ91" s="15" t="n"/>
      <c r="BQA91" s="15" t="n"/>
      <c r="BQB91" s="248" t="n"/>
      <c r="BQC91" s="248" t="n"/>
      <c r="BQD91" s="240" t="n"/>
      <c r="BQE91" s="240" t="n"/>
      <c r="BQG91" s="15" t="n"/>
      <c r="BQH91" s="15" t="n"/>
      <c r="BQI91" s="248" t="n"/>
      <c r="BQJ91" s="248" t="n"/>
      <c r="BQK91" s="240" t="n"/>
      <c r="BQL91" s="240" t="n"/>
      <c r="BQN91" s="15" t="n"/>
      <c r="BQO91" s="15" t="n"/>
      <c r="BQP91" s="248" t="n"/>
      <c r="BQQ91" s="248" t="n"/>
      <c r="BQR91" s="240" t="n"/>
      <c r="BQS91" s="240" t="n"/>
      <c r="BQU91" s="15" t="n"/>
      <c r="BQV91" s="15" t="n"/>
      <c r="BQW91" s="248" t="n"/>
      <c r="BQX91" s="248" t="n"/>
      <c r="BQY91" s="240" t="n"/>
      <c r="BQZ91" s="240" t="n"/>
      <c r="BRB91" s="15" t="n"/>
      <c r="BRC91" s="15" t="n"/>
      <c r="BRD91" s="248" t="n"/>
      <c r="BRE91" s="248" t="n"/>
      <c r="BRF91" s="240" t="n"/>
      <c r="BRG91" s="240" t="n"/>
      <c r="BRI91" s="15" t="n"/>
      <c r="BRJ91" s="15" t="n"/>
      <c r="BRK91" s="248" t="n"/>
      <c r="BRL91" s="248" t="n"/>
      <c r="BRM91" s="240" t="n"/>
      <c r="BRN91" s="240" t="n"/>
      <c r="BRP91" s="15" t="n"/>
      <c r="BRQ91" s="15" t="n"/>
      <c r="BRR91" s="248" t="n"/>
      <c r="BRS91" s="248" t="n"/>
      <c r="BRT91" s="240" t="n"/>
      <c r="BRU91" s="240" t="n"/>
      <c r="BRW91" s="15" t="n"/>
      <c r="BRX91" s="15" t="n"/>
      <c r="BRY91" s="248" t="n"/>
      <c r="BRZ91" s="248" t="n"/>
      <c r="BSA91" s="240" t="n"/>
      <c r="BSB91" s="240" t="n"/>
      <c r="BSD91" s="15" t="n"/>
      <c r="BSE91" s="15" t="n"/>
      <c r="BSF91" s="248" t="n"/>
      <c r="BSG91" s="248" t="n"/>
      <c r="BSH91" s="240" t="n"/>
      <c r="BSI91" s="240" t="n"/>
      <c r="BSK91" s="15" t="n"/>
      <c r="BSL91" s="15" t="n"/>
      <c r="BSM91" s="248" t="n"/>
      <c r="BSN91" s="248" t="n"/>
      <c r="BSO91" s="240" t="n"/>
      <c r="BSP91" s="240" t="n"/>
      <c r="BSR91" s="15" t="n"/>
      <c r="BSS91" s="15" t="n"/>
      <c r="BST91" s="248" t="n"/>
      <c r="BSU91" s="248" t="n"/>
      <c r="BSV91" s="240" t="n"/>
      <c r="BSW91" s="240" t="n"/>
      <c r="BSY91" s="15" t="n"/>
      <c r="BSZ91" s="15" t="n"/>
      <c r="BTA91" s="248" t="n"/>
      <c r="BTB91" s="248" t="n"/>
      <c r="BTC91" s="240" t="n"/>
      <c r="BTD91" s="240" t="n"/>
      <c r="BTF91" s="15" t="n"/>
      <c r="BTG91" s="15" t="n"/>
      <c r="BTH91" s="248" t="n"/>
      <c r="BTI91" s="248" t="n"/>
      <c r="BTJ91" s="240" t="n"/>
      <c r="BTK91" s="240" t="n"/>
      <c r="BTM91" s="15" t="n"/>
      <c r="BTN91" s="15" t="n"/>
      <c r="BTO91" s="248" t="n"/>
      <c r="BTP91" s="248" t="n"/>
      <c r="BTQ91" s="240" t="n"/>
      <c r="BTR91" s="240" t="n"/>
      <c r="BTT91" s="15" t="n"/>
      <c r="BTU91" s="15" t="n"/>
      <c r="BTV91" s="248" t="n"/>
      <c r="BTW91" s="248" t="n"/>
      <c r="BTX91" s="240" t="n"/>
      <c r="BTY91" s="240" t="n"/>
      <c r="BUA91" s="15" t="n"/>
      <c r="BUB91" s="15" t="n"/>
      <c r="BUC91" s="248" t="n"/>
      <c r="BUD91" s="248" t="n"/>
      <c r="BUE91" s="240" t="n"/>
      <c r="BUF91" s="240" t="n"/>
      <c r="BUH91" s="15" t="n"/>
      <c r="BUI91" s="15" t="n"/>
      <c r="BUJ91" s="248" t="n"/>
      <c r="BUK91" s="248" t="n"/>
      <c r="BUL91" s="240" t="n"/>
      <c r="BUM91" s="240" t="n"/>
      <c r="BUO91" s="15" t="n"/>
      <c r="BUP91" s="15" t="n"/>
      <c r="BUQ91" s="248" t="n"/>
      <c r="BUR91" s="248" t="n"/>
      <c r="BUS91" s="240" t="n"/>
      <c r="BUT91" s="240" t="n"/>
      <c r="BUV91" s="15" t="n"/>
      <c r="BUW91" s="15" t="n"/>
      <c r="BUX91" s="248" t="n"/>
      <c r="BUY91" s="248" t="n"/>
      <c r="BUZ91" s="240" t="n"/>
      <c r="BVA91" s="240" t="n"/>
      <c r="BVC91" s="15" t="n"/>
      <c r="BVD91" s="15" t="n"/>
      <c r="BVE91" s="248" t="n"/>
      <c r="BVF91" s="248" t="n"/>
      <c r="BVG91" s="240" t="n"/>
      <c r="BVH91" s="240" t="n"/>
      <c r="BVJ91" s="15" t="n"/>
      <c r="BVK91" s="15" t="n"/>
      <c r="BVL91" s="248" t="n"/>
      <c r="BVM91" s="248" t="n"/>
      <c r="BVN91" s="240" t="n"/>
      <c r="BVO91" s="240" t="n"/>
      <c r="BVQ91" s="15" t="n"/>
      <c r="BVR91" s="15" t="n"/>
      <c r="BVS91" s="248" t="n"/>
      <c r="BVT91" s="248" t="n"/>
      <c r="BVU91" s="240" t="n"/>
      <c r="BVV91" s="240" t="n"/>
      <c r="BVX91" s="15" t="n"/>
      <c r="BVY91" s="15" t="n"/>
      <c r="BVZ91" s="248" t="n"/>
      <c r="BWA91" s="248" t="n"/>
      <c r="BWB91" s="240" t="n"/>
      <c r="BWC91" s="240" t="n"/>
      <c r="BWE91" s="15" t="n"/>
      <c r="BWF91" s="15" t="n"/>
      <c r="BWG91" s="248" t="n"/>
      <c r="BWH91" s="248" t="n"/>
      <c r="BWI91" s="240" t="n"/>
      <c r="BWJ91" s="240" t="n"/>
      <c r="BWL91" s="15" t="n"/>
      <c r="BWM91" s="15" t="n"/>
      <c r="BWN91" s="248" t="n"/>
      <c r="BWO91" s="248" t="n"/>
      <c r="BWP91" s="240" t="n"/>
      <c r="BWQ91" s="240" t="n"/>
      <c r="BWS91" s="15" t="n"/>
      <c r="BWT91" s="15" t="n"/>
      <c r="BWU91" s="248" t="n"/>
      <c r="BWV91" s="248" t="n"/>
      <c r="BWW91" s="240" t="n"/>
      <c r="BWX91" s="240" t="n"/>
      <c r="BWZ91" s="15" t="n"/>
      <c r="BXA91" s="15" t="n"/>
      <c r="BXB91" s="248" t="n"/>
      <c r="BXC91" s="248" t="n"/>
      <c r="BXD91" s="240" t="n"/>
      <c r="BXE91" s="240" t="n"/>
      <c r="BXG91" s="15" t="n"/>
      <c r="BXH91" s="15" t="n"/>
      <c r="BXI91" s="248" t="n"/>
      <c r="BXJ91" s="248" t="n"/>
      <c r="BXK91" s="240" t="n"/>
      <c r="BXL91" s="240" t="n"/>
      <c r="BXN91" s="15" t="n"/>
      <c r="BXO91" s="15" t="n"/>
      <c r="BXP91" s="248" t="n"/>
      <c r="BXQ91" s="248" t="n"/>
      <c r="BXR91" s="240" t="n"/>
      <c r="BXS91" s="240" t="n"/>
      <c r="BXU91" s="15" t="n"/>
      <c r="BXV91" s="15" t="n"/>
      <c r="BXW91" s="248" t="n"/>
      <c r="BXX91" s="248" t="n"/>
      <c r="BXY91" s="240" t="n"/>
      <c r="BXZ91" s="240" t="n"/>
      <c r="BYB91" s="15" t="n"/>
      <c r="BYC91" s="15" t="n"/>
      <c r="BYD91" s="248" t="n"/>
      <c r="BYE91" s="248" t="n"/>
      <c r="BYF91" s="240" t="n"/>
      <c r="BYG91" s="240" t="n"/>
      <c r="BYI91" s="15" t="n"/>
      <c r="BYJ91" s="15" t="n"/>
      <c r="BYK91" s="248" t="n"/>
      <c r="BYL91" s="248" t="n"/>
      <c r="BYM91" s="240" t="n"/>
      <c r="BYN91" s="240" t="n"/>
      <c r="BYP91" s="15" t="n"/>
      <c r="BYQ91" s="15" t="n"/>
      <c r="BYR91" s="248" t="n"/>
      <c r="BYS91" s="248" t="n"/>
      <c r="BYT91" s="240" t="n"/>
      <c r="BYU91" s="240" t="n"/>
      <c r="BYW91" s="15" t="n"/>
      <c r="BYX91" s="15" t="n"/>
      <c r="BYY91" s="248" t="n"/>
      <c r="BYZ91" s="248" t="n"/>
      <c r="BZA91" s="240" t="n"/>
      <c r="BZB91" s="240" t="n"/>
      <c r="BZD91" s="15" t="n"/>
      <c r="BZE91" s="15" t="n"/>
      <c r="BZF91" s="248" t="n"/>
      <c r="BZG91" s="248" t="n"/>
      <c r="BZH91" s="240" t="n"/>
      <c r="BZI91" s="240" t="n"/>
      <c r="BZK91" s="15" t="n"/>
      <c r="BZL91" s="15" t="n"/>
      <c r="BZM91" s="248" t="n"/>
      <c r="BZN91" s="248" t="n"/>
      <c r="BZO91" s="240" t="n"/>
      <c r="BZP91" s="240" t="n"/>
      <c r="BZR91" s="15" t="n"/>
      <c r="BZS91" s="15" t="n"/>
      <c r="BZT91" s="248" t="n"/>
      <c r="BZU91" s="248" t="n"/>
      <c r="BZV91" s="240" t="n"/>
      <c r="BZW91" s="240" t="n"/>
      <c r="BZY91" s="15" t="n"/>
      <c r="BZZ91" s="15" t="n"/>
      <c r="CAA91" s="248" t="n"/>
      <c r="CAB91" s="248" t="n"/>
      <c r="CAC91" s="240" t="n"/>
      <c r="CAD91" s="240" t="n"/>
      <c r="CAF91" s="15" t="n"/>
      <c r="CAG91" s="15" t="n"/>
      <c r="CAH91" s="248" t="n"/>
      <c r="CAI91" s="248" t="n"/>
      <c r="CAJ91" s="240" t="n"/>
      <c r="CAK91" s="240" t="n"/>
      <c r="CAM91" s="15" t="n"/>
      <c r="CAN91" s="15" t="n"/>
      <c r="CAO91" s="248" t="n"/>
      <c r="CAP91" s="248" t="n"/>
      <c r="CAQ91" s="240" t="n"/>
      <c r="CAR91" s="240" t="n"/>
      <c r="CAT91" s="15" t="n"/>
      <c r="CAU91" s="15" t="n"/>
      <c r="CAV91" s="248" t="n"/>
      <c r="CAW91" s="248" t="n"/>
      <c r="CAX91" s="240" t="n"/>
      <c r="CAY91" s="240" t="n"/>
      <c r="CBA91" s="15" t="n"/>
      <c r="CBB91" s="15" t="n"/>
      <c r="CBC91" s="248" t="n"/>
      <c r="CBD91" s="248" t="n"/>
      <c r="CBE91" s="240" t="n"/>
      <c r="CBF91" s="240" t="n"/>
      <c r="CBH91" s="15" t="n"/>
      <c r="CBI91" s="15" t="n"/>
      <c r="CBJ91" s="248" t="n"/>
      <c r="CBK91" s="248" t="n"/>
      <c r="CBL91" s="240" t="n"/>
      <c r="CBM91" s="240" t="n"/>
      <c r="CBO91" s="15" t="n"/>
      <c r="CBP91" s="15" t="n"/>
      <c r="CBQ91" s="248" t="n"/>
      <c r="CBR91" s="248" t="n"/>
      <c r="CBS91" s="240" t="n"/>
      <c r="CBT91" s="240" t="n"/>
      <c r="CBV91" s="15" t="n"/>
      <c r="CBW91" s="15" t="n"/>
      <c r="CBX91" s="248" t="n"/>
      <c r="CBY91" s="248" t="n"/>
      <c r="CBZ91" s="240" t="n"/>
      <c r="CCA91" s="240" t="n"/>
      <c r="CCC91" s="15" t="n"/>
      <c r="CCD91" s="15" t="n"/>
      <c r="CCE91" s="248" t="n"/>
      <c r="CCF91" s="248" t="n"/>
      <c r="CCG91" s="240" t="n"/>
      <c r="CCH91" s="240" t="n"/>
      <c r="CCJ91" s="15" t="n"/>
      <c r="CCK91" s="15" t="n"/>
      <c r="CCL91" s="248" t="n"/>
      <c r="CCM91" s="248" t="n"/>
      <c r="CCN91" s="240" t="n"/>
      <c r="CCO91" s="240" t="n"/>
      <c r="CCQ91" s="15" t="n"/>
      <c r="CCR91" s="15" t="n"/>
      <c r="CCS91" s="248" t="n"/>
      <c r="CCT91" s="248" t="n"/>
      <c r="CCU91" s="240" t="n"/>
      <c r="CCV91" s="240" t="n"/>
      <c r="CCX91" s="15" t="n"/>
      <c r="CCY91" s="15" t="n"/>
      <c r="CCZ91" s="248" t="n"/>
      <c r="CDA91" s="248" t="n"/>
      <c r="CDB91" s="240" t="n"/>
      <c r="CDC91" s="240" t="n"/>
      <c r="CDE91" s="15" t="n"/>
      <c r="CDF91" s="15" t="n"/>
      <c r="CDG91" s="248" t="n"/>
      <c r="CDH91" s="248" t="n"/>
      <c r="CDI91" s="240" t="n"/>
      <c r="CDJ91" s="240" t="n"/>
      <c r="CDL91" s="15" t="n"/>
      <c r="CDM91" s="15" t="n"/>
      <c r="CDN91" s="248" t="n"/>
      <c r="CDO91" s="248" t="n"/>
      <c r="CDP91" s="240" t="n"/>
      <c r="CDQ91" s="240" t="n"/>
      <c r="CDS91" s="15" t="n"/>
      <c r="CDT91" s="15" t="n"/>
      <c r="CDU91" s="248" t="n"/>
      <c r="CDV91" s="248" t="n"/>
      <c r="CDW91" s="240" t="n"/>
      <c r="CDX91" s="240" t="n"/>
      <c r="CDZ91" s="15" t="n"/>
      <c r="CEA91" s="15" t="n"/>
      <c r="CEB91" s="248" t="n"/>
      <c r="CEC91" s="248" t="n"/>
      <c r="CED91" s="240" t="n"/>
      <c r="CEE91" s="240" t="n"/>
      <c r="CEG91" s="15" t="n"/>
      <c r="CEH91" s="15" t="n"/>
      <c r="CEI91" s="248" t="n"/>
      <c r="CEJ91" s="248" t="n"/>
      <c r="CEK91" s="240" t="n"/>
      <c r="CEL91" s="240" t="n"/>
      <c r="CEN91" s="15" t="n"/>
      <c r="CEO91" s="15" t="n"/>
      <c r="CEP91" s="248" t="n"/>
      <c r="CEQ91" s="248" t="n"/>
      <c r="CER91" s="240" t="n"/>
      <c r="CES91" s="240" t="n"/>
      <c r="CEU91" s="15" t="n"/>
      <c r="CEV91" s="15" t="n"/>
      <c r="CEW91" s="248" t="n"/>
      <c r="CEX91" s="248" t="n"/>
      <c r="CEY91" s="240" t="n"/>
      <c r="CEZ91" s="240" t="n"/>
      <c r="CFB91" s="15" t="n"/>
      <c r="CFC91" s="15" t="n"/>
      <c r="CFD91" s="248" t="n"/>
      <c r="CFE91" s="248" t="n"/>
      <c r="CFF91" s="240" t="n"/>
      <c r="CFG91" s="240" t="n"/>
      <c r="CFI91" s="15" t="n"/>
      <c r="CFJ91" s="15" t="n"/>
      <c r="CFK91" s="248" t="n"/>
      <c r="CFL91" s="248" t="n"/>
      <c r="CFM91" s="240" t="n"/>
      <c r="CFN91" s="240" t="n"/>
      <c r="CFP91" s="15" t="n"/>
      <c r="CFQ91" s="15" t="n"/>
      <c r="CFR91" s="248" t="n"/>
      <c r="CFS91" s="248" t="n"/>
      <c r="CFT91" s="240" t="n"/>
      <c r="CFU91" s="240" t="n"/>
      <c r="CFW91" s="15" t="n"/>
      <c r="CFX91" s="15" t="n"/>
      <c r="CFY91" s="248" t="n"/>
      <c r="CFZ91" s="248" t="n"/>
      <c r="CGA91" s="240" t="n"/>
      <c r="CGB91" s="240" t="n"/>
      <c r="CGD91" s="15" t="n"/>
      <c r="CGE91" s="15" t="n"/>
      <c r="CGF91" s="248" t="n"/>
      <c r="CGG91" s="248" t="n"/>
      <c r="CGH91" s="240" t="n"/>
      <c r="CGI91" s="240" t="n"/>
      <c r="CGK91" s="15" t="n"/>
      <c r="CGL91" s="15" t="n"/>
      <c r="CGM91" s="248" t="n"/>
      <c r="CGN91" s="248" t="n"/>
      <c r="CGO91" s="240" t="n"/>
      <c r="CGP91" s="240" t="n"/>
      <c r="CGR91" s="15" t="n"/>
      <c r="CGS91" s="15" t="n"/>
      <c r="CGT91" s="248" t="n"/>
      <c r="CGU91" s="248" t="n"/>
      <c r="CGV91" s="240" t="n"/>
      <c r="CGW91" s="240" t="n"/>
      <c r="CGY91" s="15" t="n"/>
      <c r="CGZ91" s="15" t="n"/>
      <c r="CHA91" s="248" t="n"/>
      <c r="CHB91" s="248" t="n"/>
      <c r="CHC91" s="240" t="n"/>
      <c r="CHD91" s="240" t="n"/>
      <c r="CHF91" s="15" t="n"/>
      <c r="CHG91" s="15" t="n"/>
      <c r="CHH91" s="248" t="n"/>
      <c r="CHI91" s="248" t="n"/>
      <c r="CHJ91" s="240" t="n"/>
      <c r="CHK91" s="240" t="n"/>
      <c r="CHM91" s="15" t="n"/>
      <c r="CHN91" s="15" t="n"/>
      <c r="CHO91" s="248" t="n"/>
      <c r="CHP91" s="248" t="n"/>
      <c r="CHQ91" s="240" t="n"/>
      <c r="CHR91" s="240" t="n"/>
      <c r="CHT91" s="15" t="n"/>
      <c r="CHU91" s="15" t="n"/>
      <c r="CHV91" s="248" t="n"/>
      <c r="CHW91" s="248" t="n"/>
      <c r="CHX91" s="240" t="n"/>
      <c r="CHY91" s="240" t="n"/>
      <c r="CIA91" s="15" t="n"/>
      <c r="CIB91" s="15" t="n"/>
      <c r="CIC91" s="248" t="n"/>
      <c r="CID91" s="248" t="n"/>
      <c r="CIE91" s="240" t="n"/>
      <c r="CIF91" s="240" t="n"/>
      <c r="CIH91" s="15" t="n"/>
      <c r="CII91" s="15" t="n"/>
      <c r="CIJ91" s="248" t="n"/>
      <c r="CIK91" s="248" t="n"/>
      <c r="CIL91" s="240" t="n"/>
      <c r="CIM91" s="240" t="n"/>
      <c r="CIO91" s="15" t="n"/>
      <c r="CIP91" s="15" t="n"/>
      <c r="CIQ91" s="248" t="n"/>
      <c r="CIR91" s="248" t="n"/>
      <c r="CIS91" s="240" t="n"/>
      <c r="CIT91" s="240" t="n"/>
      <c r="CIV91" s="15" t="n"/>
      <c r="CIW91" s="15" t="n"/>
      <c r="CIX91" s="248" t="n"/>
      <c r="CIY91" s="248" t="n"/>
      <c r="CIZ91" s="240" t="n"/>
      <c r="CJA91" s="240" t="n"/>
      <c r="CJC91" s="15" t="n"/>
      <c r="CJD91" s="15" t="n"/>
      <c r="CJE91" s="248" t="n"/>
      <c r="CJF91" s="248" t="n"/>
      <c r="CJG91" s="240" t="n"/>
      <c r="CJH91" s="240" t="n"/>
      <c r="CJJ91" s="15" t="n"/>
      <c r="CJK91" s="15" t="n"/>
      <c r="CJL91" s="248" t="n"/>
      <c r="CJM91" s="248" t="n"/>
      <c r="CJN91" s="240" t="n"/>
      <c r="CJO91" s="240" t="n"/>
      <c r="CJQ91" s="15" t="n"/>
      <c r="CJR91" s="15" t="n"/>
      <c r="CJS91" s="248" t="n"/>
      <c r="CJT91" s="248" t="n"/>
      <c r="CJU91" s="240" t="n"/>
      <c r="CJV91" s="240" t="n"/>
      <c r="CJX91" s="15" t="n"/>
      <c r="CJY91" s="15" t="n"/>
      <c r="CJZ91" s="248" t="n"/>
      <c r="CKA91" s="248" t="n"/>
      <c r="CKB91" s="240" t="n"/>
      <c r="CKC91" s="240" t="n"/>
      <c r="CKE91" s="15" t="n"/>
      <c r="CKF91" s="15" t="n"/>
      <c r="CKG91" s="248" t="n"/>
      <c r="CKH91" s="248" t="n"/>
      <c r="CKI91" s="240" t="n"/>
      <c r="CKJ91" s="240" t="n"/>
      <c r="CKL91" s="15" t="n"/>
      <c r="CKM91" s="15" t="n"/>
      <c r="CKN91" s="248" t="n"/>
      <c r="CKO91" s="248" t="n"/>
      <c r="CKP91" s="240" t="n"/>
      <c r="CKQ91" s="240" t="n"/>
      <c r="CKS91" s="15" t="n"/>
      <c r="CKT91" s="15" t="n"/>
      <c r="CKU91" s="248" t="n"/>
      <c r="CKV91" s="248" t="n"/>
      <c r="CKW91" s="240" t="n"/>
      <c r="CKX91" s="240" t="n"/>
      <c r="CKZ91" s="15" t="n"/>
      <c r="CLA91" s="15" t="n"/>
      <c r="CLB91" s="248" t="n"/>
      <c r="CLC91" s="248" t="n"/>
      <c r="CLD91" s="240" t="n"/>
      <c r="CLE91" s="240" t="n"/>
      <c r="CLG91" s="15" t="n"/>
      <c r="CLH91" s="15" t="n"/>
      <c r="CLI91" s="248" t="n"/>
      <c r="CLJ91" s="248" t="n"/>
      <c r="CLK91" s="240" t="n"/>
      <c r="CLL91" s="240" t="n"/>
      <c r="CLN91" s="15" t="n"/>
      <c r="CLO91" s="15" t="n"/>
      <c r="CLP91" s="248" t="n"/>
      <c r="CLQ91" s="248" t="n"/>
      <c r="CLR91" s="240" t="n"/>
      <c r="CLS91" s="240" t="n"/>
      <c r="CLU91" s="15" t="n"/>
      <c r="CLV91" s="15" t="n"/>
      <c r="CLW91" s="248" t="n"/>
      <c r="CLX91" s="248" t="n"/>
      <c r="CLY91" s="240" t="n"/>
      <c r="CLZ91" s="240" t="n"/>
      <c r="CMB91" s="15" t="n"/>
      <c r="CMC91" s="15" t="n"/>
      <c r="CMD91" s="248" t="n"/>
      <c r="CME91" s="248" t="n"/>
      <c r="CMF91" s="240" t="n"/>
      <c r="CMG91" s="240" t="n"/>
      <c r="CMI91" s="15" t="n"/>
      <c r="CMJ91" s="15" t="n"/>
      <c r="CMK91" s="248" t="n"/>
      <c r="CML91" s="248" t="n"/>
      <c r="CMM91" s="240" t="n"/>
      <c r="CMN91" s="240" t="n"/>
      <c r="CMP91" s="15" t="n"/>
      <c r="CMQ91" s="15" t="n"/>
      <c r="CMR91" s="248" t="n"/>
      <c r="CMS91" s="248" t="n"/>
      <c r="CMT91" s="240" t="n"/>
      <c r="CMU91" s="240" t="n"/>
      <c r="CMW91" s="15" t="n"/>
      <c r="CMX91" s="15" t="n"/>
      <c r="CMY91" s="248" t="n"/>
      <c r="CMZ91" s="248" t="n"/>
      <c r="CNA91" s="240" t="n"/>
      <c r="CNB91" s="240" t="n"/>
      <c r="CND91" s="15" t="n"/>
      <c r="CNE91" s="15" t="n"/>
      <c r="CNF91" s="248" t="n"/>
      <c r="CNG91" s="248" t="n"/>
      <c r="CNH91" s="240" t="n"/>
      <c r="CNI91" s="240" t="n"/>
      <c r="CNK91" s="15" t="n"/>
      <c r="CNL91" s="15" t="n"/>
      <c r="CNM91" s="248" t="n"/>
      <c r="CNN91" s="248" t="n"/>
      <c r="CNO91" s="240" t="n"/>
      <c r="CNP91" s="240" t="n"/>
      <c r="CNR91" s="15" t="n"/>
      <c r="CNS91" s="15" t="n"/>
      <c r="CNT91" s="248" t="n"/>
      <c r="CNU91" s="248" t="n"/>
      <c r="CNV91" s="240" t="n"/>
      <c r="CNW91" s="240" t="n"/>
      <c r="CNY91" s="15" t="n"/>
      <c r="CNZ91" s="15" t="n"/>
      <c r="COA91" s="248" t="n"/>
      <c r="COB91" s="248" t="n"/>
      <c r="COC91" s="240" t="n"/>
      <c r="COD91" s="240" t="n"/>
      <c r="COF91" s="15" t="n"/>
      <c r="COG91" s="15" t="n"/>
      <c r="COH91" s="248" t="n"/>
      <c r="COI91" s="248" t="n"/>
      <c r="COJ91" s="240" t="n"/>
      <c r="COK91" s="240" t="n"/>
      <c r="COM91" s="15" t="n"/>
      <c r="CON91" s="15" t="n"/>
      <c r="COO91" s="248" t="n"/>
      <c r="COP91" s="248" t="n"/>
      <c r="COQ91" s="240" t="n"/>
      <c r="COR91" s="240" t="n"/>
      <c r="COT91" s="15" t="n"/>
      <c r="COU91" s="15" t="n"/>
      <c r="COV91" s="248" t="n"/>
      <c r="COW91" s="248" t="n"/>
      <c r="COX91" s="240" t="n"/>
      <c r="COY91" s="240" t="n"/>
      <c r="CPA91" s="15" t="n"/>
      <c r="CPB91" s="15" t="n"/>
      <c r="CPC91" s="248" t="n"/>
      <c r="CPD91" s="248" t="n"/>
      <c r="CPE91" s="240" t="n"/>
      <c r="CPF91" s="240" t="n"/>
      <c r="CPH91" s="15" t="n"/>
      <c r="CPI91" s="15" t="n"/>
      <c r="CPJ91" s="248" t="n"/>
      <c r="CPK91" s="248" t="n"/>
      <c r="CPL91" s="240" t="n"/>
      <c r="CPM91" s="240" t="n"/>
      <c r="CPO91" s="15" t="n"/>
      <c r="CPP91" s="15" t="n"/>
      <c r="CPQ91" s="248" t="n"/>
      <c r="CPR91" s="248" t="n"/>
      <c r="CPS91" s="240" t="n"/>
      <c r="CPT91" s="240" t="n"/>
      <c r="CPV91" s="15" t="n"/>
      <c r="CPW91" s="15" t="n"/>
      <c r="CPX91" s="248" t="n"/>
      <c r="CPY91" s="248" t="n"/>
      <c r="CPZ91" s="240" t="n"/>
      <c r="CQA91" s="240" t="n"/>
      <c r="CQC91" s="15" t="n"/>
      <c r="CQD91" s="15" t="n"/>
      <c r="CQE91" s="248" t="n"/>
      <c r="CQF91" s="248" t="n"/>
      <c r="CQG91" s="240" t="n"/>
      <c r="CQH91" s="240" t="n"/>
      <c r="CQJ91" s="15" t="n"/>
      <c r="CQK91" s="15" t="n"/>
      <c r="CQL91" s="248" t="n"/>
      <c r="CQM91" s="248" t="n"/>
      <c r="CQN91" s="240" t="n"/>
      <c r="CQO91" s="240" t="n"/>
      <c r="CQQ91" s="15" t="n"/>
      <c r="CQR91" s="15" t="n"/>
      <c r="CQS91" s="248" t="n"/>
      <c r="CQT91" s="248" t="n"/>
      <c r="CQU91" s="240" t="n"/>
      <c r="CQV91" s="240" t="n"/>
      <c r="CQX91" s="15" t="n"/>
      <c r="CQY91" s="15" t="n"/>
      <c r="CQZ91" s="248" t="n"/>
      <c r="CRA91" s="248" t="n"/>
      <c r="CRB91" s="240" t="n"/>
      <c r="CRC91" s="240" t="n"/>
      <c r="CRE91" s="15" t="n"/>
      <c r="CRF91" s="15" t="n"/>
      <c r="CRG91" s="248" t="n"/>
      <c r="CRH91" s="248" t="n"/>
      <c r="CRI91" s="240" t="n"/>
      <c r="CRJ91" s="240" t="n"/>
      <c r="CRL91" s="15" t="n"/>
      <c r="CRM91" s="15" t="n"/>
      <c r="CRN91" s="248" t="n"/>
      <c r="CRO91" s="248" t="n"/>
      <c r="CRP91" s="240" t="n"/>
      <c r="CRQ91" s="240" t="n"/>
      <c r="CRS91" s="15" t="n"/>
      <c r="CRT91" s="15" t="n"/>
      <c r="CRU91" s="248" t="n"/>
      <c r="CRV91" s="248" t="n"/>
      <c r="CRW91" s="240" t="n"/>
      <c r="CRX91" s="240" t="n"/>
      <c r="CRZ91" s="15" t="n"/>
      <c r="CSA91" s="15" t="n"/>
      <c r="CSB91" s="248" t="n"/>
      <c r="CSC91" s="248" t="n"/>
      <c r="CSD91" s="240" t="n"/>
      <c r="CSE91" s="240" t="n"/>
      <c r="CSG91" s="15" t="n"/>
      <c r="CSH91" s="15" t="n"/>
      <c r="CSI91" s="248" t="n"/>
      <c r="CSJ91" s="248" t="n"/>
      <c r="CSK91" s="240" t="n"/>
      <c r="CSL91" s="240" t="n"/>
      <c r="CSN91" s="15" t="n"/>
      <c r="CSO91" s="15" t="n"/>
      <c r="CSP91" s="248" t="n"/>
      <c r="CSQ91" s="248" t="n"/>
      <c r="CSR91" s="240" t="n"/>
      <c r="CSS91" s="240" t="n"/>
      <c r="CSU91" s="15" t="n"/>
      <c r="CSV91" s="15" t="n"/>
      <c r="CSW91" s="248" t="n"/>
      <c r="CSX91" s="248" t="n"/>
      <c r="CSY91" s="240" t="n"/>
      <c r="CSZ91" s="240" t="n"/>
      <c r="CTB91" s="15" t="n"/>
      <c r="CTC91" s="15" t="n"/>
      <c r="CTD91" s="248" t="n"/>
      <c r="CTE91" s="248" t="n"/>
      <c r="CTF91" s="240" t="n"/>
      <c r="CTG91" s="240" t="n"/>
      <c r="CTI91" s="15" t="n"/>
      <c r="CTJ91" s="15" t="n"/>
      <c r="CTK91" s="248" t="n"/>
      <c r="CTL91" s="248" t="n"/>
      <c r="CTM91" s="240" t="n"/>
      <c r="CTN91" s="240" t="n"/>
      <c r="CTP91" s="15" t="n"/>
      <c r="CTQ91" s="15" t="n"/>
      <c r="CTR91" s="248" t="n"/>
      <c r="CTS91" s="248" t="n"/>
      <c r="CTT91" s="240" t="n"/>
      <c r="CTU91" s="240" t="n"/>
      <c r="CTW91" s="15" t="n"/>
      <c r="CTX91" s="15" t="n"/>
      <c r="CTY91" s="248" t="n"/>
      <c r="CTZ91" s="248" t="n"/>
      <c r="CUA91" s="240" t="n"/>
      <c r="CUB91" s="240" t="n"/>
      <c r="CUD91" s="15" t="n"/>
      <c r="CUE91" s="15" t="n"/>
      <c r="CUF91" s="248" t="n"/>
      <c r="CUG91" s="248" t="n"/>
      <c r="CUH91" s="240" t="n"/>
      <c r="CUI91" s="240" t="n"/>
      <c r="CUK91" s="15" t="n"/>
      <c r="CUL91" s="15" t="n"/>
      <c r="CUM91" s="248" t="n"/>
      <c r="CUN91" s="248" t="n"/>
      <c r="CUO91" s="240" t="n"/>
      <c r="CUP91" s="240" t="n"/>
      <c r="CUR91" s="15" t="n"/>
      <c r="CUS91" s="15" t="n"/>
      <c r="CUT91" s="248" t="n"/>
      <c r="CUU91" s="248" t="n"/>
      <c r="CUV91" s="240" t="n"/>
      <c r="CUW91" s="240" t="n"/>
      <c r="CUY91" s="15" t="n"/>
      <c r="CUZ91" s="15" t="n"/>
      <c r="CVA91" s="248" t="n"/>
      <c r="CVB91" s="248" t="n"/>
      <c r="CVC91" s="240" t="n"/>
      <c r="CVD91" s="240" t="n"/>
      <c r="CVF91" s="15" t="n"/>
      <c r="CVG91" s="15" t="n"/>
      <c r="CVH91" s="248" t="n"/>
      <c r="CVI91" s="248" t="n"/>
      <c r="CVJ91" s="240" t="n"/>
      <c r="CVK91" s="240" t="n"/>
      <c r="CVM91" s="15" t="n"/>
      <c r="CVN91" s="15" t="n"/>
      <c r="CVO91" s="248" t="n"/>
      <c r="CVP91" s="248" t="n"/>
      <c r="CVQ91" s="240" t="n"/>
      <c r="CVR91" s="240" t="n"/>
      <c r="CVT91" s="15" t="n"/>
      <c r="CVU91" s="15" t="n"/>
      <c r="CVV91" s="248" t="n"/>
      <c r="CVW91" s="248" t="n"/>
      <c r="CVX91" s="240" t="n"/>
      <c r="CVY91" s="240" t="n"/>
      <c r="CWA91" s="15" t="n"/>
      <c r="CWB91" s="15" t="n"/>
      <c r="CWC91" s="248" t="n"/>
      <c r="CWD91" s="248" t="n"/>
      <c r="CWE91" s="240" t="n"/>
      <c r="CWF91" s="240" t="n"/>
      <c r="CWH91" s="15" t="n"/>
      <c r="CWI91" s="15" t="n"/>
      <c r="CWJ91" s="248" t="n"/>
      <c r="CWK91" s="248" t="n"/>
      <c r="CWL91" s="240" t="n"/>
      <c r="CWM91" s="240" t="n"/>
      <c r="CWO91" s="15" t="n"/>
      <c r="CWP91" s="15" t="n"/>
      <c r="CWQ91" s="248" t="n"/>
      <c r="CWR91" s="248" t="n"/>
      <c r="CWS91" s="240" t="n"/>
      <c r="CWT91" s="240" t="n"/>
      <c r="CWV91" s="15" t="n"/>
      <c r="CWW91" s="15" t="n"/>
      <c r="CWX91" s="248" t="n"/>
      <c r="CWY91" s="248" t="n"/>
      <c r="CWZ91" s="240" t="n"/>
      <c r="CXA91" s="240" t="n"/>
      <c r="CXC91" s="15" t="n"/>
      <c r="CXD91" s="15" t="n"/>
      <c r="CXE91" s="248" t="n"/>
      <c r="CXF91" s="248" t="n"/>
      <c r="CXG91" s="240" t="n"/>
      <c r="CXH91" s="240" t="n"/>
      <c r="CXJ91" s="15" t="n"/>
      <c r="CXK91" s="15" t="n"/>
      <c r="CXL91" s="248" t="n"/>
      <c r="CXM91" s="248" t="n"/>
      <c r="CXN91" s="240" t="n"/>
      <c r="CXO91" s="240" t="n"/>
      <c r="CXQ91" s="15" t="n"/>
      <c r="CXR91" s="15" t="n"/>
      <c r="CXS91" s="248" t="n"/>
      <c r="CXT91" s="248" t="n"/>
      <c r="CXU91" s="240" t="n"/>
      <c r="CXV91" s="240" t="n"/>
      <c r="CXX91" s="15" t="n"/>
      <c r="CXY91" s="15" t="n"/>
      <c r="CXZ91" s="248" t="n"/>
      <c r="CYA91" s="248" t="n"/>
      <c r="CYB91" s="240" t="n"/>
      <c r="CYC91" s="240" t="n"/>
      <c r="CYE91" s="15" t="n"/>
      <c r="CYF91" s="15" t="n"/>
      <c r="CYG91" s="248" t="n"/>
      <c r="CYH91" s="248" t="n"/>
      <c r="CYI91" s="240" t="n"/>
      <c r="CYJ91" s="240" t="n"/>
      <c r="CYL91" s="15" t="n"/>
      <c r="CYM91" s="15" t="n"/>
      <c r="CYN91" s="248" t="n"/>
      <c r="CYO91" s="248" t="n"/>
      <c r="CYP91" s="240" t="n"/>
      <c r="CYQ91" s="240" t="n"/>
      <c r="CYS91" s="15" t="n"/>
      <c r="CYT91" s="15" t="n"/>
      <c r="CYU91" s="248" t="n"/>
      <c r="CYV91" s="248" t="n"/>
      <c r="CYW91" s="240" t="n"/>
      <c r="CYX91" s="240" t="n"/>
      <c r="CYZ91" s="15" t="n"/>
      <c r="CZA91" s="15" t="n"/>
      <c r="CZB91" s="248" t="n"/>
      <c r="CZC91" s="248" t="n"/>
      <c r="CZD91" s="240" t="n"/>
      <c r="CZE91" s="240" t="n"/>
      <c r="CZG91" s="15" t="n"/>
      <c r="CZH91" s="15" t="n"/>
      <c r="CZI91" s="248" t="n"/>
      <c r="CZJ91" s="248" t="n"/>
      <c r="CZK91" s="240" t="n"/>
      <c r="CZL91" s="240" t="n"/>
      <c r="CZN91" s="15" t="n"/>
      <c r="CZO91" s="15" t="n"/>
      <c r="CZP91" s="248" t="n"/>
      <c r="CZQ91" s="248" t="n"/>
      <c r="CZR91" s="240" t="n"/>
      <c r="CZS91" s="240" t="n"/>
      <c r="CZU91" s="15" t="n"/>
      <c r="CZV91" s="15" t="n"/>
      <c r="CZW91" s="248" t="n"/>
      <c r="CZX91" s="248" t="n"/>
      <c r="CZY91" s="240" t="n"/>
      <c r="CZZ91" s="240" t="n"/>
      <c r="DAB91" s="15" t="n"/>
      <c r="DAC91" s="15" t="n"/>
      <c r="DAD91" s="248" t="n"/>
      <c r="DAE91" s="248" t="n"/>
      <c r="DAF91" s="240" t="n"/>
      <c r="DAG91" s="240" t="n"/>
      <c r="DAI91" s="15" t="n"/>
      <c r="DAJ91" s="15" t="n"/>
      <c r="DAK91" s="248" t="n"/>
      <c r="DAL91" s="248" t="n"/>
      <c r="DAM91" s="240" t="n"/>
      <c r="DAN91" s="240" t="n"/>
      <c r="DAP91" s="15" t="n"/>
      <c r="DAQ91" s="15" t="n"/>
      <c r="DAR91" s="248" t="n"/>
      <c r="DAS91" s="248" t="n"/>
      <c r="DAT91" s="240" t="n"/>
      <c r="DAU91" s="240" t="n"/>
      <c r="DAW91" s="15" t="n"/>
      <c r="DAX91" s="15" t="n"/>
      <c r="DAY91" s="248" t="n"/>
      <c r="DAZ91" s="248" t="n"/>
      <c r="DBA91" s="240" t="n"/>
      <c r="DBB91" s="240" t="n"/>
      <c r="DBD91" s="15" t="n"/>
      <c r="DBE91" s="15" t="n"/>
      <c r="DBF91" s="248" t="n"/>
      <c r="DBG91" s="248" t="n"/>
      <c r="DBH91" s="240" t="n"/>
      <c r="DBI91" s="240" t="n"/>
      <c r="DBK91" s="15" t="n"/>
      <c r="DBL91" s="15" t="n"/>
      <c r="DBM91" s="248" t="n"/>
      <c r="DBN91" s="248" t="n"/>
      <c r="DBO91" s="240" t="n"/>
      <c r="DBP91" s="240" t="n"/>
      <c r="DBR91" s="15" t="n"/>
      <c r="DBS91" s="15" t="n"/>
      <c r="DBT91" s="248" t="n"/>
      <c r="DBU91" s="248" t="n"/>
      <c r="DBV91" s="240" t="n"/>
      <c r="DBW91" s="240" t="n"/>
      <c r="DBY91" s="15" t="n"/>
      <c r="DBZ91" s="15" t="n"/>
      <c r="DCA91" s="248" t="n"/>
      <c r="DCB91" s="248" t="n"/>
      <c r="DCC91" s="240" t="n"/>
      <c r="DCD91" s="240" t="n"/>
      <c r="DCF91" s="15" t="n"/>
      <c r="DCG91" s="15" t="n"/>
      <c r="DCH91" s="248" t="n"/>
      <c r="DCI91" s="248" t="n"/>
      <c r="DCJ91" s="240" t="n"/>
      <c r="DCK91" s="240" t="n"/>
      <c r="DCM91" s="15" t="n"/>
      <c r="DCN91" s="15" t="n"/>
      <c r="DCO91" s="248" t="n"/>
      <c r="DCP91" s="248" t="n"/>
      <c r="DCQ91" s="240" t="n"/>
      <c r="DCR91" s="240" t="n"/>
      <c r="DCT91" s="15" t="n"/>
      <c r="DCU91" s="15" t="n"/>
      <c r="DCV91" s="248" t="n"/>
      <c r="DCW91" s="248" t="n"/>
      <c r="DCX91" s="240" t="n"/>
      <c r="DCY91" s="240" t="n"/>
      <c r="DDA91" s="15" t="n"/>
      <c r="DDB91" s="15" t="n"/>
      <c r="DDC91" s="248" t="n"/>
      <c r="DDD91" s="248" t="n"/>
      <c r="DDE91" s="240" t="n"/>
      <c r="DDF91" s="240" t="n"/>
      <c r="DDH91" s="15" t="n"/>
      <c r="DDI91" s="15" t="n"/>
      <c r="DDJ91" s="248" t="n"/>
      <c r="DDK91" s="248" t="n"/>
      <c r="DDL91" s="240" t="n"/>
      <c r="DDM91" s="240" t="n"/>
      <c r="DDO91" s="15" t="n"/>
      <c r="DDP91" s="15" t="n"/>
      <c r="DDQ91" s="248" t="n"/>
      <c r="DDR91" s="248" t="n"/>
      <c r="DDS91" s="240" t="n"/>
      <c r="DDT91" s="240" t="n"/>
      <c r="DDV91" s="15" t="n"/>
      <c r="DDW91" s="15" t="n"/>
      <c r="DDX91" s="248" t="n"/>
      <c r="DDY91" s="248" t="n"/>
      <c r="DDZ91" s="240" t="n"/>
      <c r="DEA91" s="240" t="n"/>
      <c r="DEC91" s="15" t="n"/>
      <c r="DED91" s="15" t="n"/>
      <c r="DEE91" s="248" t="n"/>
      <c r="DEF91" s="248" t="n"/>
      <c r="DEG91" s="240" t="n"/>
      <c r="DEH91" s="240" t="n"/>
      <c r="DEJ91" s="15" t="n"/>
      <c r="DEK91" s="15" t="n"/>
      <c r="DEL91" s="248" t="n"/>
      <c r="DEM91" s="248" t="n"/>
      <c r="DEN91" s="240" t="n"/>
      <c r="DEO91" s="240" t="n"/>
      <c r="DEQ91" s="15" t="n"/>
      <c r="DER91" s="15" t="n"/>
      <c r="DES91" s="248" t="n"/>
      <c r="DET91" s="248" t="n"/>
      <c r="DEU91" s="240" t="n"/>
      <c r="DEV91" s="240" t="n"/>
      <c r="DEX91" s="15" t="n"/>
      <c r="DEY91" s="15" t="n"/>
      <c r="DEZ91" s="248" t="n"/>
      <c r="DFA91" s="248" t="n"/>
      <c r="DFB91" s="240" t="n"/>
      <c r="DFC91" s="240" t="n"/>
      <c r="DFE91" s="15" t="n"/>
      <c r="DFF91" s="15" t="n"/>
      <c r="DFG91" s="248" t="n"/>
      <c r="DFH91" s="248" t="n"/>
      <c r="DFI91" s="240" t="n"/>
      <c r="DFJ91" s="240" t="n"/>
      <c r="DFL91" s="15" t="n"/>
      <c r="DFM91" s="15" t="n"/>
      <c r="DFN91" s="248" t="n"/>
      <c r="DFO91" s="248" t="n"/>
      <c r="DFP91" s="240" t="n"/>
      <c r="DFQ91" s="240" t="n"/>
      <c r="DFS91" s="15" t="n"/>
      <c r="DFT91" s="15" t="n"/>
      <c r="DFU91" s="248" t="n"/>
      <c r="DFV91" s="248" t="n"/>
      <c r="DFW91" s="240" t="n"/>
      <c r="DFX91" s="240" t="n"/>
      <c r="DFZ91" s="15" t="n"/>
      <c r="DGA91" s="15" t="n"/>
      <c r="DGB91" s="248" t="n"/>
      <c r="DGC91" s="248" t="n"/>
      <c r="DGD91" s="240" t="n"/>
      <c r="DGE91" s="240" t="n"/>
      <c r="DGG91" s="15" t="n"/>
      <c r="DGH91" s="15" t="n"/>
      <c r="DGI91" s="248" t="n"/>
      <c r="DGJ91" s="248" t="n"/>
      <c r="DGK91" s="240" t="n"/>
      <c r="DGL91" s="240" t="n"/>
      <c r="DGN91" s="15" t="n"/>
      <c r="DGO91" s="15" t="n"/>
      <c r="DGP91" s="248" t="n"/>
      <c r="DGQ91" s="248" t="n"/>
      <c r="DGR91" s="240" t="n"/>
      <c r="DGS91" s="240" t="n"/>
      <c r="DGU91" s="15" t="n"/>
      <c r="DGV91" s="15" t="n"/>
      <c r="DGW91" s="248" t="n"/>
      <c r="DGX91" s="248" t="n"/>
      <c r="DGY91" s="240" t="n"/>
      <c r="DGZ91" s="240" t="n"/>
      <c r="DHB91" s="15" t="n"/>
      <c r="DHC91" s="15" t="n"/>
      <c r="DHD91" s="248" t="n"/>
      <c r="DHE91" s="248" t="n"/>
      <c r="DHF91" s="240" t="n"/>
      <c r="DHG91" s="240" t="n"/>
      <c r="DHI91" s="15" t="n"/>
      <c r="DHJ91" s="15" t="n"/>
      <c r="DHK91" s="248" t="n"/>
      <c r="DHL91" s="248" t="n"/>
      <c r="DHM91" s="240" t="n"/>
      <c r="DHN91" s="240" t="n"/>
      <c r="DHP91" s="15" t="n"/>
      <c r="DHQ91" s="15" t="n"/>
      <c r="DHR91" s="248" t="n"/>
      <c r="DHS91" s="248" t="n"/>
      <c r="DHT91" s="240" t="n"/>
      <c r="DHU91" s="240" t="n"/>
      <c r="DHW91" s="15" t="n"/>
      <c r="DHX91" s="15" t="n"/>
      <c r="DHY91" s="248" t="n"/>
      <c r="DHZ91" s="248" t="n"/>
      <c r="DIA91" s="240" t="n"/>
      <c r="DIB91" s="240" t="n"/>
      <c r="DID91" s="15" t="n"/>
      <c r="DIE91" s="15" t="n"/>
      <c r="DIF91" s="248" t="n"/>
      <c r="DIG91" s="248" t="n"/>
      <c r="DIH91" s="240" t="n"/>
      <c r="DII91" s="240" t="n"/>
      <c r="DIK91" s="15" t="n"/>
      <c r="DIL91" s="15" t="n"/>
      <c r="DIM91" s="248" t="n"/>
      <c r="DIN91" s="248" t="n"/>
      <c r="DIO91" s="240" t="n"/>
      <c r="DIP91" s="240" t="n"/>
      <c r="DIR91" s="15" t="n"/>
      <c r="DIS91" s="15" t="n"/>
      <c r="DIT91" s="248" t="n"/>
      <c r="DIU91" s="248" t="n"/>
      <c r="DIV91" s="240" t="n"/>
      <c r="DIW91" s="240" t="n"/>
      <c r="DIY91" s="15" t="n"/>
      <c r="DIZ91" s="15" t="n"/>
      <c r="DJA91" s="248" t="n"/>
      <c r="DJB91" s="248" t="n"/>
      <c r="DJC91" s="240" t="n"/>
      <c r="DJD91" s="240" t="n"/>
      <c r="DJF91" s="15" t="n"/>
      <c r="DJG91" s="15" t="n"/>
      <c r="DJH91" s="248" t="n"/>
      <c r="DJI91" s="248" t="n"/>
      <c r="DJJ91" s="240" t="n"/>
      <c r="DJK91" s="240" t="n"/>
      <c r="DJM91" s="15" t="n"/>
      <c r="DJN91" s="15" t="n"/>
      <c r="DJO91" s="248" t="n"/>
      <c r="DJP91" s="248" t="n"/>
      <c r="DJQ91" s="240" t="n"/>
      <c r="DJR91" s="240" t="n"/>
      <c r="DJT91" s="15" t="n"/>
      <c r="DJU91" s="15" t="n"/>
      <c r="DJV91" s="248" t="n"/>
      <c r="DJW91" s="248" t="n"/>
      <c r="DJX91" s="240" t="n"/>
      <c r="DJY91" s="240" t="n"/>
      <c r="DKA91" s="15" t="n"/>
      <c r="DKB91" s="15" t="n"/>
      <c r="DKC91" s="248" t="n"/>
      <c r="DKD91" s="248" t="n"/>
      <c r="DKE91" s="240" t="n"/>
      <c r="DKF91" s="240" t="n"/>
      <c r="DKH91" s="15" t="n"/>
      <c r="DKI91" s="15" t="n"/>
      <c r="DKJ91" s="248" t="n"/>
      <c r="DKK91" s="248" t="n"/>
      <c r="DKL91" s="240" t="n"/>
      <c r="DKM91" s="240" t="n"/>
      <c r="DKO91" s="15" t="n"/>
      <c r="DKP91" s="15" t="n"/>
      <c r="DKQ91" s="248" t="n"/>
      <c r="DKR91" s="248" t="n"/>
      <c r="DKS91" s="240" t="n"/>
      <c r="DKT91" s="240" t="n"/>
      <c r="DKV91" s="15" t="n"/>
      <c r="DKW91" s="15" t="n"/>
      <c r="DKX91" s="248" t="n"/>
      <c r="DKY91" s="248" t="n"/>
      <c r="DKZ91" s="240" t="n"/>
      <c r="DLA91" s="240" t="n"/>
      <c r="DLC91" s="15" t="n"/>
      <c r="DLD91" s="15" t="n"/>
      <c r="DLE91" s="248" t="n"/>
      <c r="DLF91" s="248" t="n"/>
      <c r="DLG91" s="240" t="n"/>
      <c r="DLH91" s="240" t="n"/>
      <c r="DLJ91" s="15" t="n"/>
      <c r="DLK91" s="15" t="n"/>
      <c r="DLL91" s="248" t="n"/>
      <c r="DLM91" s="248" t="n"/>
      <c r="DLN91" s="240" t="n"/>
      <c r="DLO91" s="240" t="n"/>
      <c r="DLQ91" s="15" t="n"/>
      <c r="DLR91" s="15" t="n"/>
      <c r="DLS91" s="248" t="n"/>
      <c r="DLT91" s="248" t="n"/>
      <c r="DLU91" s="240" t="n"/>
      <c r="DLV91" s="240" t="n"/>
      <c r="DLX91" s="15" t="n"/>
      <c r="DLY91" s="15" t="n"/>
      <c r="DLZ91" s="248" t="n"/>
      <c r="DMA91" s="248" t="n"/>
      <c r="DMB91" s="240" t="n"/>
      <c r="DMC91" s="240" t="n"/>
      <c r="DME91" s="15" t="n"/>
      <c r="DMF91" s="15" t="n"/>
      <c r="DMG91" s="248" t="n"/>
      <c r="DMH91" s="248" t="n"/>
      <c r="DMI91" s="240" t="n"/>
      <c r="DMJ91" s="240" t="n"/>
      <c r="DML91" s="15" t="n"/>
      <c r="DMM91" s="15" t="n"/>
      <c r="DMN91" s="248" t="n"/>
      <c r="DMO91" s="248" t="n"/>
      <c r="DMP91" s="240" t="n"/>
      <c r="DMQ91" s="240" t="n"/>
      <c r="DMS91" s="15" t="n"/>
      <c r="DMT91" s="15" t="n"/>
      <c r="DMU91" s="248" t="n"/>
      <c r="DMV91" s="248" t="n"/>
      <c r="DMW91" s="240" t="n"/>
      <c r="DMX91" s="240" t="n"/>
      <c r="DMZ91" s="15" t="n"/>
      <c r="DNA91" s="15" t="n"/>
      <c r="DNB91" s="248" t="n"/>
      <c r="DNC91" s="248" t="n"/>
      <c r="DND91" s="240" t="n"/>
      <c r="DNE91" s="240" t="n"/>
      <c r="DNG91" s="15" t="n"/>
      <c r="DNH91" s="15" t="n"/>
      <c r="DNI91" s="248" t="n"/>
      <c r="DNJ91" s="248" t="n"/>
      <c r="DNK91" s="240" t="n"/>
      <c r="DNL91" s="240" t="n"/>
      <c r="DNN91" s="15" t="n"/>
      <c r="DNO91" s="15" t="n"/>
      <c r="DNP91" s="248" t="n"/>
      <c r="DNQ91" s="248" t="n"/>
      <c r="DNR91" s="240" t="n"/>
      <c r="DNS91" s="240" t="n"/>
      <c r="DNU91" s="15" t="n"/>
      <c r="DNV91" s="15" t="n"/>
      <c r="DNW91" s="248" t="n"/>
      <c r="DNX91" s="248" t="n"/>
      <c r="DNY91" s="240" t="n"/>
      <c r="DNZ91" s="240" t="n"/>
      <c r="DOB91" s="15" t="n"/>
      <c r="DOC91" s="15" t="n"/>
      <c r="DOD91" s="248" t="n"/>
      <c r="DOE91" s="248" t="n"/>
      <c r="DOF91" s="240" t="n"/>
      <c r="DOG91" s="240" t="n"/>
      <c r="DOI91" s="15" t="n"/>
      <c r="DOJ91" s="15" t="n"/>
      <c r="DOK91" s="248" t="n"/>
      <c r="DOL91" s="248" t="n"/>
      <c r="DOM91" s="240" t="n"/>
      <c r="DON91" s="240" t="n"/>
      <c r="DOP91" s="15" t="n"/>
      <c r="DOQ91" s="15" t="n"/>
      <c r="DOR91" s="248" t="n"/>
      <c r="DOS91" s="248" t="n"/>
      <c r="DOT91" s="240" t="n"/>
      <c r="DOU91" s="240" t="n"/>
      <c r="DOW91" s="15" t="n"/>
      <c r="DOX91" s="15" t="n"/>
      <c r="DOY91" s="248" t="n"/>
      <c r="DOZ91" s="248" t="n"/>
      <c r="DPA91" s="240" t="n"/>
      <c r="DPB91" s="240" t="n"/>
      <c r="DPD91" s="15" t="n"/>
      <c r="DPE91" s="15" t="n"/>
      <c r="DPF91" s="248" t="n"/>
      <c r="DPG91" s="248" t="n"/>
      <c r="DPH91" s="240" t="n"/>
      <c r="DPI91" s="240" t="n"/>
      <c r="DPK91" s="15" t="n"/>
      <c r="DPL91" s="15" t="n"/>
      <c r="DPM91" s="248" t="n"/>
      <c r="DPN91" s="248" t="n"/>
      <c r="DPO91" s="240" t="n"/>
      <c r="DPP91" s="240" t="n"/>
      <c r="DPR91" s="15" t="n"/>
      <c r="DPS91" s="15" t="n"/>
      <c r="DPT91" s="248" t="n"/>
      <c r="DPU91" s="248" t="n"/>
      <c r="DPV91" s="240" t="n"/>
      <c r="DPW91" s="240" t="n"/>
      <c r="DPY91" s="15" t="n"/>
      <c r="DPZ91" s="15" t="n"/>
      <c r="DQA91" s="248" t="n"/>
      <c r="DQB91" s="248" t="n"/>
      <c r="DQC91" s="240" t="n"/>
      <c r="DQD91" s="240" t="n"/>
      <c r="DQF91" s="15" t="n"/>
      <c r="DQG91" s="15" t="n"/>
      <c r="DQH91" s="248" t="n"/>
      <c r="DQI91" s="248" t="n"/>
      <c r="DQJ91" s="240" t="n"/>
      <c r="DQK91" s="240" t="n"/>
      <c r="DQM91" s="15" t="n"/>
      <c r="DQN91" s="15" t="n"/>
      <c r="DQO91" s="248" t="n"/>
      <c r="DQP91" s="248" t="n"/>
      <c r="DQQ91" s="240" t="n"/>
      <c r="DQR91" s="240" t="n"/>
      <c r="DQT91" s="15" t="n"/>
      <c r="DQU91" s="15" t="n"/>
      <c r="DQV91" s="248" t="n"/>
      <c r="DQW91" s="248" t="n"/>
      <c r="DQX91" s="240" t="n"/>
      <c r="DQY91" s="240" t="n"/>
      <c r="DRA91" s="15" t="n"/>
      <c r="DRB91" s="15" t="n"/>
      <c r="DRC91" s="248" t="n"/>
      <c r="DRD91" s="248" t="n"/>
      <c r="DRE91" s="240" t="n"/>
      <c r="DRF91" s="240" t="n"/>
      <c r="DRH91" s="15" t="n"/>
      <c r="DRI91" s="15" t="n"/>
      <c r="DRJ91" s="248" t="n"/>
      <c r="DRK91" s="248" t="n"/>
      <c r="DRL91" s="240" t="n"/>
      <c r="DRM91" s="240" t="n"/>
      <c r="DRO91" s="15" t="n"/>
      <c r="DRP91" s="15" t="n"/>
      <c r="DRQ91" s="248" t="n"/>
      <c r="DRR91" s="248" t="n"/>
      <c r="DRS91" s="240" t="n"/>
      <c r="DRT91" s="240" t="n"/>
      <c r="DRV91" s="15" t="n"/>
      <c r="DRW91" s="15" t="n"/>
      <c r="DRX91" s="248" t="n"/>
      <c r="DRY91" s="248" t="n"/>
      <c r="DRZ91" s="240" t="n"/>
      <c r="DSA91" s="240" t="n"/>
      <c r="DSC91" s="15" t="n"/>
      <c r="DSD91" s="15" t="n"/>
      <c r="DSE91" s="248" t="n"/>
      <c r="DSF91" s="248" t="n"/>
      <c r="DSG91" s="240" t="n"/>
      <c r="DSH91" s="240" t="n"/>
      <c r="DSJ91" s="15" t="n"/>
      <c r="DSK91" s="15" t="n"/>
      <c r="DSL91" s="248" t="n"/>
      <c r="DSM91" s="248" t="n"/>
      <c r="DSN91" s="240" t="n"/>
      <c r="DSO91" s="240" t="n"/>
      <c r="DSQ91" s="15" t="n"/>
      <c r="DSR91" s="15" t="n"/>
      <c r="DSS91" s="248" t="n"/>
      <c r="DST91" s="248" t="n"/>
      <c r="DSU91" s="240" t="n"/>
      <c r="DSV91" s="240" t="n"/>
      <c r="DSX91" s="15" t="n"/>
      <c r="DSY91" s="15" t="n"/>
      <c r="DSZ91" s="248" t="n"/>
      <c r="DTA91" s="248" t="n"/>
      <c r="DTB91" s="240" t="n"/>
      <c r="DTC91" s="240" t="n"/>
      <c r="DTE91" s="15" t="n"/>
      <c r="DTF91" s="15" t="n"/>
      <c r="DTG91" s="248" t="n"/>
      <c r="DTH91" s="248" t="n"/>
      <c r="DTI91" s="240" t="n"/>
      <c r="DTJ91" s="240" t="n"/>
      <c r="DTL91" s="15" t="n"/>
      <c r="DTM91" s="15" t="n"/>
      <c r="DTN91" s="248" t="n"/>
      <c r="DTO91" s="248" t="n"/>
      <c r="DTP91" s="240" t="n"/>
      <c r="DTQ91" s="240" t="n"/>
      <c r="DTS91" s="15" t="n"/>
      <c r="DTT91" s="15" t="n"/>
      <c r="DTU91" s="248" t="n"/>
      <c r="DTV91" s="248" t="n"/>
      <c r="DTW91" s="240" t="n"/>
      <c r="DTX91" s="240" t="n"/>
      <c r="DTZ91" s="15" t="n"/>
      <c r="DUA91" s="15" t="n"/>
      <c r="DUB91" s="248" t="n"/>
      <c r="DUC91" s="248" t="n"/>
      <c r="DUD91" s="240" t="n"/>
      <c r="DUE91" s="240" t="n"/>
      <c r="DUG91" s="15" t="n"/>
      <c r="DUH91" s="15" t="n"/>
      <c r="DUI91" s="248" t="n"/>
      <c r="DUJ91" s="248" t="n"/>
      <c r="DUK91" s="240" t="n"/>
      <c r="DUL91" s="240" t="n"/>
      <c r="DUN91" s="15" t="n"/>
      <c r="DUO91" s="15" t="n"/>
      <c r="DUP91" s="248" t="n"/>
      <c r="DUQ91" s="248" t="n"/>
      <c r="DUR91" s="240" t="n"/>
      <c r="DUS91" s="240" t="n"/>
      <c r="DUU91" s="15" t="n"/>
      <c r="DUV91" s="15" t="n"/>
      <c r="DUW91" s="248" t="n"/>
      <c r="DUX91" s="248" t="n"/>
      <c r="DUY91" s="240" t="n"/>
      <c r="DUZ91" s="240" t="n"/>
      <c r="DVB91" s="15" t="n"/>
      <c r="DVC91" s="15" t="n"/>
      <c r="DVD91" s="248" t="n"/>
      <c r="DVE91" s="248" t="n"/>
      <c r="DVF91" s="240" t="n"/>
      <c r="DVG91" s="240" t="n"/>
      <c r="DVI91" s="15" t="n"/>
      <c r="DVJ91" s="15" t="n"/>
      <c r="DVK91" s="248" t="n"/>
      <c r="DVL91" s="248" t="n"/>
      <c r="DVM91" s="240" t="n"/>
      <c r="DVN91" s="240" t="n"/>
      <c r="DVP91" s="15" t="n"/>
      <c r="DVQ91" s="15" t="n"/>
      <c r="DVR91" s="248" t="n"/>
      <c r="DVS91" s="248" t="n"/>
      <c r="DVT91" s="240" t="n"/>
      <c r="DVU91" s="240" t="n"/>
      <c r="DVW91" s="15" t="n"/>
      <c r="DVX91" s="15" t="n"/>
      <c r="DVY91" s="248" t="n"/>
      <c r="DVZ91" s="248" t="n"/>
      <c r="DWA91" s="240" t="n"/>
      <c r="DWB91" s="240" t="n"/>
      <c r="DWD91" s="15" t="n"/>
      <c r="DWE91" s="15" t="n"/>
      <c r="DWF91" s="248" t="n"/>
      <c r="DWG91" s="248" t="n"/>
      <c r="DWH91" s="240" t="n"/>
      <c r="DWI91" s="240" t="n"/>
      <c r="DWK91" s="15" t="n"/>
      <c r="DWL91" s="15" t="n"/>
      <c r="DWM91" s="248" t="n"/>
      <c r="DWN91" s="248" t="n"/>
      <c r="DWO91" s="240" t="n"/>
      <c r="DWP91" s="240" t="n"/>
      <c r="DWR91" s="15" t="n"/>
      <c r="DWS91" s="15" t="n"/>
      <c r="DWT91" s="248" t="n"/>
      <c r="DWU91" s="248" t="n"/>
      <c r="DWV91" s="240" t="n"/>
      <c r="DWW91" s="240" t="n"/>
      <c r="DWY91" s="15" t="n"/>
      <c r="DWZ91" s="15" t="n"/>
      <c r="DXA91" s="248" t="n"/>
      <c r="DXB91" s="248" t="n"/>
      <c r="DXC91" s="240" t="n"/>
      <c r="DXD91" s="240" t="n"/>
      <c r="DXF91" s="15" t="n"/>
      <c r="DXG91" s="15" t="n"/>
      <c r="DXH91" s="248" t="n"/>
      <c r="DXI91" s="248" t="n"/>
      <c r="DXJ91" s="240" t="n"/>
      <c r="DXK91" s="240" t="n"/>
      <c r="DXM91" s="15" t="n"/>
      <c r="DXN91" s="15" t="n"/>
      <c r="DXO91" s="248" t="n"/>
      <c r="DXP91" s="248" t="n"/>
      <c r="DXQ91" s="240" t="n"/>
      <c r="DXR91" s="240" t="n"/>
      <c r="DXT91" s="15" t="n"/>
      <c r="DXU91" s="15" t="n"/>
      <c r="DXV91" s="248" t="n"/>
      <c r="DXW91" s="248" t="n"/>
      <c r="DXX91" s="240" t="n"/>
      <c r="DXY91" s="240" t="n"/>
      <c r="DYA91" s="15" t="n"/>
      <c r="DYB91" s="15" t="n"/>
      <c r="DYC91" s="248" t="n"/>
      <c r="DYD91" s="248" t="n"/>
      <c r="DYE91" s="240" t="n"/>
      <c r="DYF91" s="240" t="n"/>
      <c r="DYH91" s="15" t="n"/>
      <c r="DYI91" s="15" t="n"/>
      <c r="DYJ91" s="248" t="n"/>
      <c r="DYK91" s="248" t="n"/>
      <c r="DYL91" s="240" t="n"/>
      <c r="DYM91" s="240" t="n"/>
      <c r="DYO91" s="15" t="n"/>
      <c r="DYP91" s="15" t="n"/>
      <c r="DYQ91" s="248" t="n"/>
      <c r="DYR91" s="248" t="n"/>
      <c r="DYS91" s="240" t="n"/>
      <c r="DYT91" s="240" t="n"/>
      <c r="DYV91" s="15" t="n"/>
      <c r="DYW91" s="15" t="n"/>
      <c r="DYX91" s="248" t="n"/>
      <c r="DYY91" s="248" t="n"/>
      <c r="DYZ91" s="240" t="n"/>
      <c r="DZA91" s="240" t="n"/>
      <c r="DZC91" s="15" t="n"/>
      <c r="DZD91" s="15" t="n"/>
      <c r="DZE91" s="248" t="n"/>
      <c r="DZF91" s="248" t="n"/>
      <c r="DZG91" s="240" t="n"/>
      <c r="DZH91" s="240" t="n"/>
      <c r="DZJ91" s="15" t="n"/>
      <c r="DZK91" s="15" t="n"/>
      <c r="DZL91" s="248" t="n"/>
      <c r="DZM91" s="248" t="n"/>
      <c r="DZN91" s="240" t="n"/>
      <c r="DZO91" s="240" t="n"/>
      <c r="DZQ91" s="15" t="n"/>
      <c r="DZR91" s="15" t="n"/>
      <c r="DZS91" s="248" t="n"/>
      <c r="DZT91" s="248" t="n"/>
      <c r="DZU91" s="240" t="n"/>
      <c r="DZV91" s="240" t="n"/>
      <c r="DZX91" s="15" t="n"/>
      <c r="DZY91" s="15" t="n"/>
      <c r="DZZ91" s="248" t="n"/>
      <c r="EAA91" s="248" t="n"/>
      <c r="EAB91" s="240" t="n"/>
      <c r="EAC91" s="240" t="n"/>
      <c r="EAE91" s="15" t="n"/>
      <c r="EAF91" s="15" t="n"/>
      <c r="EAG91" s="248" t="n"/>
      <c r="EAH91" s="248" t="n"/>
      <c r="EAI91" s="240" t="n"/>
      <c r="EAJ91" s="240" t="n"/>
      <c r="EAL91" s="15" t="n"/>
      <c r="EAM91" s="15" t="n"/>
      <c r="EAN91" s="248" t="n"/>
      <c r="EAO91" s="248" t="n"/>
      <c r="EAP91" s="240" t="n"/>
      <c r="EAQ91" s="240" t="n"/>
      <c r="EAS91" s="15" t="n"/>
      <c r="EAT91" s="15" t="n"/>
      <c r="EAU91" s="248" t="n"/>
      <c r="EAV91" s="248" t="n"/>
      <c r="EAW91" s="240" t="n"/>
      <c r="EAX91" s="240" t="n"/>
      <c r="EAZ91" s="15" t="n"/>
      <c r="EBA91" s="15" t="n"/>
      <c r="EBB91" s="248" t="n"/>
      <c r="EBC91" s="248" t="n"/>
      <c r="EBD91" s="240" t="n"/>
      <c r="EBE91" s="240" t="n"/>
      <c r="EBG91" s="15" t="n"/>
      <c r="EBH91" s="15" t="n"/>
      <c r="EBI91" s="248" t="n"/>
      <c r="EBJ91" s="248" t="n"/>
      <c r="EBK91" s="240" t="n"/>
      <c r="EBL91" s="240" t="n"/>
      <c r="EBN91" s="15" t="n"/>
      <c r="EBO91" s="15" t="n"/>
      <c r="EBP91" s="248" t="n"/>
      <c r="EBQ91" s="248" t="n"/>
      <c r="EBR91" s="240" t="n"/>
      <c r="EBS91" s="240" t="n"/>
      <c r="EBU91" s="15" t="n"/>
      <c r="EBV91" s="15" t="n"/>
      <c r="EBW91" s="248" t="n"/>
      <c r="EBX91" s="248" t="n"/>
      <c r="EBY91" s="240" t="n"/>
      <c r="EBZ91" s="240" t="n"/>
      <c r="ECB91" s="15" t="n"/>
      <c r="ECC91" s="15" t="n"/>
      <c r="ECD91" s="248" t="n"/>
      <c r="ECE91" s="248" t="n"/>
      <c r="ECF91" s="240" t="n"/>
      <c r="ECG91" s="240" t="n"/>
      <c r="ECI91" s="15" t="n"/>
      <c r="ECJ91" s="15" t="n"/>
      <c r="ECK91" s="248" t="n"/>
      <c r="ECL91" s="248" t="n"/>
      <c r="ECM91" s="240" t="n"/>
      <c r="ECN91" s="240" t="n"/>
      <c r="ECP91" s="15" t="n"/>
      <c r="ECQ91" s="15" t="n"/>
      <c r="ECR91" s="248" t="n"/>
      <c r="ECS91" s="248" t="n"/>
      <c r="ECT91" s="240" t="n"/>
      <c r="ECU91" s="240" t="n"/>
      <c r="ECW91" s="15" t="n"/>
      <c r="ECX91" s="15" t="n"/>
      <c r="ECY91" s="248" t="n"/>
      <c r="ECZ91" s="248" t="n"/>
      <c r="EDA91" s="240" t="n"/>
      <c r="EDB91" s="240" t="n"/>
      <c r="EDD91" s="15" t="n"/>
      <c r="EDE91" s="15" t="n"/>
      <c r="EDF91" s="248" t="n"/>
      <c r="EDG91" s="248" t="n"/>
      <c r="EDH91" s="240" t="n"/>
      <c r="EDI91" s="240" t="n"/>
      <c r="EDK91" s="15" t="n"/>
      <c r="EDL91" s="15" t="n"/>
      <c r="EDM91" s="248" t="n"/>
      <c r="EDN91" s="248" t="n"/>
      <c r="EDO91" s="240" t="n"/>
      <c r="EDP91" s="240" t="n"/>
      <c r="EDR91" s="15" t="n"/>
      <c r="EDS91" s="15" t="n"/>
      <c r="EDT91" s="248" t="n"/>
      <c r="EDU91" s="248" t="n"/>
      <c r="EDV91" s="240" t="n"/>
      <c r="EDW91" s="240" t="n"/>
      <c r="EDY91" s="15" t="n"/>
      <c r="EDZ91" s="15" t="n"/>
      <c r="EEA91" s="248" t="n"/>
      <c r="EEB91" s="248" t="n"/>
      <c r="EEC91" s="240" t="n"/>
      <c r="EED91" s="240" t="n"/>
      <c r="EEF91" s="15" t="n"/>
      <c r="EEG91" s="15" t="n"/>
      <c r="EEH91" s="248" t="n"/>
      <c r="EEI91" s="248" t="n"/>
      <c r="EEJ91" s="240" t="n"/>
      <c r="EEK91" s="240" t="n"/>
      <c r="EEM91" s="15" t="n"/>
      <c r="EEN91" s="15" t="n"/>
      <c r="EEO91" s="248" t="n"/>
      <c r="EEP91" s="248" t="n"/>
      <c r="EEQ91" s="240" t="n"/>
      <c r="EER91" s="240" t="n"/>
      <c r="EET91" s="15" t="n"/>
      <c r="EEU91" s="15" t="n"/>
      <c r="EEV91" s="248" t="n"/>
      <c r="EEW91" s="248" t="n"/>
      <c r="EEX91" s="240" t="n"/>
      <c r="EEY91" s="240" t="n"/>
      <c r="EFA91" s="15" t="n"/>
      <c r="EFB91" s="15" t="n"/>
      <c r="EFC91" s="248" t="n"/>
      <c r="EFD91" s="248" t="n"/>
      <c r="EFE91" s="240" t="n"/>
      <c r="EFF91" s="240" t="n"/>
      <c r="EFH91" s="15" t="n"/>
      <c r="EFI91" s="15" t="n"/>
      <c r="EFJ91" s="248" t="n"/>
      <c r="EFK91" s="248" t="n"/>
      <c r="EFL91" s="240" t="n"/>
      <c r="EFM91" s="240" t="n"/>
      <c r="EFO91" s="15" t="n"/>
      <c r="EFP91" s="15" t="n"/>
      <c r="EFQ91" s="248" t="n"/>
      <c r="EFR91" s="248" t="n"/>
      <c r="EFS91" s="240" t="n"/>
      <c r="EFT91" s="240" t="n"/>
      <c r="EFV91" s="15" t="n"/>
      <c r="EFW91" s="15" t="n"/>
      <c r="EFX91" s="248" t="n"/>
      <c r="EFY91" s="248" t="n"/>
      <c r="EFZ91" s="240" t="n"/>
      <c r="EGA91" s="240" t="n"/>
      <c r="EGC91" s="15" t="n"/>
      <c r="EGD91" s="15" t="n"/>
      <c r="EGE91" s="248" t="n"/>
      <c r="EGF91" s="248" t="n"/>
      <c r="EGG91" s="240" t="n"/>
      <c r="EGH91" s="240" t="n"/>
      <c r="EGJ91" s="15" t="n"/>
      <c r="EGK91" s="15" t="n"/>
      <c r="EGL91" s="248" t="n"/>
      <c r="EGM91" s="248" t="n"/>
      <c r="EGN91" s="240" t="n"/>
      <c r="EGO91" s="240" t="n"/>
      <c r="EGQ91" s="15" t="n"/>
      <c r="EGR91" s="15" t="n"/>
      <c r="EGS91" s="248" t="n"/>
      <c r="EGT91" s="248" t="n"/>
      <c r="EGU91" s="240" t="n"/>
      <c r="EGV91" s="240" t="n"/>
      <c r="EGX91" s="15" t="n"/>
      <c r="EGY91" s="15" t="n"/>
      <c r="EGZ91" s="248" t="n"/>
      <c r="EHA91" s="248" t="n"/>
      <c r="EHB91" s="240" t="n"/>
      <c r="EHC91" s="240" t="n"/>
      <c r="EHE91" s="15" t="n"/>
      <c r="EHF91" s="15" t="n"/>
      <c r="EHG91" s="248" t="n"/>
      <c r="EHH91" s="248" t="n"/>
      <c r="EHI91" s="240" t="n"/>
      <c r="EHJ91" s="240" t="n"/>
      <c r="EHL91" s="15" t="n"/>
      <c r="EHM91" s="15" t="n"/>
      <c r="EHN91" s="248" t="n"/>
      <c r="EHO91" s="248" t="n"/>
      <c r="EHP91" s="240" t="n"/>
      <c r="EHQ91" s="240" t="n"/>
      <c r="EHS91" s="15" t="n"/>
      <c r="EHT91" s="15" t="n"/>
      <c r="EHU91" s="248" t="n"/>
      <c r="EHV91" s="248" t="n"/>
      <c r="EHW91" s="240" t="n"/>
      <c r="EHX91" s="240" t="n"/>
      <c r="EHZ91" s="15" t="n"/>
      <c r="EIA91" s="15" t="n"/>
      <c r="EIB91" s="248" t="n"/>
      <c r="EIC91" s="248" t="n"/>
      <c r="EID91" s="240" t="n"/>
      <c r="EIE91" s="240" t="n"/>
      <c r="EIG91" s="15" t="n"/>
      <c r="EIH91" s="15" t="n"/>
      <c r="EII91" s="248" t="n"/>
      <c r="EIJ91" s="248" t="n"/>
      <c r="EIK91" s="240" t="n"/>
      <c r="EIL91" s="240" t="n"/>
      <c r="EIN91" s="15" t="n"/>
      <c r="EIO91" s="15" t="n"/>
      <c r="EIP91" s="248" t="n"/>
      <c r="EIQ91" s="248" t="n"/>
      <c r="EIR91" s="240" t="n"/>
      <c r="EIS91" s="240" t="n"/>
      <c r="EIU91" s="15" t="n"/>
      <c r="EIV91" s="15" t="n"/>
      <c r="EIW91" s="248" t="n"/>
      <c r="EIX91" s="248" t="n"/>
      <c r="EIY91" s="240" t="n"/>
      <c r="EIZ91" s="240" t="n"/>
      <c r="EJB91" s="15" t="n"/>
      <c r="EJC91" s="15" t="n"/>
      <c r="EJD91" s="248" t="n"/>
      <c r="EJE91" s="248" t="n"/>
      <c r="EJF91" s="240" t="n"/>
      <c r="EJG91" s="240" t="n"/>
      <c r="EJI91" s="15" t="n"/>
      <c r="EJJ91" s="15" t="n"/>
      <c r="EJK91" s="248" t="n"/>
      <c r="EJL91" s="248" t="n"/>
      <c r="EJM91" s="240" t="n"/>
      <c r="EJN91" s="240" t="n"/>
      <c r="EJP91" s="15" t="n"/>
      <c r="EJQ91" s="15" t="n"/>
      <c r="EJR91" s="248" t="n"/>
      <c r="EJS91" s="248" t="n"/>
      <c r="EJT91" s="240" t="n"/>
      <c r="EJU91" s="240" t="n"/>
      <c r="EJW91" s="15" t="n"/>
      <c r="EJX91" s="15" t="n"/>
      <c r="EJY91" s="248" t="n"/>
      <c r="EJZ91" s="248" t="n"/>
      <c r="EKA91" s="240" t="n"/>
      <c r="EKB91" s="240" t="n"/>
      <c r="EKD91" s="15" t="n"/>
      <c r="EKE91" s="15" t="n"/>
      <c r="EKF91" s="248" t="n"/>
      <c r="EKG91" s="248" t="n"/>
      <c r="EKH91" s="240" t="n"/>
      <c r="EKI91" s="240" t="n"/>
      <c r="EKK91" s="15" t="n"/>
      <c r="EKL91" s="15" t="n"/>
      <c r="EKM91" s="248" t="n"/>
      <c r="EKN91" s="248" t="n"/>
      <c r="EKO91" s="240" t="n"/>
      <c r="EKP91" s="240" t="n"/>
      <c r="EKR91" s="15" t="n"/>
      <c r="EKS91" s="15" t="n"/>
      <c r="EKT91" s="248" t="n"/>
      <c r="EKU91" s="248" t="n"/>
      <c r="EKV91" s="240" t="n"/>
      <c r="EKW91" s="240" t="n"/>
      <c r="EKY91" s="15" t="n"/>
      <c r="EKZ91" s="15" t="n"/>
      <c r="ELA91" s="248" t="n"/>
      <c r="ELB91" s="248" t="n"/>
      <c r="ELC91" s="240" t="n"/>
      <c r="ELD91" s="240" t="n"/>
      <c r="ELF91" s="15" t="n"/>
      <c r="ELG91" s="15" t="n"/>
      <c r="ELH91" s="248" t="n"/>
      <c r="ELI91" s="248" t="n"/>
      <c r="ELJ91" s="240" t="n"/>
      <c r="ELK91" s="240" t="n"/>
      <c r="ELM91" s="15" t="n"/>
      <c r="ELN91" s="15" t="n"/>
      <c r="ELO91" s="248" t="n"/>
      <c r="ELP91" s="248" t="n"/>
      <c r="ELQ91" s="240" t="n"/>
      <c r="ELR91" s="240" t="n"/>
      <c r="ELT91" s="15" t="n"/>
      <c r="ELU91" s="15" t="n"/>
      <c r="ELV91" s="248" t="n"/>
      <c r="ELW91" s="248" t="n"/>
      <c r="ELX91" s="240" t="n"/>
      <c r="ELY91" s="240" t="n"/>
      <c r="EMA91" s="15" t="n"/>
      <c r="EMB91" s="15" t="n"/>
      <c r="EMC91" s="248" t="n"/>
      <c r="EMD91" s="248" t="n"/>
      <c r="EME91" s="240" t="n"/>
      <c r="EMF91" s="240" t="n"/>
      <c r="EMH91" s="15" t="n"/>
      <c r="EMI91" s="15" t="n"/>
      <c r="EMJ91" s="248" t="n"/>
      <c r="EMK91" s="248" t="n"/>
      <c r="EML91" s="240" t="n"/>
      <c r="EMM91" s="240" t="n"/>
      <c r="EMO91" s="15" t="n"/>
      <c r="EMP91" s="15" t="n"/>
      <c r="EMQ91" s="248" t="n"/>
      <c r="EMR91" s="248" t="n"/>
      <c r="EMS91" s="240" t="n"/>
      <c r="EMT91" s="240" t="n"/>
      <c r="EMV91" s="15" t="n"/>
      <c r="EMW91" s="15" t="n"/>
      <c r="EMX91" s="248" t="n"/>
      <c r="EMY91" s="248" t="n"/>
      <c r="EMZ91" s="240" t="n"/>
      <c r="ENA91" s="240" t="n"/>
      <c r="ENC91" s="15" t="n"/>
      <c r="END91" s="15" t="n"/>
      <c r="ENE91" s="248" t="n"/>
      <c r="ENF91" s="248" t="n"/>
      <c r="ENG91" s="240" t="n"/>
      <c r="ENH91" s="240" t="n"/>
      <c r="ENJ91" s="15" t="n"/>
      <c r="ENK91" s="15" t="n"/>
      <c r="ENL91" s="248" t="n"/>
      <c r="ENM91" s="248" t="n"/>
      <c r="ENN91" s="240" t="n"/>
      <c r="ENO91" s="240" t="n"/>
      <c r="ENQ91" s="15" t="n"/>
      <c r="ENR91" s="15" t="n"/>
      <c r="ENS91" s="248" t="n"/>
      <c r="ENT91" s="248" t="n"/>
      <c r="ENU91" s="240" t="n"/>
      <c r="ENV91" s="240" t="n"/>
      <c r="ENX91" s="15" t="n"/>
      <c r="ENY91" s="15" t="n"/>
      <c r="ENZ91" s="248" t="n"/>
      <c r="EOA91" s="248" t="n"/>
      <c r="EOB91" s="240" t="n"/>
      <c r="EOC91" s="240" t="n"/>
      <c r="EOE91" s="15" t="n"/>
      <c r="EOF91" s="15" t="n"/>
      <c r="EOG91" s="248" t="n"/>
      <c r="EOH91" s="248" t="n"/>
      <c r="EOI91" s="240" t="n"/>
      <c r="EOJ91" s="240" t="n"/>
      <c r="EOL91" s="15" t="n"/>
      <c r="EOM91" s="15" t="n"/>
      <c r="EON91" s="248" t="n"/>
      <c r="EOO91" s="248" t="n"/>
      <c r="EOP91" s="240" t="n"/>
      <c r="EOQ91" s="240" t="n"/>
      <c r="EOS91" s="15" t="n"/>
      <c r="EOT91" s="15" t="n"/>
      <c r="EOU91" s="248" t="n"/>
      <c r="EOV91" s="248" t="n"/>
      <c r="EOW91" s="240" t="n"/>
      <c r="EOX91" s="240" t="n"/>
      <c r="EOZ91" s="15" t="n"/>
      <c r="EPA91" s="15" t="n"/>
      <c r="EPB91" s="248" t="n"/>
      <c r="EPC91" s="248" t="n"/>
      <c r="EPD91" s="240" t="n"/>
      <c r="EPE91" s="240" t="n"/>
      <c r="EPG91" s="15" t="n"/>
      <c r="EPH91" s="15" t="n"/>
      <c r="EPI91" s="248" t="n"/>
      <c r="EPJ91" s="248" t="n"/>
      <c r="EPK91" s="240" t="n"/>
      <c r="EPL91" s="240" t="n"/>
      <c r="EPN91" s="15" t="n"/>
      <c r="EPO91" s="15" t="n"/>
      <c r="EPP91" s="248" t="n"/>
      <c r="EPQ91" s="248" t="n"/>
      <c r="EPR91" s="240" t="n"/>
      <c r="EPS91" s="240" t="n"/>
      <c r="EPU91" s="15" t="n"/>
      <c r="EPV91" s="15" t="n"/>
      <c r="EPW91" s="248" t="n"/>
      <c r="EPX91" s="248" t="n"/>
      <c r="EPY91" s="240" t="n"/>
      <c r="EPZ91" s="240" t="n"/>
      <c r="EQB91" s="15" t="n"/>
      <c r="EQC91" s="15" t="n"/>
      <c r="EQD91" s="248" t="n"/>
      <c r="EQE91" s="248" t="n"/>
      <c r="EQF91" s="240" t="n"/>
      <c r="EQG91" s="240" t="n"/>
      <c r="EQI91" s="15" t="n"/>
      <c r="EQJ91" s="15" t="n"/>
      <c r="EQK91" s="248" t="n"/>
      <c r="EQL91" s="248" t="n"/>
      <c r="EQM91" s="240" t="n"/>
      <c r="EQN91" s="240" t="n"/>
      <c r="EQP91" s="15" t="n"/>
      <c r="EQQ91" s="15" t="n"/>
      <c r="EQR91" s="248" t="n"/>
      <c r="EQS91" s="248" t="n"/>
      <c r="EQT91" s="240" t="n"/>
      <c r="EQU91" s="240" t="n"/>
      <c r="EQW91" s="15" t="n"/>
      <c r="EQX91" s="15" t="n"/>
      <c r="EQY91" s="248" t="n"/>
      <c r="EQZ91" s="248" t="n"/>
      <c r="ERA91" s="240" t="n"/>
      <c r="ERB91" s="240" t="n"/>
      <c r="ERD91" s="15" t="n"/>
      <c r="ERE91" s="15" t="n"/>
      <c r="ERF91" s="248" t="n"/>
      <c r="ERG91" s="248" t="n"/>
      <c r="ERH91" s="240" t="n"/>
      <c r="ERI91" s="240" t="n"/>
      <c r="ERK91" s="15" t="n"/>
      <c r="ERL91" s="15" t="n"/>
      <c r="ERM91" s="248" t="n"/>
      <c r="ERN91" s="248" t="n"/>
      <c r="ERO91" s="240" t="n"/>
      <c r="ERP91" s="240" t="n"/>
      <c r="ERR91" s="15" t="n"/>
      <c r="ERS91" s="15" t="n"/>
      <c r="ERT91" s="248" t="n"/>
      <c r="ERU91" s="248" t="n"/>
      <c r="ERV91" s="240" t="n"/>
      <c r="ERW91" s="240" t="n"/>
      <c r="ERY91" s="15" t="n"/>
      <c r="ERZ91" s="15" t="n"/>
      <c r="ESA91" s="248" t="n"/>
      <c r="ESB91" s="248" t="n"/>
      <c r="ESC91" s="240" t="n"/>
      <c r="ESD91" s="240" t="n"/>
      <c r="ESF91" s="15" t="n"/>
      <c r="ESG91" s="15" t="n"/>
      <c r="ESH91" s="248" t="n"/>
      <c r="ESI91" s="248" t="n"/>
      <c r="ESJ91" s="240" t="n"/>
      <c r="ESK91" s="240" t="n"/>
      <c r="ESM91" s="15" t="n"/>
      <c r="ESN91" s="15" t="n"/>
      <c r="ESO91" s="248" t="n"/>
      <c r="ESP91" s="248" t="n"/>
      <c r="ESQ91" s="240" t="n"/>
      <c r="ESR91" s="240" t="n"/>
      <c r="EST91" s="15" t="n"/>
      <c r="ESU91" s="15" t="n"/>
      <c r="ESV91" s="248" t="n"/>
      <c r="ESW91" s="248" t="n"/>
      <c r="ESX91" s="240" t="n"/>
      <c r="ESY91" s="240" t="n"/>
      <c r="ETA91" s="15" t="n"/>
      <c r="ETB91" s="15" t="n"/>
      <c r="ETC91" s="248" t="n"/>
      <c r="ETD91" s="248" t="n"/>
      <c r="ETE91" s="240" t="n"/>
      <c r="ETF91" s="240" t="n"/>
      <c r="ETH91" s="15" t="n"/>
      <c r="ETI91" s="15" t="n"/>
      <c r="ETJ91" s="248" t="n"/>
      <c r="ETK91" s="248" t="n"/>
      <c r="ETL91" s="240" t="n"/>
      <c r="ETM91" s="240" t="n"/>
      <c r="ETO91" s="15" t="n"/>
      <c r="ETP91" s="15" t="n"/>
      <c r="ETQ91" s="248" t="n"/>
      <c r="ETR91" s="248" t="n"/>
      <c r="ETS91" s="240" t="n"/>
      <c r="ETT91" s="240" t="n"/>
      <c r="ETV91" s="15" t="n"/>
      <c r="ETW91" s="15" t="n"/>
      <c r="ETX91" s="248" t="n"/>
      <c r="ETY91" s="248" t="n"/>
      <c r="ETZ91" s="240" t="n"/>
      <c r="EUA91" s="240" t="n"/>
      <c r="EUC91" s="15" t="n"/>
      <c r="EUD91" s="15" t="n"/>
      <c r="EUE91" s="248" t="n"/>
      <c r="EUF91" s="248" t="n"/>
      <c r="EUG91" s="240" t="n"/>
      <c r="EUH91" s="240" t="n"/>
      <c r="EUJ91" s="15" t="n"/>
      <c r="EUK91" s="15" t="n"/>
      <c r="EUL91" s="248" t="n"/>
      <c r="EUM91" s="248" t="n"/>
      <c r="EUN91" s="240" t="n"/>
      <c r="EUO91" s="240" t="n"/>
      <c r="EUQ91" s="15" t="n"/>
      <c r="EUR91" s="15" t="n"/>
      <c r="EUS91" s="248" t="n"/>
      <c r="EUT91" s="248" t="n"/>
      <c r="EUU91" s="240" t="n"/>
      <c r="EUV91" s="240" t="n"/>
      <c r="EUX91" s="15" t="n"/>
      <c r="EUY91" s="15" t="n"/>
      <c r="EUZ91" s="248" t="n"/>
      <c r="EVA91" s="248" t="n"/>
      <c r="EVB91" s="240" t="n"/>
      <c r="EVC91" s="240" t="n"/>
      <c r="EVE91" s="15" t="n"/>
      <c r="EVF91" s="15" t="n"/>
      <c r="EVG91" s="248" t="n"/>
      <c r="EVH91" s="248" t="n"/>
      <c r="EVI91" s="240" t="n"/>
      <c r="EVJ91" s="240" t="n"/>
      <c r="EVL91" s="15" t="n"/>
      <c r="EVM91" s="15" t="n"/>
      <c r="EVN91" s="248" t="n"/>
      <c r="EVO91" s="248" t="n"/>
      <c r="EVP91" s="240" t="n"/>
      <c r="EVQ91" s="240" t="n"/>
      <c r="EVS91" s="15" t="n"/>
      <c r="EVT91" s="15" t="n"/>
      <c r="EVU91" s="248" t="n"/>
      <c r="EVV91" s="248" t="n"/>
      <c r="EVW91" s="240" t="n"/>
      <c r="EVX91" s="240" t="n"/>
      <c r="EVZ91" s="15" t="n"/>
      <c r="EWA91" s="15" t="n"/>
      <c r="EWB91" s="248" t="n"/>
      <c r="EWC91" s="248" t="n"/>
      <c r="EWD91" s="240" t="n"/>
      <c r="EWE91" s="240" t="n"/>
      <c r="EWG91" s="15" t="n"/>
      <c r="EWH91" s="15" t="n"/>
      <c r="EWI91" s="248" t="n"/>
      <c r="EWJ91" s="248" t="n"/>
      <c r="EWK91" s="240" t="n"/>
      <c r="EWL91" s="240" t="n"/>
      <c r="EWN91" s="15" t="n"/>
      <c r="EWO91" s="15" t="n"/>
      <c r="EWP91" s="248" t="n"/>
      <c r="EWQ91" s="248" t="n"/>
      <c r="EWR91" s="240" t="n"/>
      <c r="EWS91" s="240" t="n"/>
      <c r="EWU91" s="15" t="n"/>
      <c r="EWV91" s="15" t="n"/>
      <c r="EWW91" s="248" t="n"/>
      <c r="EWX91" s="248" t="n"/>
      <c r="EWY91" s="240" t="n"/>
      <c r="EWZ91" s="240" t="n"/>
      <c r="EXB91" s="15" t="n"/>
      <c r="EXC91" s="15" t="n"/>
      <c r="EXD91" s="248" t="n"/>
      <c r="EXE91" s="248" t="n"/>
      <c r="EXF91" s="240" t="n"/>
      <c r="EXG91" s="240" t="n"/>
      <c r="EXI91" s="15" t="n"/>
      <c r="EXJ91" s="15" t="n"/>
      <c r="EXK91" s="248" t="n"/>
      <c r="EXL91" s="248" t="n"/>
      <c r="EXM91" s="240" t="n"/>
      <c r="EXN91" s="240" t="n"/>
      <c r="EXP91" s="15" t="n"/>
      <c r="EXQ91" s="15" t="n"/>
      <c r="EXR91" s="248" t="n"/>
      <c r="EXS91" s="248" t="n"/>
      <c r="EXT91" s="240" t="n"/>
      <c r="EXU91" s="240" t="n"/>
      <c r="EXW91" s="15" t="n"/>
      <c r="EXX91" s="15" t="n"/>
      <c r="EXY91" s="248" t="n"/>
      <c r="EXZ91" s="248" t="n"/>
      <c r="EYA91" s="240" t="n"/>
      <c r="EYB91" s="240" t="n"/>
      <c r="EYD91" s="15" t="n"/>
      <c r="EYE91" s="15" t="n"/>
      <c r="EYF91" s="248" t="n"/>
      <c r="EYG91" s="248" t="n"/>
      <c r="EYH91" s="240" t="n"/>
      <c r="EYI91" s="240" t="n"/>
      <c r="EYK91" s="15" t="n"/>
      <c r="EYL91" s="15" t="n"/>
      <c r="EYM91" s="248" t="n"/>
      <c r="EYN91" s="248" t="n"/>
      <c r="EYO91" s="240" t="n"/>
      <c r="EYP91" s="240" t="n"/>
      <c r="EYR91" s="15" t="n"/>
      <c r="EYS91" s="15" t="n"/>
      <c r="EYT91" s="248" t="n"/>
      <c r="EYU91" s="248" t="n"/>
      <c r="EYV91" s="240" t="n"/>
      <c r="EYW91" s="240" t="n"/>
      <c r="EYY91" s="15" t="n"/>
      <c r="EYZ91" s="15" t="n"/>
      <c r="EZA91" s="248" t="n"/>
      <c r="EZB91" s="248" t="n"/>
      <c r="EZC91" s="240" t="n"/>
      <c r="EZD91" s="240" t="n"/>
      <c r="EZF91" s="15" t="n"/>
      <c r="EZG91" s="15" t="n"/>
      <c r="EZH91" s="248" t="n"/>
      <c r="EZI91" s="248" t="n"/>
      <c r="EZJ91" s="240" t="n"/>
      <c r="EZK91" s="240" t="n"/>
      <c r="EZM91" s="15" t="n"/>
      <c r="EZN91" s="15" t="n"/>
      <c r="EZO91" s="248" t="n"/>
      <c r="EZP91" s="248" t="n"/>
      <c r="EZQ91" s="240" t="n"/>
      <c r="EZR91" s="240" t="n"/>
      <c r="EZT91" s="15" t="n"/>
      <c r="EZU91" s="15" t="n"/>
      <c r="EZV91" s="248" t="n"/>
      <c r="EZW91" s="248" t="n"/>
      <c r="EZX91" s="240" t="n"/>
      <c r="EZY91" s="240" t="n"/>
      <c r="FAA91" s="15" t="n"/>
      <c r="FAB91" s="15" t="n"/>
      <c r="FAC91" s="248" t="n"/>
      <c r="FAD91" s="248" t="n"/>
      <c r="FAE91" s="240" t="n"/>
      <c r="FAF91" s="240" t="n"/>
      <c r="FAH91" s="15" t="n"/>
      <c r="FAI91" s="15" t="n"/>
      <c r="FAJ91" s="248" t="n"/>
      <c r="FAK91" s="248" t="n"/>
      <c r="FAL91" s="240" t="n"/>
      <c r="FAM91" s="240" t="n"/>
      <c r="FAO91" s="15" t="n"/>
      <c r="FAP91" s="15" t="n"/>
      <c r="FAQ91" s="248" t="n"/>
      <c r="FAR91" s="248" t="n"/>
      <c r="FAS91" s="240" t="n"/>
      <c r="FAT91" s="240" t="n"/>
      <c r="FAV91" s="15" t="n"/>
      <c r="FAW91" s="15" t="n"/>
      <c r="FAX91" s="248" t="n"/>
      <c r="FAY91" s="248" t="n"/>
      <c r="FAZ91" s="240" t="n"/>
      <c r="FBA91" s="240" t="n"/>
      <c r="FBC91" s="15" t="n"/>
      <c r="FBD91" s="15" t="n"/>
      <c r="FBE91" s="248" t="n"/>
      <c r="FBF91" s="248" t="n"/>
      <c r="FBG91" s="240" t="n"/>
      <c r="FBH91" s="240" t="n"/>
      <c r="FBJ91" s="15" t="n"/>
      <c r="FBK91" s="15" t="n"/>
      <c r="FBL91" s="248" t="n"/>
      <c r="FBM91" s="248" t="n"/>
      <c r="FBN91" s="240" t="n"/>
      <c r="FBO91" s="240" t="n"/>
      <c r="FBQ91" s="15" t="n"/>
      <c r="FBR91" s="15" t="n"/>
      <c r="FBS91" s="248" t="n"/>
      <c r="FBT91" s="248" t="n"/>
      <c r="FBU91" s="240" t="n"/>
      <c r="FBV91" s="240" t="n"/>
      <c r="FBX91" s="15" t="n"/>
      <c r="FBY91" s="15" t="n"/>
      <c r="FBZ91" s="248" t="n"/>
      <c r="FCA91" s="248" t="n"/>
      <c r="FCB91" s="240" t="n"/>
      <c r="FCC91" s="240" t="n"/>
      <c r="FCE91" s="15" t="n"/>
      <c r="FCF91" s="15" t="n"/>
      <c r="FCG91" s="248" t="n"/>
      <c r="FCH91" s="248" t="n"/>
      <c r="FCI91" s="240" t="n"/>
      <c r="FCJ91" s="240" t="n"/>
      <c r="FCL91" s="15" t="n"/>
      <c r="FCM91" s="15" t="n"/>
      <c r="FCN91" s="248" t="n"/>
      <c r="FCO91" s="248" t="n"/>
      <c r="FCP91" s="240" t="n"/>
      <c r="FCQ91" s="240" t="n"/>
      <c r="FCS91" s="15" t="n"/>
      <c r="FCT91" s="15" t="n"/>
      <c r="FCU91" s="248" t="n"/>
      <c r="FCV91" s="248" t="n"/>
      <c r="FCW91" s="240" t="n"/>
      <c r="FCX91" s="240" t="n"/>
      <c r="FCZ91" s="15" t="n"/>
      <c r="FDA91" s="15" t="n"/>
      <c r="FDB91" s="248" t="n"/>
      <c r="FDC91" s="248" t="n"/>
      <c r="FDD91" s="240" t="n"/>
      <c r="FDE91" s="240" t="n"/>
      <c r="FDG91" s="15" t="n"/>
      <c r="FDH91" s="15" t="n"/>
      <c r="FDI91" s="248" t="n"/>
      <c r="FDJ91" s="248" t="n"/>
      <c r="FDK91" s="240" t="n"/>
      <c r="FDL91" s="240" t="n"/>
      <c r="FDN91" s="15" t="n"/>
      <c r="FDO91" s="15" t="n"/>
      <c r="FDP91" s="248" t="n"/>
      <c r="FDQ91" s="248" t="n"/>
      <c r="FDR91" s="240" t="n"/>
      <c r="FDS91" s="240" t="n"/>
      <c r="FDU91" s="15" t="n"/>
      <c r="FDV91" s="15" t="n"/>
      <c r="FDW91" s="248" t="n"/>
      <c r="FDX91" s="248" t="n"/>
      <c r="FDY91" s="240" t="n"/>
      <c r="FDZ91" s="240" t="n"/>
      <c r="FEB91" s="15" t="n"/>
      <c r="FEC91" s="15" t="n"/>
      <c r="FED91" s="248" t="n"/>
      <c r="FEE91" s="248" t="n"/>
      <c r="FEF91" s="240" t="n"/>
      <c r="FEG91" s="240" t="n"/>
      <c r="FEI91" s="15" t="n"/>
      <c r="FEJ91" s="15" t="n"/>
      <c r="FEK91" s="248" t="n"/>
      <c r="FEL91" s="248" t="n"/>
      <c r="FEM91" s="240" t="n"/>
      <c r="FEN91" s="240" t="n"/>
      <c r="FEP91" s="15" t="n"/>
      <c r="FEQ91" s="15" t="n"/>
      <c r="FER91" s="248" t="n"/>
      <c r="FES91" s="248" t="n"/>
      <c r="FET91" s="240" t="n"/>
      <c r="FEU91" s="240" t="n"/>
      <c r="FEW91" s="15" t="n"/>
      <c r="FEX91" s="15" t="n"/>
      <c r="FEY91" s="248" t="n"/>
      <c r="FEZ91" s="248" t="n"/>
      <c r="FFA91" s="240" t="n"/>
      <c r="FFB91" s="240" t="n"/>
      <c r="FFD91" s="15" t="n"/>
      <c r="FFE91" s="15" t="n"/>
      <c r="FFF91" s="248" t="n"/>
      <c r="FFG91" s="248" t="n"/>
      <c r="FFH91" s="240" t="n"/>
      <c r="FFI91" s="240" t="n"/>
      <c r="FFK91" s="15" t="n"/>
      <c r="FFL91" s="15" t="n"/>
      <c r="FFM91" s="248" t="n"/>
      <c r="FFN91" s="248" t="n"/>
      <c r="FFO91" s="240" t="n"/>
      <c r="FFP91" s="240" t="n"/>
      <c r="FFR91" s="15" t="n"/>
      <c r="FFS91" s="15" t="n"/>
      <c r="FFT91" s="248" t="n"/>
      <c r="FFU91" s="248" t="n"/>
      <c r="FFV91" s="240" t="n"/>
      <c r="FFW91" s="240" t="n"/>
      <c r="FFY91" s="15" t="n"/>
      <c r="FFZ91" s="15" t="n"/>
      <c r="FGA91" s="248" t="n"/>
      <c r="FGB91" s="248" t="n"/>
      <c r="FGC91" s="240" t="n"/>
      <c r="FGD91" s="240" t="n"/>
      <c r="FGF91" s="15" t="n"/>
      <c r="FGG91" s="15" t="n"/>
      <c r="FGH91" s="248" t="n"/>
      <c r="FGI91" s="248" t="n"/>
      <c r="FGJ91" s="240" t="n"/>
      <c r="FGK91" s="240" t="n"/>
      <c r="FGM91" s="15" t="n"/>
      <c r="FGN91" s="15" t="n"/>
      <c r="FGO91" s="248" t="n"/>
      <c r="FGP91" s="248" t="n"/>
      <c r="FGQ91" s="240" t="n"/>
      <c r="FGR91" s="240" t="n"/>
      <c r="FGT91" s="15" t="n"/>
      <c r="FGU91" s="15" t="n"/>
      <c r="FGV91" s="248" t="n"/>
      <c r="FGW91" s="248" t="n"/>
      <c r="FGX91" s="240" t="n"/>
      <c r="FGY91" s="240" t="n"/>
      <c r="FHA91" s="15" t="n"/>
      <c r="FHB91" s="15" t="n"/>
      <c r="FHC91" s="248" t="n"/>
      <c r="FHD91" s="248" t="n"/>
      <c r="FHE91" s="240" t="n"/>
      <c r="FHF91" s="240" t="n"/>
      <c r="FHH91" s="15" t="n"/>
      <c r="FHI91" s="15" t="n"/>
      <c r="FHJ91" s="248" t="n"/>
      <c r="FHK91" s="248" t="n"/>
      <c r="FHL91" s="240" t="n"/>
      <c r="FHM91" s="240" t="n"/>
      <c r="FHO91" s="15" t="n"/>
      <c r="FHP91" s="15" t="n"/>
      <c r="FHQ91" s="248" t="n"/>
      <c r="FHR91" s="248" t="n"/>
      <c r="FHS91" s="240" t="n"/>
      <c r="FHT91" s="240" t="n"/>
      <c r="FHV91" s="15" t="n"/>
      <c r="FHW91" s="15" t="n"/>
      <c r="FHX91" s="248" t="n"/>
      <c r="FHY91" s="248" t="n"/>
      <c r="FHZ91" s="240" t="n"/>
      <c r="FIA91" s="240" t="n"/>
      <c r="FIC91" s="15" t="n"/>
      <c r="FID91" s="15" t="n"/>
      <c r="FIE91" s="248" t="n"/>
      <c r="FIF91" s="248" t="n"/>
      <c r="FIG91" s="240" t="n"/>
      <c r="FIH91" s="240" t="n"/>
      <c r="FIJ91" s="15" t="n"/>
      <c r="FIK91" s="15" t="n"/>
      <c r="FIL91" s="248" t="n"/>
      <c r="FIM91" s="248" t="n"/>
      <c r="FIN91" s="240" t="n"/>
      <c r="FIO91" s="240" t="n"/>
      <c r="FIQ91" s="15" t="n"/>
      <c r="FIR91" s="15" t="n"/>
      <c r="FIS91" s="248" t="n"/>
      <c r="FIT91" s="248" t="n"/>
      <c r="FIU91" s="240" t="n"/>
      <c r="FIV91" s="240" t="n"/>
      <c r="FIX91" s="15" t="n"/>
      <c r="FIY91" s="15" t="n"/>
      <c r="FIZ91" s="248" t="n"/>
      <c r="FJA91" s="248" t="n"/>
      <c r="FJB91" s="240" t="n"/>
      <c r="FJC91" s="240" t="n"/>
      <c r="FJE91" s="15" t="n"/>
      <c r="FJF91" s="15" t="n"/>
      <c r="FJG91" s="248" t="n"/>
      <c r="FJH91" s="248" t="n"/>
      <c r="FJI91" s="240" t="n"/>
      <c r="FJJ91" s="240" t="n"/>
      <c r="FJL91" s="15" t="n"/>
      <c r="FJM91" s="15" t="n"/>
      <c r="FJN91" s="248" t="n"/>
      <c r="FJO91" s="248" t="n"/>
      <c r="FJP91" s="240" t="n"/>
      <c r="FJQ91" s="240" t="n"/>
      <c r="FJS91" s="15" t="n"/>
      <c r="FJT91" s="15" t="n"/>
      <c r="FJU91" s="248" t="n"/>
      <c r="FJV91" s="248" t="n"/>
      <c r="FJW91" s="240" t="n"/>
      <c r="FJX91" s="240" t="n"/>
      <c r="FJZ91" s="15" t="n"/>
      <c r="FKA91" s="15" t="n"/>
      <c r="FKB91" s="248" t="n"/>
      <c r="FKC91" s="248" t="n"/>
      <c r="FKD91" s="240" t="n"/>
      <c r="FKE91" s="240" t="n"/>
      <c r="FKG91" s="15" t="n"/>
      <c r="FKH91" s="15" t="n"/>
      <c r="FKI91" s="248" t="n"/>
      <c r="FKJ91" s="248" t="n"/>
      <c r="FKK91" s="240" t="n"/>
      <c r="FKL91" s="240" t="n"/>
      <c r="FKN91" s="15" t="n"/>
      <c r="FKO91" s="15" t="n"/>
      <c r="FKP91" s="248" t="n"/>
      <c r="FKQ91" s="248" t="n"/>
      <c r="FKR91" s="240" t="n"/>
      <c r="FKS91" s="240" t="n"/>
      <c r="FKU91" s="15" t="n"/>
      <c r="FKV91" s="15" t="n"/>
      <c r="FKW91" s="248" t="n"/>
      <c r="FKX91" s="248" t="n"/>
      <c r="FKY91" s="240" t="n"/>
      <c r="FKZ91" s="240" t="n"/>
      <c r="FLB91" s="15" t="n"/>
      <c r="FLC91" s="15" t="n"/>
      <c r="FLD91" s="248" t="n"/>
      <c r="FLE91" s="248" t="n"/>
      <c r="FLF91" s="240" t="n"/>
      <c r="FLG91" s="240" t="n"/>
      <c r="FLI91" s="15" t="n"/>
      <c r="FLJ91" s="15" t="n"/>
      <c r="FLK91" s="248" t="n"/>
      <c r="FLL91" s="248" t="n"/>
      <c r="FLM91" s="240" t="n"/>
      <c r="FLN91" s="240" t="n"/>
      <c r="FLP91" s="15" t="n"/>
      <c r="FLQ91" s="15" t="n"/>
      <c r="FLR91" s="248" t="n"/>
      <c r="FLS91" s="248" t="n"/>
      <c r="FLT91" s="240" t="n"/>
      <c r="FLU91" s="240" t="n"/>
      <c r="FLW91" s="15" t="n"/>
      <c r="FLX91" s="15" t="n"/>
      <c r="FLY91" s="248" t="n"/>
      <c r="FLZ91" s="248" t="n"/>
      <c r="FMA91" s="240" t="n"/>
      <c r="FMB91" s="240" t="n"/>
      <c r="FMD91" s="15" t="n"/>
      <c r="FME91" s="15" t="n"/>
      <c r="FMF91" s="248" t="n"/>
      <c r="FMG91" s="248" t="n"/>
      <c r="FMH91" s="240" t="n"/>
      <c r="FMI91" s="240" t="n"/>
      <c r="FMK91" s="15" t="n"/>
      <c r="FML91" s="15" t="n"/>
      <c r="FMM91" s="248" t="n"/>
      <c r="FMN91" s="248" t="n"/>
      <c r="FMO91" s="240" t="n"/>
      <c r="FMP91" s="240" t="n"/>
      <c r="FMR91" s="15" t="n"/>
      <c r="FMS91" s="15" t="n"/>
      <c r="FMT91" s="248" t="n"/>
      <c r="FMU91" s="248" t="n"/>
      <c r="FMV91" s="240" t="n"/>
      <c r="FMW91" s="240" t="n"/>
      <c r="FMY91" s="15" t="n"/>
      <c r="FMZ91" s="15" t="n"/>
      <c r="FNA91" s="248" t="n"/>
      <c r="FNB91" s="248" t="n"/>
      <c r="FNC91" s="240" t="n"/>
      <c r="FND91" s="240" t="n"/>
      <c r="FNF91" s="15" t="n"/>
      <c r="FNG91" s="15" t="n"/>
      <c r="FNH91" s="248" t="n"/>
      <c r="FNI91" s="248" t="n"/>
      <c r="FNJ91" s="240" t="n"/>
      <c r="FNK91" s="240" t="n"/>
      <c r="FNM91" s="15" t="n"/>
      <c r="FNN91" s="15" t="n"/>
      <c r="FNO91" s="248" t="n"/>
      <c r="FNP91" s="248" t="n"/>
      <c r="FNQ91" s="240" t="n"/>
      <c r="FNR91" s="240" t="n"/>
      <c r="FNT91" s="15" t="n"/>
      <c r="FNU91" s="15" t="n"/>
      <c r="FNV91" s="248" t="n"/>
      <c r="FNW91" s="248" t="n"/>
      <c r="FNX91" s="240" t="n"/>
      <c r="FNY91" s="240" t="n"/>
      <c r="FOA91" s="15" t="n"/>
      <c r="FOB91" s="15" t="n"/>
      <c r="FOC91" s="248" t="n"/>
      <c r="FOD91" s="248" t="n"/>
      <c r="FOE91" s="240" t="n"/>
      <c r="FOF91" s="240" t="n"/>
      <c r="FOH91" s="15" t="n"/>
      <c r="FOI91" s="15" t="n"/>
      <c r="FOJ91" s="248" t="n"/>
      <c r="FOK91" s="248" t="n"/>
      <c r="FOL91" s="240" t="n"/>
      <c r="FOM91" s="240" t="n"/>
      <c r="FOO91" s="15" t="n"/>
      <c r="FOP91" s="15" t="n"/>
      <c r="FOQ91" s="248" t="n"/>
      <c r="FOR91" s="248" t="n"/>
      <c r="FOS91" s="240" t="n"/>
      <c r="FOT91" s="240" t="n"/>
      <c r="FOV91" s="15" t="n"/>
      <c r="FOW91" s="15" t="n"/>
      <c r="FOX91" s="248" t="n"/>
      <c r="FOY91" s="248" t="n"/>
      <c r="FOZ91" s="240" t="n"/>
      <c r="FPA91" s="240" t="n"/>
      <c r="FPC91" s="15" t="n"/>
      <c r="FPD91" s="15" t="n"/>
      <c r="FPE91" s="248" t="n"/>
      <c r="FPF91" s="248" t="n"/>
      <c r="FPG91" s="240" t="n"/>
      <c r="FPH91" s="240" t="n"/>
      <c r="FPJ91" s="15" t="n"/>
      <c r="FPK91" s="15" t="n"/>
      <c r="FPL91" s="248" t="n"/>
      <c r="FPM91" s="248" t="n"/>
      <c r="FPN91" s="240" t="n"/>
      <c r="FPO91" s="240" t="n"/>
      <c r="FPQ91" s="15" t="n"/>
      <c r="FPR91" s="15" t="n"/>
      <c r="FPS91" s="248" t="n"/>
      <c r="FPT91" s="248" t="n"/>
      <c r="FPU91" s="240" t="n"/>
      <c r="FPV91" s="240" t="n"/>
      <c r="FPX91" s="15" t="n"/>
      <c r="FPY91" s="15" t="n"/>
      <c r="FPZ91" s="248" t="n"/>
      <c r="FQA91" s="248" t="n"/>
      <c r="FQB91" s="240" t="n"/>
      <c r="FQC91" s="240" t="n"/>
      <c r="FQE91" s="15" t="n"/>
      <c r="FQF91" s="15" t="n"/>
      <c r="FQG91" s="248" t="n"/>
      <c r="FQH91" s="248" t="n"/>
      <c r="FQI91" s="240" t="n"/>
      <c r="FQJ91" s="240" t="n"/>
      <c r="FQL91" s="15" t="n"/>
      <c r="FQM91" s="15" t="n"/>
      <c r="FQN91" s="248" t="n"/>
      <c r="FQO91" s="248" t="n"/>
      <c r="FQP91" s="240" t="n"/>
      <c r="FQQ91" s="240" t="n"/>
      <c r="FQS91" s="15" t="n"/>
      <c r="FQT91" s="15" t="n"/>
      <c r="FQU91" s="248" t="n"/>
      <c r="FQV91" s="248" t="n"/>
      <c r="FQW91" s="240" t="n"/>
      <c r="FQX91" s="240" t="n"/>
      <c r="FQZ91" s="15" t="n"/>
      <c r="FRA91" s="15" t="n"/>
      <c r="FRB91" s="248" t="n"/>
      <c r="FRC91" s="248" t="n"/>
      <c r="FRD91" s="240" t="n"/>
      <c r="FRE91" s="240" t="n"/>
      <c r="FRG91" s="15" t="n"/>
      <c r="FRH91" s="15" t="n"/>
      <c r="FRI91" s="248" t="n"/>
      <c r="FRJ91" s="248" t="n"/>
      <c r="FRK91" s="240" t="n"/>
      <c r="FRL91" s="240" t="n"/>
      <c r="FRN91" s="15" t="n"/>
      <c r="FRO91" s="15" t="n"/>
      <c r="FRP91" s="248" t="n"/>
      <c r="FRQ91" s="248" t="n"/>
      <c r="FRR91" s="240" t="n"/>
      <c r="FRS91" s="240" t="n"/>
      <c r="FRU91" s="15" t="n"/>
      <c r="FRV91" s="15" t="n"/>
      <c r="FRW91" s="248" t="n"/>
      <c r="FRX91" s="248" t="n"/>
      <c r="FRY91" s="240" t="n"/>
      <c r="FRZ91" s="240" t="n"/>
      <c r="FSB91" s="15" t="n"/>
      <c r="FSC91" s="15" t="n"/>
      <c r="FSD91" s="248" t="n"/>
      <c r="FSE91" s="248" t="n"/>
      <c r="FSF91" s="240" t="n"/>
      <c r="FSG91" s="240" t="n"/>
      <c r="FSI91" s="15" t="n"/>
      <c r="FSJ91" s="15" t="n"/>
      <c r="FSK91" s="248" t="n"/>
      <c r="FSL91" s="248" t="n"/>
      <c r="FSM91" s="240" t="n"/>
      <c r="FSN91" s="240" t="n"/>
      <c r="FSP91" s="15" t="n"/>
      <c r="FSQ91" s="15" t="n"/>
      <c r="FSR91" s="248" t="n"/>
      <c r="FSS91" s="248" t="n"/>
      <c r="FST91" s="240" t="n"/>
      <c r="FSU91" s="240" t="n"/>
      <c r="FSW91" s="15" t="n"/>
      <c r="FSX91" s="15" t="n"/>
      <c r="FSY91" s="248" t="n"/>
      <c r="FSZ91" s="248" t="n"/>
      <c r="FTA91" s="240" t="n"/>
      <c r="FTB91" s="240" t="n"/>
      <c r="FTD91" s="15" t="n"/>
      <c r="FTE91" s="15" t="n"/>
      <c r="FTF91" s="248" t="n"/>
      <c r="FTG91" s="248" t="n"/>
      <c r="FTH91" s="240" t="n"/>
      <c r="FTI91" s="240" t="n"/>
      <c r="FTK91" s="15" t="n"/>
      <c r="FTL91" s="15" t="n"/>
      <c r="FTM91" s="248" t="n"/>
      <c r="FTN91" s="248" t="n"/>
      <c r="FTO91" s="240" t="n"/>
      <c r="FTP91" s="240" t="n"/>
      <c r="FTR91" s="15" t="n"/>
      <c r="FTS91" s="15" t="n"/>
      <c r="FTT91" s="248" t="n"/>
      <c r="FTU91" s="248" t="n"/>
      <c r="FTV91" s="240" t="n"/>
      <c r="FTW91" s="240" t="n"/>
      <c r="FTY91" s="15" t="n"/>
      <c r="FTZ91" s="15" t="n"/>
      <c r="FUA91" s="248" t="n"/>
      <c r="FUB91" s="248" t="n"/>
      <c r="FUC91" s="240" t="n"/>
      <c r="FUD91" s="240" t="n"/>
      <c r="FUF91" s="15" t="n"/>
      <c r="FUG91" s="15" t="n"/>
      <c r="FUH91" s="248" t="n"/>
      <c r="FUI91" s="248" t="n"/>
      <c r="FUJ91" s="240" t="n"/>
      <c r="FUK91" s="240" t="n"/>
      <c r="FUM91" s="15" t="n"/>
      <c r="FUN91" s="15" t="n"/>
      <c r="FUO91" s="248" t="n"/>
      <c r="FUP91" s="248" t="n"/>
      <c r="FUQ91" s="240" t="n"/>
      <c r="FUR91" s="240" t="n"/>
      <c r="FUT91" s="15" t="n"/>
      <c r="FUU91" s="15" t="n"/>
      <c r="FUV91" s="248" t="n"/>
      <c r="FUW91" s="248" t="n"/>
      <c r="FUX91" s="240" t="n"/>
      <c r="FUY91" s="240" t="n"/>
      <c r="FVA91" s="15" t="n"/>
      <c r="FVB91" s="15" t="n"/>
      <c r="FVC91" s="248" t="n"/>
      <c r="FVD91" s="248" t="n"/>
      <c r="FVE91" s="240" t="n"/>
      <c r="FVF91" s="240" t="n"/>
      <c r="FVH91" s="15" t="n"/>
      <c r="FVI91" s="15" t="n"/>
      <c r="FVJ91" s="248" t="n"/>
      <c r="FVK91" s="248" t="n"/>
      <c r="FVL91" s="240" t="n"/>
      <c r="FVM91" s="240" t="n"/>
      <c r="FVO91" s="15" t="n"/>
      <c r="FVP91" s="15" t="n"/>
      <c r="FVQ91" s="248" t="n"/>
      <c r="FVR91" s="248" t="n"/>
      <c r="FVS91" s="240" t="n"/>
      <c r="FVT91" s="240" t="n"/>
      <c r="FVV91" s="15" t="n"/>
      <c r="FVW91" s="15" t="n"/>
      <c r="FVX91" s="248" t="n"/>
      <c r="FVY91" s="248" t="n"/>
      <c r="FVZ91" s="240" t="n"/>
      <c r="FWA91" s="240" t="n"/>
      <c r="FWC91" s="15" t="n"/>
      <c r="FWD91" s="15" t="n"/>
      <c r="FWE91" s="248" t="n"/>
      <c r="FWF91" s="248" t="n"/>
      <c r="FWG91" s="240" t="n"/>
      <c r="FWH91" s="240" t="n"/>
      <c r="FWJ91" s="15" t="n"/>
      <c r="FWK91" s="15" t="n"/>
      <c r="FWL91" s="248" t="n"/>
      <c r="FWM91" s="248" t="n"/>
      <c r="FWN91" s="240" t="n"/>
      <c r="FWO91" s="240" t="n"/>
      <c r="FWQ91" s="15" t="n"/>
      <c r="FWR91" s="15" t="n"/>
      <c r="FWS91" s="248" t="n"/>
      <c r="FWT91" s="248" t="n"/>
      <c r="FWU91" s="240" t="n"/>
      <c r="FWV91" s="240" t="n"/>
      <c r="FWX91" s="15" t="n"/>
      <c r="FWY91" s="15" t="n"/>
      <c r="FWZ91" s="248" t="n"/>
      <c r="FXA91" s="248" t="n"/>
      <c r="FXB91" s="240" t="n"/>
      <c r="FXC91" s="240" t="n"/>
      <c r="FXE91" s="15" t="n"/>
      <c r="FXF91" s="15" t="n"/>
      <c r="FXG91" s="248" t="n"/>
      <c r="FXH91" s="248" t="n"/>
      <c r="FXI91" s="240" t="n"/>
      <c r="FXJ91" s="240" t="n"/>
      <c r="FXL91" s="15" t="n"/>
      <c r="FXM91" s="15" t="n"/>
      <c r="FXN91" s="248" t="n"/>
      <c r="FXO91" s="248" t="n"/>
      <c r="FXP91" s="240" t="n"/>
      <c r="FXQ91" s="240" t="n"/>
      <c r="FXS91" s="15" t="n"/>
      <c r="FXT91" s="15" t="n"/>
      <c r="FXU91" s="248" t="n"/>
      <c r="FXV91" s="248" t="n"/>
      <c r="FXW91" s="240" t="n"/>
      <c r="FXX91" s="240" t="n"/>
      <c r="FXZ91" s="15" t="n"/>
      <c r="FYA91" s="15" t="n"/>
      <c r="FYB91" s="248" t="n"/>
      <c r="FYC91" s="248" t="n"/>
      <c r="FYD91" s="240" t="n"/>
      <c r="FYE91" s="240" t="n"/>
      <c r="FYG91" s="15" t="n"/>
      <c r="FYH91" s="15" t="n"/>
      <c r="FYI91" s="248" t="n"/>
      <c r="FYJ91" s="248" t="n"/>
      <c r="FYK91" s="240" t="n"/>
      <c r="FYL91" s="240" t="n"/>
      <c r="FYN91" s="15" t="n"/>
      <c r="FYO91" s="15" t="n"/>
      <c r="FYP91" s="248" t="n"/>
      <c r="FYQ91" s="248" t="n"/>
      <c r="FYR91" s="240" t="n"/>
      <c r="FYS91" s="240" t="n"/>
      <c r="FYU91" s="15" t="n"/>
      <c r="FYV91" s="15" t="n"/>
      <c r="FYW91" s="248" t="n"/>
      <c r="FYX91" s="248" t="n"/>
      <c r="FYY91" s="240" t="n"/>
      <c r="FYZ91" s="240" t="n"/>
      <c r="FZB91" s="15" t="n"/>
      <c r="FZC91" s="15" t="n"/>
      <c r="FZD91" s="248" t="n"/>
      <c r="FZE91" s="248" t="n"/>
      <c r="FZF91" s="240" t="n"/>
      <c r="FZG91" s="240" t="n"/>
      <c r="FZI91" s="15" t="n"/>
      <c r="FZJ91" s="15" t="n"/>
      <c r="FZK91" s="248" t="n"/>
      <c r="FZL91" s="248" t="n"/>
      <c r="FZM91" s="240" t="n"/>
      <c r="FZN91" s="240" t="n"/>
      <c r="FZP91" s="15" t="n"/>
      <c r="FZQ91" s="15" t="n"/>
      <c r="FZR91" s="248" t="n"/>
      <c r="FZS91" s="248" t="n"/>
      <c r="FZT91" s="240" t="n"/>
      <c r="FZU91" s="240" t="n"/>
      <c r="FZW91" s="15" t="n"/>
      <c r="FZX91" s="15" t="n"/>
      <c r="FZY91" s="248" t="n"/>
      <c r="FZZ91" s="248" t="n"/>
      <c r="GAA91" s="240" t="n"/>
      <c r="GAB91" s="240" t="n"/>
      <c r="GAD91" s="15" t="n"/>
      <c r="GAE91" s="15" t="n"/>
      <c r="GAF91" s="248" t="n"/>
      <c r="GAG91" s="248" t="n"/>
      <c r="GAH91" s="240" t="n"/>
      <c r="GAI91" s="240" t="n"/>
      <c r="GAK91" s="15" t="n"/>
      <c r="GAL91" s="15" t="n"/>
      <c r="GAM91" s="248" t="n"/>
      <c r="GAN91" s="248" t="n"/>
      <c r="GAO91" s="240" t="n"/>
      <c r="GAP91" s="240" t="n"/>
      <c r="GAR91" s="15" t="n"/>
      <c r="GAS91" s="15" t="n"/>
      <c r="GAT91" s="248" t="n"/>
      <c r="GAU91" s="248" t="n"/>
      <c r="GAV91" s="240" t="n"/>
      <c r="GAW91" s="240" t="n"/>
      <c r="GAY91" s="15" t="n"/>
      <c r="GAZ91" s="15" t="n"/>
      <c r="GBA91" s="248" t="n"/>
      <c r="GBB91" s="248" t="n"/>
      <c r="GBC91" s="240" t="n"/>
      <c r="GBD91" s="240" t="n"/>
      <c r="GBF91" s="15" t="n"/>
      <c r="GBG91" s="15" t="n"/>
      <c r="GBH91" s="248" t="n"/>
      <c r="GBI91" s="248" t="n"/>
      <c r="GBJ91" s="240" t="n"/>
      <c r="GBK91" s="240" t="n"/>
      <c r="GBM91" s="15" t="n"/>
      <c r="GBN91" s="15" t="n"/>
      <c r="GBO91" s="248" t="n"/>
      <c r="GBP91" s="248" t="n"/>
      <c r="GBQ91" s="240" t="n"/>
      <c r="GBR91" s="240" t="n"/>
      <c r="GBT91" s="15" t="n"/>
      <c r="GBU91" s="15" t="n"/>
      <c r="GBV91" s="248" t="n"/>
      <c r="GBW91" s="248" t="n"/>
      <c r="GBX91" s="240" t="n"/>
      <c r="GBY91" s="240" t="n"/>
      <c r="GCA91" s="15" t="n"/>
      <c r="GCB91" s="15" t="n"/>
      <c r="GCC91" s="248" t="n"/>
      <c r="GCD91" s="248" t="n"/>
      <c r="GCE91" s="240" t="n"/>
      <c r="GCF91" s="240" t="n"/>
      <c r="GCH91" s="15" t="n"/>
      <c r="GCI91" s="15" t="n"/>
      <c r="GCJ91" s="248" t="n"/>
      <c r="GCK91" s="248" t="n"/>
      <c r="GCL91" s="240" t="n"/>
      <c r="GCM91" s="240" t="n"/>
      <c r="GCO91" s="15" t="n"/>
      <c r="GCP91" s="15" t="n"/>
      <c r="GCQ91" s="248" t="n"/>
      <c r="GCR91" s="248" t="n"/>
      <c r="GCS91" s="240" t="n"/>
      <c r="GCT91" s="240" t="n"/>
      <c r="GCV91" s="15" t="n"/>
      <c r="GCW91" s="15" t="n"/>
      <c r="GCX91" s="248" t="n"/>
      <c r="GCY91" s="248" t="n"/>
      <c r="GCZ91" s="240" t="n"/>
      <c r="GDA91" s="240" t="n"/>
      <c r="GDC91" s="15" t="n"/>
      <c r="GDD91" s="15" t="n"/>
      <c r="GDE91" s="248" t="n"/>
      <c r="GDF91" s="248" t="n"/>
      <c r="GDG91" s="240" t="n"/>
      <c r="GDH91" s="240" t="n"/>
      <c r="GDJ91" s="15" t="n"/>
      <c r="GDK91" s="15" t="n"/>
      <c r="GDL91" s="248" t="n"/>
      <c r="GDM91" s="248" t="n"/>
      <c r="GDN91" s="240" t="n"/>
      <c r="GDO91" s="240" t="n"/>
      <c r="GDQ91" s="15" t="n"/>
      <c r="GDR91" s="15" t="n"/>
      <c r="GDS91" s="248" t="n"/>
      <c r="GDT91" s="248" t="n"/>
      <c r="GDU91" s="240" t="n"/>
      <c r="GDV91" s="240" t="n"/>
      <c r="GDX91" s="15" t="n"/>
      <c r="GDY91" s="15" t="n"/>
      <c r="GDZ91" s="248" t="n"/>
      <c r="GEA91" s="248" t="n"/>
      <c r="GEB91" s="240" t="n"/>
      <c r="GEC91" s="240" t="n"/>
      <c r="GEE91" s="15" t="n"/>
      <c r="GEF91" s="15" t="n"/>
      <c r="GEG91" s="248" t="n"/>
      <c r="GEH91" s="248" t="n"/>
      <c r="GEI91" s="240" t="n"/>
      <c r="GEJ91" s="240" t="n"/>
      <c r="GEL91" s="15" t="n"/>
      <c r="GEM91" s="15" t="n"/>
      <c r="GEN91" s="248" t="n"/>
      <c r="GEO91" s="248" t="n"/>
      <c r="GEP91" s="240" t="n"/>
      <c r="GEQ91" s="240" t="n"/>
      <c r="GES91" s="15" t="n"/>
      <c r="GET91" s="15" t="n"/>
      <c r="GEU91" s="248" t="n"/>
      <c r="GEV91" s="248" t="n"/>
      <c r="GEW91" s="240" t="n"/>
      <c r="GEX91" s="240" t="n"/>
      <c r="GEZ91" s="15" t="n"/>
      <c r="GFA91" s="15" t="n"/>
      <c r="GFB91" s="248" t="n"/>
      <c r="GFC91" s="248" t="n"/>
      <c r="GFD91" s="240" t="n"/>
      <c r="GFE91" s="240" t="n"/>
      <c r="GFG91" s="15" t="n"/>
      <c r="GFH91" s="15" t="n"/>
      <c r="GFI91" s="248" t="n"/>
      <c r="GFJ91" s="248" t="n"/>
      <c r="GFK91" s="240" t="n"/>
      <c r="GFL91" s="240" t="n"/>
      <c r="GFN91" s="15" t="n"/>
      <c r="GFO91" s="15" t="n"/>
      <c r="GFP91" s="248" t="n"/>
      <c r="GFQ91" s="248" t="n"/>
      <c r="GFR91" s="240" t="n"/>
      <c r="GFS91" s="240" t="n"/>
      <c r="GFU91" s="15" t="n"/>
      <c r="GFV91" s="15" t="n"/>
      <c r="GFW91" s="248" t="n"/>
      <c r="GFX91" s="248" t="n"/>
      <c r="GFY91" s="240" t="n"/>
      <c r="GFZ91" s="240" t="n"/>
      <c r="GGB91" s="15" t="n"/>
      <c r="GGC91" s="15" t="n"/>
      <c r="GGD91" s="248" t="n"/>
      <c r="GGE91" s="248" t="n"/>
      <c r="GGF91" s="240" t="n"/>
      <c r="GGG91" s="240" t="n"/>
      <c r="GGI91" s="15" t="n"/>
      <c r="GGJ91" s="15" t="n"/>
      <c r="GGK91" s="248" t="n"/>
      <c r="GGL91" s="248" t="n"/>
      <c r="GGM91" s="240" t="n"/>
      <c r="GGN91" s="240" t="n"/>
      <c r="GGP91" s="15" t="n"/>
      <c r="GGQ91" s="15" t="n"/>
      <c r="GGR91" s="248" t="n"/>
      <c r="GGS91" s="248" t="n"/>
      <c r="GGT91" s="240" t="n"/>
      <c r="GGU91" s="240" t="n"/>
      <c r="GGW91" s="15" t="n"/>
      <c r="GGX91" s="15" t="n"/>
      <c r="GGY91" s="248" t="n"/>
      <c r="GGZ91" s="248" t="n"/>
      <c r="GHA91" s="240" t="n"/>
      <c r="GHB91" s="240" t="n"/>
      <c r="GHD91" s="15" t="n"/>
      <c r="GHE91" s="15" t="n"/>
      <c r="GHF91" s="248" t="n"/>
      <c r="GHG91" s="248" t="n"/>
      <c r="GHH91" s="240" t="n"/>
      <c r="GHI91" s="240" t="n"/>
      <c r="GHK91" s="15" t="n"/>
      <c r="GHL91" s="15" t="n"/>
      <c r="GHM91" s="248" t="n"/>
      <c r="GHN91" s="248" t="n"/>
      <c r="GHO91" s="240" t="n"/>
      <c r="GHP91" s="240" t="n"/>
      <c r="GHR91" s="15" t="n"/>
      <c r="GHS91" s="15" t="n"/>
      <c r="GHT91" s="248" t="n"/>
      <c r="GHU91" s="248" t="n"/>
      <c r="GHV91" s="240" t="n"/>
      <c r="GHW91" s="240" t="n"/>
      <c r="GHY91" s="15" t="n"/>
      <c r="GHZ91" s="15" t="n"/>
      <c r="GIA91" s="248" t="n"/>
      <c r="GIB91" s="248" t="n"/>
      <c r="GIC91" s="240" t="n"/>
      <c r="GID91" s="240" t="n"/>
      <c r="GIF91" s="15" t="n"/>
      <c r="GIG91" s="15" t="n"/>
      <c r="GIH91" s="248" t="n"/>
      <c r="GII91" s="248" t="n"/>
      <c r="GIJ91" s="240" t="n"/>
      <c r="GIK91" s="240" t="n"/>
      <c r="GIM91" s="15" t="n"/>
      <c r="GIN91" s="15" t="n"/>
      <c r="GIO91" s="248" t="n"/>
      <c r="GIP91" s="248" t="n"/>
      <c r="GIQ91" s="240" t="n"/>
      <c r="GIR91" s="240" t="n"/>
      <c r="GIT91" s="15" t="n"/>
      <c r="GIU91" s="15" t="n"/>
      <c r="GIV91" s="248" t="n"/>
      <c r="GIW91" s="248" t="n"/>
      <c r="GIX91" s="240" t="n"/>
      <c r="GIY91" s="240" t="n"/>
      <c r="GJA91" s="15" t="n"/>
      <c r="GJB91" s="15" t="n"/>
      <c r="GJC91" s="248" t="n"/>
      <c r="GJD91" s="248" t="n"/>
      <c r="GJE91" s="240" t="n"/>
      <c r="GJF91" s="240" t="n"/>
      <c r="GJH91" s="15" t="n"/>
      <c r="GJI91" s="15" t="n"/>
      <c r="GJJ91" s="248" t="n"/>
      <c r="GJK91" s="248" t="n"/>
      <c r="GJL91" s="240" t="n"/>
      <c r="GJM91" s="240" t="n"/>
      <c r="GJO91" s="15" t="n"/>
      <c r="GJP91" s="15" t="n"/>
      <c r="GJQ91" s="248" t="n"/>
      <c r="GJR91" s="248" t="n"/>
      <c r="GJS91" s="240" t="n"/>
      <c r="GJT91" s="240" t="n"/>
      <c r="GJV91" s="15" t="n"/>
      <c r="GJW91" s="15" t="n"/>
      <c r="GJX91" s="248" t="n"/>
      <c r="GJY91" s="248" t="n"/>
      <c r="GJZ91" s="240" t="n"/>
      <c r="GKA91" s="240" t="n"/>
      <c r="GKC91" s="15" t="n"/>
      <c r="GKD91" s="15" t="n"/>
      <c r="GKE91" s="248" t="n"/>
      <c r="GKF91" s="248" t="n"/>
      <c r="GKG91" s="240" t="n"/>
      <c r="GKH91" s="240" t="n"/>
      <c r="GKJ91" s="15" t="n"/>
      <c r="GKK91" s="15" t="n"/>
      <c r="GKL91" s="248" t="n"/>
      <c r="GKM91" s="248" t="n"/>
      <c r="GKN91" s="240" t="n"/>
      <c r="GKO91" s="240" t="n"/>
      <c r="GKQ91" s="15" t="n"/>
      <c r="GKR91" s="15" t="n"/>
      <c r="GKS91" s="248" t="n"/>
      <c r="GKT91" s="248" t="n"/>
      <c r="GKU91" s="240" t="n"/>
      <c r="GKV91" s="240" t="n"/>
      <c r="GKX91" s="15" t="n"/>
      <c r="GKY91" s="15" t="n"/>
      <c r="GKZ91" s="248" t="n"/>
      <c r="GLA91" s="248" t="n"/>
      <c r="GLB91" s="240" t="n"/>
      <c r="GLC91" s="240" t="n"/>
      <c r="GLE91" s="15" t="n"/>
      <c r="GLF91" s="15" t="n"/>
      <c r="GLG91" s="248" t="n"/>
      <c r="GLH91" s="248" t="n"/>
      <c r="GLI91" s="240" t="n"/>
      <c r="GLJ91" s="240" t="n"/>
      <c r="GLL91" s="15" t="n"/>
      <c r="GLM91" s="15" t="n"/>
      <c r="GLN91" s="248" t="n"/>
      <c r="GLO91" s="248" t="n"/>
      <c r="GLP91" s="240" t="n"/>
      <c r="GLQ91" s="240" t="n"/>
      <c r="GLS91" s="15" t="n"/>
      <c r="GLT91" s="15" t="n"/>
      <c r="GLU91" s="248" t="n"/>
      <c r="GLV91" s="248" t="n"/>
      <c r="GLW91" s="240" t="n"/>
      <c r="GLX91" s="240" t="n"/>
      <c r="GLZ91" s="15" t="n"/>
      <c r="GMA91" s="15" t="n"/>
      <c r="GMB91" s="248" t="n"/>
      <c r="GMC91" s="248" t="n"/>
      <c r="GMD91" s="240" t="n"/>
      <c r="GME91" s="240" t="n"/>
      <c r="GMG91" s="15" t="n"/>
      <c r="GMH91" s="15" t="n"/>
      <c r="GMI91" s="248" t="n"/>
      <c r="GMJ91" s="248" t="n"/>
      <c r="GMK91" s="240" t="n"/>
      <c r="GML91" s="240" t="n"/>
      <c r="GMN91" s="15" t="n"/>
      <c r="GMO91" s="15" t="n"/>
      <c r="GMP91" s="248" t="n"/>
      <c r="GMQ91" s="248" t="n"/>
      <c r="GMR91" s="240" t="n"/>
      <c r="GMS91" s="240" t="n"/>
      <c r="GMU91" s="15" t="n"/>
      <c r="GMV91" s="15" t="n"/>
      <c r="GMW91" s="248" t="n"/>
      <c r="GMX91" s="248" t="n"/>
      <c r="GMY91" s="240" t="n"/>
      <c r="GMZ91" s="240" t="n"/>
      <c r="GNB91" s="15" t="n"/>
      <c r="GNC91" s="15" t="n"/>
      <c r="GND91" s="248" t="n"/>
      <c r="GNE91" s="248" t="n"/>
      <c r="GNF91" s="240" t="n"/>
      <c r="GNG91" s="240" t="n"/>
      <c r="GNI91" s="15" t="n"/>
      <c r="GNJ91" s="15" t="n"/>
      <c r="GNK91" s="248" t="n"/>
      <c r="GNL91" s="248" t="n"/>
      <c r="GNM91" s="240" t="n"/>
      <c r="GNN91" s="240" t="n"/>
      <c r="GNP91" s="15" t="n"/>
      <c r="GNQ91" s="15" t="n"/>
      <c r="GNR91" s="248" t="n"/>
      <c r="GNS91" s="248" t="n"/>
      <c r="GNT91" s="240" t="n"/>
      <c r="GNU91" s="240" t="n"/>
      <c r="GNW91" s="15" t="n"/>
      <c r="GNX91" s="15" t="n"/>
      <c r="GNY91" s="248" t="n"/>
      <c r="GNZ91" s="248" t="n"/>
      <c r="GOA91" s="240" t="n"/>
      <c r="GOB91" s="240" t="n"/>
      <c r="GOD91" s="15" t="n"/>
      <c r="GOE91" s="15" t="n"/>
      <c r="GOF91" s="248" t="n"/>
      <c r="GOG91" s="248" t="n"/>
      <c r="GOH91" s="240" t="n"/>
      <c r="GOI91" s="240" t="n"/>
      <c r="GOK91" s="15" t="n"/>
      <c r="GOL91" s="15" t="n"/>
      <c r="GOM91" s="248" t="n"/>
      <c r="GON91" s="248" t="n"/>
      <c r="GOO91" s="240" t="n"/>
      <c r="GOP91" s="240" t="n"/>
      <c r="GOR91" s="15" t="n"/>
      <c r="GOS91" s="15" t="n"/>
      <c r="GOT91" s="248" t="n"/>
      <c r="GOU91" s="248" t="n"/>
      <c r="GOV91" s="240" t="n"/>
      <c r="GOW91" s="240" t="n"/>
      <c r="GOY91" s="15" t="n"/>
      <c r="GOZ91" s="15" t="n"/>
      <c r="GPA91" s="248" t="n"/>
      <c r="GPB91" s="248" t="n"/>
      <c r="GPC91" s="240" t="n"/>
      <c r="GPD91" s="240" t="n"/>
      <c r="GPF91" s="15" t="n"/>
      <c r="GPG91" s="15" t="n"/>
      <c r="GPH91" s="248" t="n"/>
      <c r="GPI91" s="248" t="n"/>
      <c r="GPJ91" s="240" t="n"/>
      <c r="GPK91" s="240" t="n"/>
      <c r="GPM91" s="15" t="n"/>
      <c r="GPN91" s="15" t="n"/>
      <c r="GPO91" s="248" t="n"/>
      <c r="GPP91" s="248" t="n"/>
      <c r="GPQ91" s="240" t="n"/>
      <c r="GPR91" s="240" t="n"/>
      <c r="GPT91" s="15" t="n"/>
      <c r="GPU91" s="15" t="n"/>
      <c r="GPV91" s="248" t="n"/>
      <c r="GPW91" s="248" t="n"/>
      <c r="GPX91" s="240" t="n"/>
      <c r="GPY91" s="240" t="n"/>
      <c r="GQA91" s="15" t="n"/>
      <c r="GQB91" s="15" t="n"/>
      <c r="GQC91" s="248" t="n"/>
      <c r="GQD91" s="248" t="n"/>
      <c r="GQE91" s="240" t="n"/>
      <c r="GQF91" s="240" t="n"/>
      <c r="GQH91" s="15" t="n"/>
      <c r="GQI91" s="15" t="n"/>
      <c r="GQJ91" s="248" t="n"/>
      <c r="GQK91" s="248" t="n"/>
      <c r="GQL91" s="240" t="n"/>
      <c r="GQM91" s="240" t="n"/>
      <c r="GQO91" s="15" t="n"/>
      <c r="GQP91" s="15" t="n"/>
      <c r="GQQ91" s="248" t="n"/>
      <c r="GQR91" s="248" t="n"/>
      <c r="GQS91" s="240" t="n"/>
      <c r="GQT91" s="240" t="n"/>
      <c r="GQV91" s="15" t="n"/>
      <c r="GQW91" s="15" t="n"/>
      <c r="GQX91" s="248" t="n"/>
      <c r="GQY91" s="248" t="n"/>
      <c r="GQZ91" s="240" t="n"/>
      <c r="GRA91" s="240" t="n"/>
      <c r="GRC91" s="15" t="n"/>
      <c r="GRD91" s="15" t="n"/>
      <c r="GRE91" s="248" t="n"/>
      <c r="GRF91" s="248" t="n"/>
      <c r="GRG91" s="240" t="n"/>
      <c r="GRH91" s="240" t="n"/>
      <c r="GRJ91" s="15" t="n"/>
      <c r="GRK91" s="15" t="n"/>
      <c r="GRL91" s="248" t="n"/>
      <c r="GRM91" s="248" t="n"/>
      <c r="GRN91" s="240" t="n"/>
      <c r="GRO91" s="240" t="n"/>
      <c r="GRQ91" s="15" t="n"/>
      <c r="GRR91" s="15" t="n"/>
      <c r="GRS91" s="248" t="n"/>
      <c r="GRT91" s="248" t="n"/>
      <c r="GRU91" s="240" t="n"/>
      <c r="GRV91" s="240" t="n"/>
      <c r="GRX91" s="15" t="n"/>
      <c r="GRY91" s="15" t="n"/>
      <c r="GRZ91" s="248" t="n"/>
      <c r="GSA91" s="248" t="n"/>
      <c r="GSB91" s="240" t="n"/>
      <c r="GSC91" s="240" t="n"/>
      <c r="GSE91" s="15" t="n"/>
      <c r="GSF91" s="15" t="n"/>
      <c r="GSG91" s="248" t="n"/>
      <c r="GSH91" s="248" t="n"/>
      <c r="GSI91" s="240" t="n"/>
      <c r="GSJ91" s="240" t="n"/>
      <c r="GSL91" s="15" t="n"/>
      <c r="GSM91" s="15" t="n"/>
      <c r="GSN91" s="248" t="n"/>
      <c r="GSO91" s="248" t="n"/>
      <c r="GSP91" s="240" t="n"/>
      <c r="GSQ91" s="240" t="n"/>
      <c r="GSS91" s="15" t="n"/>
      <c r="GST91" s="15" t="n"/>
      <c r="GSU91" s="248" t="n"/>
      <c r="GSV91" s="248" t="n"/>
      <c r="GSW91" s="240" t="n"/>
      <c r="GSX91" s="240" t="n"/>
      <c r="GSZ91" s="15" t="n"/>
      <c r="GTA91" s="15" t="n"/>
      <c r="GTB91" s="248" t="n"/>
      <c r="GTC91" s="248" t="n"/>
      <c r="GTD91" s="240" t="n"/>
      <c r="GTE91" s="240" t="n"/>
      <c r="GTG91" s="15" t="n"/>
      <c r="GTH91" s="15" t="n"/>
      <c r="GTI91" s="248" t="n"/>
      <c r="GTJ91" s="248" t="n"/>
      <c r="GTK91" s="240" t="n"/>
      <c r="GTL91" s="240" t="n"/>
      <c r="GTN91" s="15" t="n"/>
      <c r="GTO91" s="15" t="n"/>
      <c r="GTP91" s="248" t="n"/>
      <c r="GTQ91" s="248" t="n"/>
      <c r="GTR91" s="240" t="n"/>
      <c r="GTS91" s="240" t="n"/>
      <c r="GTU91" s="15" t="n"/>
      <c r="GTV91" s="15" t="n"/>
      <c r="GTW91" s="248" t="n"/>
      <c r="GTX91" s="248" t="n"/>
      <c r="GTY91" s="240" t="n"/>
      <c r="GTZ91" s="240" t="n"/>
      <c r="GUB91" s="15" t="n"/>
      <c r="GUC91" s="15" t="n"/>
      <c r="GUD91" s="248" t="n"/>
      <c r="GUE91" s="248" t="n"/>
      <c r="GUF91" s="240" t="n"/>
      <c r="GUG91" s="240" t="n"/>
      <c r="GUI91" s="15" t="n"/>
      <c r="GUJ91" s="15" t="n"/>
      <c r="GUK91" s="248" t="n"/>
      <c r="GUL91" s="248" t="n"/>
      <c r="GUM91" s="240" t="n"/>
      <c r="GUN91" s="240" t="n"/>
      <c r="GUP91" s="15" t="n"/>
      <c r="GUQ91" s="15" t="n"/>
      <c r="GUR91" s="248" t="n"/>
      <c r="GUS91" s="248" t="n"/>
      <c r="GUT91" s="240" t="n"/>
      <c r="GUU91" s="240" t="n"/>
      <c r="GUW91" s="15" t="n"/>
      <c r="GUX91" s="15" t="n"/>
      <c r="GUY91" s="248" t="n"/>
      <c r="GUZ91" s="248" t="n"/>
      <c r="GVA91" s="240" t="n"/>
      <c r="GVB91" s="240" t="n"/>
      <c r="GVD91" s="15" t="n"/>
      <c r="GVE91" s="15" t="n"/>
      <c r="GVF91" s="248" t="n"/>
      <c r="GVG91" s="248" t="n"/>
      <c r="GVH91" s="240" t="n"/>
      <c r="GVI91" s="240" t="n"/>
      <c r="GVK91" s="15" t="n"/>
      <c r="GVL91" s="15" t="n"/>
      <c r="GVM91" s="248" t="n"/>
      <c r="GVN91" s="248" t="n"/>
      <c r="GVO91" s="240" t="n"/>
      <c r="GVP91" s="240" t="n"/>
      <c r="GVR91" s="15" t="n"/>
      <c r="GVS91" s="15" t="n"/>
      <c r="GVT91" s="248" t="n"/>
      <c r="GVU91" s="248" t="n"/>
      <c r="GVV91" s="240" t="n"/>
      <c r="GVW91" s="240" t="n"/>
      <c r="GVY91" s="15" t="n"/>
      <c r="GVZ91" s="15" t="n"/>
      <c r="GWA91" s="248" t="n"/>
      <c r="GWB91" s="248" t="n"/>
      <c r="GWC91" s="240" t="n"/>
      <c r="GWD91" s="240" t="n"/>
      <c r="GWF91" s="15" t="n"/>
      <c r="GWG91" s="15" t="n"/>
      <c r="GWH91" s="248" t="n"/>
      <c r="GWI91" s="248" t="n"/>
      <c r="GWJ91" s="240" t="n"/>
      <c r="GWK91" s="240" t="n"/>
      <c r="GWM91" s="15" t="n"/>
      <c r="GWN91" s="15" t="n"/>
      <c r="GWO91" s="248" t="n"/>
      <c r="GWP91" s="248" t="n"/>
      <c r="GWQ91" s="240" t="n"/>
      <c r="GWR91" s="240" t="n"/>
      <c r="GWT91" s="15" t="n"/>
      <c r="GWU91" s="15" t="n"/>
      <c r="GWV91" s="248" t="n"/>
      <c r="GWW91" s="248" t="n"/>
      <c r="GWX91" s="240" t="n"/>
      <c r="GWY91" s="240" t="n"/>
      <c r="GXA91" s="15" t="n"/>
      <c r="GXB91" s="15" t="n"/>
      <c r="GXC91" s="248" t="n"/>
      <c r="GXD91" s="248" t="n"/>
      <c r="GXE91" s="240" t="n"/>
      <c r="GXF91" s="240" t="n"/>
      <c r="GXH91" s="15" t="n"/>
      <c r="GXI91" s="15" t="n"/>
      <c r="GXJ91" s="248" t="n"/>
      <c r="GXK91" s="248" t="n"/>
      <c r="GXL91" s="240" t="n"/>
      <c r="GXM91" s="240" t="n"/>
      <c r="GXO91" s="15" t="n"/>
      <c r="GXP91" s="15" t="n"/>
      <c r="GXQ91" s="248" t="n"/>
      <c r="GXR91" s="248" t="n"/>
      <c r="GXS91" s="240" t="n"/>
      <c r="GXT91" s="240" t="n"/>
      <c r="GXV91" s="15" t="n"/>
      <c r="GXW91" s="15" t="n"/>
      <c r="GXX91" s="248" t="n"/>
      <c r="GXY91" s="248" t="n"/>
      <c r="GXZ91" s="240" t="n"/>
      <c r="GYA91" s="240" t="n"/>
      <c r="GYC91" s="15" t="n"/>
      <c r="GYD91" s="15" t="n"/>
      <c r="GYE91" s="248" t="n"/>
      <c r="GYF91" s="248" t="n"/>
      <c r="GYG91" s="240" t="n"/>
      <c r="GYH91" s="240" t="n"/>
      <c r="GYJ91" s="15" t="n"/>
      <c r="GYK91" s="15" t="n"/>
      <c r="GYL91" s="248" t="n"/>
      <c r="GYM91" s="248" t="n"/>
      <c r="GYN91" s="240" t="n"/>
      <c r="GYO91" s="240" t="n"/>
      <c r="GYQ91" s="15" t="n"/>
      <c r="GYR91" s="15" t="n"/>
      <c r="GYS91" s="248" t="n"/>
      <c r="GYT91" s="248" t="n"/>
      <c r="GYU91" s="240" t="n"/>
      <c r="GYV91" s="240" t="n"/>
      <c r="GYX91" s="15" t="n"/>
      <c r="GYY91" s="15" t="n"/>
      <c r="GYZ91" s="248" t="n"/>
      <c r="GZA91" s="248" t="n"/>
      <c r="GZB91" s="240" t="n"/>
      <c r="GZC91" s="240" t="n"/>
      <c r="GZE91" s="15" t="n"/>
      <c r="GZF91" s="15" t="n"/>
      <c r="GZG91" s="248" t="n"/>
      <c r="GZH91" s="248" t="n"/>
      <c r="GZI91" s="240" t="n"/>
      <c r="GZJ91" s="240" t="n"/>
      <c r="GZL91" s="15" t="n"/>
      <c r="GZM91" s="15" t="n"/>
      <c r="GZN91" s="248" t="n"/>
      <c r="GZO91" s="248" t="n"/>
      <c r="GZP91" s="240" t="n"/>
      <c r="GZQ91" s="240" t="n"/>
      <c r="GZS91" s="15" t="n"/>
      <c r="GZT91" s="15" t="n"/>
      <c r="GZU91" s="248" t="n"/>
      <c r="GZV91" s="248" t="n"/>
      <c r="GZW91" s="240" t="n"/>
      <c r="GZX91" s="240" t="n"/>
      <c r="GZZ91" s="15" t="n"/>
      <c r="HAA91" s="15" t="n"/>
      <c r="HAB91" s="248" t="n"/>
      <c r="HAC91" s="248" t="n"/>
      <c r="HAD91" s="240" t="n"/>
      <c r="HAE91" s="240" t="n"/>
      <c r="HAG91" s="15" t="n"/>
      <c r="HAH91" s="15" t="n"/>
      <c r="HAI91" s="248" t="n"/>
      <c r="HAJ91" s="248" t="n"/>
      <c r="HAK91" s="240" t="n"/>
      <c r="HAL91" s="240" t="n"/>
      <c r="HAN91" s="15" t="n"/>
      <c r="HAO91" s="15" t="n"/>
      <c r="HAP91" s="248" t="n"/>
      <c r="HAQ91" s="248" t="n"/>
      <c r="HAR91" s="240" t="n"/>
      <c r="HAS91" s="240" t="n"/>
      <c r="HAU91" s="15" t="n"/>
      <c r="HAV91" s="15" t="n"/>
      <c r="HAW91" s="248" t="n"/>
      <c r="HAX91" s="248" t="n"/>
      <c r="HAY91" s="240" t="n"/>
      <c r="HAZ91" s="240" t="n"/>
      <c r="HBB91" s="15" t="n"/>
      <c r="HBC91" s="15" t="n"/>
      <c r="HBD91" s="248" t="n"/>
      <c r="HBE91" s="248" t="n"/>
      <c r="HBF91" s="240" t="n"/>
      <c r="HBG91" s="240" t="n"/>
      <c r="HBI91" s="15" t="n"/>
      <c r="HBJ91" s="15" t="n"/>
      <c r="HBK91" s="248" t="n"/>
      <c r="HBL91" s="248" t="n"/>
      <c r="HBM91" s="240" t="n"/>
      <c r="HBN91" s="240" t="n"/>
      <c r="HBP91" s="15" t="n"/>
      <c r="HBQ91" s="15" t="n"/>
      <c r="HBR91" s="248" t="n"/>
      <c r="HBS91" s="248" t="n"/>
      <c r="HBT91" s="240" t="n"/>
      <c r="HBU91" s="240" t="n"/>
      <c r="HBW91" s="15" t="n"/>
      <c r="HBX91" s="15" t="n"/>
      <c r="HBY91" s="248" t="n"/>
      <c r="HBZ91" s="248" t="n"/>
      <c r="HCA91" s="240" t="n"/>
      <c r="HCB91" s="240" t="n"/>
      <c r="HCD91" s="15" t="n"/>
      <c r="HCE91" s="15" t="n"/>
      <c r="HCF91" s="248" t="n"/>
      <c r="HCG91" s="248" t="n"/>
      <c r="HCH91" s="240" t="n"/>
      <c r="HCI91" s="240" t="n"/>
      <c r="HCK91" s="15" t="n"/>
      <c r="HCL91" s="15" t="n"/>
      <c r="HCM91" s="248" t="n"/>
      <c r="HCN91" s="248" t="n"/>
      <c r="HCO91" s="240" t="n"/>
      <c r="HCP91" s="240" t="n"/>
      <c r="HCR91" s="15" t="n"/>
      <c r="HCS91" s="15" t="n"/>
      <c r="HCT91" s="248" t="n"/>
      <c r="HCU91" s="248" t="n"/>
      <c r="HCV91" s="240" t="n"/>
      <c r="HCW91" s="240" t="n"/>
      <c r="HCY91" s="15" t="n"/>
      <c r="HCZ91" s="15" t="n"/>
      <c r="HDA91" s="248" t="n"/>
      <c r="HDB91" s="248" t="n"/>
      <c r="HDC91" s="240" t="n"/>
      <c r="HDD91" s="240" t="n"/>
      <c r="HDF91" s="15" t="n"/>
      <c r="HDG91" s="15" t="n"/>
      <c r="HDH91" s="248" t="n"/>
      <c r="HDI91" s="248" t="n"/>
      <c r="HDJ91" s="240" t="n"/>
      <c r="HDK91" s="240" t="n"/>
      <c r="HDM91" s="15" t="n"/>
      <c r="HDN91" s="15" t="n"/>
      <c r="HDO91" s="248" t="n"/>
      <c r="HDP91" s="248" t="n"/>
      <c r="HDQ91" s="240" t="n"/>
      <c r="HDR91" s="240" t="n"/>
      <c r="HDT91" s="15" t="n"/>
      <c r="HDU91" s="15" t="n"/>
      <c r="HDV91" s="248" t="n"/>
      <c r="HDW91" s="248" t="n"/>
      <c r="HDX91" s="240" t="n"/>
      <c r="HDY91" s="240" t="n"/>
      <c r="HEA91" s="15" t="n"/>
      <c r="HEB91" s="15" t="n"/>
      <c r="HEC91" s="248" t="n"/>
      <c r="HED91" s="248" t="n"/>
      <c r="HEE91" s="240" t="n"/>
      <c r="HEF91" s="240" t="n"/>
      <c r="HEH91" s="15" t="n"/>
      <c r="HEI91" s="15" t="n"/>
      <c r="HEJ91" s="248" t="n"/>
      <c r="HEK91" s="248" t="n"/>
      <c r="HEL91" s="240" t="n"/>
      <c r="HEM91" s="240" t="n"/>
      <c r="HEO91" s="15" t="n"/>
      <c r="HEP91" s="15" t="n"/>
      <c r="HEQ91" s="248" t="n"/>
      <c r="HER91" s="248" t="n"/>
      <c r="HES91" s="240" t="n"/>
      <c r="HET91" s="240" t="n"/>
      <c r="HEV91" s="15" t="n"/>
      <c r="HEW91" s="15" t="n"/>
      <c r="HEX91" s="248" t="n"/>
      <c r="HEY91" s="248" t="n"/>
      <c r="HEZ91" s="240" t="n"/>
      <c r="HFA91" s="240" t="n"/>
      <c r="HFC91" s="15" t="n"/>
      <c r="HFD91" s="15" t="n"/>
      <c r="HFE91" s="248" t="n"/>
      <c r="HFF91" s="248" t="n"/>
      <c r="HFG91" s="240" t="n"/>
      <c r="HFH91" s="240" t="n"/>
      <c r="HFJ91" s="15" t="n"/>
      <c r="HFK91" s="15" t="n"/>
      <c r="HFL91" s="248" t="n"/>
      <c r="HFM91" s="248" t="n"/>
      <c r="HFN91" s="240" t="n"/>
      <c r="HFO91" s="240" t="n"/>
      <c r="HFQ91" s="15" t="n"/>
      <c r="HFR91" s="15" t="n"/>
      <c r="HFS91" s="248" t="n"/>
      <c r="HFT91" s="248" t="n"/>
      <c r="HFU91" s="240" t="n"/>
      <c r="HFV91" s="240" t="n"/>
      <c r="HFX91" s="15" t="n"/>
      <c r="HFY91" s="15" t="n"/>
      <c r="HFZ91" s="248" t="n"/>
      <c r="HGA91" s="248" t="n"/>
      <c r="HGB91" s="240" t="n"/>
      <c r="HGC91" s="240" t="n"/>
      <c r="HGE91" s="15" t="n"/>
      <c r="HGF91" s="15" t="n"/>
      <c r="HGG91" s="248" t="n"/>
      <c r="HGH91" s="248" t="n"/>
      <c r="HGI91" s="240" t="n"/>
      <c r="HGJ91" s="240" t="n"/>
      <c r="HGL91" s="15" t="n"/>
      <c r="HGM91" s="15" t="n"/>
      <c r="HGN91" s="248" t="n"/>
      <c r="HGO91" s="248" t="n"/>
      <c r="HGP91" s="240" t="n"/>
      <c r="HGQ91" s="240" t="n"/>
      <c r="HGS91" s="15" t="n"/>
      <c r="HGT91" s="15" t="n"/>
      <c r="HGU91" s="248" t="n"/>
      <c r="HGV91" s="248" t="n"/>
      <c r="HGW91" s="240" t="n"/>
      <c r="HGX91" s="240" t="n"/>
      <c r="HGZ91" s="15" t="n"/>
      <c r="HHA91" s="15" t="n"/>
      <c r="HHB91" s="248" t="n"/>
      <c r="HHC91" s="248" t="n"/>
      <c r="HHD91" s="240" t="n"/>
      <c r="HHE91" s="240" t="n"/>
      <c r="HHG91" s="15" t="n"/>
      <c r="HHH91" s="15" t="n"/>
      <c r="HHI91" s="248" t="n"/>
      <c r="HHJ91" s="248" t="n"/>
      <c r="HHK91" s="240" t="n"/>
      <c r="HHL91" s="240" t="n"/>
      <c r="HHN91" s="15" t="n"/>
      <c r="HHO91" s="15" t="n"/>
      <c r="HHP91" s="248" t="n"/>
      <c r="HHQ91" s="248" t="n"/>
      <c r="HHR91" s="240" t="n"/>
      <c r="HHS91" s="240" t="n"/>
      <c r="HHU91" s="15" t="n"/>
      <c r="HHV91" s="15" t="n"/>
      <c r="HHW91" s="248" t="n"/>
      <c r="HHX91" s="248" t="n"/>
      <c r="HHY91" s="240" t="n"/>
      <c r="HHZ91" s="240" t="n"/>
      <c r="HIB91" s="15" t="n"/>
      <c r="HIC91" s="15" t="n"/>
      <c r="HID91" s="248" t="n"/>
      <c r="HIE91" s="248" t="n"/>
      <c r="HIF91" s="240" t="n"/>
      <c r="HIG91" s="240" t="n"/>
      <c r="HII91" s="15" t="n"/>
      <c r="HIJ91" s="15" t="n"/>
      <c r="HIK91" s="248" t="n"/>
      <c r="HIL91" s="248" t="n"/>
      <c r="HIM91" s="240" t="n"/>
      <c r="HIN91" s="240" t="n"/>
      <c r="HIP91" s="15" t="n"/>
      <c r="HIQ91" s="15" t="n"/>
      <c r="HIR91" s="248" t="n"/>
      <c r="HIS91" s="248" t="n"/>
      <c r="HIT91" s="240" t="n"/>
      <c r="HIU91" s="240" t="n"/>
      <c r="HIW91" s="15" t="n"/>
      <c r="HIX91" s="15" t="n"/>
      <c r="HIY91" s="248" t="n"/>
      <c r="HIZ91" s="248" t="n"/>
      <c r="HJA91" s="240" t="n"/>
      <c r="HJB91" s="240" t="n"/>
      <c r="HJD91" s="15" t="n"/>
      <c r="HJE91" s="15" t="n"/>
      <c r="HJF91" s="248" t="n"/>
      <c r="HJG91" s="248" t="n"/>
      <c r="HJH91" s="240" t="n"/>
      <c r="HJI91" s="240" t="n"/>
      <c r="HJK91" s="15" t="n"/>
      <c r="HJL91" s="15" t="n"/>
      <c r="HJM91" s="248" t="n"/>
      <c r="HJN91" s="248" t="n"/>
      <c r="HJO91" s="240" t="n"/>
      <c r="HJP91" s="240" t="n"/>
      <c r="HJR91" s="15" t="n"/>
      <c r="HJS91" s="15" t="n"/>
      <c r="HJT91" s="248" t="n"/>
      <c r="HJU91" s="248" t="n"/>
      <c r="HJV91" s="240" t="n"/>
      <c r="HJW91" s="240" t="n"/>
      <c r="HJY91" s="15" t="n"/>
      <c r="HJZ91" s="15" t="n"/>
      <c r="HKA91" s="248" t="n"/>
      <c r="HKB91" s="248" t="n"/>
      <c r="HKC91" s="240" t="n"/>
      <c r="HKD91" s="240" t="n"/>
      <c r="HKF91" s="15" t="n"/>
      <c r="HKG91" s="15" t="n"/>
      <c r="HKH91" s="248" t="n"/>
      <c r="HKI91" s="248" t="n"/>
      <c r="HKJ91" s="240" t="n"/>
      <c r="HKK91" s="240" t="n"/>
      <c r="HKM91" s="15" t="n"/>
      <c r="HKN91" s="15" t="n"/>
      <c r="HKO91" s="248" t="n"/>
      <c r="HKP91" s="248" t="n"/>
      <c r="HKQ91" s="240" t="n"/>
      <c r="HKR91" s="240" t="n"/>
      <c r="HKT91" s="15" t="n"/>
      <c r="HKU91" s="15" t="n"/>
      <c r="HKV91" s="248" t="n"/>
      <c r="HKW91" s="248" t="n"/>
      <c r="HKX91" s="240" t="n"/>
      <c r="HKY91" s="240" t="n"/>
      <c r="HLA91" s="15" t="n"/>
      <c r="HLB91" s="15" t="n"/>
      <c r="HLC91" s="248" t="n"/>
      <c r="HLD91" s="248" t="n"/>
      <c r="HLE91" s="240" t="n"/>
      <c r="HLF91" s="240" t="n"/>
      <c r="HLH91" s="15" t="n"/>
      <c r="HLI91" s="15" t="n"/>
      <c r="HLJ91" s="248" t="n"/>
      <c r="HLK91" s="248" t="n"/>
      <c r="HLL91" s="240" t="n"/>
      <c r="HLM91" s="240" t="n"/>
      <c r="HLO91" s="15" t="n"/>
      <c r="HLP91" s="15" t="n"/>
      <c r="HLQ91" s="248" t="n"/>
      <c r="HLR91" s="248" t="n"/>
      <c r="HLS91" s="240" t="n"/>
      <c r="HLT91" s="240" t="n"/>
      <c r="HLV91" s="15" t="n"/>
      <c r="HLW91" s="15" t="n"/>
      <c r="HLX91" s="248" t="n"/>
      <c r="HLY91" s="248" t="n"/>
      <c r="HLZ91" s="240" t="n"/>
      <c r="HMA91" s="240" t="n"/>
      <c r="HMC91" s="15" t="n"/>
      <c r="HMD91" s="15" t="n"/>
      <c r="HME91" s="248" t="n"/>
      <c r="HMF91" s="248" t="n"/>
      <c r="HMG91" s="240" t="n"/>
      <c r="HMH91" s="240" t="n"/>
      <c r="HMJ91" s="15" t="n"/>
      <c r="HMK91" s="15" t="n"/>
      <c r="HML91" s="248" t="n"/>
      <c r="HMM91" s="248" t="n"/>
      <c r="HMN91" s="240" t="n"/>
      <c r="HMO91" s="240" t="n"/>
      <c r="HMQ91" s="15" t="n"/>
      <c r="HMR91" s="15" t="n"/>
      <c r="HMS91" s="248" t="n"/>
      <c r="HMT91" s="248" t="n"/>
      <c r="HMU91" s="240" t="n"/>
      <c r="HMV91" s="240" t="n"/>
      <c r="HMX91" s="15" t="n"/>
      <c r="HMY91" s="15" t="n"/>
      <c r="HMZ91" s="248" t="n"/>
      <c r="HNA91" s="248" t="n"/>
      <c r="HNB91" s="240" t="n"/>
      <c r="HNC91" s="240" t="n"/>
      <c r="HNE91" s="15" t="n"/>
      <c r="HNF91" s="15" t="n"/>
      <c r="HNG91" s="248" t="n"/>
      <c r="HNH91" s="248" t="n"/>
      <c r="HNI91" s="240" t="n"/>
      <c r="HNJ91" s="240" t="n"/>
      <c r="HNL91" s="15" t="n"/>
      <c r="HNM91" s="15" t="n"/>
      <c r="HNN91" s="248" t="n"/>
      <c r="HNO91" s="248" t="n"/>
      <c r="HNP91" s="240" t="n"/>
      <c r="HNQ91" s="240" t="n"/>
      <c r="HNS91" s="15" t="n"/>
      <c r="HNT91" s="15" t="n"/>
      <c r="HNU91" s="248" t="n"/>
      <c r="HNV91" s="248" t="n"/>
      <c r="HNW91" s="240" t="n"/>
      <c r="HNX91" s="240" t="n"/>
      <c r="HNZ91" s="15" t="n"/>
      <c r="HOA91" s="15" t="n"/>
      <c r="HOB91" s="248" t="n"/>
      <c r="HOC91" s="248" t="n"/>
      <c r="HOD91" s="240" t="n"/>
      <c r="HOE91" s="240" t="n"/>
      <c r="HOG91" s="15" t="n"/>
      <c r="HOH91" s="15" t="n"/>
      <c r="HOI91" s="248" t="n"/>
      <c r="HOJ91" s="248" t="n"/>
      <c r="HOK91" s="240" t="n"/>
      <c r="HOL91" s="240" t="n"/>
      <c r="HON91" s="15" t="n"/>
      <c r="HOO91" s="15" t="n"/>
      <c r="HOP91" s="248" t="n"/>
      <c r="HOQ91" s="248" t="n"/>
      <c r="HOR91" s="240" t="n"/>
      <c r="HOS91" s="240" t="n"/>
      <c r="HOU91" s="15" t="n"/>
      <c r="HOV91" s="15" t="n"/>
      <c r="HOW91" s="248" t="n"/>
      <c r="HOX91" s="248" t="n"/>
      <c r="HOY91" s="240" t="n"/>
      <c r="HOZ91" s="240" t="n"/>
      <c r="HPB91" s="15" t="n"/>
      <c r="HPC91" s="15" t="n"/>
      <c r="HPD91" s="248" t="n"/>
      <c r="HPE91" s="248" t="n"/>
      <c r="HPF91" s="240" t="n"/>
      <c r="HPG91" s="240" t="n"/>
      <c r="HPI91" s="15" t="n"/>
      <c r="HPJ91" s="15" t="n"/>
      <c r="HPK91" s="248" t="n"/>
      <c r="HPL91" s="248" t="n"/>
      <c r="HPM91" s="240" t="n"/>
      <c r="HPN91" s="240" t="n"/>
      <c r="HPP91" s="15" t="n"/>
      <c r="HPQ91" s="15" t="n"/>
      <c r="HPR91" s="248" t="n"/>
      <c r="HPS91" s="248" t="n"/>
      <c r="HPT91" s="240" t="n"/>
      <c r="HPU91" s="240" t="n"/>
      <c r="HPW91" s="15" t="n"/>
      <c r="HPX91" s="15" t="n"/>
      <c r="HPY91" s="248" t="n"/>
      <c r="HPZ91" s="248" t="n"/>
      <c r="HQA91" s="240" t="n"/>
      <c r="HQB91" s="240" t="n"/>
      <c r="HQD91" s="15" t="n"/>
      <c r="HQE91" s="15" t="n"/>
      <c r="HQF91" s="248" t="n"/>
      <c r="HQG91" s="248" t="n"/>
      <c r="HQH91" s="240" t="n"/>
      <c r="HQI91" s="240" t="n"/>
      <c r="HQK91" s="15" t="n"/>
      <c r="HQL91" s="15" t="n"/>
      <c r="HQM91" s="248" t="n"/>
      <c r="HQN91" s="248" t="n"/>
      <c r="HQO91" s="240" t="n"/>
      <c r="HQP91" s="240" t="n"/>
      <c r="HQR91" s="15" t="n"/>
      <c r="HQS91" s="15" t="n"/>
      <c r="HQT91" s="248" t="n"/>
      <c r="HQU91" s="248" t="n"/>
      <c r="HQV91" s="240" t="n"/>
      <c r="HQW91" s="240" t="n"/>
      <c r="HQY91" s="15" t="n"/>
      <c r="HQZ91" s="15" t="n"/>
      <c r="HRA91" s="248" t="n"/>
      <c r="HRB91" s="248" t="n"/>
      <c r="HRC91" s="240" t="n"/>
      <c r="HRD91" s="240" t="n"/>
      <c r="HRF91" s="15" t="n"/>
      <c r="HRG91" s="15" t="n"/>
      <c r="HRH91" s="248" t="n"/>
      <c r="HRI91" s="248" t="n"/>
      <c r="HRJ91" s="240" t="n"/>
      <c r="HRK91" s="240" t="n"/>
      <c r="HRM91" s="15" t="n"/>
      <c r="HRN91" s="15" t="n"/>
      <c r="HRO91" s="248" t="n"/>
      <c r="HRP91" s="248" t="n"/>
      <c r="HRQ91" s="240" t="n"/>
      <c r="HRR91" s="240" t="n"/>
      <c r="HRT91" s="15" t="n"/>
      <c r="HRU91" s="15" t="n"/>
      <c r="HRV91" s="248" t="n"/>
      <c r="HRW91" s="248" t="n"/>
      <c r="HRX91" s="240" t="n"/>
      <c r="HRY91" s="240" t="n"/>
      <c r="HSA91" s="15" t="n"/>
      <c r="HSB91" s="15" t="n"/>
      <c r="HSC91" s="248" t="n"/>
      <c r="HSD91" s="248" t="n"/>
      <c r="HSE91" s="240" t="n"/>
      <c r="HSF91" s="240" t="n"/>
      <c r="HSH91" s="15" t="n"/>
      <c r="HSI91" s="15" t="n"/>
      <c r="HSJ91" s="248" t="n"/>
      <c r="HSK91" s="248" t="n"/>
      <c r="HSL91" s="240" t="n"/>
      <c r="HSM91" s="240" t="n"/>
      <c r="HSO91" s="15" t="n"/>
      <c r="HSP91" s="15" t="n"/>
      <c r="HSQ91" s="248" t="n"/>
      <c r="HSR91" s="248" t="n"/>
      <c r="HSS91" s="240" t="n"/>
      <c r="HST91" s="240" t="n"/>
      <c r="HSV91" s="15" t="n"/>
      <c r="HSW91" s="15" t="n"/>
      <c r="HSX91" s="248" t="n"/>
      <c r="HSY91" s="248" t="n"/>
      <c r="HSZ91" s="240" t="n"/>
      <c r="HTA91" s="240" t="n"/>
      <c r="HTC91" s="15" t="n"/>
      <c r="HTD91" s="15" t="n"/>
      <c r="HTE91" s="248" t="n"/>
      <c r="HTF91" s="248" t="n"/>
      <c r="HTG91" s="240" t="n"/>
      <c r="HTH91" s="240" t="n"/>
      <c r="HTJ91" s="15" t="n"/>
      <c r="HTK91" s="15" t="n"/>
      <c r="HTL91" s="248" t="n"/>
      <c r="HTM91" s="248" t="n"/>
      <c r="HTN91" s="240" t="n"/>
      <c r="HTO91" s="240" t="n"/>
      <c r="HTQ91" s="15" t="n"/>
      <c r="HTR91" s="15" t="n"/>
      <c r="HTS91" s="248" t="n"/>
      <c r="HTT91" s="248" t="n"/>
      <c r="HTU91" s="240" t="n"/>
      <c r="HTV91" s="240" t="n"/>
      <c r="HTX91" s="15" t="n"/>
      <c r="HTY91" s="15" t="n"/>
      <c r="HTZ91" s="248" t="n"/>
      <c r="HUA91" s="248" t="n"/>
      <c r="HUB91" s="240" t="n"/>
      <c r="HUC91" s="240" t="n"/>
      <c r="HUE91" s="15" t="n"/>
      <c r="HUF91" s="15" t="n"/>
      <c r="HUG91" s="248" t="n"/>
      <c r="HUH91" s="248" t="n"/>
      <c r="HUI91" s="240" t="n"/>
      <c r="HUJ91" s="240" t="n"/>
      <c r="HUL91" s="15" t="n"/>
      <c r="HUM91" s="15" t="n"/>
      <c r="HUN91" s="248" t="n"/>
      <c r="HUO91" s="248" t="n"/>
      <c r="HUP91" s="240" t="n"/>
      <c r="HUQ91" s="240" t="n"/>
      <c r="HUS91" s="15" t="n"/>
      <c r="HUT91" s="15" t="n"/>
      <c r="HUU91" s="248" t="n"/>
      <c r="HUV91" s="248" t="n"/>
      <c r="HUW91" s="240" t="n"/>
      <c r="HUX91" s="240" t="n"/>
      <c r="HUZ91" s="15" t="n"/>
      <c r="HVA91" s="15" t="n"/>
      <c r="HVB91" s="248" t="n"/>
      <c r="HVC91" s="248" t="n"/>
      <c r="HVD91" s="240" t="n"/>
      <c r="HVE91" s="240" t="n"/>
      <c r="HVG91" s="15" t="n"/>
      <c r="HVH91" s="15" t="n"/>
      <c r="HVI91" s="248" t="n"/>
      <c r="HVJ91" s="248" t="n"/>
      <c r="HVK91" s="240" t="n"/>
      <c r="HVL91" s="240" t="n"/>
      <c r="HVN91" s="15" t="n"/>
      <c r="HVO91" s="15" t="n"/>
      <c r="HVP91" s="248" t="n"/>
      <c r="HVQ91" s="248" t="n"/>
      <c r="HVR91" s="240" t="n"/>
      <c r="HVS91" s="240" t="n"/>
      <c r="HVU91" s="15" t="n"/>
      <c r="HVV91" s="15" t="n"/>
      <c r="HVW91" s="248" t="n"/>
      <c r="HVX91" s="248" t="n"/>
      <c r="HVY91" s="240" t="n"/>
      <c r="HVZ91" s="240" t="n"/>
      <c r="HWB91" s="15" t="n"/>
      <c r="HWC91" s="15" t="n"/>
      <c r="HWD91" s="248" t="n"/>
      <c r="HWE91" s="248" t="n"/>
      <c r="HWF91" s="240" t="n"/>
      <c r="HWG91" s="240" t="n"/>
      <c r="HWI91" s="15" t="n"/>
      <c r="HWJ91" s="15" t="n"/>
      <c r="HWK91" s="248" t="n"/>
      <c r="HWL91" s="248" t="n"/>
      <c r="HWM91" s="240" t="n"/>
      <c r="HWN91" s="240" t="n"/>
      <c r="HWP91" s="15" t="n"/>
      <c r="HWQ91" s="15" t="n"/>
      <c r="HWR91" s="248" t="n"/>
      <c r="HWS91" s="248" t="n"/>
      <c r="HWT91" s="240" t="n"/>
      <c r="HWU91" s="240" t="n"/>
      <c r="HWW91" s="15" t="n"/>
      <c r="HWX91" s="15" t="n"/>
      <c r="HWY91" s="248" t="n"/>
      <c r="HWZ91" s="248" t="n"/>
      <c r="HXA91" s="240" t="n"/>
      <c r="HXB91" s="240" t="n"/>
      <c r="HXD91" s="15" t="n"/>
      <c r="HXE91" s="15" t="n"/>
      <c r="HXF91" s="248" t="n"/>
      <c r="HXG91" s="248" t="n"/>
      <c r="HXH91" s="240" t="n"/>
      <c r="HXI91" s="240" t="n"/>
      <c r="HXK91" s="15" t="n"/>
      <c r="HXL91" s="15" t="n"/>
      <c r="HXM91" s="248" t="n"/>
      <c r="HXN91" s="248" t="n"/>
      <c r="HXO91" s="240" t="n"/>
      <c r="HXP91" s="240" t="n"/>
      <c r="HXR91" s="15" t="n"/>
      <c r="HXS91" s="15" t="n"/>
      <c r="HXT91" s="248" t="n"/>
      <c r="HXU91" s="248" t="n"/>
      <c r="HXV91" s="240" t="n"/>
      <c r="HXW91" s="240" t="n"/>
      <c r="HXY91" s="15" t="n"/>
      <c r="HXZ91" s="15" t="n"/>
      <c r="HYA91" s="248" t="n"/>
      <c r="HYB91" s="248" t="n"/>
      <c r="HYC91" s="240" t="n"/>
      <c r="HYD91" s="240" t="n"/>
      <c r="HYF91" s="15" t="n"/>
      <c r="HYG91" s="15" t="n"/>
      <c r="HYH91" s="248" t="n"/>
      <c r="HYI91" s="248" t="n"/>
      <c r="HYJ91" s="240" t="n"/>
      <c r="HYK91" s="240" t="n"/>
      <c r="HYM91" s="15" t="n"/>
      <c r="HYN91" s="15" t="n"/>
      <c r="HYO91" s="248" t="n"/>
      <c r="HYP91" s="248" t="n"/>
      <c r="HYQ91" s="240" t="n"/>
      <c r="HYR91" s="240" t="n"/>
      <c r="HYT91" s="15" t="n"/>
      <c r="HYU91" s="15" t="n"/>
      <c r="HYV91" s="248" t="n"/>
      <c r="HYW91" s="248" t="n"/>
      <c r="HYX91" s="240" t="n"/>
      <c r="HYY91" s="240" t="n"/>
      <c r="HZA91" s="15" t="n"/>
      <c r="HZB91" s="15" t="n"/>
      <c r="HZC91" s="248" t="n"/>
      <c r="HZD91" s="248" t="n"/>
      <c r="HZE91" s="240" t="n"/>
      <c r="HZF91" s="240" t="n"/>
      <c r="HZH91" s="15" t="n"/>
      <c r="HZI91" s="15" t="n"/>
      <c r="HZJ91" s="248" t="n"/>
      <c r="HZK91" s="248" t="n"/>
      <c r="HZL91" s="240" t="n"/>
      <c r="HZM91" s="240" t="n"/>
      <c r="HZO91" s="15" t="n"/>
      <c r="HZP91" s="15" t="n"/>
      <c r="HZQ91" s="248" t="n"/>
      <c r="HZR91" s="248" t="n"/>
      <c r="HZS91" s="240" t="n"/>
      <c r="HZT91" s="240" t="n"/>
      <c r="HZV91" s="15" t="n"/>
      <c r="HZW91" s="15" t="n"/>
      <c r="HZX91" s="248" t="n"/>
      <c r="HZY91" s="248" t="n"/>
      <c r="HZZ91" s="240" t="n"/>
      <c r="IAA91" s="240" t="n"/>
      <c r="IAC91" s="15" t="n"/>
      <c r="IAD91" s="15" t="n"/>
      <c r="IAE91" s="248" t="n"/>
      <c r="IAF91" s="248" t="n"/>
      <c r="IAG91" s="240" t="n"/>
      <c r="IAH91" s="240" t="n"/>
      <c r="IAJ91" s="15" t="n"/>
      <c r="IAK91" s="15" t="n"/>
      <c r="IAL91" s="248" t="n"/>
      <c r="IAM91" s="248" t="n"/>
      <c r="IAN91" s="240" t="n"/>
      <c r="IAO91" s="240" t="n"/>
      <c r="IAQ91" s="15" t="n"/>
      <c r="IAR91" s="15" t="n"/>
      <c r="IAS91" s="248" t="n"/>
      <c r="IAT91" s="248" t="n"/>
      <c r="IAU91" s="240" t="n"/>
      <c r="IAV91" s="240" t="n"/>
      <c r="IAX91" s="15" t="n"/>
      <c r="IAY91" s="15" t="n"/>
      <c r="IAZ91" s="248" t="n"/>
      <c r="IBA91" s="248" t="n"/>
      <c r="IBB91" s="240" t="n"/>
      <c r="IBC91" s="240" t="n"/>
      <c r="IBE91" s="15" t="n"/>
      <c r="IBF91" s="15" t="n"/>
      <c r="IBG91" s="248" t="n"/>
      <c r="IBH91" s="248" t="n"/>
      <c r="IBI91" s="240" t="n"/>
      <c r="IBJ91" s="240" t="n"/>
      <c r="IBL91" s="15" t="n"/>
      <c r="IBM91" s="15" t="n"/>
      <c r="IBN91" s="248" t="n"/>
      <c r="IBO91" s="248" t="n"/>
      <c r="IBP91" s="240" t="n"/>
      <c r="IBQ91" s="240" t="n"/>
      <c r="IBS91" s="15" t="n"/>
      <c r="IBT91" s="15" t="n"/>
      <c r="IBU91" s="248" t="n"/>
      <c r="IBV91" s="248" t="n"/>
      <c r="IBW91" s="240" t="n"/>
      <c r="IBX91" s="240" t="n"/>
      <c r="IBZ91" s="15" t="n"/>
      <c r="ICA91" s="15" t="n"/>
      <c r="ICB91" s="248" t="n"/>
      <c r="ICC91" s="248" t="n"/>
      <c r="ICD91" s="240" t="n"/>
      <c r="ICE91" s="240" t="n"/>
      <c r="ICG91" s="15" t="n"/>
      <c r="ICH91" s="15" t="n"/>
      <c r="ICI91" s="248" t="n"/>
      <c r="ICJ91" s="248" t="n"/>
      <c r="ICK91" s="240" t="n"/>
      <c r="ICL91" s="240" t="n"/>
      <c r="ICN91" s="15" t="n"/>
      <c r="ICO91" s="15" t="n"/>
      <c r="ICP91" s="248" t="n"/>
      <c r="ICQ91" s="248" t="n"/>
      <c r="ICR91" s="240" t="n"/>
      <c r="ICS91" s="240" t="n"/>
      <c r="ICU91" s="15" t="n"/>
      <c r="ICV91" s="15" t="n"/>
      <c r="ICW91" s="248" t="n"/>
      <c r="ICX91" s="248" t="n"/>
      <c r="ICY91" s="240" t="n"/>
      <c r="ICZ91" s="240" t="n"/>
      <c r="IDB91" s="15" t="n"/>
      <c r="IDC91" s="15" t="n"/>
      <c r="IDD91" s="248" t="n"/>
      <c r="IDE91" s="248" t="n"/>
      <c r="IDF91" s="240" t="n"/>
      <c r="IDG91" s="240" t="n"/>
      <c r="IDI91" s="15" t="n"/>
      <c r="IDJ91" s="15" t="n"/>
      <c r="IDK91" s="248" t="n"/>
      <c r="IDL91" s="248" t="n"/>
      <c r="IDM91" s="240" t="n"/>
      <c r="IDN91" s="240" t="n"/>
      <c r="IDP91" s="15" t="n"/>
      <c r="IDQ91" s="15" t="n"/>
      <c r="IDR91" s="248" t="n"/>
      <c r="IDS91" s="248" t="n"/>
      <c r="IDT91" s="240" t="n"/>
      <c r="IDU91" s="240" t="n"/>
      <c r="IDW91" s="15" t="n"/>
      <c r="IDX91" s="15" t="n"/>
      <c r="IDY91" s="248" t="n"/>
      <c r="IDZ91" s="248" t="n"/>
      <c r="IEA91" s="240" t="n"/>
      <c r="IEB91" s="240" t="n"/>
      <c r="IED91" s="15" t="n"/>
      <c r="IEE91" s="15" t="n"/>
      <c r="IEF91" s="248" t="n"/>
      <c r="IEG91" s="248" t="n"/>
      <c r="IEH91" s="240" t="n"/>
      <c r="IEI91" s="240" t="n"/>
      <c r="IEK91" s="15" t="n"/>
      <c r="IEL91" s="15" t="n"/>
      <c r="IEM91" s="248" t="n"/>
      <c r="IEN91" s="248" t="n"/>
      <c r="IEO91" s="240" t="n"/>
      <c r="IEP91" s="240" t="n"/>
      <c r="IER91" s="15" t="n"/>
      <c r="IES91" s="15" t="n"/>
      <c r="IET91" s="248" t="n"/>
      <c r="IEU91" s="248" t="n"/>
      <c r="IEV91" s="240" t="n"/>
      <c r="IEW91" s="240" t="n"/>
      <c r="IEY91" s="15" t="n"/>
      <c r="IEZ91" s="15" t="n"/>
      <c r="IFA91" s="248" t="n"/>
      <c r="IFB91" s="248" t="n"/>
      <c r="IFC91" s="240" t="n"/>
      <c r="IFD91" s="240" t="n"/>
      <c r="IFF91" s="15" t="n"/>
      <c r="IFG91" s="15" t="n"/>
      <c r="IFH91" s="248" t="n"/>
      <c r="IFI91" s="248" t="n"/>
      <c r="IFJ91" s="240" t="n"/>
      <c r="IFK91" s="240" t="n"/>
      <c r="IFM91" s="15" t="n"/>
      <c r="IFN91" s="15" t="n"/>
      <c r="IFO91" s="248" t="n"/>
      <c r="IFP91" s="248" t="n"/>
      <c r="IFQ91" s="240" t="n"/>
      <c r="IFR91" s="240" t="n"/>
      <c r="IFT91" s="15" t="n"/>
      <c r="IFU91" s="15" t="n"/>
      <c r="IFV91" s="248" t="n"/>
      <c r="IFW91" s="248" t="n"/>
      <c r="IFX91" s="240" t="n"/>
      <c r="IFY91" s="240" t="n"/>
      <c r="IGA91" s="15" t="n"/>
      <c r="IGB91" s="15" t="n"/>
      <c r="IGC91" s="248" t="n"/>
      <c r="IGD91" s="248" t="n"/>
      <c r="IGE91" s="240" t="n"/>
      <c r="IGF91" s="240" t="n"/>
      <c r="IGH91" s="15" t="n"/>
      <c r="IGI91" s="15" t="n"/>
      <c r="IGJ91" s="248" t="n"/>
      <c r="IGK91" s="248" t="n"/>
      <c r="IGL91" s="240" t="n"/>
      <c r="IGM91" s="240" t="n"/>
      <c r="IGO91" s="15" t="n"/>
      <c r="IGP91" s="15" t="n"/>
      <c r="IGQ91" s="248" t="n"/>
      <c r="IGR91" s="248" t="n"/>
      <c r="IGS91" s="240" t="n"/>
      <c r="IGT91" s="240" t="n"/>
      <c r="IGV91" s="15" t="n"/>
      <c r="IGW91" s="15" t="n"/>
      <c r="IGX91" s="248" t="n"/>
      <c r="IGY91" s="248" t="n"/>
      <c r="IGZ91" s="240" t="n"/>
      <c r="IHA91" s="240" t="n"/>
      <c r="IHC91" s="15" t="n"/>
      <c r="IHD91" s="15" t="n"/>
      <c r="IHE91" s="248" t="n"/>
      <c r="IHF91" s="248" t="n"/>
      <c r="IHG91" s="240" t="n"/>
      <c r="IHH91" s="240" t="n"/>
      <c r="IHJ91" s="15" t="n"/>
      <c r="IHK91" s="15" t="n"/>
      <c r="IHL91" s="248" t="n"/>
      <c r="IHM91" s="248" t="n"/>
      <c r="IHN91" s="240" t="n"/>
      <c r="IHO91" s="240" t="n"/>
      <c r="IHQ91" s="15" t="n"/>
      <c r="IHR91" s="15" t="n"/>
      <c r="IHS91" s="248" t="n"/>
      <c r="IHT91" s="248" t="n"/>
      <c r="IHU91" s="240" t="n"/>
      <c r="IHV91" s="240" t="n"/>
      <c r="IHX91" s="15" t="n"/>
      <c r="IHY91" s="15" t="n"/>
      <c r="IHZ91" s="248" t="n"/>
      <c r="IIA91" s="248" t="n"/>
      <c r="IIB91" s="240" t="n"/>
      <c r="IIC91" s="240" t="n"/>
      <c r="IIE91" s="15" t="n"/>
      <c r="IIF91" s="15" t="n"/>
      <c r="IIG91" s="248" t="n"/>
      <c r="IIH91" s="248" t="n"/>
      <c r="III91" s="240" t="n"/>
      <c r="IIJ91" s="240" t="n"/>
      <c r="IIL91" s="15" t="n"/>
      <c r="IIM91" s="15" t="n"/>
      <c r="IIN91" s="248" t="n"/>
      <c r="IIO91" s="248" t="n"/>
      <c r="IIP91" s="240" t="n"/>
      <c r="IIQ91" s="240" t="n"/>
      <c r="IIS91" s="15" t="n"/>
      <c r="IIT91" s="15" t="n"/>
      <c r="IIU91" s="248" t="n"/>
      <c r="IIV91" s="248" t="n"/>
      <c r="IIW91" s="240" t="n"/>
      <c r="IIX91" s="240" t="n"/>
      <c r="IIZ91" s="15" t="n"/>
      <c r="IJA91" s="15" t="n"/>
      <c r="IJB91" s="248" t="n"/>
      <c r="IJC91" s="248" t="n"/>
      <c r="IJD91" s="240" t="n"/>
      <c r="IJE91" s="240" t="n"/>
      <c r="IJG91" s="15" t="n"/>
      <c r="IJH91" s="15" t="n"/>
      <c r="IJI91" s="248" t="n"/>
      <c r="IJJ91" s="248" t="n"/>
      <c r="IJK91" s="240" t="n"/>
      <c r="IJL91" s="240" t="n"/>
      <c r="IJN91" s="15" t="n"/>
      <c r="IJO91" s="15" t="n"/>
      <c r="IJP91" s="248" t="n"/>
      <c r="IJQ91" s="248" t="n"/>
      <c r="IJR91" s="240" t="n"/>
      <c r="IJS91" s="240" t="n"/>
      <c r="IJU91" s="15" t="n"/>
      <c r="IJV91" s="15" t="n"/>
      <c r="IJW91" s="248" t="n"/>
      <c r="IJX91" s="248" t="n"/>
      <c r="IJY91" s="240" t="n"/>
      <c r="IJZ91" s="240" t="n"/>
      <c r="IKB91" s="15" t="n"/>
      <c r="IKC91" s="15" t="n"/>
      <c r="IKD91" s="248" t="n"/>
      <c r="IKE91" s="248" t="n"/>
      <c r="IKF91" s="240" t="n"/>
      <c r="IKG91" s="240" t="n"/>
      <c r="IKI91" s="15" t="n"/>
      <c r="IKJ91" s="15" t="n"/>
      <c r="IKK91" s="248" t="n"/>
      <c r="IKL91" s="248" t="n"/>
      <c r="IKM91" s="240" t="n"/>
      <c r="IKN91" s="240" t="n"/>
      <c r="IKP91" s="15" t="n"/>
      <c r="IKQ91" s="15" t="n"/>
      <c r="IKR91" s="248" t="n"/>
      <c r="IKS91" s="248" t="n"/>
      <c r="IKT91" s="240" t="n"/>
      <c r="IKU91" s="240" t="n"/>
      <c r="IKW91" s="15" t="n"/>
      <c r="IKX91" s="15" t="n"/>
      <c r="IKY91" s="248" t="n"/>
      <c r="IKZ91" s="248" t="n"/>
      <c r="ILA91" s="240" t="n"/>
      <c r="ILB91" s="240" t="n"/>
      <c r="ILD91" s="15" t="n"/>
      <c r="ILE91" s="15" t="n"/>
      <c r="ILF91" s="248" t="n"/>
      <c r="ILG91" s="248" t="n"/>
      <c r="ILH91" s="240" t="n"/>
      <c r="ILI91" s="240" t="n"/>
      <c r="ILK91" s="15" t="n"/>
      <c r="ILL91" s="15" t="n"/>
      <c r="ILM91" s="248" t="n"/>
      <c r="ILN91" s="248" t="n"/>
      <c r="ILO91" s="240" t="n"/>
      <c r="ILP91" s="240" t="n"/>
      <c r="ILR91" s="15" t="n"/>
      <c r="ILS91" s="15" t="n"/>
      <c r="ILT91" s="248" t="n"/>
      <c r="ILU91" s="248" t="n"/>
      <c r="ILV91" s="240" t="n"/>
      <c r="ILW91" s="240" t="n"/>
      <c r="ILY91" s="15" t="n"/>
      <c r="ILZ91" s="15" t="n"/>
      <c r="IMA91" s="248" t="n"/>
      <c r="IMB91" s="248" t="n"/>
      <c r="IMC91" s="240" t="n"/>
      <c r="IMD91" s="240" t="n"/>
      <c r="IMF91" s="15" t="n"/>
      <c r="IMG91" s="15" t="n"/>
      <c r="IMH91" s="248" t="n"/>
      <c r="IMI91" s="248" t="n"/>
      <c r="IMJ91" s="240" t="n"/>
      <c r="IMK91" s="240" t="n"/>
      <c r="IMM91" s="15" t="n"/>
      <c r="IMN91" s="15" t="n"/>
      <c r="IMO91" s="248" t="n"/>
      <c r="IMP91" s="248" t="n"/>
      <c r="IMQ91" s="240" t="n"/>
      <c r="IMR91" s="240" t="n"/>
      <c r="IMT91" s="15" t="n"/>
      <c r="IMU91" s="15" t="n"/>
      <c r="IMV91" s="248" t="n"/>
      <c r="IMW91" s="248" t="n"/>
      <c r="IMX91" s="240" t="n"/>
      <c r="IMY91" s="240" t="n"/>
      <c r="INA91" s="15" t="n"/>
      <c r="INB91" s="15" t="n"/>
      <c r="INC91" s="248" t="n"/>
      <c r="IND91" s="248" t="n"/>
      <c r="INE91" s="240" t="n"/>
      <c r="INF91" s="240" t="n"/>
      <c r="INH91" s="15" t="n"/>
      <c r="INI91" s="15" t="n"/>
      <c r="INJ91" s="248" t="n"/>
      <c r="INK91" s="248" t="n"/>
      <c r="INL91" s="240" t="n"/>
      <c r="INM91" s="240" t="n"/>
      <c r="INO91" s="15" t="n"/>
      <c r="INP91" s="15" t="n"/>
      <c r="INQ91" s="248" t="n"/>
      <c r="INR91" s="248" t="n"/>
      <c r="INS91" s="240" t="n"/>
      <c r="INT91" s="240" t="n"/>
      <c r="INV91" s="15" t="n"/>
      <c r="INW91" s="15" t="n"/>
      <c r="INX91" s="248" t="n"/>
      <c r="INY91" s="248" t="n"/>
      <c r="INZ91" s="240" t="n"/>
      <c r="IOA91" s="240" t="n"/>
      <c r="IOC91" s="15" t="n"/>
      <c r="IOD91" s="15" t="n"/>
      <c r="IOE91" s="248" t="n"/>
      <c r="IOF91" s="248" t="n"/>
      <c r="IOG91" s="240" t="n"/>
      <c r="IOH91" s="240" t="n"/>
      <c r="IOJ91" s="15" t="n"/>
      <c r="IOK91" s="15" t="n"/>
      <c r="IOL91" s="248" t="n"/>
      <c r="IOM91" s="248" t="n"/>
      <c r="ION91" s="240" t="n"/>
      <c r="IOO91" s="240" t="n"/>
      <c r="IOQ91" s="15" t="n"/>
      <c r="IOR91" s="15" t="n"/>
      <c r="IOS91" s="248" t="n"/>
      <c r="IOT91" s="248" t="n"/>
      <c r="IOU91" s="240" t="n"/>
      <c r="IOV91" s="240" t="n"/>
      <c r="IOX91" s="15" t="n"/>
      <c r="IOY91" s="15" t="n"/>
      <c r="IOZ91" s="248" t="n"/>
      <c r="IPA91" s="248" t="n"/>
      <c r="IPB91" s="240" t="n"/>
      <c r="IPC91" s="240" t="n"/>
      <c r="IPE91" s="15" t="n"/>
      <c r="IPF91" s="15" t="n"/>
      <c r="IPG91" s="248" t="n"/>
      <c r="IPH91" s="248" t="n"/>
      <c r="IPI91" s="240" t="n"/>
      <c r="IPJ91" s="240" t="n"/>
      <c r="IPL91" s="15" t="n"/>
      <c r="IPM91" s="15" t="n"/>
      <c r="IPN91" s="248" t="n"/>
      <c r="IPO91" s="248" t="n"/>
      <c r="IPP91" s="240" t="n"/>
      <c r="IPQ91" s="240" t="n"/>
      <c r="IPS91" s="15" t="n"/>
      <c r="IPT91" s="15" t="n"/>
      <c r="IPU91" s="248" t="n"/>
      <c r="IPV91" s="248" t="n"/>
      <c r="IPW91" s="240" t="n"/>
      <c r="IPX91" s="240" t="n"/>
      <c r="IPZ91" s="15" t="n"/>
      <c r="IQA91" s="15" t="n"/>
      <c r="IQB91" s="248" t="n"/>
      <c r="IQC91" s="248" t="n"/>
      <c r="IQD91" s="240" t="n"/>
      <c r="IQE91" s="240" t="n"/>
      <c r="IQG91" s="15" t="n"/>
      <c r="IQH91" s="15" t="n"/>
      <c r="IQI91" s="248" t="n"/>
      <c r="IQJ91" s="248" t="n"/>
      <c r="IQK91" s="240" t="n"/>
      <c r="IQL91" s="240" t="n"/>
      <c r="IQN91" s="15" t="n"/>
      <c r="IQO91" s="15" t="n"/>
      <c r="IQP91" s="248" t="n"/>
      <c r="IQQ91" s="248" t="n"/>
      <c r="IQR91" s="240" t="n"/>
      <c r="IQS91" s="240" t="n"/>
      <c r="IQU91" s="15" t="n"/>
      <c r="IQV91" s="15" t="n"/>
      <c r="IQW91" s="248" t="n"/>
      <c r="IQX91" s="248" t="n"/>
      <c r="IQY91" s="240" t="n"/>
      <c r="IQZ91" s="240" t="n"/>
      <c r="IRB91" s="15" t="n"/>
      <c r="IRC91" s="15" t="n"/>
      <c r="IRD91" s="248" t="n"/>
      <c r="IRE91" s="248" t="n"/>
      <c r="IRF91" s="240" t="n"/>
      <c r="IRG91" s="240" t="n"/>
      <c r="IRI91" s="15" t="n"/>
      <c r="IRJ91" s="15" t="n"/>
      <c r="IRK91" s="248" t="n"/>
      <c r="IRL91" s="248" t="n"/>
      <c r="IRM91" s="240" t="n"/>
      <c r="IRN91" s="240" t="n"/>
      <c r="IRP91" s="15" t="n"/>
      <c r="IRQ91" s="15" t="n"/>
      <c r="IRR91" s="248" t="n"/>
      <c r="IRS91" s="248" t="n"/>
      <c r="IRT91" s="240" t="n"/>
      <c r="IRU91" s="240" t="n"/>
      <c r="IRW91" s="15" t="n"/>
      <c r="IRX91" s="15" t="n"/>
      <c r="IRY91" s="248" t="n"/>
      <c r="IRZ91" s="248" t="n"/>
      <c r="ISA91" s="240" t="n"/>
      <c r="ISB91" s="240" t="n"/>
      <c r="ISD91" s="15" t="n"/>
      <c r="ISE91" s="15" t="n"/>
      <c r="ISF91" s="248" t="n"/>
      <c r="ISG91" s="248" t="n"/>
      <c r="ISH91" s="240" t="n"/>
      <c r="ISI91" s="240" t="n"/>
      <c r="ISK91" s="15" t="n"/>
      <c r="ISL91" s="15" t="n"/>
      <c r="ISM91" s="248" t="n"/>
      <c r="ISN91" s="248" t="n"/>
      <c r="ISO91" s="240" t="n"/>
      <c r="ISP91" s="240" t="n"/>
      <c r="ISR91" s="15" t="n"/>
      <c r="ISS91" s="15" t="n"/>
      <c r="IST91" s="248" t="n"/>
      <c r="ISU91" s="248" t="n"/>
      <c r="ISV91" s="240" t="n"/>
      <c r="ISW91" s="240" t="n"/>
      <c r="ISY91" s="15" t="n"/>
      <c r="ISZ91" s="15" t="n"/>
      <c r="ITA91" s="248" t="n"/>
      <c r="ITB91" s="248" t="n"/>
      <c r="ITC91" s="240" t="n"/>
      <c r="ITD91" s="240" t="n"/>
      <c r="ITF91" s="15" t="n"/>
      <c r="ITG91" s="15" t="n"/>
      <c r="ITH91" s="248" t="n"/>
      <c r="ITI91" s="248" t="n"/>
      <c r="ITJ91" s="240" t="n"/>
      <c r="ITK91" s="240" t="n"/>
      <c r="ITM91" s="15" t="n"/>
      <c r="ITN91" s="15" t="n"/>
      <c r="ITO91" s="248" t="n"/>
      <c r="ITP91" s="248" t="n"/>
      <c r="ITQ91" s="240" t="n"/>
      <c r="ITR91" s="240" t="n"/>
      <c r="ITT91" s="15" t="n"/>
      <c r="ITU91" s="15" t="n"/>
      <c r="ITV91" s="248" t="n"/>
      <c r="ITW91" s="248" t="n"/>
      <c r="ITX91" s="240" t="n"/>
      <c r="ITY91" s="240" t="n"/>
      <c r="IUA91" s="15" t="n"/>
      <c r="IUB91" s="15" t="n"/>
      <c r="IUC91" s="248" t="n"/>
      <c r="IUD91" s="248" t="n"/>
      <c r="IUE91" s="240" t="n"/>
      <c r="IUF91" s="240" t="n"/>
      <c r="IUH91" s="15" t="n"/>
      <c r="IUI91" s="15" t="n"/>
      <c r="IUJ91" s="248" t="n"/>
      <c r="IUK91" s="248" t="n"/>
      <c r="IUL91" s="240" t="n"/>
      <c r="IUM91" s="240" t="n"/>
      <c r="IUO91" s="15" t="n"/>
      <c r="IUP91" s="15" t="n"/>
      <c r="IUQ91" s="248" t="n"/>
      <c r="IUR91" s="248" t="n"/>
      <c r="IUS91" s="240" t="n"/>
      <c r="IUT91" s="240" t="n"/>
      <c r="IUV91" s="15" t="n"/>
      <c r="IUW91" s="15" t="n"/>
      <c r="IUX91" s="248" t="n"/>
      <c r="IUY91" s="248" t="n"/>
      <c r="IUZ91" s="240" t="n"/>
      <c r="IVA91" s="240" t="n"/>
      <c r="IVC91" s="15" t="n"/>
      <c r="IVD91" s="15" t="n"/>
      <c r="IVE91" s="248" t="n"/>
      <c r="IVF91" s="248" t="n"/>
      <c r="IVG91" s="240" t="n"/>
      <c r="IVH91" s="240" t="n"/>
      <c r="IVJ91" s="15" t="n"/>
      <c r="IVK91" s="15" t="n"/>
      <c r="IVL91" s="248" t="n"/>
      <c r="IVM91" s="248" t="n"/>
      <c r="IVN91" s="240" t="n"/>
      <c r="IVO91" s="240" t="n"/>
      <c r="IVQ91" s="15" t="n"/>
      <c r="IVR91" s="15" t="n"/>
      <c r="IVS91" s="248" t="n"/>
      <c r="IVT91" s="248" t="n"/>
      <c r="IVU91" s="240" t="n"/>
      <c r="IVV91" s="240" t="n"/>
      <c r="IVX91" s="15" t="n"/>
      <c r="IVY91" s="15" t="n"/>
      <c r="IVZ91" s="248" t="n"/>
      <c r="IWA91" s="248" t="n"/>
      <c r="IWB91" s="240" t="n"/>
      <c r="IWC91" s="240" t="n"/>
      <c r="IWE91" s="15" t="n"/>
      <c r="IWF91" s="15" t="n"/>
      <c r="IWG91" s="248" t="n"/>
      <c r="IWH91" s="248" t="n"/>
      <c r="IWI91" s="240" t="n"/>
      <c r="IWJ91" s="240" t="n"/>
      <c r="IWL91" s="15" t="n"/>
      <c r="IWM91" s="15" t="n"/>
      <c r="IWN91" s="248" t="n"/>
      <c r="IWO91" s="248" t="n"/>
      <c r="IWP91" s="240" t="n"/>
      <c r="IWQ91" s="240" t="n"/>
      <c r="IWS91" s="15" t="n"/>
      <c r="IWT91" s="15" t="n"/>
      <c r="IWU91" s="248" t="n"/>
      <c r="IWV91" s="248" t="n"/>
      <c r="IWW91" s="240" t="n"/>
      <c r="IWX91" s="240" t="n"/>
      <c r="IWZ91" s="15" t="n"/>
      <c r="IXA91" s="15" t="n"/>
      <c r="IXB91" s="248" t="n"/>
      <c r="IXC91" s="248" t="n"/>
      <c r="IXD91" s="240" t="n"/>
      <c r="IXE91" s="240" t="n"/>
      <c r="IXG91" s="15" t="n"/>
      <c r="IXH91" s="15" t="n"/>
      <c r="IXI91" s="248" t="n"/>
      <c r="IXJ91" s="248" t="n"/>
      <c r="IXK91" s="240" t="n"/>
      <c r="IXL91" s="240" t="n"/>
      <c r="IXN91" s="15" t="n"/>
      <c r="IXO91" s="15" t="n"/>
      <c r="IXP91" s="248" t="n"/>
      <c r="IXQ91" s="248" t="n"/>
      <c r="IXR91" s="240" t="n"/>
      <c r="IXS91" s="240" t="n"/>
      <c r="IXU91" s="15" t="n"/>
      <c r="IXV91" s="15" t="n"/>
      <c r="IXW91" s="248" t="n"/>
      <c r="IXX91" s="248" t="n"/>
      <c r="IXY91" s="240" t="n"/>
      <c r="IXZ91" s="240" t="n"/>
      <c r="IYB91" s="15" t="n"/>
      <c r="IYC91" s="15" t="n"/>
      <c r="IYD91" s="248" t="n"/>
      <c r="IYE91" s="248" t="n"/>
      <c r="IYF91" s="240" t="n"/>
      <c r="IYG91" s="240" t="n"/>
      <c r="IYI91" s="15" t="n"/>
      <c r="IYJ91" s="15" t="n"/>
      <c r="IYK91" s="248" t="n"/>
      <c r="IYL91" s="248" t="n"/>
      <c r="IYM91" s="240" t="n"/>
      <c r="IYN91" s="240" t="n"/>
      <c r="IYP91" s="15" t="n"/>
      <c r="IYQ91" s="15" t="n"/>
      <c r="IYR91" s="248" t="n"/>
      <c r="IYS91" s="248" t="n"/>
      <c r="IYT91" s="240" t="n"/>
      <c r="IYU91" s="240" t="n"/>
      <c r="IYW91" s="15" t="n"/>
      <c r="IYX91" s="15" t="n"/>
      <c r="IYY91" s="248" t="n"/>
      <c r="IYZ91" s="248" t="n"/>
      <c r="IZA91" s="240" t="n"/>
      <c r="IZB91" s="240" t="n"/>
      <c r="IZD91" s="15" t="n"/>
      <c r="IZE91" s="15" t="n"/>
      <c r="IZF91" s="248" t="n"/>
      <c r="IZG91" s="248" t="n"/>
      <c r="IZH91" s="240" t="n"/>
      <c r="IZI91" s="240" t="n"/>
      <c r="IZK91" s="15" t="n"/>
      <c r="IZL91" s="15" t="n"/>
      <c r="IZM91" s="248" t="n"/>
      <c r="IZN91" s="248" t="n"/>
      <c r="IZO91" s="240" t="n"/>
      <c r="IZP91" s="240" t="n"/>
      <c r="IZR91" s="15" t="n"/>
      <c r="IZS91" s="15" t="n"/>
      <c r="IZT91" s="248" t="n"/>
      <c r="IZU91" s="248" t="n"/>
      <c r="IZV91" s="240" t="n"/>
      <c r="IZW91" s="240" t="n"/>
      <c r="IZY91" s="15" t="n"/>
      <c r="IZZ91" s="15" t="n"/>
      <c r="JAA91" s="248" t="n"/>
      <c r="JAB91" s="248" t="n"/>
      <c r="JAC91" s="240" t="n"/>
      <c r="JAD91" s="240" t="n"/>
      <c r="JAF91" s="15" t="n"/>
      <c r="JAG91" s="15" t="n"/>
      <c r="JAH91" s="248" t="n"/>
      <c r="JAI91" s="248" t="n"/>
      <c r="JAJ91" s="240" t="n"/>
      <c r="JAK91" s="240" t="n"/>
      <c r="JAM91" s="15" t="n"/>
      <c r="JAN91" s="15" t="n"/>
      <c r="JAO91" s="248" t="n"/>
      <c r="JAP91" s="248" t="n"/>
      <c r="JAQ91" s="240" t="n"/>
      <c r="JAR91" s="240" t="n"/>
      <c r="JAT91" s="15" t="n"/>
      <c r="JAU91" s="15" t="n"/>
      <c r="JAV91" s="248" t="n"/>
      <c r="JAW91" s="248" t="n"/>
      <c r="JAX91" s="240" t="n"/>
      <c r="JAY91" s="240" t="n"/>
      <c r="JBA91" s="15" t="n"/>
      <c r="JBB91" s="15" t="n"/>
      <c r="JBC91" s="248" t="n"/>
      <c r="JBD91" s="248" t="n"/>
      <c r="JBE91" s="240" t="n"/>
      <c r="JBF91" s="240" t="n"/>
      <c r="JBH91" s="15" t="n"/>
      <c r="JBI91" s="15" t="n"/>
      <c r="JBJ91" s="248" t="n"/>
      <c r="JBK91" s="248" t="n"/>
      <c r="JBL91" s="240" t="n"/>
      <c r="JBM91" s="240" t="n"/>
      <c r="JBO91" s="15" t="n"/>
      <c r="JBP91" s="15" t="n"/>
      <c r="JBQ91" s="248" t="n"/>
      <c r="JBR91" s="248" t="n"/>
      <c r="JBS91" s="240" t="n"/>
      <c r="JBT91" s="240" t="n"/>
      <c r="JBV91" s="15" t="n"/>
      <c r="JBW91" s="15" t="n"/>
      <c r="JBX91" s="248" t="n"/>
      <c r="JBY91" s="248" t="n"/>
      <c r="JBZ91" s="240" t="n"/>
      <c r="JCA91" s="240" t="n"/>
      <c r="JCC91" s="15" t="n"/>
      <c r="JCD91" s="15" t="n"/>
      <c r="JCE91" s="248" t="n"/>
      <c r="JCF91" s="248" t="n"/>
      <c r="JCG91" s="240" t="n"/>
      <c r="JCH91" s="240" t="n"/>
      <c r="JCJ91" s="15" t="n"/>
      <c r="JCK91" s="15" t="n"/>
      <c r="JCL91" s="248" t="n"/>
      <c r="JCM91" s="248" t="n"/>
      <c r="JCN91" s="240" t="n"/>
      <c r="JCO91" s="240" t="n"/>
      <c r="JCQ91" s="15" t="n"/>
      <c r="JCR91" s="15" t="n"/>
      <c r="JCS91" s="248" t="n"/>
      <c r="JCT91" s="248" t="n"/>
      <c r="JCU91" s="240" t="n"/>
      <c r="JCV91" s="240" t="n"/>
      <c r="JCX91" s="15" t="n"/>
      <c r="JCY91" s="15" t="n"/>
      <c r="JCZ91" s="248" t="n"/>
      <c r="JDA91" s="248" t="n"/>
      <c r="JDB91" s="240" t="n"/>
      <c r="JDC91" s="240" t="n"/>
      <c r="JDE91" s="15" t="n"/>
      <c r="JDF91" s="15" t="n"/>
      <c r="JDG91" s="248" t="n"/>
      <c r="JDH91" s="248" t="n"/>
      <c r="JDI91" s="240" t="n"/>
      <c r="JDJ91" s="240" t="n"/>
      <c r="JDL91" s="15" t="n"/>
      <c r="JDM91" s="15" t="n"/>
      <c r="JDN91" s="248" t="n"/>
      <c r="JDO91" s="248" t="n"/>
      <c r="JDP91" s="240" t="n"/>
      <c r="JDQ91" s="240" t="n"/>
      <c r="JDS91" s="15" t="n"/>
      <c r="JDT91" s="15" t="n"/>
      <c r="JDU91" s="248" t="n"/>
      <c r="JDV91" s="248" t="n"/>
      <c r="JDW91" s="240" t="n"/>
      <c r="JDX91" s="240" t="n"/>
      <c r="JDZ91" s="15" t="n"/>
      <c r="JEA91" s="15" t="n"/>
      <c r="JEB91" s="248" t="n"/>
      <c r="JEC91" s="248" t="n"/>
      <c r="JED91" s="240" t="n"/>
      <c r="JEE91" s="240" t="n"/>
      <c r="JEG91" s="15" t="n"/>
      <c r="JEH91" s="15" t="n"/>
      <c r="JEI91" s="248" t="n"/>
      <c r="JEJ91" s="248" t="n"/>
      <c r="JEK91" s="240" t="n"/>
      <c r="JEL91" s="240" t="n"/>
      <c r="JEN91" s="15" t="n"/>
      <c r="JEO91" s="15" t="n"/>
      <c r="JEP91" s="248" t="n"/>
      <c r="JEQ91" s="248" t="n"/>
      <c r="JER91" s="240" t="n"/>
      <c r="JES91" s="240" t="n"/>
      <c r="JEU91" s="15" t="n"/>
      <c r="JEV91" s="15" t="n"/>
      <c r="JEW91" s="248" t="n"/>
      <c r="JEX91" s="248" t="n"/>
      <c r="JEY91" s="240" t="n"/>
      <c r="JEZ91" s="240" t="n"/>
      <c r="JFB91" s="15" t="n"/>
      <c r="JFC91" s="15" t="n"/>
      <c r="JFD91" s="248" t="n"/>
      <c r="JFE91" s="248" t="n"/>
      <c r="JFF91" s="240" t="n"/>
      <c r="JFG91" s="240" t="n"/>
      <c r="JFI91" s="15" t="n"/>
      <c r="JFJ91" s="15" t="n"/>
      <c r="JFK91" s="248" t="n"/>
      <c r="JFL91" s="248" t="n"/>
      <c r="JFM91" s="240" t="n"/>
      <c r="JFN91" s="240" t="n"/>
      <c r="JFP91" s="15" t="n"/>
      <c r="JFQ91" s="15" t="n"/>
      <c r="JFR91" s="248" t="n"/>
      <c r="JFS91" s="248" t="n"/>
      <c r="JFT91" s="240" t="n"/>
      <c r="JFU91" s="240" t="n"/>
      <c r="JFW91" s="15" t="n"/>
      <c r="JFX91" s="15" t="n"/>
      <c r="JFY91" s="248" t="n"/>
      <c r="JFZ91" s="248" t="n"/>
      <c r="JGA91" s="240" t="n"/>
      <c r="JGB91" s="240" t="n"/>
      <c r="JGD91" s="15" t="n"/>
      <c r="JGE91" s="15" t="n"/>
      <c r="JGF91" s="248" t="n"/>
      <c r="JGG91" s="248" t="n"/>
      <c r="JGH91" s="240" t="n"/>
      <c r="JGI91" s="240" t="n"/>
      <c r="JGK91" s="15" t="n"/>
      <c r="JGL91" s="15" t="n"/>
      <c r="JGM91" s="248" t="n"/>
      <c r="JGN91" s="248" t="n"/>
      <c r="JGO91" s="240" t="n"/>
      <c r="JGP91" s="240" t="n"/>
      <c r="JGR91" s="15" t="n"/>
      <c r="JGS91" s="15" t="n"/>
      <c r="JGT91" s="248" t="n"/>
      <c r="JGU91" s="248" t="n"/>
      <c r="JGV91" s="240" t="n"/>
      <c r="JGW91" s="240" t="n"/>
      <c r="JGY91" s="15" t="n"/>
      <c r="JGZ91" s="15" t="n"/>
      <c r="JHA91" s="248" t="n"/>
      <c r="JHB91" s="248" t="n"/>
      <c r="JHC91" s="240" t="n"/>
      <c r="JHD91" s="240" t="n"/>
      <c r="JHF91" s="15" t="n"/>
      <c r="JHG91" s="15" t="n"/>
      <c r="JHH91" s="248" t="n"/>
      <c r="JHI91" s="248" t="n"/>
      <c r="JHJ91" s="240" t="n"/>
      <c r="JHK91" s="240" t="n"/>
      <c r="JHM91" s="15" t="n"/>
      <c r="JHN91" s="15" t="n"/>
      <c r="JHO91" s="248" t="n"/>
      <c r="JHP91" s="248" t="n"/>
      <c r="JHQ91" s="240" t="n"/>
      <c r="JHR91" s="240" t="n"/>
      <c r="JHT91" s="15" t="n"/>
      <c r="JHU91" s="15" t="n"/>
      <c r="JHV91" s="248" t="n"/>
      <c r="JHW91" s="248" t="n"/>
      <c r="JHX91" s="240" t="n"/>
      <c r="JHY91" s="240" t="n"/>
      <c r="JIA91" s="15" t="n"/>
      <c r="JIB91" s="15" t="n"/>
      <c r="JIC91" s="248" t="n"/>
      <c r="JID91" s="248" t="n"/>
      <c r="JIE91" s="240" t="n"/>
      <c r="JIF91" s="240" t="n"/>
      <c r="JIH91" s="15" t="n"/>
      <c r="JII91" s="15" t="n"/>
      <c r="JIJ91" s="248" t="n"/>
      <c r="JIK91" s="248" t="n"/>
      <c r="JIL91" s="240" t="n"/>
      <c r="JIM91" s="240" t="n"/>
      <c r="JIO91" s="15" t="n"/>
      <c r="JIP91" s="15" t="n"/>
      <c r="JIQ91" s="248" t="n"/>
      <c r="JIR91" s="248" t="n"/>
      <c r="JIS91" s="240" t="n"/>
      <c r="JIT91" s="240" t="n"/>
      <c r="JIV91" s="15" t="n"/>
      <c r="JIW91" s="15" t="n"/>
      <c r="JIX91" s="248" t="n"/>
      <c r="JIY91" s="248" t="n"/>
      <c r="JIZ91" s="240" t="n"/>
      <c r="JJA91" s="240" t="n"/>
      <c r="JJC91" s="15" t="n"/>
      <c r="JJD91" s="15" t="n"/>
      <c r="JJE91" s="248" t="n"/>
      <c r="JJF91" s="248" t="n"/>
      <c r="JJG91" s="240" t="n"/>
      <c r="JJH91" s="240" t="n"/>
      <c r="JJJ91" s="15" t="n"/>
      <c r="JJK91" s="15" t="n"/>
      <c r="JJL91" s="248" t="n"/>
      <c r="JJM91" s="248" t="n"/>
      <c r="JJN91" s="240" t="n"/>
      <c r="JJO91" s="240" t="n"/>
      <c r="JJQ91" s="15" t="n"/>
      <c r="JJR91" s="15" t="n"/>
      <c r="JJS91" s="248" t="n"/>
      <c r="JJT91" s="248" t="n"/>
      <c r="JJU91" s="240" t="n"/>
      <c r="JJV91" s="240" t="n"/>
      <c r="JJX91" s="15" t="n"/>
      <c r="JJY91" s="15" t="n"/>
      <c r="JJZ91" s="248" t="n"/>
      <c r="JKA91" s="248" t="n"/>
      <c r="JKB91" s="240" t="n"/>
      <c r="JKC91" s="240" t="n"/>
      <c r="JKE91" s="15" t="n"/>
      <c r="JKF91" s="15" t="n"/>
      <c r="JKG91" s="248" t="n"/>
      <c r="JKH91" s="248" t="n"/>
      <c r="JKI91" s="240" t="n"/>
      <c r="JKJ91" s="240" t="n"/>
      <c r="JKL91" s="15" t="n"/>
      <c r="JKM91" s="15" t="n"/>
      <c r="JKN91" s="248" t="n"/>
      <c r="JKO91" s="248" t="n"/>
      <c r="JKP91" s="240" t="n"/>
      <c r="JKQ91" s="240" t="n"/>
      <c r="JKS91" s="15" t="n"/>
      <c r="JKT91" s="15" t="n"/>
      <c r="JKU91" s="248" t="n"/>
      <c r="JKV91" s="248" t="n"/>
      <c r="JKW91" s="240" t="n"/>
      <c r="JKX91" s="240" t="n"/>
      <c r="JKZ91" s="15" t="n"/>
      <c r="JLA91" s="15" t="n"/>
      <c r="JLB91" s="248" t="n"/>
      <c r="JLC91" s="248" t="n"/>
      <c r="JLD91" s="240" t="n"/>
      <c r="JLE91" s="240" t="n"/>
      <c r="JLG91" s="15" t="n"/>
      <c r="JLH91" s="15" t="n"/>
      <c r="JLI91" s="248" t="n"/>
      <c r="JLJ91" s="248" t="n"/>
      <c r="JLK91" s="240" t="n"/>
      <c r="JLL91" s="240" t="n"/>
      <c r="JLN91" s="15" t="n"/>
      <c r="JLO91" s="15" t="n"/>
      <c r="JLP91" s="248" t="n"/>
      <c r="JLQ91" s="248" t="n"/>
      <c r="JLR91" s="240" t="n"/>
      <c r="JLS91" s="240" t="n"/>
      <c r="JLU91" s="15" t="n"/>
      <c r="JLV91" s="15" t="n"/>
      <c r="JLW91" s="248" t="n"/>
      <c r="JLX91" s="248" t="n"/>
      <c r="JLY91" s="240" t="n"/>
      <c r="JLZ91" s="240" t="n"/>
      <c r="JMB91" s="15" t="n"/>
      <c r="JMC91" s="15" t="n"/>
      <c r="JMD91" s="248" t="n"/>
      <c r="JME91" s="248" t="n"/>
      <c r="JMF91" s="240" t="n"/>
      <c r="JMG91" s="240" t="n"/>
      <c r="JMI91" s="15" t="n"/>
      <c r="JMJ91" s="15" t="n"/>
      <c r="JMK91" s="248" t="n"/>
      <c r="JML91" s="248" t="n"/>
      <c r="JMM91" s="240" t="n"/>
      <c r="JMN91" s="240" t="n"/>
      <c r="JMP91" s="15" t="n"/>
      <c r="JMQ91" s="15" t="n"/>
      <c r="JMR91" s="248" t="n"/>
      <c r="JMS91" s="248" t="n"/>
      <c r="JMT91" s="240" t="n"/>
      <c r="JMU91" s="240" t="n"/>
      <c r="JMW91" s="15" t="n"/>
      <c r="JMX91" s="15" t="n"/>
      <c r="JMY91" s="248" t="n"/>
      <c r="JMZ91" s="248" t="n"/>
      <c r="JNA91" s="240" t="n"/>
      <c r="JNB91" s="240" t="n"/>
      <c r="JND91" s="15" t="n"/>
      <c r="JNE91" s="15" t="n"/>
      <c r="JNF91" s="248" t="n"/>
      <c r="JNG91" s="248" t="n"/>
      <c r="JNH91" s="240" t="n"/>
      <c r="JNI91" s="240" t="n"/>
      <c r="JNK91" s="15" t="n"/>
      <c r="JNL91" s="15" t="n"/>
      <c r="JNM91" s="248" t="n"/>
      <c r="JNN91" s="248" t="n"/>
      <c r="JNO91" s="240" t="n"/>
      <c r="JNP91" s="240" t="n"/>
      <c r="JNR91" s="15" t="n"/>
      <c r="JNS91" s="15" t="n"/>
      <c r="JNT91" s="248" t="n"/>
      <c r="JNU91" s="248" t="n"/>
      <c r="JNV91" s="240" t="n"/>
      <c r="JNW91" s="240" t="n"/>
      <c r="JNY91" s="15" t="n"/>
      <c r="JNZ91" s="15" t="n"/>
      <c r="JOA91" s="248" t="n"/>
      <c r="JOB91" s="248" t="n"/>
      <c r="JOC91" s="240" t="n"/>
      <c r="JOD91" s="240" t="n"/>
      <c r="JOF91" s="15" t="n"/>
      <c r="JOG91" s="15" t="n"/>
      <c r="JOH91" s="248" t="n"/>
      <c r="JOI91" s="248" t="n"/>
      <c r="JOJ91" s="240" t="n"/>
      <c r="JOK91" s="240" t="n"/>
      <c r="JOM91" s="15" t="n"/>
      <c r="JON91" s="15" t="n"/>
      <c r="JOO91" s="248" t="n"/>
      <c r="JOP91" s="248" t="n"/>
      <c r="JOQ91" s="240" t="n"/>
      <c r="JOR91" s="240" t="n"/>
      <c r="JOT91" s="15" t="n"/>
      <c r="JOU91" s="15" t="n"/>
      <c r="JOV91" s="248" t="n"/>
      <c r="JOW91" s="248" t="n"/>
      <c r="JOX91" s="240" t="n"/>
      <c r="JOY91" s="240" t="n"/>
      <c r="JPA91" s="15" t="n"/>
      <c r="JPB91" s="15" t="n"/>
      <c r="JPC91" s="248" t="n"/>
      <c r="JPD91" s="248" t="n"/>
      <c r="JPE91" s="240" t="n"/>
      <c r="JPF91" s="240" t="n"/>
      <c r="JPH91" s="15" t="n"/>
      <c r="JPI91" s="15" t="n"/>
      <c r="JPJ91" s="248" t="n"/>
      <c r="JPK91" s="248" t="n"/>
      <c r="JPL91" s="240" t="n"/>
      <c r="JPM91" s="240" t="n"/>
      <c r="JPO91" s="15" t="n"/>
      <c r="JPP91" s="15" t="n"/>
      <c r="JPQ91" s="248" t="n"/>
      <c r="JPR91" s="248" t="n"/>
      <c r="JPS91" s="240" t="n"/>
      <c r="JPT91" s="240" t="n"/>
      <c r="JPV91" s="15" t="n"/>
      <c r="JPW91" s="15" t="n"/>
      <c r="JPX91" s="248" t="n"/>
      <c r="JPY91" s="248" t="n"/>
      <c r="JPZ91" s="240" t="n"/>
      <c r="JQA91" s="240" t="n"/>
      <c r="JQC91" s="15" t="n"/>
      <c r="JQD91" s="15" t="n"/>
      <c r="JQE91" s="248" t="n"/>
      <c r="JQF91" s="248" t="n"/>
      <c r="JQG91" s="240" t="n"/>
      <c r="JQH91" s="240" t="n"/>
      <c r="JQJ91" s="15" t="n"/>
      <c r="JQK91" s="15" t="n"/>
      <c r="JQL91" s="248" t="n"/>
      <c r="JQM91" s="248" t="n"/>
      <c r="JQN91" s="240" t="n"/>
      <c r="JQO91" s="240" t="n"/>
      <c r="JQQ91" s="15" t="n"/>
      <c r="JQR91" s="15" t="n"/>
      <c r="JQS91" s="248" t="n"/>
      <c r="JQT91" s="248" t="n"/>
      <c r="JQU91" s="240" t="n"/>
      <c r="JQV91" s="240" t="n"/>
      <c r="JQX91" s="15" t="n"/>
      <c r="JQY91" s="15" t="n"/>
      <c r="JQZ91" s="248" t="n"/>
      <c r="JRA91" s="248" t="n"/>
      <c r="JRB91" s="240" t="n"/>
      <c r="JRC91" s="240" t="n"/>
      <c r="JRE91" s="15" t="n"/>
      <c r="JRF91" s="15" t="n"/>
      <c r="JRG91" s="248" t="n"/>
      <c r="JRH91" s="248" t="n"/>
      <c r="JRI91" s="240" t="n"/>
      <c r="JRJ91" s="240" t="n"/>
      <c r="JRL91" s="15" t="n"/>
      <c r="JRM91" s="15" t="n"/>
      <c r="JRN91" s="248" t="n"/>
      <c r="JRO91" s="248" t="n"/>
      <c r="JRP91" s="240" t="n"/>
      <c r="JRQ91" s="240" t="n"/>
      <c r="JRS91" s="15" t="n"/>
      <c r="JRT91" s="15" t="n"/>
      <c r="JRU91" s="248" t="n"/>
      <c r="JRV91" s="248" t="n"/>
      <c r="JRW91" s="240" t="n"/>
      <c r="JRX91" s="240" t="n"/>
      <c r="JRZ91" s="15" t="n"/>
      <c r="JSA91" s="15" t="n"/>
      <c r="JSB91" s="248" t="n"/>
      <c r="JSC91" s="248" t="n"/>
      <c r="JSD91" s="240" t="n"/>
      <c r="JSE91" s="240" t="n"/>
      <c r="JSG91" s="15" t="n"/>
      <c r="JSH91" s="15" t="n"/>
      <c r="JSI91" s="248" t="n"/>
      <c r="JSJ91" s="248" t="n"/>
      <c r="JSK91" s="240" t="n"/>
      <c r="JSL91" s="240" t="n"/>
      <c r="JSN91" s="15" t="n"/>
      <c r="JSO91" s="15" t="n"/>
      <c r="JSP91" s="248" t="n"/>
      <c r="JSQ91" s="248" t="n"/>
      <c r="JSR91" s="240" t="n"/>
      <c r="JSS91" s="240" t="n"/>
      <c r="JSU91" s="15" t="n"/>
      <c r="JSV91" s="15" t="n"/>
      <c r="JSW91" s="248" t="n"/>
      <c r="JSX91" s="248" t="n"/>
      <c r="JSY91" s="240" t="n"/>
      <c r="JSZ91" s="240" t="n"/>
      <c r="JTB91" s="15" t="n"/>
      <c r="JTC91" s="15" t="n"/>
      <c r="JTD91" s="248" t="n"/>
      <c r="JTE91" s="248" t="n"/>
      <c r="JTF91" s="240" t="n"/>
      <c r="JTG91" s="240" t="n"/>
      <c r="JTI91" s="15" t="n"/>
      <c r="JTJ91" s="15" t="n"/>
      <c r="JTK91" s="248" t="n"/>
      <c r="JTL91" s="248" t="n"/>
      <c r="JTM91" s="240" t="n"/>
      <c r="JTN91" s="240" t="n"/>
      <c r="JTP91" s="15" t="n"/>
      <c r="JTQ91" s="15" t="n"/>
      <c r="JTR91" s="248" t="n"/>
      <c r="JTS91" s="248" t="n"/>
      <c r="JTT91" s="240" t="n"/>
      <c r="JTU91" s="240" t="n"/>
      <c r="JTW91" s="15" t="n"/>
      <c r="JTX91" s="15" t="n"/>
      <c r="JTY91" s="248" t="n"/>
      <c r="JTZ91" s="248" t="n"/>
      <c r="JUA91" s="240" t="n"/>
      <c r="JUB91" s="240" t="n"/>
      <c r="JUD91" s="15" t="n"/>
      <c r="JUE91" s="15" t="n"/>
      <c r="JUF91" s="248" t="n"/>
      <c r="JUG91" s="248" t="n"/>
      <c r="JUH91" s="240" t="n"/>
      <c r="JUI91" s="240" t="n"/>
      <c r="JUK91" s="15" t="n"/>
      <c r="JUL91" s="15" t="n"/>
      <c r="JUM91" s="248" t="n"/>
      <c r="JUN91" s="248" t="n"/>
      <c r="JUO91" s="240" t="n"/>
      <c r="JUP91" s="240" t="n"/>
      <c r="JUR91" s="15" t="n"/>
      <c r="JUS91" s="15" t="n"/>
      <c r="JUT91" s="248" t="n"/>
      <c r="JUU91" s="248" t="n"/>
      <c r="JUV91" s="240" t="n"/>
      <c r="JUW91" s="240" t="n"/>
      <c r="JUY91" s="15" t="n"/>
      <c r="JUZ91" s="15" t="n"/>
      <c r="JVA91" s="248" t="n"/>
      <c r="JVB91" s="248" t="n"/>
      <c r="JVC91" s="240" t="n"/>
      <c r="JVD91" s="240" t="n"/>
      <c r="JVF91" s="15" t="n"/>
      <c r="JVG91" s="15" t="n"/>
      <c r="JVH91" s="248" t="n"/>
      <c r="JVI91" s="248" t="n"/>
      <c r="JVJ91" s="240" t="n"/>
      <c r="JVK91" s="240" t="n"/>
      <c r="JVM91" s="15" t="n"/>
      <c r="JVN91" s="15" t="n"/>
      <c r="JVO91" s="248" t="n"/>
      <c r="JVP91" s="248" t="n"/>
      <c r="JVQ91" s="240" t="n"/>
      <c r="JVR91" s="240" t="n"/>
      <c r="JVT91" s="15" t="n"/>
      <c r="JVU91" s="15" t="n"/>
      <c r="JVV91" s="248" t="n"/>
      <c r="JVW91" s="248" t="n"/>
      <c r="JVX91" s="240" t="n"/>
      <c r="JVY91" s="240" t="n"/>
      <c r="JWA91" s="15" t="n"/>
      <c r="JWB91" s="15" t="n"/>
      <c r="JWC91" s="248" t="n"/>
      <c r="JWD91" s="248" t="n"/>
      <c r="JWE91" s="240" t="n"/>
      <c r="JWF91" s="240" t="n"/>
      <c r="JWH91" s="15" t="n"/>
      <c r="JWI91" s="15" t="n"/>
      <c r="JWJ91" s="248" t="n"/>
      <c r="JWK91" s="248" t="n"/>
      <c r="JWL91" s="240" t="n"/>
      <c r="JWM91" s="240" t="n"/>
      <c r="JWO91" s="15" t="n"/>
      <c r="JWP91" s="15" t="n"/>
      <c r="JWQ91" s="248" t="n"/>
      <c r="JWR91" s="248" t="n"/>
      <c r="JWS91" s="240" t="n"/>
      <c r="JWT91" s="240" t="n"/>
      <c r="JWV91" s="15" t="n"/>
      <c r="JWW91" s="15" t="n"/>
      <c r="JWX91" s="248" t="n"/>
      <c r="JWY91" s="248" t="n"/>
      <c r="JWZ91" s="240" t="n"/>
      <c r="JXA91" s="240" t="n"/>
      <c r="JXC91" s="15" t="n"/>
      <c r="JXD91" s="15" t="n"/>
      <c r="JXE91" s="248" t="n"/>
      <c r="JXF91" s="248" t="n"/>
      <c r="JXG91" s="240" t="n"/>
      <c r="JXH91" s="240" t="n"/>
      <c r="JXJ91" s="15" t="n"/>
      <c r="JXK91" s="15" t="n"/>
      <c r="JXL91" s="248" t="n"/>
      <c r="JXM91" s="248" t="n"/>
      <c r="JXN91" s="240" t="n"/>
      <c r="JXO91" s="240" t="n"/>
      <c r="JXQ91" s="15" t="n"/>
      <c r="JXR91" s="15" t="n"/>
      <c r="JXS91" s="248" t="n"/>
      <c r="JXT91" s="248" t="n"/>
      <c r="JXU91" s="240" t="n"/>
      <c r="JXV91" s="240" t="n"/>
      <c r="JXX91" s="15" t="n"/>
      <c r="JXY91" s="15" t="n"/>
      <c r="JXZ91" s="248" t="n"/>
      <c r="JYA91" s="248" t="n"/>
      <c r="JYB91" s="240" t="n"/>
      <c r="JYC91" s="240" t="n"/>
      <c r="JYE91" s="15" t="n"/>
      <c r="JYF91" s="15" t="n"/>
      <c r="JYG91" s="248" t="n"/>
      <c r="JYH91" s="248" t="n"/>
      <c r="JYI91" s="240" t="n"/>
      <c r="JYJ91" s="240" t="n"/>
      <c r="JYL91" s="15" t="n"/>
      <c r="JYM91" s="15" t="n"/>
      <c r="JYN91" s="248" t="n"/>
      <c r="JYO91" s="248" t="n"/>
      <c r="JYP91" s="240" t="n"/>
      <c r="JYQ91" s="240" t="n"/>
      <c r="JYS91" s="15" t="n"/>
      <c r="JYT91" s="15" t="n"/>
      <c r="JYU91" s="248" t="n"/>
      <c r="JYV91" s="248" t="n"/>
      <c r="JYW91" s="240" t="n"/>
      <c r="JYX91" s="240" t="n"/>
      <c r="JYZ91" s="15" t="n"/>
      <c r="JZA91" s="15" t="n"/>
      <c r="JZB91" s="248" t="n"/>
      <c r="JZC91" s="248" t="n"/>
      <c r="JZD91" s="240" t="n"/>
      <c r="JZE91" s="240" t="n"/>
      <c r="JZG91" s="15" t="n"/>
      <c r="JZH91" s="15" t="n"/>
      <c r="JZI91" s="248" t="n"/>
      <c r="JZJ91" s="248" t="n"/>
      <c r="JZK91" s="240" t="n"/>
      <c r="JZL91" s="240" t="n"/>
      <c r="JZN91" s="15" t="n"/>
      <c r="JZO91" s="15" t="n"/>
      <c r="JZP91" s="248" t="n"/>
      <c r="JZQ91" s="248" t="n"/>
      <c r="JZR91" s="240" t="n"/>
      <c r="JZS91" s="240" t="n"/>
      <c r="JZU91" s="15" t="n"/>
      <c r="JZV91" s="15" t="n"/>
      <c r="JZW91" s="248" t="n"/>
      <c r="JZX91" s="248" t="n"/>
      <c r="JZY91" s="240" t="n"/>
      <c r="JZZ91" s="240" t="n"/>
      <c r="KAB91" s="15" t="n"/>
      <c r="KAC91" s="15" t="n"/>
      <c r="KAD91" s="248" t="n"/>
      <c r="KAE91" s="248" t="n"/>
      <c r="KAF91" s="240" t="n"/>
      <c r="KAG91" s="240" t="n"/>
      <c r="KAI91" s="15" t="n"/>
      <c r="KAJ91" s="15" t="n"/>
      <c r="KAK91" s="248" t="n"/>
      <c r="KAL91" s="248" t="n"/>
      <c r="KAM91" s="240" t="n"/>
      <c r="KAN91" s="240" t="n"/>
      <c r="KAP91" s="15" t="n"/>
      <c r="KAQ91" s="15" t="n"/>
      <c r="KAR91" s="248" t="n"/>
      <c r="KAS91" s="248" t="n"/>
      <c r="KAT91" s="240" t="n"/>
      <c r="KAU91" s="240" t="n"/>
      <c r="KAW91" s="15" t="n"/>
      <c r="KAX91" s="15" t="n"/>
      <c r="KAY91" s="248" t="n"/>
      <c r="KAZ91" s="248" t="n"/>
      <c r="KBA91" s="240" t="n"/>
      <c r="KBB91" s="240" t="n"/>
      <c r="KBD91" s="15" t="n"/>
      <c r="KBE91" s="15" t="n"/>
      <c r="KBF91" s="248" t="n"/>
      <c r="KBG91" s="248" t="n"/>
      <c r="KBH91" s="240" t="n"/>
      <c r="KBI91" s="240" t="n"/>
      <c r="KBK91" s="15" t="n"/>
      <c r="KBL91" s="15" t="n"/>
      <c r="KBM91" s="248" t="n"/>
      <c r="KBN91" s="248" t="n"/>
      <c r="KBO91" s="240" t="n"/>
      <c r="KBP91" s="240" t="n"/>
      <c r="KBR91" s="15" t="n"/>
      <c r="KBS91" s="15" t="n"/>
      <c r="KBT91" s="248" t="n"/>
      <c r="KBU91" s="248" t="n"/>
      <c r="KBV91" s="240" t="n"/>
      <c r="KBW91" s="240" t="n"/>
      <c r="KBY91" s="15" t="n"/>
      <c r="KBZ91" s="15" t="n"/>
      <c r="KCA91" s="248" t="n"/>
      <c r="KCB91" s="248" t="n"/>
      <c r="KCC91" s="240" t="n"/>
      <c r="KCD91" s="240" t="n"/>
      <c r="KCF91" s="15" t="n"/>
      <c r="KCG91" s="15" t="n"/>
      <c r="KCH91" s="248" t="n"/>
      <c r="KCI91" s="248" t="n"/>
      <c r="KCJ91" s="240" t="n"/>
      <c r="KCK91" s="240" t="n"/>
      <c r="KCM91" s="15" t="n"/>
      <c r="KCN91" s="15" t="n"/>
      <c r="KCO91" s="248" t="n"/>
      <c r="KCP91" s="248" t="n"/>
      <c r="KCQ91" s="240" t="n"/>
      <c r="KCR91" s="240" t="n"/>
      <c r="KCT91" s="15" t="n"/>
      <c r="KCU91" s="15" t="n"/>
      <c r="KCV91" s="248" t="n"/>
      <c r="KCW91" s="248" t="n"/>
      <c r="KCX91" s="240" t="n"/>
      <c r="KCY91" s="240" t="n"/>
      <c r="KDA91" s="15" t="n"/>
      <c r="KDB91" s="15" t="n"/>
      <c r="KDC91" s="248" t="n"/>
      <c r="KDD91" s="248" t="n"/>
      <c r="KDE91" s="240" t="n"/>
      <c r="KDF91" s="240" t="n"/>
      <c r="KDH91" s="15" t="n"/>
      <c r="KDI91" s="15" t="n"/>
      <c r="KDJ91" s="248" t="n"/>
      <c r="KDK91" s="248" t="n"/>
      <c r="KDL91" s="240" t="n"/>
      <c r="KDM91" s="240" t="n"/>
      <c r="KDO91" s="15" t="n"/>
      <c r="KDP91" s="15" t="n"/>
      <c r="KDQ91" s="248" t="n"/>
      <c r="KDR91" s="248" t="n"/>
      <c r="KDS91" s="240" t="n"/>
      <c r="KDT91" s="240" t="n"/>
      <c r="KDV91" s="15" t="n"/>
      <c r="KDW91" s="15" t="n"/>
      <c r="KDX91" s="248" t="n"/>
      <c r="KDY91" s="248" t="n"/>
      <c r="KDZ91" s="240" t="n"/>
      <c r="KEA91" s="240" t="n"/>
      <c r="KEC91" s="15" t="n"/>
      <c r="KED91" s="15" t="n"/>
      <c r="KEE91" s="248" t="n"/>
      <c r="KEF91" s="248" t="n"/>
      <c r="KEG91" s="240" t="n"/>
      <c r="KEH91" s="240" t="n"/>
      <c r="KEJ91" s="15" t="n"/>
      <c r="KEK91" s="15" t="n"/>
      <c r="KEL91" s="248" t="n"/>
      <c r="KEM91" s="248" t="n"/>
      <c r="KEN91" s="240" t="n"/>
      <c r="KEO91" s="240" t="n"/>
      <c r="KEQ91" s="15" t="n"/>
      <c r="KER91" s="15" t="n"/>
      <c r="KES91" s="248" t="n"/>
      <c r="KET91" s="248" t="n"/>
      <c r="KEU91" s="240" t="n"/>
      <c r="KEV91" s="240" t="n"/>
      <c r="KEX91" s="15" t="n"/>
      <c r="KEY91" s="15" t="n"/>
      <c r="KEZ91" s="248" t="n"/>
      <c r="KFA91" s="248" t="n"/>
      <c r="KFB91" s="240" t="n"/>
      <c r="KFC91" s="240" t="n"/>
      <c r="KFE91" s="15" t="n"/>
      <c r="KFF91" s="15" t="n"/>
      <c r="KFG91" s="248" t="n"/>
      <c r="KFH91" s="248" t="n"/>
      <c r="KFI91" s="240" t="n"/>
      <c r="KFJ91" s="240" t="n"/>
      <c r="KFL91" s="15" t="n"/>
      <c r="KFM91" s="15" t="n"/>
      <c r="KFN91" s="248" t="n"/>
      <c r="KFO91" s="248" t="n"/>
      <c r="KFP91" s="240" t="n"/>
      <c r="KFQ91" s="240" t="n"/>
      <c r="KFS91" s="15" t="n"/>
      <c r="KFT91" s="15" t="n"/>
      <c r="KFU91" s="248" t="n"/>
      <c r="KFV91" s="248" t="n"/>
      <c r="KFW91" s="240" t="n"/>
      <c r="KFX91" s="240" t="n"/>
      <c r="KFZ91" s="15" t="n"/>
      <c r="KGA91" s="15" t="n"/>
      <c r="KGB91" s="248" t="n"/>
      <c r="KGC91" s="248" t="n"/>
      <c r="KGD91" s="240" t="n"/>
      <c r="KGE91" s="240" t="n"/>
      <c r="KGG91" s="15" t="n"/>
      <c r="KGH91" s="15" t="n"/>
      <c r="KGI91" s="248" t="n"/>
      <c r="KGJ91" s="248" t="n"/>
      <c r="KGK91" s="240" t="n"/>
      <c r="KGL91" s="240" t="n"/>
      <c r="KGN91" s="15" t="n"/>
      <c r="KGO91" s="15" t="n"/>
      <c r="KGP91" s="248" t="n"/>
      <c r="KGQ91" s="248" t="n"/>
      <c r="KGR91" s="240" t="n"/>
      <c r="KGS91" s="240" t="n"/>
      <c r="KGU91" s="15" t="n"/>
      <c r="KGV91" s="15" t="n"/>
      <c r="KGW91" s="248" t="n"/>
      <c r="KGX91" s="248" t="n"/>
      <c r="KGY91" s="240" t="n"/>
      <c r="KGZ91" s="240" t="n"/>
      <c r="KHB91" s="15" t="n"/>
      <c r="KHC91" s="15" t="n"/>
      <c r="KHD91" s="248" t="n"/>
      <c r="KHE91" s="248" t="n"/>
      <c r="KHF91" s="240" t="n"/>
      <c r="KHG91" s="240" t="n"/>
      <c r="KHI91" s="15" t="n"/>
      <c r="KHJ91" s="15" t="n"/>
      <c r="KHK91" s="248" t="n"/>
      <c r="KHL91" s="248" t="n"/>
      <c r="KHM91" s="240" t="n"/>
      <c r="KHN91" s="240" t="n"/>
      <c r="KHP91" s="15" t="n"/>
      <c r="KHQ91" s="15" t="n"/>
      <c r="KHR91" s="248" t="n"/>
      <c r="KHS91" s="248" t="n"/>
      <c r="KHT91" s="240" t="n"/>
      <c r="KHU91" s="240" t="n"/>
      <c r="KHW91" s="15" t="n"/>
      <c r="KHX91" s="15" t="n"/>
      <c r="KHY91" s="248" t="n"/>
      <c r="KHZ91" s="248" t="n"/>
      <c r="KIA91" s="240" t="n"/>
      <c r="KIB91" s="240" t="n"/>
      <c r="KID91" s="15" t="n"/>
      <c r="KIE91" s="15" t="n"/>
      <c r="KIF91" s="248" t="n"/>
      <c r="KIG91" s="248" t="n"/>
      <c r="KIH91" s="240" t="n"/>
      <c r="KII91" s="240" t="n"/>
      <c r="KIK91" s="15" t="n"/>
      <c r="KIL91" s="15" t="n"/>
      <c r="KIM91" s="248" t="n"/>
      <c r="KIN91" s="248" t="n"/>
      <c r="KIO91" s="240" t="n"/>
      <c r="KIP91" s="240" t="n"/>
      <c r="KIR91" s="15" t="n"/>
      <c r="KIS91" s="15" t="n"/>
      <c r="KIT91" s="248" t="n"/>
      <c r="KIU91" s="248" t="n"/>
      <c r="KIV91" s="240" t="n"/>
      <c r="KIW91" s="240" t="n"/>
      <c r="KIY91" s="15" t="n"/>
      <c r="KIZ91" s="15" t="n"/>
      <c r="KJA91" s="248" t="n"/>
      <c r="KJB91" s="248" t="n"/>
      <c r="KJC91" s="240" t="n"/>
      <c r="KJD91" s="240" t="n"/>
      <c r="KJF91" s="15" t="n"/>
      <c r="KJG91" s="15" t="n"/>
      <c r="KJH91" s="248" t="n"/>
      <c r="KJI91" s="248" t="n"/>
      <c r="KJJ91" s="240" t="n"/>
      <c r="KJK91" s="240" t="n"/>
      <c r="KJM91" s="15" t="n"/>
      <c r="KJN91" s="15" t="n"/>
      <c r="KJO91" s="248" t="n"/>
      <c r="KJP91" s="248" t="n"/>
      <c r="KJQ91" s="240" t="n"/>
      <c r="KJR91" s="240" t="n"/>
      <c r="KJT91" s="15" t="n"/>
      <c r="KJU91" s="15" t="n"/>
      <c r="KJV91" s="248" t="n"/>
      <c r="KJW91" s="248" t="n"/>
      <c r="KJX91" s="240" t="n"/>
      <c r="KJY91" s="240" t="n"/>
      <c r="KKA91" s="15" t="n"/>
      <c r="KKB91" s="15" t="n"/>
      <c r="KKC91" s="248" t="n"/>
      <c r="KKD91" s="248" t="n"/>
      <c r="KKE91" s="240" t="n"/>
      <c r="KKF91" s="240" t="n"/>
      <c r="KKH91" s="15" t="n"/>
      <c r="KKI91" s="15" t="n"/>
      <c r="KKJ91" s="248" t="n"/>
      <c r="KKK91" s="248" t="n"/>
      <c r="KKL91" s="240" t="n"/>
      <c r="KKM91" s="240" t="n"/>
      <c r="KKO91" s="15" t="n"/>
      <c r="KKP91" s="15" t="n"/>
      <c r="KKQ91" s="248" t="n"/>
      <c r="KKR91" s="248" t="n"/>
      <c r="KKS91" s="240" t="n"/>
      <c r="KKT91" s="240" t="n"/>
      <c r="KKV91" s="15" t="n"/>
      <c r="KKW91" s="15" t="n"/>
      <c r="KKX91" s="248" t="n"/>
      <c r="KKY91" s="248" t="n"/>
      <c r="KKZ91" s="240" t="n"/>
      <c r="KLA91" s="240" t="n"/>
      <c r="KLC91" s="15" t="n"/>
      <c r="KLD91" s="15" t="n"/>
      <c r="KLE91" s="248" t="n"/>
      <c r="KLF91" s="248" t="n"/>
      <c r="KLG91" s="240" t="n"/>
      <c r="KLH91" s="240" t="n"/>
      <c r="KLJ91" s="15" t="n"/>
      <c r="KLK91" s="15" t="n"/>
      <c r="KLL91" s="248" t="n"/>
      <c r="KLM91" s="248" t="n"/>
      <c r="KLN91" s="240" t="n"/>
      <c r="KLO91" s="240" t="n"/>
      <c r="KLQ91" s="15" t="n"/>
      <c r="KLR91" s="15" t="n"/>
      <c r="KLS91" s="248" t="n"/>
      <c r="KLT91" s="248" t="n"/>
      <c r="KLU91" s="240" t="n"/>
      <c r="KLV91" s="240" t="n"/>
      <c r="KLX91" s="15" t="n"/>
      <c r="KLY91" s="15" t="n"/>
      <c r="KLZ91" s="248" t="n"/>
      <c r="KMA91" s="248" t="n"/>
      <c r="KMB91" s="240" t="n"/>
      <c r="KMC91" s="240" t="n"/>
      <c r="KME91" s="15" t="n"/>
      <c r="KMF91" s="15" t="n"/>
      <c r="KMG91" s="248" t="n"/>
      <c r="KMH91" s="248" t="n"/>
      <c r="KMI91" s="240" t="n"/>
      <c r="KMJ91" s="240" t="n"/>
      <c r="KML91" s="15" t="n"/>
      <c r="KMM91" s="15" t="n"/>
      <c r="KMN91" s="248" t="n"/>
      <c r="KMO91" s="248" t="n"/>
      <c r="KMP91" s="240" t="n"/>
      <c r="KMQ91" s="240" t="n"/>
      <c r="KMS91" s="15" t="n"/>
      <c r="KMT91" s="15" t="n"/>
      <c r="KMU91" s="248" t="n"/>
      <c r="KMV91" s="248" t="n"/>
      <c r="KMW91" s="240" t="n"/>
      <c r="KMX91" s="240" t="n"/>
      <c r="KMZ91" s="15" t="n"/>
      <c r="KNA91" s="15" t="n"/>
      <c r="KNB91" s="248" t="n"/>
      <c r="KNC91" s="248" t="n"/>
      <c r="KND91" s="240" t="n"/>
      <c r="KNE91" s="240" t="n"/>
      <c r="KNG91" s="15" t="n"/>
      <c r="KNH91" s="15" t="n"/>
      <c r="KNI91" s="248" t="n"/>
      <c r="KNJ91" s="248" t="n"/>
      <c r="KNK91" s="240" t="n"/>
      <c r="KNL91" s="240" t="n"/>
      <c r="KNN91" s="15" t="n"/>
      <c r="KNO91" s="15" t="n"/>
      <c r="KNP91" s="248" t="n"/>
      <c r="KNQ91" s="248" t="n"/>
      <c r="KNR91" s="240" t="n"/>
      <c r="KNS91" s="240" t="n"/>
      <c r="KNU91" s="15" t="n"/>
      <c r="KNV91" s="15" t="n"/>
      <c r="KNW91" s="248" t="n"/>
      <c r="KNX91" s="248" t="n"/>
      <c r="KNY91" s="240" t="n"/>
      <c r="KNZ91" s="240" t="n"/>
      <c r="KOB91" s="15" t="n"/>
      <c r="KOC91" s="15" t="n"/>
      <c r="KOD91" s="248" t="n"/>
      <c r="KOE91" s="248" t="n"/>
      <c r="KOF91" s="240" t="n"/>
      <c r="KOG91" s="240" t="n"/>
      <c r="KOI91" s="15" t="n"/>
      <c r="KOJ91" s="15" t="n"/>
      <c r="KOK91" s="248" t="n"/>
      <c r="KOL91" s="248" t="n"/>
      <c r="KOM91" s="240" t="n"/>
      <c r="KON91" s="240" t="n"/>
      <c r="KOP91" s="15" t="n"/>
      <c r="KOQ91" s="15" t="n"/>
      <c r="KOR91" s="248" t="n"/>
      <c r="KOS91" s="248" t="n"/>
      <c r="KOT91" s="240" t="n"/>
      <c r="KOU91" s="240" t="n"/>
      <c r="KOW91" s="15" t="n"/>
      <c r="KOX91" s="15" t="n"/>
      <c r="KOY91" s="248" t="n"/>
      <c r="KOZ91" s="248" t="n"/>
      <c r="KPA91" s="240" t="n"/>
      <c r="KPB91" s="240" t="n"/>
      <c r="KPD91" s="15" t="n"/>
      <c r="KPE91" s="15" t="n"/>
      <c r="KPF91" s="248" t="n"/>
      <c r="KPG91" s="248" t="n"/>
      <c r="KPH91" s="240" t="n"/>
      <c r="KPI91" s="240" t="n"/>
      <c r="KPK91" s="15" t="n"/>
      <c r="KPL91" s="15" t="n"/>
      <c r="KPM91" s="248" t="n"/>
      <c r="KPN91" s="248" t="n"/>
      <c r="KPO91" s="240" t="n"/>
      <c r="KPP91" s="240" t="n"/>
      <c r="KPR91" s="15" t="n"/>
      <c r="KPS91" s="15" t="n"/>
      <c r="KPT91" s="248" t="n"/>
      <c r="KPU91" s="248" t="n"/>
      <c r="KPV91" s="240" t="n"/>
      <c r="KPW91" s="240" t="n"/>
      <c r="KPY91" s="15" t="n"/>
      <c r="KPZ91" s="15" t="n"/>
      <c r="KQA91" s="248" t="n"/>
      <c r="KQB91" s="248" t="n"/>
      <c r="KQC91" s="240" t="n"/>
      <c r="KQD91" s="240" t="n"/>
      <c r="KQF91" s="15" t="n"/>
      <c r="KQG91" s="15" t="n"/>
      <c r="KQH91" s="248" t="n"/>
      <c r="KQI91" s="248" t="n"/>
      <c r="KQJ91" s="240" t="n"/>
      <c r="KQK91" s="240" t="n"/>
      <c r="KQM91" s="15" t="n"/>
      <c r="KQN91" s="15" t="n"/>
      <c r="KQO91" s="248" t="n"/>
      <c r="KQP91" s="248" t="n"/>
      <c r="KQQ91" s="240" t="n"/>
      <c r="KQR91" s="240" t="n"/>
      <c r="KQT91" s="15" t="n"/>
      <c r="KQU91" s="15" t="n"/>
      <c r="KQV91" s="248" t="n"/>
      <c r="KQW91" s="248" t="n"/>
      <c r="KQX91" s="240" t="n"/>
      <c r="KQY91" s="240" t="n"/>
      <c r="KRA91" s="15" t="n"/>
      <c r="KRB91" s="15" t="n"/>
      <c r="KRC91" s="248" t="n"/>
      <c r="KRD91" s="248" t="n"/>
      <c r="KRE91" s="240" t="n"/>
      <c r="KRF91" s="240" t="n"/>
      <c r="KRH91" s="15" t="n"/>
      <c r="KRI91" s="15" t="n"/>
      <c r="KRJ91" s="248" t="n"/>
      <c r="KRK91" s="248" t="n"/>
      <c r="KRL91" s="240" t="n"/>
      <c r="KRM91" s="240" t="n"/>
      <c r="KRO91" s="15" t="n"/>
      <c r="KRP91" s="15" t="n"/>
      <c r="KRQ91" s="248" t="n"/>
      <c r="KRR91" s="248" t="n"/>
      <c r="KRS91" s="240" t="n"/>
      <c r="KRT91" s="240" t="n"/>
      <c r="KRV91" s="15" t="n"/>
      <c r="KRW91" s="15" t="n"/>
      <c r="KRX91" s="248" t="n"/>
      <c r="KRY91" s="248" t="n"/>
      <c r="KRZ91" s="240" t="n"/>
      <c r="KSA91" s="240" t="n"/>
      <c r="KSC91" s="15" t="n"/>
      <c r="KSD91" s="15" t="n"/>
      <c r="KSE91" s="248" t="n"/>
      <c r="KSF91" s="248" t="n"/>
      <c r="KSG91" s="240" t="n"/>
      <c r="KSH91" s="240" t="n"/>
      <c r="KSJ91" s="15" t="n"/>
      <c r="KSK91" s="15" t="n"/>
      <c r="KSL91" s="248" t="n"/>
      <c r="KSM91" s="248" t="n"/>
      <c r="KSN91" s="240" t="n"/>
      <c r="KSO91" s="240" t="n"/>
      <c r="KSQ91" s="15" t="n"/>
      <c r="KSR91" s="15" t="n"/>
      <c r="KSS91" s="248" t="n"/>
      <c r="KST91" s="248" t="n"/>
      <c r="KSU91" s="240" t="n"/>
      <c r="KSV91" s="240" t="n"/>
      <c r="KSX91" s="15" t="n"/>
      <c r="KSY91" s="15" t="n"/>
      <c r="KSZ91" s="248" t="n"/>
      <c r="KTA91" s="248" t="n"/>
      <c r="KTB91" s="240" t="n"/>
      <c r="KTC91" s="240" t="n"/>
      <c r="KTE91" s="15" t="n"/>
      <c r="KTF91" s="15" t="n"/>
      <c r="KTG91" s="248" t="n"/>
      <c r="KTH91" s="248" t="n"/>
      <c r="KTI91" s="240" t="n"/>
      <c r="KTJ91" s="240" t="n"/>
      <c r="KTL91" s="15" t="n"/>
      <c r="KTM91" s="15" t="n"/>
      <c r="KTN91" s="248" t="n"/>
      <c r="KTO91" s="248" t="n"/>
      <c r="KTP91" s="240" t="n"/>
      <c r="KTQ91" s="240" t="n"/>
      <c r="KTS91" s="15" t="n"/>
      <c r="KTT91" s="15" t="n"/>
      <c r="KTU91" s="248" t="n"/>
      <c r="KTV91" s="248" t="n"/>
      <c r="KTW91" s="240" t="n"/>
      <c r="KTX91" s="240" t="n"/>
      <c r="KTZ91" s="15" t="n"/>
      <c r="KUA91" s="15" t="n"/>
      <c r="KUB91" s="248" t="n"/>
      <c r="KUC91" s="248" t="n"/>
      <c r="KUD91" s="240" t="n"/>
      <c r="KUE91" s="240" t="n"/>
      <c r="KUG91" s="15" t="n"/>
      <c r="KUH91" s="15" t="n"/>
      <c r="KUI91" s="248" t="n"/>
      <c r="KUJ91" s="248" t="n"/>
      <c r="KUK91" s="240" t="n"/>
      <c r="KUL91" s="240" t="n"/>
      <c r="KUN91" s="15" t="n"/>
      <c r="KUO91" s="15" t="n"/>
      <c r="KUP91" s="248" t="n"/>
      <c r="KUQ91" s="248" t="n"/>
      <c r="KUR91" s="240" t="n"/>
      <c r="KUS91" s="240" t="n"/>
      <c r="KUU91" s="15" t="n"/>
      <c r="KUV91" s="15" t="n"/>
      <c r="KUW91" s="248" t="n"/>
      <c r="KUX91" s="248" t="n"/>
      <c r="KUY91" s="240" t="n"/>
      <c r="KUZ91" s="240" t="n"/>
      <c r="KVB91" s="15" t="n"/>
      <c r="KVC91" s="15" t="n"/>
      <c r="KVD91" s="248" t="n"/>
      <c r="KVE91" s="248" t="n"/>
      <c r="KVF91" s="240" t="n"/>
      <c r="KVG91" s="240" t="n"/>
      <c r="KVI91" s="15" t="n"/>
      <c r="KVJ91" s="15" t="n"/>
      <c r="KVK91" s="248" t="n"/>
      <c r="KVL91" s="248" t="n"/>
      <c r="KVM91" s="240" t="n"/>
      <c r="KVN91" s="240" t="n"/>
      <c r="KVP91" s="15" t="n"/>
      <c r="KVQ91" s="15" t="n"/>
      <c r="KVR91" s="248" t="n"/>
      <c r="KVS91" s="248" t="n"/>
      <c r="KVT91" s="240" t="n"/>
      <c r="KVU91" s="240" t="n"/>
      <c r="KVW91" s="15" t="n"/>
      <c r="KVX91" s="15" t="n"/>
      <c r="KVY91" s="248" t="n"/>
      <c r="KVZ91" s="248" t="n"/>
      <c r="KWA91" s="240" t="n"/>
      <c r="KWB91" s="240" t="n"/>
      <c r="KWD91" s="15" t="n"/>
      <c r="KWE91" s="15" t="n"/>
      <c r="KWF91" s="248" t="n"/>
      <c r="KWG91" s="248" t="n"/>
      <c r="KWH91" s="240" t="n"/>
      <c r="KWI91" s="240" t="n"/>
      <c r="KWK91" s="15" t="n"/>
      <c r="KWL91" s="15" t="n"/>
      <c r="KWM91" s="248" t="n"/>
      <c r="KWN91" s="248" t="n"/>
      <c r="KWO91" s="240" t="n"/>
      <c r="KWP91" s="240" t="n"/>
      <c r="KWR91" s="15" t="n"/>
      <c r="KWS91" s="15" t="n"/>
      <c r="KWT91" s="248" t="n"/>
      <c r="KWU91" s="248" t="n"/>
      <c r="KWV91" s="240" t="n"/>
      <c r="KWW91" s="240" t="n"/>
      <c r="KWY91" s="15" t="n"/>
      <c r="KWZ91" s="15" t="n"/>
      <c r="KXA91" s="248" t="n"/>
      <c r="KXB91" s="248" t="n"/>
      <c r="KXC91" s="240" t="n"/>
      <c r="KXD91" s="240" t="n"/>
      <c r="KXF91" s="15" t="n"/>
      <c r="KXG91" s="15" t="n"/>
      <c r="KXH91" s="248" t="n"/>
      <c r="KXI91" s="248" t="n"/>
      <c r="KXJ91" s="240" t="n"/>
      <c r="KXK91" s="240" t="n"/>
      <c r="KXM91" s="15" t="n"/>
      <c r="KXN91" s="15" t="n"/>
      <c r="KXO91" s="248" t="n"/>
      <c r="KXP91" s="248" t="n"/>
      <c r="KXQ91" s="240" t="n"/>
      <c r="KXR91" s="240" t="n"/>
      <c r="KXT91" s="15" t="n"/>
      <c r="KXU91" s="15" t="n"/>
      <c r="KXV91" s="248" t="n"/>
      <c r="KXW91" s="248" t="n"/>
      <c r="KXX91" s="240" t="n"/>
      <c r="KXY91" s="240" t="n"/>
      <c r="KYA91" s="15" t="n"/>
      <c r="KYB91" s="15" t="n"/>
      <c r="KYC91" s="248" t="n"/>
      <c r="KYD91" s="248" t="n"/>
      <c r="KYE91" s="240" t="n"/>
      <c r="KYF91" s="240" t="n"/>
      <c r="KYH91" s="15" t="n"/>
      <c r="KYI91" s="15" t="n"/>
      <c r="KYJ91" s="248" t="n"/>
      <c r="KYK91" s="248" t="n"/>
      <c r="KYL91" s="240" t="n"/>
      <c r="KYM91" s="240" t="n"/>
      <c r="KYO91" s="15" t="n"/>
      <c r="KYP91" s="15" t="n"/>
      <c r="KYQ91" s="248" t="n"/>
      <c r="KYR91" s="248" t="n"/>
      <c r="KYS91" s="240" t="n"/>
      <c r="KYT91" s="240" t="n"/>
      <c r="KYV91" s="15" t="n"/>
      <c r="KYW91" s="15" t="n"/>
      <c r="KYX91" s="248" t="n"/>
      <c r="KYY91" s="248" t="n"/>
      <c r="KYZ91" s="240" t="n"/>
      <c r="KZA91" s="240" t="n"/>
      <c r="KZC91" s="15" t="n"/>
      <c r="KZD91" s="15" t="n"/>
      <c r="KZE91" s="248" t="n"/>
      <c r="KZF91" s="248" t="n"/>
      <c r="KZG91" s="240" t="n"/>
      <c r="KZH91" s="240" t="n"/>
      <c r="KZJ91" s="15" t="n"/>
      <c r="KZK91" s="15" t="n"/>
      <c r="KZL91" s="248" t="n"/>
      <c r="KZM91" s="248" t="n"/>
      <c r="KZN91" s="240" t="n"/>
      <c r="KZO91" s="240" t="n"/>
      <c r="KZQ91" s="15" t="n"/>
      <c r="KZR91" s="15" t="n"/>
      <c r="KZS91" s="248" t="n"/>
      <c r="KZT91" s="248" t="n"/>
      <c r="KZU91" s="240" t="n"/>
      <c r="KZV91" s="240" t="n"/>
      <c r="KZX91" s="15" t="n"/>
      <c r="KZY91" s="15" t="n"/>
      <c r="KZZ91" s="248" t="n"/>
      <c r="LAA91" s="248" t="n"/>
      <c r="LAB91" s="240" t="n"/>
      <c r="LAC91" s="240" t="n"/>
      <c r="LAE91" s="15" t="n"/>
      <c r="LAF91" s="15" t="n"/>
      <c r="LAG91" s="248" t="n"/>
      <c r="LAH91" s="248" t="n"/>
      <c r="LAI91" s="240" t="n"/>
      <c r="LAJ91" s="240" t="n"/>
      <c r="LAL91" s="15" t="n"/>
      <c r="LAM91" s="15" t="n"/>
      <c r="LAN91" s="248" t="n"/>
      <c r="LAO91" s="248" t="n"/>
      <c r="LAP91" s="240" t="n"/>
      <c r="LAQ91" s="240" t="n"/>
      <c r="LAS91" s="15" t="n"/>
      <c r="LAT91" s="15" t="n"/>
      <c r="LAU91" s="248" t="n"/>
      <c r="LAV91" s="248" t="n"/>
      <c r="LAW91" s="240" t="n"/>
      <c r="LAX91" s="240" t="n"/>
      <c r="LAZ91" s="15" t="n"/>
      <c r="LBA91" s="15" t="n"/>
      <c r="LBB91" s="248" t="n"/>
      <c r="LBC91" s="248" t="n"/>
      <c r="LBD91" s="240" t="n"/>
      <c r="LBE91" s="240" t="n"/>
      <c r="LBG91" s="15" t="n"/>
      <c r="LBH91" s="15" t="n"/>
      <c r="LBI91" s="248" t="n"/>
      <c r="LBJ91" s="248" t="n"/>
      <c r="LBK91" s="240" t="n"/>
      <c r="LBL91" s="240" t="n"/>
      <c r="LBN91" s="15" t="n"/>
      <c r="LBO91" s="15" t="n"/>
      <c r="LBP91" s="248" t="n"/>
      <c r="LBQ91" s="248" t="n"/>
      <c r="LBR91" s="240" t="n"/>
      <c r="LBS91" s="240" t="n"/>
      <c r="LBU91" s="15" t="n"/>
      <c r="LBV91" s="15" t="n"/>
      <c r="LBW91" s="248" t="n"/>
      <c r="LBX91" s="248" t="n"/>
      <c r="LBY91" s="240" t="n"/>
      <c r="LBZ91" s="240" t="n"/>
      <c r="LCB91" s="15" t="n"/>
      <c r="LCC91" s="15" t="n"/>
      <c r="LCD91" s="248" t="n"/>
      <c r="LCE91" s="248" t="n"/>
      <c r="LCF91" s="240" t="n"/>
      <c r="LCG91" s="240" t="n"/>
      <c r="LCI91" s="15" t="n"/>
      <c r="LCJ91" s="15" t="n"/>
      <c r="LCK91" s="248" t="n"/>
      <c r="LCL91" s="248" t="n"/>
      <c r="LCM91" s="240" t="n"/>
      <c r="LCN91" s="240" t="n"/>
      <c r="LCP91" s="15" t="n"/>
      <c r="LCQ91" s="15" t="n"/>
      <c r="LCR91" s="248" t="n"/>
      <c r="LCS91" s="248" t="n"/>
      <c r="LCT91" s="240" t="n"/>
      <c r="LCU91" s="240" t="n"/>
      <c r="LCW91" s="15" t="n"/>
      <c r="LCX91" s="15" t="n"/>
      <c r="LCY91" s="248" t="n"/>
      <c r="LCZ91" s="248" t="n"/>
      <c r="LDA91" s="240" t="n"/>
      <c r="LDB91" s="240" t="n"/>
      <c r="LDD91" s="15" t="n"/>
      <c r="LDE91" s="15" t="n"/>
      <c r="LDF91" s="248" t="n"/>
      <c r="LDG91" s="248" t="n"/>
      <c r="LDH91" s="240" t="n"/>
      <c r="LDI91" s="240" t="n"/>
      <c r="LDK91" s="15" t="n"/>
      <c r="LDL91" s="15" t="n"/>
      <c r="LDM91" s="248" t="n"/>
      <c r="LDN91" s="248" t="n"/>
      <c r="LDO91" s="240" t="n"/>
      <c r="LDP91" s="240" t="n"/>
      <c r="LDR91" s="15" t="n"/>
      <c r="LDS91" s="15" t="n"/>
      <c r="LDT91" s="248" t="n"/>
      <c r="LDU91" s="248" t="n"/>
      <c r="LDV91" s="240" t="n"/>
      <c r="LDW91" s="240" t="n"/>
      <c r="LDY91" s="15" t="n"/>
      <c r="LDZ91" s="15" t="n"/>
      <c r="LEA91" s="248" t="n"/>
      <c r="LEB91" s="248" t="n"/>
      <c r="LEC91" s="240" t="n"/>
      <c r="LED91" s="240" t="n"/>
      <c r="LEF91" s="15" t="n"/>
      <c r="LEG91" s="15" t="n"/>
      <c r="LEH91" s="248" t="n"/>
      <c r="LEI91" s="248" t="n"/>
      <c r="LEJ91" s="240" t="n"/>
      <c r="LEK91" s="240" t="n"/>
      <c r="LEM91" s="15" t="n"/>
      <c r="LEN91" s="15" t="n"/>
      <c r="LEO91" s="248" t="n"/>
      <c r="LEP91" s="248" t="n"/>
      <c r="LEQ91" s="240" t="n"/>
      <c r="LER91" s="240" t="n"/>
      <c r="LET91" s="15" t="n"/>
      <c r="LEU91" s="15" t="n"/>
      <c r="LEV91" s="248" t="n"/>
      <c r="LEW91" s="248" t="n"/>
      <c r="LEX91" s="240" t="n"/>
      <c r="LEY91" s="240" t="n"/>
      <c r="LFA91" s="15" t="n"/>
      <c r="LFB91" s="15" t="n"/>
      <c r="LFC91" s="248" t="n"/>
      <c r="LFD91" s="248" t="n"/>
      <c r="LFE91" s="240" t="n"/>
      <c r="LFF91" s="240" t="n"/>
      <c r="LFH91" s="15" t="n"/>
      <c r="LFI91" s="15" t="n"/>
      <c r="LFJ91" s="248" t="n"/>
      <c r="LFK91" s="248" t="n"/>
      <c r="LFL91" s="240" t="n"/>
      <c r="LFM91" s="240" t="n"/>
      <c r="LFO91" s="15" t="n"/>
      <c r="LFP91" s="15" t="n"/>
      <c r="LFQ91" s="248" t="n"/>
      <c r="LFR91" s="248" t="n"/>
      <c r="LFS91" s="240" t="n"/>
      <c r="LFT91" s="240" t="n"/>
      <c r="LFV91" s="15" t="n"/>
      <c r="LFW91" s="15" t="n"/>
      <c r="LFX91" s="248" t="n"/>
      <c r="LFY91" s="248" t="n"/>
      <c r="LFZ91" s="240" t="n"/>
      <c r="LGA91" s="240" t="n"/>
      <c r="LGC91" s="15" t="n"/>
      <c r="LGD91" s="15" t="n"/>
      <c r="LGE91" s="248" t="n"/>
      <c r="LGF91" s="248" t="n"/>
      <c r="LGG91" s="240" t="n"/>
      <c r="LGH91" s="240" t="n"/>
      <c r="LGJ91" s="15" t="n"/>
      <c r="LGK91" s="15" t="n"/>
      <c r="LGL91" s="248" t="n"/>
      <c r="LGM91" s="248" t="n"/>
      <c r="LGN91" s="240" t="n"/>
      <c r="LGO91" s="240" t="n"/>
      <c r="LGQ91" s="15" t="n"/>
      <c r="LGR91" s="15" t="n"/>
      <c r="LGS91" s="248" t="n"/>
      <c r="LGT91" s="248" t="n"/>
      <c r="LGU91" s="240" t="n"/>
      <c r="LGV91" s="240" t="n"/>
      <c r="LGX91" s="15" t="n"/>
      <c r="LGY91" s="15" t="n"/>
      <c r="LGZ91" s="248" t="n"/>
      <c r="LHA91" s="248" t="n"/>
      <c r="LHB91" s="240" t="n"/>
      <c r="LHC91" s="240" t="n"/>
      <c r="LHE91" s="15" t="n"/>
      <c r="LHF91" s="15" t="n"/>
      <c r="LHG91" s="248" t="n"/>
      <c r="LHH91" s="248" t="n"/>
      <c r="LHI91" s="240" t="n"/>
      <c r="LHJ91" s="240" t="n"/>
      <c r="LHL91" s="15" t="n"/>
      <c r="LHM91" s="15" t="n"/>
      <c r="LHN91" s="248" t="n"/>
      <c r="LHO91" s="248" t="n"/>
      <c r="LHP91" s="240" t="n"/>
      <c r="LHQ91" s="240" t="n"/>
      <c r="LHS91" s="15" t="n"/>
      <c r="LHT91" s="15" t="n"/>
      <c r="LHU91" s="248" t="n"/>
      <c r="LHV91" s="248" t="n"/>
      <c r="LHW91" s="240" t="n"/>
      <c r="LHX91" s="240" t="n"/>
      <c r="LHZ91" s="15" t="n"/>
      <c r="LIA91" s="15" t="n"/>
      <c r="LIB91" s="248" t="n"/>
      <c r="LIC91" s="248" t="n"/>
      <c r="LID91" s="240" t="n"/>
      <c r="LIE91" s="240" t="n"/>
      <c r="LIG91" s="15" t="n"/>
      <c r="LIH91" s="15" t="n"/>
      <c r="LII91" s="248" t="n"/>
      <c r="LIJ91" s="248" t="n"/>
      <c r="LIK91" s="240" t="n"/>
      <c r="LIL91" s="240" t="n"/>
      <c r="LIN91" s="15" t="n"/>
      <c r="LIO91" s="15" t="n"/>
      <c r="LIP91" s="248" t="n"/>
      <c r="LIQ91" s="248" t="n"/>
      <c r="LIR91" s="240" t="n"/>
      <c r="LIS91" s="240" t="n"/>
      <c r="LIU91" s="15" t="n"/>
      <c r="LIV91" s="15" t="n"/>
      <c r="LIW91" s="248" t="n"/>
      <c r="LIX91" s="248" t="n"/>
      <c r="LIY91" s="240" t="n"/>
      <c r="LIZ91" s="240" t="n"/>
      <c r="LJB91" s="15" t="n"/>
      <c r="LJC91" s="15" t="n"/>
      <c r="LJD91" s="248" t="n"/>
      <c r="LJE91" s="248" t="n"/>
      <c r="LJF91" s="240" t="n"/>
      <c r="LJG91" s="240" t="n"/>
      <c r="LJI91" s="15" t="n"/>
      <c r="LJJ91" s="15" t="n"/>
      <c r="LJK91" s="248" t="n"/>
      <c r="LJL91" s="248" t="n"/>
      <c r="LJM91" s="240" t="n"/>
      <c r="LJN91" s="240" t="n"/>
      <c r="LJP91" s="15" t="n"/>
      <c r="LJQ91" s="15" t="n"/>
      <c r="LJR91" s="248" t="n"/>
      <c r="LJS91" s="248" t="n"/>
      <c r="LJT91" s="240" t="n"/>
      <c r="LJU91" s="240" t="n"/>
      <c r="LJW91" s="15" t="n"/>
      <c r="LJX91" s="15" t="n"/>
      <c r="LJY91" s="248" t="n"/>
      <c r="LJZ91" s="248" t="n"/>
      <c r="LKA91" s="240" t="n"/>
      <c r="LKB91" s="240" t="n"/>
      <c r="LKD91" s="15" t="n"/>
      <c r="LKE91" s="15" t="n"/>
      <c r="LKF91" s="248" t="n"/>
      <c r="LKG91" s="248" t="n"/>
      <c r="LKH91" s="240" t="n"/>
      <c r="LKI91" s="240" t="n"/>
      <c r="LKK91" s="15" t="n"/>
      <c r="LKL91" s="15" t="n"/>
      <c r="LKM91" s="248" t="n"/>
      <c r="LKN91" s="248" t="n"/>
      <c r="LKO91" s="240" t="n"/>
      <c r="LKP91" s="240" t="n"/>
      <c r="LKR91" s="15" t="n"/>
      <c r="LKS91" s="15" t="n"/>
      <c r="LKT91" s="248" t="n"/>
      <c r="LKU91" s="248" t="n"/>
      <c r="LKV91" s="240" t="n"/>
      <c r="LKW91" s="240" t="n"/>
      <c r="LKY91" s="15" t="n"/>
      <c r="LKZ91" s="15" t="n"/>
      <c r="LLA91" s="248" t="n"/>
      <c r="LLB91" s="248" t="n"/>
      <c r="LLC91" s="240" t="n"/>
      <c r="LLD91" s="240" t="n"/>
      <c r="LLF91" s="15" t="n"/>
      <c r="LLG91" s="15" t="n"/>
      <c r="LLH91" s="248" t="n"/>
      <c r="LLI91" s="248" t="n"/>
      <c r="LLJ91" s="240" t="n"/>
      <c r="LLK91" s="240" t="n"/>
      <c r="LLM91" s="15" t="n"/>
      <c r="LLN91" s="15" t="n"/>
      <c r="LLO91" s="248" t="n"/>
      <c r="LLP91" s="248" t="n"/>
      <c r="LLQ91" s="240" t="n"/>
      <c r="LLR91" s="240" t="n"/>
      <c r="LLT91" s="15" t="n"/>
      <c r="LLU91" s="15" t="n"/>
      <c r="LLV91" s="248" t="n"/>
      <c r="LLW91" s="248" t="n"/>
      <c r="LLX91" s="240" t="n"/>
      <c r="LLY91" s="240" t="n"/>
      <c r="LMA91" s="15" t="n"/>
      <c r="LMB91" s="15" t="n"/>
      <c r="LMC91" s="248" t="n"/>
      <c r="LMD91" s="248" t="n"/>
      <c r="LME91" s="240" t="n"/>
      <c r="LMF91" s="240" t="n"/>
      <c r="LMH91" s="15" t="n"/>
      <c r="LMI91" s="15" t="n"/>
      <c r="LMJ91" s="248" t="n"/>
      <c r="LMK91" s="248" t="n"/>
      <c r="LML91" s="240" t="n"/>
      <c r="LMM91" s="240" t="n"/>
      <c r="LMO91" s="15" t="n"/>
      <c r="LMP91" s="15" t="n"/>
      <c r="LMQ91" s="248" t="n"/>
      <c r="LMR91" s="248" t="n"/>
      <c r="LMS91" s="240" t="n"/>
      <c r="LMT91" s="240" t="n"/>
      <c r="LMV91" s="15" t="n"/>
      <c r="LMW91" s="15" t="n"/>
      <c r="LMX91" s="248" t="n"/>
      <c r="LMY91" s="248" t="n"/>
      <c r="LMZ91" s="240" t="n"/>
      <c r="LNA91" s="240" t="n"/>
      <c r="LNC91" s="15" t="n"/>
      <c r="LND91" s="15" t="n"/>
      <c r="LNE91" s="248" t="n"/>
      <c r="LNF91" s="248" t="n"/>
      <c r="LNG91" s="240" t="n"/>
      <c r="LNH91" s="240" t="n"/>
      <c r="LNJ91" s="15" t="n"/>
      <c r="LNK91" s="15" t="n"/>
      <c r="LNL91" s="248" t="n"/>
      <c r="LNM91" s="248" t="n"/>
      <c r="LNN91" s="240" t="n"/>
      <c r="LNO91" s="240" t="n"/>
      <c r="LNQ91" s="15" t="n"/>
      <c r="LNR91" s="15" t="n"/>
      <c r="LNS91" s="248" t="n"/>
      <c r="LNT91" s="248" t="n"/>
      <c r="LNU91" s="240" t="n"/>
      <c r="LNV91" s="240" t="n"/>
      <c r="LNX91" s="15" t="n"/>
      <c r="LNY91" s="15" t="n"/>
      <c r="LNZ91" s="248" t="n"/>
      <c r="LOA91" s="248" t="n"/>
      <c r="LOB91" s="240" t="n"/>
      <c r="LOC91" s="240" t="n"/>
      <c r="LOE91" s="15" t="n"/>
      <c r="LOF91" s="15" t="n"/>
      <c r="LOG91" s="248" t="n"/>
      <c r="LOH91" s="248" t="n"/>
      <c r="LOI91" s="240" t="n"/>
      <c r="LOJ91" s="240" t="n"/>
      <c r="LOL91" s="15" t="n"/>
      <c r="LOM91" s="15" t="n"/>
      <c r="LON91" s="248" t="n"/>
      <c r="LOO91" s="248" t="n"/>
      <c r="LOP91" s="240" t="n"/>
      <c r="LOQ91" s="240" t="n"/>
      <c r="LOS91" s="15" t="n"/>
      <c r="LOT91" s="15" t="n"/>
      <c r="LOU91" s="248" t="n"/>
      <c r="LOV91" s="248" t="n"/>
      <c r="LOW91" s="240" t="n"/>
      <c r="LOX91" s="240" t="n"/>
      <c r="LOZ91" s="15" t="n"/>
      <c r="LPA91" s="15" t="n"/>
      <c r="LPB91" s="248" t="n"/>
      <c r="LPC91" s="248" t="n"/>
      <c r="LPD91" s="240" t="n"/>
      <c r="LPE91" s="240" t="n"/>
      <c r="LPG91" s="15" t="n"/>
      <c r="LPH91" s="15" t="n"/>
      <c r="LPI91" s="248" t="n"/>
      <c r="LPJ91" s="248" t="n"/>
      <c r="LPK91" s="240" t="n"/>
      <c r="LPL91" s="240" t="n"/>
      <c r="LPN91" s="15" t="n"/>
      <c r="LPO91" s="15" t="n"/>
      <c r="LPP91" s="248" t="n"/>
      <c r="LPQ91" s="248" t="n"/>
      <c r="LPR91" s="240" t="n"/>
      <c r="LPS91" s="240" t="n"/>
      <c r="LPU91" s="15" t="n"/>
      <c r="LPV91" s="15" t="n"/>
      <c r="LPW91" s="248" t="n"/>
      <c r="LPX91" s="248" t="n"/>
      <c r="LPY91" s="240" t="n"/>
      <c r="LPZ91" s="240" t="n"/>
      <c r="LQB91" s="15" t="n"/>
      <c r="LQC91" s="15" t="n"/>
      <c r="LQD91" s="248" t="n"/>
      <c r="LQE91" s="248" t="n"/>
      <c r="LQF91" s="240" t="n"/>
      <c r="LQG91" s="240" t="n"/>
      <c r="LQI91" s="15" t="n"/>
      <c r="LQJ91" s="15" t="n"/>
      <c r="LQK91" s="248" t="n"/>
      <c r="LQL91" s="248" t="n"/>
      <c r="LQM91" s="240" t="n"/>
      <c r="LQN91" s="240" t="n"/>
      <c r="LQP91" s="15" t="n"/>
      <c r="LQQ91" s="15" t="n"/>
      <c r="LQR91" s="248" t="n"/>
      <c r="LQS91" s="248" t="n"/>
      <c r="LQT91" s="240" t="n"/>
      <c r="LQU91" s="240" t="n"/>
      <c r="LQW91" s="15" t="n"/>
      <c r="LQX91" s="15" t="n"/>
      <c r="LQY91" s="248" t="n"/>
      <c r="LQZ91" s="248" t="n"/>
      <c r="LRA91" s="240" t="n"/>
      <c r="LRB91" s="240" t="n"/>
      <c r="LRD91" s="15" t="n"/>
      <c r="LRE91" s="15" t="n"/>
      <c r="LRF91" s="248" t="n"/>
      <c r="LRG91" s="248" t="n"/>
      <c r="LRH91" s="240" t="n"/>
      <c r="LRI91" s="240" t="n"/>
      <c r="LRK91" s="15" t="n"/>
      <c r="LRL91" s="15" t="n"/>
      <c r="LRM91" s="248" t="n"/>
      <c r="LRN91" s="248" t="n"/>
      <c r="LRO91" s="240" t="n"/>
      <c r="LRP91" s="240" t="n"/>
      <c r="LRR91" s="15" t="n"/>
      <c r="LRS91" s="15" t="n"/>
      <c r="LRT91" s="248" t="n"/>
      <c r="LRU91" s="248" t="n"/>
      <c r="LRV91" s="240" t="n"/>
      <c r="LRW91" s="240" t="n"/>
      <c r="LRY91" s="15" t="n"/>
      <c r="LRZ91" s="15" t="n"/>
      <c r="LSA91" s="248" t="n"/>
      <c r="LSB91" s="248" t="n"/>
      <c r="LSC91" s="240" t="n"/>
      <c r="LSD91" s="240" t="n"/>
      <c r="LSF91" s="15" t="n"/>
      <c r="LSG91" s="15" t="n"/>
      <c r="LSH91" s="248" t="n"/>
      <c r="LSI91" s="248" t="n"/>
      <c r="LSJ91" s="240" t="n"/>
      <c r="LSK91" s="240" t="n"/>
      <c r="LSM91" s="15" t="n"/>
      <c r="LSN91" s="15" t="n"/>
      <c r="LSO91" s="248" t="n"/>
      <c r="LSP91" s="248" t="n"/>
      <c r="LSQ91" s="240" t="n"/>
      <c r="LSR91" s="240" t="n"/>
      <c r="LST91" s="15" t="n"/>
      <c r="LSU91" s="15" t="n"/>
      <c r="LSV91" s="248" t="n"/>
      <c r="LSW91" s="248" t="n"/>
      <c r="LSX91" s="240" t="n"/>
      <c r="LSY91" s="240" t="n"/>
      <c r="LTA91" s="15" t="n"/>
      <c r="LTB91" s="15" t="n"/>
      <c r="LTC91" s="248" t="n"/>
      <c r="LTD91" s="248" t="n"/>
      <c r="LTE91" s="240" t="n"/>
      <c r="LTF91" s="240" t="n"/>
      <c r="LTH91" s="15" t="n"/>
      <c r="LTI91" s="15" t="n"/>
      <c r="LTJ91" s="248" t="n"/>
      <c r="LTK91" s="248" t="n"/>
      <c r="LTL91" s="240" t="n"/>
      <c r="LTM91" s="240" t="n"/>
      <c r="LTO91" s="15" t="n"/>
      <c r="LTP91" s="15" t="n"/>
      <c r="LTQ91" s="248" t="n"/>
      <c r="LTR91" s="248" t="n"/>
      <c r="LTS91" s="240" t="n"/>
      <c r="LTT91" s="240" t="n"/>
      <c r="LTV91" s="15" t="n"/>
      <c r="LTW91" s="15" t="n"/>
      <c r="LTX91" s="248" t="n"/>
      <c r="LTY91" s="248" t="n"/>
      <c r="LTZ91" s="240" t="n"/>
      <c r="LUA91" s="240" t="n"/>
      <c r="LUC91" s="15" t="n"/>
      <c r="LUD91" s="15" t="n"/>
      <c r="LUE91" s="248" t="n"/>
      <c r="LUF91" s="248" t="n"/>
      <c r="LUG91" s="240" t="n"/>
      <c r="LUH91" s="240" t="n"/>
      <c r="LUJ91" s="15" t="n"/>
      <c r="LUK91" s="15" t="n"/>
      <c r="LUL91" s="248" t="n"/>
      <c r="LUM91" s="248" t="n"/>
      <c r="LUN91" s="240" t="n"/>
      <c r="LUO91" s="240" t="n"/>
      <c r="LUQ91" s="15" t="n"/>
      <c r="LUR91" s="15" t="n"/>
      <c r="LUS91" s="248" t="n"/>
      <c r="LUT91" s="248" t="n"/>
      <c r="LUU91" s="240" t="n"/>
      <c r="LUV91" s="240" t="n"/>
      <c r="LUX91" s="15" t="n"/>
      <c r="LUY91" s="15" t="n"/>
      <c r="LUZ91" s="248" t="n"/>
      <c r="LVA91" s="248" t="n"/>
      <c r="LVB91" s="240" t="n"/>
      <c r="LVC91" s="240" t="n"/>
      <c r="LVE91" s="15" t="n"/>
      <c r="LVF91" s="15" t="n"/>
      <c r="LVG91" s="248" t="n"/>
      <c r="LVH91" s="248" t="n"/>
      <c r="LVI91" s="240" t="n"/>
      <c r="LVJ91" s="240" t="n"/>
      <c r="LVL91" s="15" t="n"/>
      <c r="LVM91" s="15" t="n"/>
      <c r="LVN91" s="248" t="n"/>
      <c r="LVO91" s="248" t="n"/>
      <c r="LVP91" s="240" t="n"/>
      <c r="LVQ91" s="240" t="n"/>
      <c r="LVS91" s="15" t="n"/>
      <c r="LVT91" s="15" t="n"/>
      <c r="LVU91" s="248" t="n"/>
      <c r="LVV91" s="248" t="n"/>
      <c r="LVW91" s="240" t="n"/>
      <c r="LVX91" s="240" t="n"/>
      <c r="LVZ91" s="15" t="n"/>
      <c r="LWA91" s="15" t="n"/>
      <c r="LWB91" s="248" t="n"/>
      <c r="LWC91" s="248" t="n"/>
      <c r="LWD91" s="240" t="n"/>
      <c r="LWE91" s="240" t="n"/>
      <c r="LWG91" s="15" t="n"/>
      <c r="LWH91" s="15" t="n"/>
      <c r="LWI91" s="248" t="n"/>
      <c r="LWJ91" s="248" t="n"/>
      <c r="LWK91" s="240" t="n"/>
      <c r="LWL91" s="240" t="n"/>
      <c r="LWN91" s="15" t="n"/>
      <c r="LWO91" s="15" t="n"/>
      <c r="LWP91" s="248" t="n"/>
      <c r="LWQ91" s="248" t="n"/>
      <c r="LWR91" s="240" t="n"/>
      <c r="LWS91" s="240" t="n"/>
      <c r="LWU91" s="15" t="n"/>
      <c r="LWV91" s="15" t="n"/>
      <c r="LWW91" s="248" t="n"/>
      <c r="LWX91" s="248" t="n"/>
      <c r="LWY91" s="240" t="n"/>
      <c r="LWZ91" s="240" t="n"/>
      <c r="LXB91" s="15" t="n"/>
      <c r="LXC91" s="15" t="n"/>
      <c r="LXD91" s="248" t="n"/>
      <c r="LXE91" s="248" t="n"/>
      <c r="LXF91" s="240" t="n"/>
      <c r="LXG91" s="240" t="n"/>
      <c r="LXI91" s="15" t="n"/>
      <c r="LXJ91" s="15" t="n"/>
      <c r="LXK91" s="248" t="n"/>
      <c r="LXL91" s="248" t="n"/>
      <c r="LXM91" s="240" t="n"/>
      <c r="LXN91" s="240" t="n"/>
      <c r="LXP91" s="15" t="n"/>
      <c r="LXQ91" s="15" t="n"/>
      <c r="LXR91" s="248" t="n"/>
      <c r="LXS91" s="248" t="n"/>
      <c r="LXT91" s="240" t="n"/>
      <c r="LXU91" s="240" t="n"/>
      <c r="LXW91" s="15" t="n"/>
      <c r="LXX91" s="15" t="n"/>
      <c r="LXY91" s="248" t="n"/>
      <c r="LXZ91" s="248" t="n"/>
      <c r="LYA91" s="240" t="n"/>
      <c r="LYB91" s="240" t="n"/>
      <c r="LYD91" s="15" t="n"/>
      <c r="LYE91" s="15" t="n"/>
      <c r="LYF91" s="248" t="n"/>
      <c r="LYG91" s="248" t="n"/>
      <c r="LYH91" s="240" t="n"/>
      <c r="LYI91" s="240" t="n"/>
      <c r="LYK91" s="15" t="n"/>
      <c r="LYL91" s="15" t="n"/>
      <c r="LYM91" s="248" t="n"/>
      <c r="LYN91" s="248" t="n"/>
      <c r="LYO91" s="240" t="n"/>
      <c r="LYP91" s="240" t="n"/>
      <c r="LYR91" s="15" t="n"/>
      <c r="LYS91" s="15" t="n"/>
      <c r="LYT91" s="248" t="n"/>
      <c r="LYU91" s="248" t="n"/>
      <c r="LYV91" s="240" t="n"/>
      <c r="LYW91" s="240" t="n"/>
      <c r="LYY91" s="15" t="n"/>
      <c r="LYZ91" s="15" t="n"/>
      <c r="LZA91" s="248" t="n"/>
      <c r="LZB91" s="248" t="n"/>
      <c r="LZC91" s="240" t="n"/>
      <c r="LZD91" s="240" t="n"/>
      <c r="LZF91" s="15" t="n"/>
      <c r="LZG91" s="15" t="n"/>
      <c r="LZH91" s="248" t="n"/>
      <c r="LZI91" s="248" t="n"/>
      <c r="LZJ91" s="240" t="n"/>
      <c r="LZK91" s="240" t="n"/>
      <c r="LZM91" s="15" t="n"/>
      <c r="LZN91" s="15" t="n"/>
      <c r="LZO91" s="248" t="n"/>
      <c r="LZP91" s="248" t="n"/>
      <c r="LZQ91" s="240" t="n"/>
      <c r="LZR91" s="240" t="n"/>
      <c r="LZT91" s="15" t="n"/>
      <c r="LZU91" s="15" t="n"/>
      <c r="LZV91" s="248" t="n"/>
      <c r="LZW91" s="248" t="n"/>
      <c r="LZX91" s="240" t="n"/>
      <c r="LZY91" s="240" t="n"/>
      <c r="MAA91" s="15" t="n"/>
      <c r="MAB91" s="15" t="n"/>
      <c r="MAC91" s="248" t="n"/>
      <c r="MAD91" s="248" t="n"/>
      <c r="MAE91" s="240" t="n"/>
      <c r="MAF91" s="240" t="n"/>
      <c r="MAH91" s="15" t="n"/>
      <c r="MAI91" s="15" t="n"/>
      <c r="MAJ91" s="248" t="n"/>
      <c r="MAK91" s="248" t="n"/>
      <c r="MAL91" s="240" t="n"/>
      <c r="MAM91" s="240" t="n"/>
      <c r="MAO91" s="15" t="n"/>
      <c r="MAP91" s="15" t="n"/>
      <c r="MAQ91" s="248" t="n"/>
      <c r="MAR91" s="248" t="n"/>
      <c r="MAS91" s="240" t="n"/>
      <c r="MAT91" s="240" t="n"/>
      <c r="MAV91" s="15" t="n"/>
      <c r="MAW91" s="15" t="n"/>
      <c r="MAX91" s="248" t="n"/>
      <c r="MAY91" s="248" t="n"/>
      <c r="MAZ91" s="240" t="n"/>
      <c r="MBA91" s="240" t="n"/>
      <c r="MBC91" s="15" t="n"/>
      <c r="MBD91" s="15" t="n"/>
      <c r="MBE91" s="248" t="n"/>
      <c r="MBF91" s="248" t="n"/>
      <c r="MBG91" s="240" t="n"/>
      <c r="MBH91" s="240" t="n"/>
      <c r="MBJ91" s="15" t="n"/>
      <c r="MBK91" s="15" t="n"/>
      <c r="MBL91" s="248" t="n"/>
      <c r="MBM91" s="248" t="n"/>
      <c r="MBN91" s="240" t="n"/>
      <c r="MBO91" s="240" t="n"/>
      <c r="MBQ91" s="15" t="n"/>
      <c r="MBR91" s="15" t="n"/>
      <c r="MBS91" s="248" t="n"/>
      <c r="MBT91" s="248" t="n"/>
      <c r="MBU91" s="240" t="n"/>
      <c r="MBV91" s="240" t="n"/>
      <c r="MBX91" s="15" t="n"/>
      <c r="MBY91" s="15" t="n"/>
      <c r="MBZ91" s="248" t="n"/>
      <c r="MCA91" s="248" t="n"/>
      <c r="MCB91" s="240" t="n"/>
      <c r="MCC91" s="240" t="n"/>
      <c r="MCE91" s="15" t="n"/>
      <c r="MCF91" s="15" t="n"/>
      <c r="MCG91" s="248" t="n"/>
      <c r="MCH91" s="248" t="n"/>
      <c r="MCI91" s="240" t="n"/>
      <c r="MCJ91" s="240" t="n"/>
      <c r="MCL91" s="15" t="n"/>
      <c r="MCM91" s="15" t="n"/>
      <c r="MCN91" s="248" t="n"/>
      <c r="MCO91" s="248" t="n"/>
      <c r="MCP91" s="240" t="n"/>
      <c r="MCQ91" s="240" t="n"/>
      <c r="MCS91" s="15" t="n"/>
      <c r="MCT91" s="15" t="n"/>
      <c r="MCU91" s="248" t="n"/>
      <c r="MCV91" s="248" t="n"/>
      <c r="MCW91" s="240" t="n"/>
      <c r="MCX91" s="240" t="n"/>
      <c r="MCZ91" s="15" t="n"/>
      <c r="MDA91" s="15" t="n"/>
      <c r="MDB91" s="248" t="n"/>
      <c r="MDC91" s="248" t="n"/>
      <c r="MDD91" s="240" t="n"/>
      <c r="MDE91" s="240" t="n"/>
      <c r="MDG91" s="15" t="n"/>
      <c r="MDH91" s="15" t="n"/>
      <c r="MDI91" s="248" t="n"/>
      <c r="MDJ91" s="248" t="n"/>
      <c r="MDK91" s="240" t="n"/>
      <c r="MDL91" s="240" t="n"/>
      <c r="MDN91" s="15" t="n"/>
      <c r="MDO91" s="15" t="n"/>
      <c r="MDP91" s="248" t="n"/>
      <c r="MDQ91" s="248" t="n"/>
      <c r="MDR91" s="240" t="n"/>
      <c r="MDS91" s="240" t="n"/>
      <c r="MDU91" s="15" t="n"/>
      <c r="MDV91" s="15" t="n"/>
      <c r="MDW91" s="248" t="n"/>
      <c r="MDX91" s="248" t="n"/>
      <c r="MDY91" s="240" t="n"/>
      <c r="MDZ91" s="240" t="n"/>
      <c r="MEB91" s="15" t="n"/>
      <c r="MEC91" s="15" t="n"/>
      <c r="MED91" s="248" t="n"/>
      <c r="MEE91" s="248" t="n"/>
      <c r="MEF91" s="240" t="n"/>
      <c r="MEG91" s="240" t="n"/>
      <c r="MEI91" s="15" t="n"/>
      <c r="MEJ91" s="15" t="n"/>
      <c r="MEK91" s="248" t="n"/>
      <c r="MEL91" s="248" t="n"/>
      <c r="MEM91" s="240" t="n"/>
      <c r="MEN91" s="240" t="n"/>
      <c r="MEP91" s="15" t="n"/>
      <c r="MEQ91" s="15" t="n"/>
      <c r="MER91" s="248" t="n"/>
      <c r="MES91" s="248" t="n"/>
      <c r="MET91" s="240" t="n"/>
      <c r="MEU91" s="240" t="n"/>
      <c r="MEW91" s="15" t="n"/>
      <c r="MEX91" s="15" t="n"/>
      <c r="MEY91" s="248" t="n"/>
      <c r="MEZ91" s="248" t="n"/>
      <c r="MFA91" s="240" t="n"/>
      <c r="MFB91" s="240" t="n"/>
      <c r="MFD91" s="15" t="n"/>
      <c r="MFE91" s="15" t="n"/>
      <c r="MFF91" s="248" t="n"/>
      <c r="MFG91" s="248" t="n"/>
      <c r="MFH91" s="240" t="n"/>
      <c r="MFI91" s="240" t="n"/>
      <c r="MFK91" s="15" t="n"/>
      <c r="MFL91" s="15" t="n"/>
      <c r="MFM91" s="248" t="n"/>
      <c r="MFN91" s="248" t="n"/>
      <c r="MFO91" s="240" t="n"/>
      <c r="MFP91" s="240" t="n"/>
      <c r="MFR91" s="15" t="n"/>
      <c r="MFS91" s="15" t="n"/>
      <c r="MFT91" s="248" t="n"/>
      <c r="MFU91" s="248" t="n"/>
      <c r="MFV91" s="240" t="n"/>
      <c r="MFW91" s="240" t="n"/>
      <c r="MFY91" s="15" t="n"/>
      <c r="MFZ91" s="15" t="n"/>
      <c r="MGA91" s="248" t="n"/>
      <c r="MGB91" s="248" t="n"/>
      <c r="MGC91" s="240" t="n"/>
      <c r="MGD91" s="240" t="n"/>
      <c r="MGF91" s="15" t="n"/>
      <c r="MGG91" s="15" t="n"/>
      <c r="MGH91" s="248" t="n"/>
      <c r="MGI91" s="248" t="n"/>
      <c r="MGJ91" s="240" t="n"/>
      <c r="MGK91" s="240" t="n"/>
      <c r="MGM91" s="15" t="n"/>
      <c r="MGN91" s="15" t="n"/>
      <c r="MGO91" s="248" t="n"/>
      <c r="MGP91" s="248" t="n"/>
      <c r="MGQ91" s="240" t="n"/>
      <c r="MGR91" s="240" t="n"/>
      <c r="MGT91" s="15" t="n"/>
      <c r="MGU91" s="15" t="n"/>
      <c r="MGV91" s="248" t="n"/>
      <c r="MGW91" s="248" t="n"/>
      <c r="MGX91" s="240" t="n"/>
      <c r="MGY91" s="240" t="n"/>
      <c r="MHA91" s="15" t="n"/>
      <c r="MHB91" s="15" t="n"/>
      <c r="MHC91" s="248" t="n"/>
      <c r="MHD91" s="248" t="n"/>
      <c r="MHE91" s="240" t="n"/>
      <c r="MHF91" s="240" t="n"/>
      <c r="MHH91" s="15" t="n"/>
      <c r="MHI91" s="15" t="n"/>
      <c r="MHJ91" s="248" t="n"/>
      <c r="MHK91" s="248" t="n"/>
      <c r="MHL91" s="240" t="n"/>
      <c r="MHM91" s="240" t="n"/>
      <c r="MHO91" s="15" t="n"/>
      <c r="MHP91" s="15" t="n"/>
      <c r="MHQ91" s="248" t="n"/>
      <c r="MHR91" s="248" t="n"/>
      <c r="MHS91" s="240" t="n"/>
      <c r="MHT91" s="240" t="n"/>
      <c r="MHV91" s="15" t="n"/>
      <c r="MHW91" s="15" t="n"/>
      <c r="MHX91" s="248" t="n"/>
      <c r="MHY91" s="248" t="n"/>
      <c r="MHZ91" s="240" t="n"/>
      <c r="MIA91" s="240" t="n"/>
      <c r="MIC91" s="15" t="n"/>
      <c r="MID91" s="15" t="n"/>
      <c r="MIE91" s="248" t="n"/>
      <c r="MIF91" s="248" t="n"/>
      <c r="MIG91" s="240" t="n"/>
      <c r="MIH91" s="240" t="n"/>
      <c r="MIJ91" s="15" t="n"/>
      <c r="MIK91" s="15" t="n"/>
      <c r="MIL91" s="248" t="n"/>
      <c r="MIM91" s="248" t="n"/>
      <c r="MIN91" s="240" t="n"/>
      <c r="MIO91" s="240" t="n"/>
      <c r="MIQ91" s="15" t="n"/>
      <c r="MIR91" s="15" t="n"/>
      <c r="MIS91" s="248" t="n"/>
      <c r="MIT91" s="248" t="n"/>
      <c r="MIU91" s="240" t="n"/>
      <c r="MIV91" s="240" t="n"/>
      <c r="MIX91" s="15" t="n"/>
      <c r="MIY91" s="15" t="n"/>
      <c r="MIZ91" s="248" t="n"/>
      <c r="MJA91" s="248" t="n"/>
      <c r="MJB91" s="240" t="n"/>
      <c r="MJC91" s="240" t="n"/>
      <c r="MJE91" s="15" t="n"/>
      <c r="MJF91" s="15" t="n"/>
      <c r="MJG91" s="248" t="n"/>
      <c r="MJH91" s="248" t="n"/>
      <c r="MJI91" s="240" t="n"/>
      <c r="MJJ91" s="240" t="n"/>
      <c r="MJL91" s="15" t="n"/>
      <c r="MJM91" s="15" t="n"/>
      <c r="MJN91" s="248" t="n"/>
      <c r="MJO91" s="248" t="n"/>
      <c r="MJP91" s="240" t="n"/>
      <c r="MJQ91" s="240" t="n"/>
      <c r="MJS91" s="15" t="n"/>
      <c r="MJT91" s="15" t="n"/>
      <c r="MJU91" s="248" t="n"/>
      <c r="MJV91" s="248" t="n"/>
      <c r="MJW91" s="240" t="n"/>
      <c r="MJX91" s="240" t="n"/>
      <c r="MJZ91" s="15" t="n"/>
      <c r="MKA91" s="15" t="n"/>
      <c r="MKB91" s="248" t="n"/>
      <c r="MKC91" s="248" t="n"/>
      <c r="MKD91" s="240" t="n"/>
      <c r="MKE91" s="240" t="n"/>
      <c r="MKG91" s="15" t="n"/>
      <c r="MKH91" s="15" t="n"/>
      <c r="MKI91" s="248" t="n"/>
      <c r="MKJ91" s="248" t="n"/>
      <c r="MKK91" s="240" t="n"/>
      <c r="MKL91" s="240" t="n"/>
      <c r="MKN91" s="15" t="n"/>
      <c r="MKO91" s="15" t="n"/>
      <c r="MKP91" s="248" t="n"/>
      <c r="MKQ91" s="248" t="n"/>
      <c r="MKR91" s="240" t="n"/>
      <c r="MKS91" s="240" t="n"/>
      <c r="MKU91" s="15" t="n"/>
      <c r="MKV91" s="15" t="n"/>
      <c r="MKW91" s="248" t="n"/>
      <c r="MKX91" s="248" t="n"/>
      <c r="MKY91" s="240" t="n"/>
      <c r="MKZ91" s="240" t="n"/>
      <c r="MLB91" s="15" t="n"/>
      <c r="MLC91" s="15" t="n"/>
      <c r="MLD91" s="248" t="n"/>
      <c r="MLE91" s="248" t="n"/>
      <c r="MLF91" s="240" t="n"/>
      <c r="MLG91" s="240" t="n"/>
      <c r="MLI91" s="15" t="n"/>
      <c r="MLJ91" s="15" t="n"/>
      <c r="MLK91" s="248" t="n"/>
      <c r="MLL91" s="248" t="n"/>
      <c r="MLM91" s="240" t="n"/>
      <c r="MLN91" s="240" t="n"/>
      <c r="MLP91" s="15" t="n"/>
      <c r="MLQ91" s="15" t="n"/>
      <c r="MLR91" s="248" t="n"/>
      <c r="MLS91" s="248" t="n"/>
      <c r="MLT91" s="240" t="n"/>
      <c r="MLU91" s="240" t="n"/>
      <c r="MLW91" s="15" t="n"/>
      <c r="MLX91" s="15" t="n"/>
      <c r="MLY91" s="248" t="n"/>
      <c r="MLZ91" s="248" t="n"/>
      <c r="MMA91" s="240" t="n"/>
      <c r="MMB91" s="240" t="n"/>
      <c r="MMD91" s="15" t="n"/>
      <c r="MME91" s="15" t="n"/>
      <c r="MMF91" s="248" t="n"/>
      <c r="MMG91" s="248" t="n"/>
      <c r="MMH91" s="240" t="n"/>
      <c r="MMI91" s="240" t="n"/>
      <c r="MMK91" s="15" t="n"/>
      <c r="MML91" s="15" t="n"/>
      <c r="MMM91" s="248" t="n"/>
      <c r="MMN91" s="248" t="n"/>
      <c r="MMO91" s="240" t="n"/>
      <c r="MMP91" s="240" t="n"/>
      <c r="MMR91" s="15" t="n"/>
      <c r="MMS91" s="15" t="n"/>
      <c r="MMT91" s="248" t="n"/>
      <c r="MMU91" s="248" t="n"/>
      <c r="MMV91" s="240" t="n"/>
      <c r="MMW91" s="240" t="n"/>
      <c r="MMY91" s="15" t="n"/>
      <c r="MMZ91" s="15" t="n"/>
      <c r="MNA91" s="248" t="n"/>
      <c r="MNB91" s="248" t="n"/>
      <c r="MNC91" s="240" t="n"/>
      <c r="MND91" s="240" t="n"/>
      <c r="MNF91" s="15" t="n"/>
      <c r="MNG91" s="15" t="n"/>
      <c r="MNH91" s="248" t="n"/>
      <c r="MNI91" s="248" t="n"/>
      <c r="MNJ91" s="240" t="n"/>
      <c r="MNK91" s="240" t="n"/>
      <c r="MNM91" s="15" t="n"/>
      <c r="MNN91" s="15" t="n"/>
      <c r="MNO91" s="248" t="n"/>
      <c r="MNP91" s="248" t="n"/>
      <c r="MNQ91" s="240" t="n"/>
      <c r="MNR91" s="240" t="n"/>
      <c r="MNT91" s="15" t="n"/>
      <c r="MNU91" s="15" t="n"/>
      <c r="MNV91" s="248" t="n"/>
      <c r="MNW91" s="248" t="n"/>
      <c r="MNX91" s="240" t="n"/>
      <c r="MNY91" s="240" t="n"/>
      <c r="MOA91" s="15" t="n"/>
      <c r="MOB91" s="15" t="n"/>
      <c r="MOC91" s="248" t="n"/>
      <c r="MOD91" s="248" t="n"/>
      <c r="MOE91" s="240" t="n"/>
      <c r="MOF91" s="240" t="n"/>
      <c r="MOH91" s="15" t="n"/>
      <c r="MOI91" s="15" t="n"/>
      <c r="MOJ91" s="248" t="n"/>
      <c r="MOK91" s="248" t="n"/>
      <c r="MOL91" s="240" t="n"/>
      <c r="MOM91" s="240" t="n"/>
      <c r="MOO91" s="15" t="n"/>
      <c r="MOP91" s="15" t="n"/>
      <c r="MOQ91" s="248" t="n"/>
      <c r="MOR91" s="248" t="n"/>
      <c r="MOS91" s="240" t="n"/>
      <c r="MOT91" s="240" t="n"/>
      <c r="MOV91" s="15" t="n"/>
      <c r="MOW91" s="15" t="n"/>
      <c r="MOX91" s="248" t="n"/>
      <c r="MOY91" s="248" t="n"/>
      <c r="MOZ91" s="240" t="n"/>
      <c r="MPA91" s="240" t="n"/>
      <c r="MPC91" s="15" t="n"/>
      <c r="MPD91" s="15" t="n"/>
      <c r="MPE91" s="248" t="n"/>
      <c r="MPF91" s="248" t="n"/>
      <c r="MPG91" s="240" t="n"/>
      <c r="MPH91" s="240" t="n"/>
      <c r="MPJ91" s="15" t="n"/>
      <c r="MPK91" s="15" t="n"/>
      <c r="MPL91" s="248" t="n"/>
      <c r="MPM91" s="248" t="n"/>
      <c r="MPN91" s="240" t="n"/>
      <c r="MPO91" s="240" t="n"/>
      <c r="MPQ91" s="15" t="n"/>
      <c r="MPR91" s="15" t="n"/>
      <c r="MPS91" s="248" t="n"/>
      <c r="MPT91" s="248" t="n"/>
      <c r="MPU91" s="240" t="n"/>
      <c r="MPV91" s="240" t="n"/>
      <c r="MPX91" s="15" t="n"/>
      <c r="MPY91" s="15" t="n"/>
      <c r="MPZ91" s="248" t="n"/>
      <c r="MQA91" s="248" t="n"/>
      <c r="MQB91" s="240" t="n"/>
      <c r="MQC91" s="240" t="n"/>
      <c r="MQE91" s="15" t="n"/>
      <c r="MQF91" s="15" t="n"/>
      <c r="MQG91" s="248" t="n"/>
      <c r="MQH91" s="248" t="n"/>
      <c r="MQI91" s="240" t="n"/>
      <c r="MQJ91" s="240" t="n"/>
      <c r="MQL91" s="15" t="n"/>
      <c r="MQM91" s="15" t="n"/>
      <c r="MQN91" s="248" t="n"/>
      <c r="MQO91" s="248" t="n"/>
      <c r="MQP91" s="240" t="n"/>
      <c r="MQQ91" s="240" t="n"/>
      <c r="MQS91" s="15" t="n"/>
      <c r="MQT91" s="15" t="n"/>
      <c r="MQU91" s="248" t="n"/>
      <c r="MQV91" s="248" t="n"/>
      <c r="MQW91" s="240" t="n"/>
      <c r="MQX91" s="240" t="n"/>
      <c r="MQZ91" s="15" t="n"/>
      <c r="MRA91" s="15" t="n"/>
      <c r="MRB91" s="248" t="n"/>
      <c r="MRC91" s="248" t="n"/>
      <c r="MRD91" s="240" t="n"/>
      <c r="MRE91" s="240" t="n"/>
      <c r="MRG91" s="15" t="n"/>
      <c r="MRH91" s="15" t="n"/>
      <c r="MRI91" s="248" t="n"/>
      <c r="MRJ91" s="248" t="n"/>
      <c r="MRK91" s="240" t="n"/>
      <c r="MRL91" s="240" t="n"/>
      <c r="MRN91" s="15" t="n"/>
      <c r="MRO91" s="15" t="n"/>
      <c r="MRP91" s="248" t="n"/>
      <c r="MRQ91" s="248" t="n"/>
      <c r="MRR91" s="240" t="n"/>
      <c r="MRS91" s="240" t="n"/>
      <c r="MRU91" s="15" t="n"/>
      <c r="MRV91" s="15" t="n"/>
      <c r="MRW91" s="248" t="n"/>
      <c r="MRX91" s="248" t="n"/>
      <c r="MRY91" s="240" t="n"/>
      <c r="MRZ91" s="240" t="n"/>
      <c r="MSB91" s="15" t="n"/>
      <c r="MSC91" s="15" t="n"/>
      <c r="MSD91" s="248" t="n"/>
      <c r="MSE91" s="248" t="n"/>
      <c r="MSF91" s="240" t="n"/>
      <c r="MSG91" s="240" t="n"/>
      <c r="MSI91" s="15" t="n"/>
      <c r="MSJ91" s="15" t="n"/>
      <c r="MSK91" s="248" t="n"/>
      <c r="MSL91" s="248" t="n"/>
      <c r="MSM91" s="240" t="n"/>
      <c r="MSN91" s="240" t="n"/>
      <c r="MSP91" s="15" t="n"/>
      <c r="MSQ91" s="15" t="n"/>
      <c r="MSR91" s="248" t="n"/>
      <c r="MSS91" s="248" t="n"/>
      <c r="MST91" s="240" t="n"/>
      <c r="MSU91" s="240" t="n"/>
      <c r="MSW91" s="15" t="n"/>
      <c r="MSX91" s="15" t="n"/>
      <c r="MSY91" s="248" t="n"/>
      <c r="MSZ91" s="248" t="n"/>
      <c r="MTA91" s="240" t="n"/>
      <c r="MTB91" s="240" t="n"/>
      <c r="MTD91" s="15" t="n"/>
      <c r="MTE91" s="15" t="n"/>
      <c r="MTF91" s="248" t="n"/>
      <c r="MTG91" s="248" t="n"/>
      <c r="MTH91" s="240" t="n"/>
      <c r="MTI91" s="240" t="n"/>
      <c r="MTK91" s="15" t="n"/>
      <c r="MTL91" s="15" t="n"/>
      <c r="MTM91" s="248" t="n"/>
      <c r="MTN91" s="248" t="n"/>
      <c r="MTO91" s="240" t="n"/>
      <c r="MTP91" s="240" t="n"/>
      <c r="MTR91" s="15" t="n"/>
      <c r="MTS91" s="15" t="n"/>
      <c r="MTT91" s="248" t="n"/>
      <c r="MTU91" s="248" t="n"/>
      <c r="MTV91" s="240" t="n"/>
      <c r="MTW91" s="240" t="n"/>
      <c r="MTY91" s="15" t="n"/>
      <c r="MTZ91" s="15" t="n"/>
      <c r="MUA91" s="248" t="n"/>
      <c r="MUB91" s="248" t="n"/>
      <c r="MUC91" s="240" t="n"/>
      <c r="MUD91" s="240" t="n"/>
      <c r="MUF91" s="15" t="n"/>
      <c r="MUG91" s="15" t="n"/>
      <c r="MUH91" s="248" t="n"/>
      <c r="MUI91" s="248" t="n"/>
      <c r="MUJ91" s="240" t="n"/>
      <c r="MUK91" s="240" t="n"/>
      <c r="MUM91" s="15" t="n"/>
      <c r="MUN91" s="15" t="n"/>
      <c r="MUO91" s="248" t="n"/>
      <c r="MUP91" s="248" t="n"/>
      <c r="MUQ91" s="240" t="n"/>
      <c r="MUR91" s="240" t="n"/>
      <c r="MUT91" s="15" t="n"/>
      <c r="MUU91" s="15" t="n"/>
      <c r="MUV91" s="248" t="n"/>
      <c r="MUW91" s="248" t="n"/>
      <c r="MUX91" s="240" t="n"/>
      <c r="MUY91" s="240" t="n"/>
      <c r="MVA91" s="15" t="n"/>
      <c r="MVB91" s="15" t="n"/>
      <c r="MVC91" s="248" t="n"/>
      <c r="MVD91" s="248" t="n"/>
      <c r="MVE91" s="240" t="n"/>
      <c r="MVF91" s="240" t="n"/>
      <c r="MVH91" s="15" t="n"/>
      <c r="MVI91" s="15" t="n"/>
      <c r="MVJ91" s="248" t="n"/>
      <c r="MVK91" s="248" t="n"/>
      <c r="MVL91" s="240" t="n"/>
      <c r="MVM91" s="240" t="n"/>
      <c r="MVO91" s="15" t="n"/>
      <c r="MVP91" s="15" t="n"/>
      <c r="MVQ91" s="248" t="n"/>
      <c r="MVR91" s="248" t="n"/>
      <c r="MVS91" s="240" t="n"/>
      <c r="MVT91" s="240" t="n"/>
      <c r="MVV91" s="15" t="n"/>
      <c r="MVW91" s="15" t="n"/>
      <c r="MVX91" s="248" t="n"/>
      <c r="MVY91" s="248" t="n"/>
      <c r="MVZ91" s="240" t="n"/>
      <c r="MWA91" s="240" t="n"/>
      <c r="MWC91" s="15" t="n"/>
      <c r="MWD91" s="15" t="n"/>
      <c r="MWE91" s="248" t="n"/>
      <c r="MWF91" s="248" t="n"/>
      <c r="MWG91" s="240" t="n"/>
      <c r="MWH91" s="240" t="n"/>
      <c r="MWJ91" s="15" t="n"/>
      <c r="MWK91" s="15" t="n"/>
      <c r="MWL91" s="248" t="n"/>
      <c r="MWM91" s="248" t="n"/>
      <c r="MWN91" s="240" t="n"/>
      <c r="MWO91" s="240" t="n"/>
      <c r="MWQ91" s="15" t="n"/>
      <c r="MWR91" s="15" t="n"/>
      <c r="MWS91" s="248" t="n"/>
      <c r="MWT91" s="248" t="n"/>
      <c r="MWU91" s="240" t="n"/>
      <c r="MWV91" s="240" t="n"/>
      <c r="MWX91" s="15" t="n"/>
      <c r="MWY91" s="15" t="n"/>
      <c r="MWZ91" s="248" t="n"/>
      <c r="MXA91" s="248" t="n"/>
      <c r="MXB91" s="240" t="n"/>
      <c r="MXC91" s="240" t="n"/>
      <c r="MXE91" s="15" t="n"/>
      <c r="MXF91" s="15" t="n"/>
      <c r="MXG91" s="248" t="n"/>
      <c r="MXH91" s="248" t="n"/>
      <c r="MXI91" s="240" t="n"/>
      <c r="MXJ91" s="240" t="n"/>
      <c r="MXL91" s="15" t="n"/>
      <c r="MXM91" s="15" t="n"/>
      <c r="MXN91" s="248" t="n"/>
      <c r="MXO91" s="248" t="n"/>
      <c r="MXP91" s="240" t="n"/>
      <c r="MXQ91" s="240" t="n"/>
      <c r="MXS91" s="15" t="n"/>
      <c r="MXT91" s="15" t="n"/>
      <c r="MXU91" s="248" t="n"/>
      <c r="MXV91" s="248" t="n"/>
      <c r="MXW91" s="240" t="n"/>
      <c r="MXX91" s="240" t="n"/>
      <c r="MXZ91" s="15" t="n"/>
      <c r="MYA91" s="15" t="n"/>
      <c r="MYB91" s="248" t="n"/>
      <c r="MYC91" s="248" t="n"/>
      <c r="MYD91" s="240" t="n"/>
      <c r="MYE91" s="240" t="n"/>
      <c r="MYG91" s="15" t="n"/>
      <c r="MYH91" s="15" t="n"/>
      <c r="MYI91" s="248" t="n"/>
      <c r="MYJ91" s="248" t="n"/>
      <c r="MYK91" s="240" t="n"/>
      <c r="MYL91" s="240" t="n"/>
      <c r="MYN91" s="15" t="n"/>
      <c r="MYO91" s="15" t="n"/>
      <c r="MYP91" s="248" t="n"/>
      <c r="MYQ91" s="248" t="n"/>
      <c r="MYR91" s="240" t="n"/>
      <c r="MYS91" s="240" t="n"/>
      <c r="MYU91" s="15" t="n"/>
      <c r="MYV91" s="15" t="n"/>
      <c r="MYW91" s="248" t="n"/>
      <c r="MYX91" s="248" t="n"/>
      <c r="MYY91" s="240" t="n"/>
      <c r="MYZ91" s="240" t="n"/>
      <c r="MZB91" s="15" t="n"/>
      <c r="MZC91" s="15" t="n"/>
      <c r="MZD91" s="248" t="n"/>
      <c r="MZE91" s="248" t="n"/>
      <c r="MZF91" s="240" t="n"/>
      <c r="MZG91" s="240" t="n"/>
      <c r="MZI91" s="15" t="n"/>
      <c r="MZJ91" s="15" t="n"/>
      <c r="MZK91" s="248" t="n"/>
      <c r="MZL91" s="248" t="n"/>
      <c r="MZM91" s="240" t="n"/>
      <c r="MZN91" s="240" t="n"/>
      <c r="MZP91" s="15" t="n"/>
      <c r="MZQ91" s="15" t="n"/>
      <c r="MZR91" s="248" t="n"/>
      <c r="MZS91" s="248" t="n"/>
      <c r="MZT91" s="240" t="n"/>
      <c r="MZU91" s="240" t="n"/>
      <c r="MZW91" s="15" t="n"/>
      <c r="MZX91" s="15" t="n"/>
      <c r="MZY91" s="248" t="n"/>
      <c r="MZZ91" s="248" t="n"/>
      <c r="NAA91" s="240" t="n"/>
      <c r="NAB91" s="240" t="n"/>
      <c r="NAD91" s="15" t="n"/>
      <c r="NAE91" s="15" t="n"/>
      <c r="NAF91" s="248" t="n"/>
      <c r="NAG91" s="248" t="n"/>
      <c r="NAH91" s="240" t="n"/>
      <c r="NAI91" s="240" t="n"/>
      <c r="NAK91" s="15" t="n"/>
      <c r="NAL91" s="15" t="n"/>
      <c r="NAM91" s="248" t="n"/>
      <c r="NAN91" s="248" t="n"/>
      <c r="NAO91" s="240" t="n"/>
      <c r="NAP91" s="240" t="n"/>
      <c r="NAR91" s="15" t="n"/>
      <c r="NAS91" s="15" t="n"/>
      <c r="NAT91" s="248" t="n"/>
      <c r="NAU91" s="248" t="n"/>
      <c r="NAV91" s="240" t="n"/>
      <c r="NAW91" s="240" t="n"/>
      <c r="NAY91" s="15" t="n"/>
      <c r="NAZ91" s="15" t="n"/>
      <c r="NBA91" s="248" t="n"/>
      <c r="NBB91" s="248" t="n"/>
      <c r="NBC91" s="240" t="n"/>
      <c r="NBD91" s="240" t="n"/>
      <c r="NBF91" s="15" t="n"/>
      <c r="NBG91" s="15" t="n"/>
      <c r="NBH91" s="248" t="n"/>
      <c r="NBI91" s="248" t="n"/>
      <c r="NBJ91" s="240" t="n"/>
      <c r="NBK91" s="240" t="n"/>
      <c r="NBM91" s="15" t="n"/>
      <c r="NBN91" s="15" t="n"/>
      <c r="NBO91" s="248" t="n"/>
      <c r="NBP91" s="248" t="n"/>
      <c r="NBQ91" s="240" t="n"/>
      <c r="NBR91" s="240" t="n"/>
      <c r="NBT91" s="15" t="n"/>
      <c r="NBU91" s="15" t="n"/>
      <c r="NBV91" s="248" t="n"/>
      <c r="NBW91" s="248" t="n"/>
      <c r="NBX91" s="240" t="n"/>
      <c r="NBY91" s="240" t="n"/>
      <c r="NCA91" s="15" t="n"/>
      <c r="NCB91" s="15" t="n"/>
      <c r="NCC91" s="248" t="n"/>
      <c r="NCD91" s="248" t="n"/>
      <c r="NCE91" s="240" t="n"/>
      <c r="NCF91" s="240" t="n"/>
      <c r="NCH91" s="15" t="n"/>
      <c r="NCI91" s="15" t="n"/>
      <c r="NCJ91" s="248" t="n"/>
      <c r="NCK91" s="248" t="n"/>
      <c r="NCL91" s="240" t="n"/>
      <c r="NCM91" s="240" t="n"/>
      <c r="NCO91" s="15" t="n"/>
      <c r="NCP91" s="15" t="n"/>
      <c r="NCQ91" s="248" t="n"/>
      <c r="NCR91" s="248" t="n"/>
      <c r="NCS91" s="240" t="n"/>
      <c r="NCT91" s="240" t="n"/>
      <c r="NCV91" s="15" t="n"/>
      <c r="NCW91" s="15" t="n"/>
      <c r="NCX91" s="248" t="n"/>
      <c r="NCY91" s="248" t="n"/>
      <c r="NCZ91" s="240" t="n"/>
      <c r="NDA91" s="240" t="n"/>
      <c r="NDC91" s="15" t="n"/>
      <c r="NDD91" s="15" t="n"/>
      <c r="NDE91" s="248" t="n"/>
      <c r="NDF91" s="248" t="n"/>
      <c r="NDG91" s="240" t="n"/>
      <c r="NDH91" s="240" t="n"/>
      <c r="NDJ91" s="15" t="n"/>
      <c r="NDK91" s="15" t="n"/>
      <c r="NDL91" s="248" t="n"/>
      <c r="NDM91" s="248" t="n"/>
      <c r="NDN91" s="240" t="n"/>
      <c r="NDO91" s="240" t="n"/>
      <c r="NDQ91" s="15" t="n"/>
      <c r="NDR91" s="15" t="n"/>
      <c r="NDS91" s="248" t="n"/>
      <c r="NDT91" s="248" t="n"/>
      <c r="NDU91" s="240" t="n"/>
      <c r="NDV91" s="240" t="n"/>
      <c r="NDX91" s="15" t="n"/>
      <c r="NDY91" s="15" t="n"/>
      <c r="NDZ91" s="248" t="n"/>
      <c r="NEA91" s="248" t="n"/>
      <c r="NEB91" s="240" t="n"/>
      <c r="NEC91" s="240" t="n"/>
      <c r="NEE91" s="15" t="n"/>
      <c r="NEF91" s="15" t="n"/>
      <c r="NEG91" s="248" t="n"/>
      <c r="NEH91" s="248" t="n"/>
      <c r="NEI91" s="240" t="n"/>
      <c r="NEJ91" s="240" t="n"/>
      <c r="NEL91" s="15" t="n"/>
      <c r="NEM91" s="15" t="n"/>
      <c r="NEN91" s="248" t="n"/>
      <c r="NEO91" s="248" t="n"/>
      <c r="NEP91" s="240" t="n"/>
      <c r="NEQ91" s="240" t="n"/>
      <c r="NES91" s="15" t="n"/>
      <c r="NET91" s="15" t="n"/>
      <c r="NEU91" s="248" t="n"/>
      <c r="NEV91" s="248" t="n"/>
      <c r="NEW91" s="240" t="n"/>
      <c r="NEX91" s="240" t="n"/>
      <c r="NEZ91" s="15" t="n"/>
      <c r="NFA91" s="15" t="n"/>
      <c r="NFB91" s="248" t="n"/>
      <c r="NFC91" s="248" t="n"/>
      <c r="NFD91" s="240" t="n"/>
      <c r="NFE91" s="240" t="n"/>
      <c r="NFG91" s="15" t="n"/>
      <c r="NFH91" s="15" t="n"/>
      <c r="NFI91" s="248" t="n"/>
      <c r="NFJ91" s="248" t="n"/>
      <c r="NFK91" s="240" t="n"/>
      <c r="NFL91" s="240" t="n"/>
      <c r="NFN91" s="15" t="n"/>
      <c r="NFO91" s="15" t="n"/>
      <c r="NFP91" s="248" t="n"/>
      <c r="NFQ91" s="248" t="n"/>
      <c r="NFR91" s="240" t="n"/>
      <c r="NFS91" s="240" t="n"/>
      <c r="NFU91" s="15" t="n"/>
      <c r="NFV91" s="15" t="n"/>
      <c r="NFW91" s="248" t="n"/>
      <c r="NFX91" s="248" t="n"/>
      <c r="NFY91" s="240" t="n"/>
      <c r="NFZ91" s="240" t="n"/>
      <c r="NGB91" s="15" t="n"/>
      <c r="NGC91" s="15" t="n"/>
      <c r="NGD91" s="248" t="n"/>
      <c r="NGE91" s="248" t="n"/>
      <c r="NGF91" s="240" t="n"/>
      <c r="NGG91" s="240" t="n"/>
      <c r="NGI91" s="15" t="n"/>
      <c r="NGJ91" s="15" t="n"/>
      <c r="NGK91" s="248" t="n"/>
      <c r="NGL91" s="248" t="n"/>
      <c r="NGM91" s="240" t="n"/>
      <c r="NGN91" s="240" t="n"/>
      <c r="NGP91" s="15" t="n"/>
      <c r="NGQ91" s="15" t="n"/>
      <c r="NGR91" s="248" t="n"/>
      <c r="NGS91" s="248" t="n"/>
      <c r="NGT91" s="240" t="n"/>
      <c r="NGU91" s="240" t="n"/>
      <c r="NGW91" s="15" t="n"/>
      <c r="NGX91" s="15" t="n"/>
      <c r="NGY91" s="248" t="n"/>
      <c r="NGZ91" s="248" t="n"/>
      <c r="NHA91" s="240" t="n"/>
      <c r="NHB91" s="240" t="n"/>
      <c r="NHD91" s="15" t="n"/>
      <c r="NHE91" s="15" t="n"/>
      <c r="NHF91" s="248" t="n"/>
      <c r="NHG91" s="248" t="n"/>
      <c r="NHH91" s="240" t="n"/>
      <c r="NHI91" s="240" t="n"/>
      <c r="NHK91" s="15" t="n"/>
      <c r="NHL91" s="15" t="n"/>
      <c r="NHM91" s="248" t="n"/>
      <c r="NHN91" s="248" t="n"/>
      <c r="NHO91" s="240" t="n"/>
      <c r="NHP91" s="240" t="n"/>
      <c r="NHR91" s="15" t="n"/>
      <c r="NHS91" s="15" t="n"/>
      <c r="NHT91" s="248" t="n"/>
      <c r="NHU91" s="248" t="n"/>
      <c r="NHV91" s="240" t="n"/>
      <c r="NHW91" s="240" t="n"/>
      <c r="NHY91" s="15" t="n"/>
      <c r="NHZ91" s="15" t="n"/>
      <c r="NIA91" s="248" t="n"/>
      <c r="NIB91" s="248" t="n"/>
      <c r="NIC91" s="240" t="n"/>
      <c r="NID91" s="240" t="n"/>
      <c r="NIF91" s="15" t="n"/>
      <c r="NIG91" s="15" t="n"/>
      <c r="NIH91" s="248" t="n"/>
      <c r="NII91" s="248" t="n"/>
      <c r="NIJ91" s="240" t="n"/>
      <c r="NIK91" s="240" t="n"/>
      <c r="NIM91" s="15" t="n"/>
      <c r="NIN91" s="15" t="n"/>
      <c r="NIO91" s="248" t="n"/>
      <c r="NIP91" s="248" t="n"/>
      <c r="NIQ91" s="240" t="n"/>
      <c r="NIR91" s="240" t="n"/>
      <c r="NIT91" s="15" t="n"/>
      <c r="NIU91" s="15" t="n"/>
      <c r="NIV91" s="248" t="n"/>
      <c r="NIW91" s="248" t="n"/>
      <c r="NIX91" s="240" t="n"/>
      <c r="NIY91" s="240" t="n"/>
      <c r="NJA91" s="15" t="n"/>
      <c r="NJB91" s="15" t="n"/>
      <c r="NJC91" s="248" t="n"/>
      <c r="NJD91" s="248" t="n"/>
      <c r="NJE91" s="240" t="n"/>
      <c r="NJF91" s="240" t="n"/>
      <c r="NJH91" s="15" t="n"/>
      <c r="NJI91" s="15" t="n"/>
      <c r="NJJ91" s="248" t="n"/>
      <c r="NJK91" s="248" t="n"/>
      <c r="NJL91" s="240" t="n"/>
      <c r="NJM91" s="240" t="n"/>
      <c r="NJO91" s="15" t="n"/>
      <c r="NJP91" s="15" t="n"/>
      <c r="NJQ91" s="248" t="n"/>
      <c r="NJR91" s="248" t="n"/>
      <c r="NJS91" s="240" t="n"/>
      <c r="NJT91" s="240" t="n"/>
      <c r="NJV91" s="15" t="n"/>
      <c r="NJW91" s="15" t="n"/>
      <c r="NJX91" s="248" t="n"/>
      <c r="NJY91" s="248" t="n"/>
      <c r="NJZ91" s="240" t="n"/>
      <c r="NKA91" s="240" t="n"/>
      <c r="NKC91" s="15" t="n"/>
      <c r="NKD91" s="15" t="n"/>
      <c r="NKE91" s="248" t="n"/>
      <c r="NKF91" s="248" t="n"/>
      <c r="NKG91" s="240" t="n"/>
      <c r="NKH91" s="240" t="n"/>
      <c r="NKJ91" s="15" t="n"/>
      <c r="NKK91" s="15" t="n"/>
      <c r="NKL91" s="248" t="n"/>
      <c r="NKM91" s="248" t="n"/>
      <c r="NKN91" s="240" t="n"/>
      <c r="NKO91" s="240" t="n"/>
      <c r="NKQ91" s="15" t="n"/>
      <c r="NKR91" s="15" t="n"/>
      <c r="NKS91" s="248" t="n"/>
      <c r="NKT91" s="248" t="n"/>
      <c r="NKU91" s="240" t="n"/>
      <c r="NKV91" s="240" t="n"/>
      <c r="NKX91" s="15" t="n"/>
      <c r="NKY91" s="15" t="n"/>
      <c r="NKZ91" s="248" t="n"/>
      <c r="NLA91" s="248" t="n"/>
      <c r="NLB91" s="240" t="n"/>
      <c r="NLC91" s="240" t="n"/>
      <c r="NLE91" s="15" t="n"/>
      <c r="NLF91" s="15" t="n"/>
      <c r="NLG91" s="248" t="n"/>
      <c r="NLH91" s="248" t="n"/>
      <c r="NLI91" s="240" t="n"/>
      <c r="NLJ91" s="240" t="n"/>
      <c r="NLL91" s="15" t="n"/>
      <c r="NLM91" s="15" t="n"/>
      <c r="NLN91" s="248" t="n"/>
      <c r="NLO91" s="248" t="n"/>
      <c r="NLP91" s="240" t="n"/>
      <c r="NLQ91" s="240" t="n"/>
      <c r="NLS91" s="15" t="n"/>
      <c r="NLT91" s="15" t="n"/>
      <c r="NLU91" s="248" t="n"/>
      <c r="NLV91" s="248" t="n"/>
      <c r="NLW91" s="240" t="n"/>
      <c r="NLX91" s="240" t="n"/>
      <c r="NLZ91" s="15" t="n"/>
      <c r="NMA91" s="15" t="n"/>
      <c r="NMB91" s="248" t="n"/>
      <c r="NMC91" s="248" t="n"/>
      <c r="NMD91" s="240" t="n"/>
      <c r="NME91" s="240" t="n"/>
      <c r="NMG91" s="15" t="n"/>
      <c r="NMH91" s="15" t="n"/>
      <c r="NMI91" s="248" t="n"/>
      <c r="NMJ91" s="248" t="n"/>
      <c r="NMK91" s="240" t="n"/>
      <c r="NML91" s="240" t="n"/>
      <c r="NMN91" s="15" t="n"/>
      <c r="NMO91" s="15" t="n"/>
      <c r="NMP91" s="248" t="n"/>
      <c r="NMQ91" s="248" t="n"/>
      <c r="NMR91" s="240" t="n"/>
      <c r="NMS91" s="240" t="n"/>
      <c r="NMU91" s="15" t="n"/>
      <c r="NMV91" s="15" t="n"/>
      <c r="NMW91" s="248" t="n"/>
      <c r="NMX91" s="248" t="n"/>
      <c r="NMY91" s="240" t="n"/>
      <c r="NMZ91" s="240" t="n"/>
      <c r="NNB91" s="15" t="n"/>
      <c r="NNC91" s="15" t="n"/>
      <c r="NND91" s="248" t="n"/>
      <c r="NNE91" s="248" t="n"/>
      <c r="NNF91" s="240" t="n"/>
      <c r="NNG91" s="240" t="n"/>
      <c r="NNI91" s="15" t="n"/>
      <c r="NNJ91" s="15" t="n"/>
      <c r="NNK91" s="248" t="n"/>
      <c r="NNL91" s="248" t="n"/>
      <c r="NNM91" s="240" t="n"/>
      <c r="NNN91" s="240" t="n"/>
      <c r="NNP91" s="15" t="n"/>
      <c r="NNQ91" s="15" t="n"/>
      <c r="NNR91" s="248" t="n"/>
      <c r="NNS91" s="248" t="n"/>
      <c r="NNT91" s="240" t="n"/>
      <c r="NNU91" s="240" t="n"/>
      <c r="NNW91" s="15" t="n"/>
      <c r="NNX91" s="15" t="n"/>
      <c r="NNY91" s="248" t="n"/>
      <c r="NNZ91" s="248" t="n"/>
      <c r="NOA91" s="240" t="n"/>
      <c r="NOB91" s="240" t="n"/>
      <c r="NOD91" s="15" t="n"/>
      <c r="NOE91" s="15" t="n"/>
      <c r="NOF91" s="248" t="n"/>
      <c r="NOG91" s="248" t="n"/>
      <c r="NOH91" s="240" t="n"/>
      <c r="NOI91" s="240" t="n"/>
      <c r="NOK91" s="15" t="n"/>
      <c r="NOL91" s="15" t="n"/>
      <c r="NOM91" s="248" t="n"/>
      <c r="NON91" s="248" t="n"/>
      <c r="NOO91" s="240" t="n"/>
      <c r="NOP91" s="240" t="n"/>
      <c r="NOR91" s="15" t="n"/>
      <c r="NOS91" s="15" t="n"/>
      <c r="NOT91" s="248" t="n"/>
      <c r="NOU91" s="248" t="n"/>
      <c r="NOV91" s="240" t="n"/>
      <c r="NOW91" s="240" t="n"/>
      <c r="NOY91" s="15" t="n"/>
      <c r="NOZ91" s="15" t="n"/>
      <c r="NPA91" s="248" t="n"/>
      <c r="NPB91" s="248" t="n"/>
      <c r="NPC91" s="240" t="n"/>
      <c r="NPD91" s="240" t="n"/>
      <c r="NPF91" s="15" t="n"/>
      <c r="NPG91" s="15" t="n"/>
      <c r="NPH91" s="248" t="n"/>
      <c r="NPI91" s="248" t="n"/>
      <c r="NPJ91" s="240" t="n"/>
      <c r="NPK91" s="240" t="n"/>
      <c r="NPM91" s="15" t="n"/>
      <c r="NPN91" s="15" t="n"/>
      <c r="NPO91" s="248" t="n"/>
      <c r="NPP91" s="248" t="n"/>
      <c r="NPQ91" s="240" t="n"/>
      <c r="NPR91" s="240" t="n"/>
      <c r="NPT91" s="15" t="n"/>
      <c r="NPU91" s="15" t="n"/>
      <c r="NPV91" s="248" t="n"/>
      <c r="NPW91" s="248" t="n"/>
      <c r="NPX91" s="240" t="n"/>
      <c r="NPY91" s="240" t="n"/>
      <c r="NQA91" s="15" t="n"/>
      <c r="NQB91" s="15" t="n"/>
      <c r="NQC91" s="248" t="n"/>
      <c r="NQD91" s="248" t="n"/>
      <c r="NQE91" s="240" t="n"/>
      <c r="NQF91" s="240" t="n"/>
      <c r="NQH91" s="15" t="n"/>
      <c r="NQI91" s="15" t="n"/>
      <c r="NQJ91" s="248" t="n"/>
      <c r="NQK91" s="248" t="n"/>
      <c r="NQL91" s="240" t="n"/>
      <c r="NQM91" s="240" t="n"/>
      <c r="NQO91" s="15" t="n"/>
      <c r="NQP91" s="15" t="n"/>
      <c r="NQQ91" s="248" t="n"/>
      <c r="NQR91" s="248" t="n"/>
      <c r="NQS91" s="240" t="n"/>
      <c r="NQT91" s="240" t="n"/>
      <c r="NQV91" s="15" t="n"/>
      <c r="NQW91" s="15" t="n"/>
      <c r="NQX91" s="248" t="n"/>
      <c r="NQY91" s="248" t="n"/>
      <c r="NQZ91" s="240" t="n"/>
      <c r="NRA91" s="240" t="n"/>
      <c r="NRC91" s="15" t="n"/>
      <c r="NRD91" s="15" t="n"/>
      <c r="NRE91" s="248" t="n"/>
      <c r="NRF91" s="248" t="n"/>
      <c r="NRG91" s="240" t="n"/>
      <c r="NRH91" s="240" t="n"/>
      <c r="NRJ91" s="15" t="n"/>
      <c r="NRK91" s="15" t="n"/>
      <c r="NRL91" s="248" t="n"/>
      <c r="NRM91" s="248" t="n"/>
      <c r="NRN91" s="240" t="n"/>
      <c r="NRO91" s="240" t="n"/>
      <c r="NRQ91" s="15" t="n"/>
      <c r="NRR91" s="15" t="n"/>
      <c r="NRS91" s="248" t="n"/>
      <c r="NRT91" s="248" t="n"/>
      <c r="NRU91" s="240" t="n"/>
      <c r="NRV91" s="240" t="n"/>
      <c r="NRX91" s="15" t="n"/>
      <c r="NRY91" s="15" t="n"/>
      <c r="NRZ91" s="248" t="n"/>
      <c r="NSA91" s="248" t="n"/>
      <c r="NSB91" s="240" t="n"/>
      <c r="NSC91" s="240" t="n"/>
      <c r="NSE91" s="15" t="n"/>
      <c r="NSF91" s="15" t="n"/>
      <c r="NSG91" s="248" t="n"/>
      <c r="NSH91" s="248" t="n"/>
      <c r="NSI91" s="240" t="n"/>
      <c r="NSJ91" s="240" t="n"/>
      <c r="NSL91" s="15" t="n"/>
      <c r="NSM91" s="15" t="n"/>
      <c r="NSN91" s="248" t="n"/>
      <c r="NSO91" s="248" t="n"/>
      <c r="NSP91" s="240" t="n"/>
      <c r="NSQ91" s="240" t="n"/>
      <c r="NSS91" s="15" t="n"/>
      <c r="NST91" s="15" t="n"/>
      <c r="NSU91" s="248" t="n"/>
      <c r="NSV91" s="248" t="n"/>
      <c r="NSW91" s="240" t="n"/>
      <c r="NSX91" s="240" t="n"/>
      <c r="NSZ91" s="15" t="n"/>
      <c r="NTA91" s="15" t="n"/>
      <c r="NTB91" s="248" t="n"/>
      <c r="NTC91" s="248" t="n"/>
      <c r="NTD91" s="240" t="n"/>
      <c r="NTE91" s="240" t="n"/>
      <c r="NTG91" s="15" t="n"/>
      <c r="NTH91" s="15" t="n"/>
      <c r="NTI91" s="248" t="n"/>
      <c r="NTJ91" s="248" t="n"/>
      <c r="NTK91" s="240" t="n"/>
      <c r="NTL91" s="240" t="n"/>
      <c r="NTN91" s="15" t="n"/>
      <c r="NTO91" s="15" t="n"/>
      <c r="NTP91" s="248" t="n"/>
      <c r="NTQ91" s="248" t="n"/>
      <c r="NTR91" s="240" t="n"/>
      <c r="NTS91" s="240" t="n"/>
      <c r="NTU91" s="15" t="n"/>
      <c r="NTV91" s="15" t="n"/>
      <c r="NTW91" s="248" t="n"/>
      <c r="NTX91" s="248" t="n"/>
      <c r="NTY91" s="240" t="n"/>
      <c r="NTZ91" s="240" t="n"/>
      <c r="NUB91" s="15" t="n"/>
      <c r="NUC91" s="15" t="n"/>
      <c r="NUD91" s="248" t="n"/>
      <c r="NUE91" s="248" t="n"/>
      <c r="NUF91" s="240" t="n"/>
      <c r="NUG91" s="240" t="n"/>
      <c r="NUI91" s="15" t="n"/>
      <c r="NUJ91" s="15" t="n"/>
      <c r="NUK91" s="248" t="n"/>
      <c r="NUL91" s="248" t="n"/>
      <c r="NUM91" s="240" t="n"/>
      <c r="NUN91" s="240" t="n"/>
      <c r="NUP91" s="15" t="n"/>
      <c r="NUQ91" s="15" t="n"/>
      <c r="NUR91" s="248" t="n"/>
      <c r="NUS91" s="248" t="n"/>
      <c r="NUT91" s="240" t="n"/>
      <c r="NUU91" s="240" t="n"/>
      <c r="NUW91" s="15" t="n"/>
      <c r="NUX91" s="15" t="n"/>
      <c r="NUY91" s="248" t="n"/>
      <c r="NUZ91" s="248" t="n"/>
      <c r="NVA91" s="240" t="n"/>
      <c r="NVB91" s="240" t="n"/>
      <c r="NVD91" s="15" t="n"/>
      <c r="NVE91" s="15" t="n"/>
      <c r="NVF91" s="248" t="n"/>
      <c r="NVG91" s="248" t="n"/>
      <c r="NVH91" s="240" t="n"/>
      <c r="NVI91" s="240" t="n"/>
      <c r="NVK91" s="15" t="n"/>
      <c r="NVL91" s="15" t="n"/>
      <c r="NVM91" s="248" t="n"/>
      <c r="NVN91" s="248" t="n"/>
      <c r="NVO91" s="240" t="n"/>
      <c r="NVP91" s="240" t="n"/>
      <c r="NVR91" s="15" t="n"/>
      <c r="NVS91" s="15" t="n"/>
      <c r="NVT91" s="248" t="n"/>
      <c r="NVU91" s="248" t="n"/>
      <c r="NVV91" s="240" t="n"/>
      <c r="NVW91" s="240" t="n"/>
      <c r="NVY91" s="15" t="n"/>
      <c r="NVZ91" s="15" t="n"/>
      <c r="NWA91" s="248" t="n"/>
      <c r="NWB91" s="248" t="n"/>
      <c r="NWC91" s="240" t="n"/>
      <c r="NWD91" s="240" t="n"/>
      <c r="NWF91" s="15" t="n"/>
      <c r="NWG91" s="15" t="n"/>
      <c r="NWH91" s="248" t="n"/>
      <c r="NWI91" s="248" t="n"/>
      <c r="NWJ91" s="240" t="n"/>
      <c r="NWK91" s="240" t="n"/>
      <c r="NWM91" s="15" t="n"/>
      <c r="NWN91" s="15" t="n"/>
      <c r="NWO91" s="248" t="n"/>
      <c r="NWP91" s="248" t="n"/>
      <c r="NWQ91" s="240" t="n"/>
      <c r="NWR91" s="240" t="n"/>
      <c r="NWT91" s="15" t="n"/>
      <c r="NWU91" s="15" t="n"/>
      <c r="NWV91" s="248" t="n"/>
      <c r="NWW91" s="248" t="n"/>
      <c r="NWX91" s="240" t="n"/>
      <c r="NWY91" s="240" t="n"/>
      <c r="NXA91" s="15" t="n"/>
      <c r="NXB91" s="15" t="n"/>
      <c r="NXC91" s="248" t="n"/>
      <c r="NXD91" s="248" t="n"/>
      <c r="NXE91" s="240" t="n"/>
      <c r="NXF91" s="240" t="n"/>
      <c r="NXH91" s="15" t="n"/>
      <c r="NXI91" s="15" t="n"/>
      <c r="NXJ91" s="248" t="n"/>
      <c r="NXK91" s="248" t="n"/>
      <c r="NXL91" s="240" t="n"/>
      <c r="NXM91" s="240" t="n"/>
      <c r="NXO91" s="15" t="n"/>
      <c r="NXP91" s="15" t="n"/>
      <c r="NXQ91" s="248" t="n"/>
      <c r="NXR91" s="248" t="n"/>
      <c r="NXS91" s="240" t="n"/>
      <c r="NXT91" s="240" t="n"/>
      <c r="NXV91" s="15" t="n"/>
      <c r="NXW91" s="15" t="n"/>
      <c r="NXX91" s="248" t="n"/>
      <c r="NXY91" s="248" t="n"/>
      <c r="NXZ91" s="240" t="n"/>
      <c r="NYA91" s="240" t="n"/>
      <c r="NYC91" s="15" t="n"/>
      <c r="NYD91" s="15" t="n"/>
      <c r="NYE91" s="248" t="n"/>
      <c r="NYF91" s="248" t="n"/>
      <c r="NYG91" s="240" t="n"/>
      <c r="NYH91" s="240" t="n"/>
      <c r="NYJ91" s="15" t="n"/>
      <c r="NYK91" s="15" t="n"/>
      <c r="NYL91" s="248" t="n"/>
      <c r="NYM91" s="248" t="n"/>
      <c r="NYN91" s="240" t="n"/>
      <c r="NYO91" s="240" t="n"/>
      <c r="NYQ91" s="15" t="n"/>
      <c r="NYR91" s="15" t="n"/>
      <c r="NYS91" s="248" t="n"/>
      <c r="NYT91" s="248" t="n"/>
      <c r="NYU91" s="240" t="n"/>
      <c r="NYV91" s="240" t="n"/>
      <c r="NYX91" s="15" t="n"/>
      <c r="NYY91" s="15" t="n"/>
      <c r="NYZ91" s="248" t="n"/>
      <c r="NZA91" s="248" t="n"/>
      <c r="NZB91" s="240" t="n"/>
      <c r="NZC91" s="240" t="n"/>
      <c r="NZE91" s="15" t="n"/>
      <c r="NZF91" s="15" t="n"/>
      <c r="NZG91" s="248" t="n"/>
      <c r="NZH91" s="248" t="n"/>
      <c r="NZI91" s="240" t="n"/>
      <c r="NZJ91" s="240" t="n"/>
      <c r="NZL91" s="15" t="n"/>
      <c r="NZM91" s="15" t="n"/>
      <c r="NZN91" s="248" t="n"/>
      <c r="NZO91" s="248" t="n"/>
      <c r="NZP91" s="240" t="n"/>
      <c r="NZQ91" s="240" t="n"/>
      <c r="NZS91" s="15" t="n"/>
      <c r="NZT91" s="15" t="n"/>
      <c r="NZU91" s="248" t="n"/>
      <c r="NZV91" s="248" t="n"/>
      <c r="NZW91" s="240" t="n"/>
      <c r="NZX91" s="240" t="n"/>
      <c r="NZZ91" s="15" t="n"/>
      <c r="OAA91" s="15" t="n"/>
      <c r="OAB91" s="248" t="n"/>
      <c r="OAC91" s="248" t="n"/>
      <c r="OAD91" s="240" t="n"/>
      <c r="OAE91" s="240" t="n"/>
      <c r="OAG91" s="15" t="n"/>
      <c r="OAH91" s="15" t="n"/>
      <c r="OAI91" s="248" t="n"/>
      <c r="OAJ91" s="248" t="n"/>
      <c r="OAK91" s="240" t="n"/>
      <c r="OAL91" s="240" t="n"/>
      <c r="OAN91" s="15" t="n"/>
      <c r="OAO91" s="15" t="n"/>
      <c r="OAP91" s="248" t="n"/>
      <c r="OAQ91" s="248" t="n"/>
      <c r="OAR91" s="240" t="n"/>
      <c r="OAS91" s="240" t="n"/>
      <c r="OAU91" s="15" t="n"/>
      <c r="OAV91" s="15" t="n"/>
      <c r="OAW91" s="248" t="n"/>
      <c r="OAX91" s="248" t="n"/>
      <c r="OAY91" s="240" t="n"/>
      <c r="OAZ91" s="240" t="n"/>
      <c r="OBB91" s="15" t="n"/>
      <c r="OBC91" s="15" t="n"/>
      <c r="OBD91" s="248" t="n"/>
      <c r="OBE91" s="248" t="n"/>
      <c r="OBF91" s="240" t="n"/>
      <c r="OBG91" s="240" t="n"/>
      <c r="OBI91" s="15" t="n"/>
      <c r="OBJ91" s="15" t="n"/>
      <c r="OBK91" s="248" t="n"/>
      <c r="OBL91" s="248" t="n"/>
      <c r="OBM91" s="240" t="n"/>
      <c r="OBN91" s="240" t="n"/>
      <c r="OBP91" s="15" t="n"/>
      <c r="OBQ91" s="15" t="n"/>
      <c r="OBR91" s="248" t="n"/>
      <c r="OBS91" s="248" t="n"/>
      <c r="OBT91" s="240" t="n"/>
      <c r="OBU91" s="240" t="n"/>
      <c r="OBW91" s="15" t="n"/>
      <c r="OBX91" s="15" t="n"/>
      <c r="OBY91" s="248" t="n"/>
      <c r="OBZ91" s="248" t="n"/>
      <c r="OCA91" s="240" t="n"/>
      <c r="OCB91" s="240" t="n"/>
      <c r="OCD91" s="15" t="n"/>
      <c r="OCE91" s="15" t="n"/>
      <c r="OCF91" s="248" t="n"/>
      <c r="OCG91" s="248" t="n"/>
      <c r="OCH91" s="240" t="n"/>
      <c r="OCI91" s="240" t="n"/>
      <c r="OCK91" s="15" t="n"/>
      <c r="OCL91" s="15" t="n"/>
      <c r="OCM91" s="248" t="n"/>
      <c r="OCN91" s="248" t="n"/>
      <c r="OCO91" s="240" t="n"/>
      <c r="OCP91" s="240" t="n"/>
      <c r="OCR91" s="15" t="n"/>
      <c r="OCS91" s="15" t="n"/>
      <c r="OCT91" s="248" t="n"/>
      <c r="OCU91" s="248" t="n"/>
      <c r="OCV91" s="240" t="n"/>
      <c r="OCW91" s="240" t="n"/>
      <c r="OCY91" s="15" t="n"/>
      <c r="OCZ91" s="15" t="n"/>
      <c r="ODA91" s="248" t="n"/>
      <c r="ODB91" s="248" t="n"/>
      <c r="ODC91" s="240" t="n"/>
      <c r="ODD91" s="240" t="n"/>
      <c r="ODF91" s="15" t="n"/>
      <c r="ODG91" s="15" t="n"/>
      <c r="ODH91" s="248" t="n"/>
      <c r="ODI91" s="248" t="n"/>
      <c r="ODJ91" s="240" t="n"/>
      <c r="ODK91" s="240" t="n"/>
      <c r="ODM91" s="15" t="n"/>
      <c r="ODN91" s="15" t="n"/>
      <c r="ODO91" s="248" t="n"/>
      <c r="ODP91" s="248" t="n"/>
      <c r="ODQ91" s="240" t="n"/>
      <c r="ODR91" s="240" t="n"/>
      <c r="ODT91" s="15" t="n"/>
      <c r="ODU91" s="15" t="n"/>
      <c r="ODV91" s="248" t="n"/>
      <c r="ODW91" s="248" t="n"/>
      <c r="ODX91" s="240" t="n"/>
      <c r="ODY91" s="240" t="n"/>
      <c r="OEA91" s="15" t="n"/>
      <c r="OEB91" s="15" t="n"/>
      <c r="OEC91" s="248" t="n"/>
      <c r="OED91" s="248" t="n"/>
      <c r="OEE91" s="240" t="n"/>
      <c r="OEF91" s="240" t="n"/>
      <c r="OEH91" s="15" t="n"/>
      <c r="OEI91" s="15" t="n"/>
      <c r="OEJ91" s="248" t="n"/>
      <c r="OEK91" s="248" t="n"/>
      <c r="OEL91" s="240" t="n"/>
      <c r="OEM91" s="240" t="n"/>
      <c r="OEO91" s="15" t="n"/>
      <c r="OEP91" s="15" t="n"/>
      <c r="OEQ91" s="248" t="n"/>
      <c r="OER91" s="248" t="n"/>
      <c r="OES91" s="240" t="n"/>
      <c r="OET91" s="240" t="n"/>
      <c r="OEV91" s="15" t="n"/>
      <c r="OEW91" s="15" t="n"/>
      <c r="OEX91" s="248" t="n"/>
      <c r="OEY91" s="248" t="n"/>
      <c r="OEZ91" s="240" t="n"/>
      <c r="OFA91" s="240" t="n"/>
      <c r="OFC91" s="15" t="n"/>
      <c r="OFD91" s="15" t="n"/>
      <c r="OFE91" s="248" t="n"/>
      <c r="OFF91" s="248" t="n"/>
      <c r="OFG91" s="240" t="n"/>
      <c r="OFH91" s="240" t="n"/>
      <c r="OFJ91" s="15" t="n"/>
      <c r="OFK91" s="15" t="n"/>
      <c r="OFL91" s="248" t="n"/>
      <c r="OFM91" s="248" t="n"/>
      <c r="OFN91" s="240" t="n"/>
      <c r="OFO91" s="240" t="n"/>
      <c r="OFQ91" s="15" t="n"/>
      <c r="OFR91" s="15" t="n"/>
      <c r="OFS91" s="248" t="n"/>
      <c r="OFT91" s="248" t="n"/>
      <c r="OFU91" s="240" t="n"/>
      <c r="OFV91" s="240" t="n"/>
      <c r="OFX91" s="15" t="n"/>
      <c r="OFY91" s="15" t="n"/>
      <c r="OFZ91" s="248" t="n"/>
      <c r="OGA91" s="248" t="n"/>
      <c r="OGB91" s="240" t="n"/>
      <c r="OGC91" s="240" t="n"/>
      <c r="OGE91" s="15" t="n"/>
      <c r="OGF91" s="15" t="n"/>
      <c r="OGG91" s="248" t="n"/>
      <c r="OGH91" s="248" t="n"/>
      <c r="OGI91" s="240" t="n"/>
      <c r="OGJ91" s="240" t="n"/>
      <c r="OGL91" s="15" t="n"/>
      <c r="OGM91" s="15" t="n"/>
      <c r="OGN91" s="248" t="n"/>
      <c r="OGO91" s="248" t="n"/>
      <c r="OGP91" s="240" t="n"/>
      <c r="OGQ91" s="240" t="n"/>
      <c r="OGS91" s="15" t="n"/>
      <c r="OGT91" s="15" t="n"/>
      <c r="OGU91" s="248" t="n"/>
      <c r="OGV91" s="248" t="n"/>
      <c r="OGW91" s="240" t="n"/>
      <c r="OGX91" s="240" t="n"/>
      <c r="OGZ91" s="15" t="n"/>
      <c r="OHA91" s="15" t="n"/>
      <c r="OHB91" s="248" t="n"/>
      <c r="OHC91" s="248" t="n"/>
      <c r="OHD91" s="240" t="n"/>
      <c r="OHE91" s="240" t="n"/>
      <c r="OHG91" s="15" t="n"/>
      <c r="OHH91" s="15" t="n"/>
      <c r="OHI91" s="248" t="n"/>
      <c r="OHJ91" s="248" t="n"/>
      <c r="OHK91" s="240" t="n"/>
      <c r="OHL91" s="240" t="n"/>
      <c r="OHN91" s="15" t="n"/>
      <c r="OHO91" s="15" t="n"/>
      <c r="OHP91" s="248" t="n"/>
      <c r="OHQ91" s="248" t="n"/>
      <c r="OHR91" s="240" t="n"/>
      <c r="OHS91" s="240" t="n"/>
      <c r="OHU91" s="15" t="n"/>
      <c r="OHV91" s="15" t="n"/>
      <c r="OHW91" s="248" t="n"/>
      <c r="OHX91" s="248" t="n"/>
      <c r="OHY91" s="240" t="n"/>
      <c r="OHZ91" s="240" t="n"/>
      <c r="OIB91" s="15" t="n"/>
      <c r="OIC91" s="15" t="n"/>
      <c r="OID91" s="248" t="n"/>
      <c r="OIE91" s="248" t="n"/>
      <c r="OIF91" s="240" t="n"/>
      <c r="OIG91" s="240" t="n"/>
      <c r="OII91" s="15" t="n"/>
      <c r="OIJ91" s="15" t="n"/>
      <c r="OIK91" s="248" t="n"/>
      <c r="OIL91" s="248" t="n"/>
      <c r="OIM91" s="240" t="n"/>
      <c r="OIN91" s="240" t="n"/>
      <c r="OIP91" s="15" t="n"/>
      <c r="OIQ91" s="15" t="n"/>
      <c r="OIR91" s="248" t="n"/>
      <c r="OIS91" s="248" t="n"/>
      <c r="OIT91" s="240" t="n"/>
      <c r="OIU91" s="240" t="n"/>
      <c r="OIW91" s="15" t="n"/>
      <c r="OIX91" s="15" t="n"/>
      <c r="OIY91" s="248" t="n"/>
      <c r="OIZ91" s="248" t="n"/>
      <c r="OJA91" s="240" t="n"/>
      <c r="OJB91" s="240" t="n"/>
      <c r="OJD91" s="15" t="n"/>
      <c r="OJE91" s="15" t="n"/>
      <c r="OJF91" s="248" t="n"/>
      <c r="OJG91" s="248" t="n"/>
      <c r="OJH91" s="240" t="n"/>
      <c r="OJI91" s="240" t="n"/>
      <c r="OJK91" s="15" t="n"/>
      <c r="OJL91" s="15" t="n"/>
      <c r="OJM91" s="248" t="n"/>
      <c r="OJN91" s="248" t="n"/>
      <c r="OJO91" s="240" t="n"/>
      <c r="OJP91" s="240" t="n"/>
      <c r="OJR91" s="15" t="n"/>
      <c r="OJS91" s="15" t="n"/>
      <c r="OJT91" s="248" t="n"/>
      <c r="OJU91" s="248" t="n"/>
      <c r="OJV91" s="240" t="n"/>
      <c r="OJW91" s="240" t="n"/>
      <c r="OJY91" s="15" t="n"/>
      <c r="OJZ91" s="15" t="n"/>
      <c r="OKA91" s="248" t="n"/>
      <c r="OKB91" s="248" t="n"/>
      <c r="OKC91" s="240" t="n"/>
      <c r="OKD91" s="240" t="n"/>
      <c r="OKF91" s="15" t="n"/>
      <c r="OKG91" s="15" t="n"/>
      <c r="OKH91" s="248" t="n"/>
      <c r="OKI91" s="248" t="n"/>
      <c r="OKJ91" s="240" t="n"/>
      <c r="OKK91" s="240" t="n"/>
      <c r="OKM91" s="15" t="n"/>
      <c r="OKN91" s="15" t="n"/>
      <c r="OKO91" s="248" t="n"/>
      <c r="OKP91" s="248" t="n"/>
      <c r="OKQ91" s="240" t="n"/>
      <c r="OKR91" s="240" t="n"/>
      <c r="OKT91" s="15" t="n"/>
      <c r="OKU91" s="15" t="n"/>
      <c r="OKV91" s="248" t="n"/>
      <c r="OKW91" s="248" t="n"/>
      <c r="OKX91" s="240" t="n"/>
      <c r="OKY91" s="240" t="n"/>
      <c r="OLA91" s="15" t="n"/>
      <c r="OLB91" s="15" t="n"/>
      <c r="OLC91" s="248" t="n"/>
      <c r="OLD91" s="248" t="n"/>
      <c r="OLE91" s="240" t="n"/>
      <c r="OLF91" s="240" t="n"/>
      <c r="OLH91" s="15" t="n"/>
      <c r="OLI91" s="15" t="n"/>
      <c r="OLJ91" s="248" t="n"/>
      <c r="OLK91" s="248" t="n"/>
      <c r="OLL91" s="240" t="n"/>
      <c r="OLM91" s="240" t="n"/>
      <c r="OLO91" s="15" t="n"/>
      <c r="OLP91" s="15" t="n"/>
      <c r="OLQ91" s="248" t="n"/>
      <c r="OLR91" s="248" t="n"/>
      <c r="OLS91" s="240" t="n"/>
      <c r="OLT91" s="240" t="n"/>
      <c r="OLV91" s="15" t="n"/>
      <c r="OLW91" s="15" t="n"/>
      <c r="OLX91" s="248" t="n"/>
      <c r="OLY91" s="248" t="n"/>
      <c r="OLZ91" s="240" t="n"/>
      <c r="OMA91" s="240" t="n"/>
      <c r="OMC91" s="15" t="n"/>
      <c r="OMD91" s="15" t="n"/>
      <c r="OME91" s="248" t="n"/>
      <c r="OMF91" s="248" t="n"/>
      <c r="OMG91" s="240" t="n"/>
      <c r="OMH91" s="240" t="n"/>
      <c r="OMJ91" s="15" t="n"/>
      <c r="OMK91" s="15" t="n"/>
      <c r="OML91" s="248" t="n"/>
      <c r="OMM91" s="248" t="n"/>
      <c r="OMN91" s="240" t="n"/>
      <c r="OMO91" s="240" t="n"/>
      <c r="OMQ91" s="15" t="n"/>
      <c r="OMR91" s="15" t="n"/>
      <c r="OMS91" s="248" t="n"/>
      <c r="OMT91" s="248" t="n"/>
      <c r="OMU91" s="240" t="n"/>
      <c r="OMV91" s="240" t="n"/>
      <c r="OMX91" s="15" t="n"/>
      <c r="OMY91" s="15" t="n"/>
      <c r="OMZ91" s="248" t="n"/>
      <c r="ONA91" s="248" t="n"/>
      <c r="ONB91" s="240" t="n"/>
      <c r="ONC91" s="240" t="n"/>
      <c r="ONE91" s="15" t="n"/>
      <c r="ONF91" s="15" t="n"/>
      <c r="ONG91" s="248" t="n"/>
      <c r="ONH91" s="248" t="n"/>
      <c r="ONI91" s="240" t="n"/>
      <c r="ONJ91" s="240" t="n"/>
      <c r="ONL91" s="15" t="n"/>
      <c r="ONM91" s="15" t="n"/>
      <c r="ONN91" s="248" t="n"/>
      <c r="ONO91" s="248" t="n"/>
      <c r="ONP91" s="240" t="n"/>
      <c r="ONQ91" s="240" t="n"/>
      <c r="ONS91" s="15" t="n"/>
      <c r="ONT91" s="15" t="n"/>
      <c r="ONU91" s="248" t="n"/>
      <c r="ONV91" s="248" t="n"/>
      <c r="ONW91" s="240" t="n"/>
      <c r="ONX91" s="240" t="n"/>
      <c r="ONZ91" s="15" t="n"/>
      <c r="OOA91" s="15" t="n"/>
      <c r="OOB91" s="248" t="n"/>
      <c r="OOC91" s="248" t="n"/>
      <c r="OOD91" s="240" t="n"/>
      <c r="OOE91" s="240" t="n"/>
      <c r="OOG91" s="15" t="n"/>
      <c r="OOH91" s="15" t="n"/>
      <c r="OOI91" s="248" t="n"/>
      <c r="OOJ91" s="248" t="n"/>
      <c r="OOK91" s="240" t="n"/>
      <c r="OOL91" s="240" t="n"/>
      <c r="OON91" s="15" t="n"/>
      <c r="OOO91" s="15" t="n"/>
      <c r="OOP91" s="248" t="n"/>
      <c r="OOQ91" s="248" t="n"/>
      <c r="OOR91" s="240" t="n"/>
      <c r="OOS91" s="240" t="n"/>
      <c r="OOU91" s="15" t="n"/>
      <c r="OOV91" s="15" t="n"/>
      <c r="OOW91" s="248" t="n"/>
      <c r="OOX91" s="248" t="n"/>
      <c r="OOY91" s="240" t="n"/>
      <c r="OOZ91" s="240" t="n"/>
      <c r="OPB91" s="15" t="n"/>
      <c r="OPC91" s="15" t="n"/>
      <c r="OPD91" s="248" t="n"/>
      <c r="OPE91" s="248" t="n"/>
      <c r="OPF91" s="240" t="n"/>
      <c r="OPG91" s="240" t="n"/>
      <c r="OPI91" s="15" t="n"/>
      <c r="OPJ91" s="15" t="n"/>
      <c r="OPK91" s="248" t="n"/>
      <c r="OPL91" s="248" t="n"/>
      <c r="OPM91" s="240" t="n"/>
      <c r="OPN91" s="240" t="n"/>
      <c r="OPP91" s="15" t="n"/>
      <c r="OPQ91" s="15" t="n"/>
      <c r="OPR91" s="248" t="n"/>
      <c r="OPS91" s="248" t="n"/>
      <c r="OPT91" s="240" t="n"/>
      <c r="OPU91" s="240" t="n"/>
      <c r="OPW91" s="15" t="n"/>
      <c r="OPX91" s="15" t="n"/>
      <c r="OPY91" s="248" t="n"/>
      <c r="OPZ91" s="248" t="n"/>
      <c r="OQA91" s="240" t="n"/>
      <c r="OQB91" s="240" t="n"/>
      <c r="OQD91" s="15" t="n"/>
      <c r="OQE91" s="15" t="n"/>
      <c r="OQF91" s="248" t="n"/>
      <c r="OQG91" s="248" t="n"/>
      <c r="OQH91" s="240" t="n"/>
      <c r="OQI91" s="240" t="n"/>
      <c r="OQK91" s="15" t="n"/>
      <c r="OQL91" s="15" t="n"/>
      <c r="OQM91" s="248" t="n"/>
      <c r="OQN91" s="248" t="n"/>
      <c r="OQO91" s="240" t="n"/>
      <c r="OQP91" s="240" t="n"/>
      <c r="OQR91" s="15" t="n"/>
      <c r="OQS91" s="15" t="n"/>
      <c r="OQT91" s="248" t="n"/>
      <c r="OQU91" s="248" t="n"/>
      <c r="OQV91" s="240" t="n"/>
      <c r="OQW91" s="240" t="n"/>
      <c r="OQY91" s="15" t="n"/>
      <c r="OQZ91" s="15" t="n"/>
      <c r="ORA91" s="248" t="n"/>
      <c r="ORB91" s="248" t="n"/>
      <c r="ORC91" s="240" t="n"/>
      <c r="ORD91" s="240" t="n"/>
      <c r="ORF91" s="15" t="n"/>
      <c r="ORG91" s="15" t="n"/>
      <c r="ORH91" s="248" t="n"/>
      <c r="ORI91" s="248" t="n"/>
      <c r="ORJ91" s="240" t="n"/>
      <c r="ORK91" s="240" t="n"/>
      <c r="ORM91" s="15" t="n"/>
      <c r="ORN91" s="15" t="n"/>
      <c r="ORO91" s="248" t="n"/>
      <c r="ORP91" s="248" t="n"/>
      <c r="ORQ91" s="240" t="n"/>
      <c r="ORR91" s="240" t="n"/>
      <c r="ORT91" s="15" t="n"/>
      <c r="ORU91" s="15" t="n"/>
      <c r="ORV91" s="248" t="n"/>
      <c r="ORW91" s="248" t="n"/>
      <c r="ORX91" s="240" t="n"/>
      <c r="ORY91" s="240" t="n"/>
      <c r="OSA91" s="15" t="n"/>
      <c r="OSB91" s="15" t="n"/>
      <c r="OSC91" s="248" t="n"/>
      <c r="OSD91" s="248" t="n"/>
      <c r="OSE91" s="240" t="n"/>
      <c r="OSF91" s="240" t="n"/>
      <c r="OSH91" s="15" t="n"/>
      <c r="OSI91" s="15" t="n"/>
      <c r="OSJ91" s="248" t="n"/>
      <c r="OSK91" s="248" t="n"/>
      <c r="OSL91" s="240" t="n"/>
      <c r="OSM91" s="240" t="n"/>
      <c r="OSO91" s="15" t="n"/>
      <c r="OSP91" s="15" t="n"/>
      <c r="OSQ91" s="248" t="n"/>
      <c r="OSR91" s="248" t="n"/>
      <c r="OSS91" s="240" t="n"/>
      <c r="OST91" s="240" t="n"/>
      <c r="OSV91" s="15" t="n"/>
      <c r="OSW91" s="15" t="n"/>
      <c r="OSX91" s="248" t="n"/>
      <c r="OSY91" s="248" t="n"/>
      <c r="OSZ91" s="240" t="n"/>
      <c r="OTA91" s="240" t="n"/>
      <c r="OTC91" s="15" t="n"/>
      <c r="OTD91" s="15" t="n"/>
      <c r="OTE91" s="248" t="n"/>
      <c r="OTF91" s="248" t="n"/>
      <c r="OTG91" s="240" t="n"/>
      <c r="OTH91" s="240" t="n"/>
      <c r="OTJ91" s="15" t="n"/>
      <c r="OTK91" s="15" t="n"/>
      <c r="OTL91" s="248" t="n"/>
      <c r="OTM91" s="248" t="n"/>
      <c r="OTN91" s="240" t="n"/>
      <c r="OTO91" s="240" t="n"/>
      <c r="OTQ91" s="15" t="n"/>
      <c r="OTR91" s="15" t="n"/>
      <c r="OTS91" s="248" t="n"/>
      <c r="OTT91" s="248" t="n"/>
      <c r="OTU91" s="240" t="n"/>
      <c r="OTV91" s="240" t="n"/>
      <c r="OTX91" s="15" t="n"/>
      <c r="OTY91" s="15" t="n"/>
      <c r="OTZ91" s="248" t="n"/>
      <c r="OUA91" s="248" t="n"/>
      <c r="OUB91" s="240" t="n"/>
      <c r="OUC91" s="240" t="n"/>
      <c r="OUE91" s="15" t="n"/>
      <c r="OUF91" s="15" t="n"/>
      <c r="OUG91" s="248" t="n"/>
      <c r="OUH91" s="248" t="n"/>
      <c r="OUI91" s="240" t="n"/>
      <c r="OUJ91" s="240" t="n"/>
      <c r="OUL91" s="15" t="n"/>
      <c r="OUM91" s="15" t="n"/>
      <c r="OUN91" s="248" t="n"/>
      <c r="OUO91" s="248" t="n"/>
      <c r="OUP91" s="240" t="n"/>
      <c r="OUQ91" s="240" t="n"/>
      <c r="OUS91" s="15" t="n"/>
      <c r="OUT91" s="15" t="n"/>
      <c r="OUU91" s="248" t="n"/>
      <c r="OUV91" s="248" t="n"/>
      <c r="OUW91" s="240" t="n"/>
      <c r="OUX91" s="240" t="n"/>
      <c r="OUZ91" s="15" t="n"/>
      <c r="OVA91" s="15" t="n"/>
      <c r="OVB91" s="248" t="n"/>
      <c r="OVC91" s="248" t="n"/>
      <c r="OVD91" s="240" t="n"/>
      <c r="OVE91" s="240" t="n"/>
      <c r="OVG91" s="15" t="n"/>
      <c r="OVH91" s="15" t="n"/>
      <c r="OVI91" s="248" t="n"/>
      <c r="OVJ91" s="248" t="n"/>
      <c r="OVK91" s="240" t="n"/>
      <c r="OVL91" s="240" t="n"/>
      <c r="OVN91" s="15" t="n"/>
      <c r="OVO91" s="15" t="n"/>
      <c r="OVP91" s="248" t="n"/>
      <c r="OVQ91" s="248" t="n"/>
      <c r="OVR91" s="240" t="n"/>
      <c r="OVS91" s="240" t="n"/>
      <c r="OVU91" s="15" t="n"/>
      <c r="OVV91" s="15" t="n"/>
      <c r="OVW91" s="248" t="n"/>
      <c r="OVX91" s="248" t="n"/>
      <c r="OVY91" s="240" t="n"/>
      <c r="OVZ91" s="240" t="n"/>
      <c r="OWB91" s="15" t="n"/>
      <c r="OWC91" s="15" t="n"/>
      <c r="OWD91" s="248" t="n"/>
      <c r="OWE91" s="248" t="n"/>
      <c r="OWF91" s="240" t="n"/>
      <c r="OWG91" s="240" t="n"/>
      <c r="OWI91" s="15" t="n"/>
      <c r="OWJ91" s="15" t="n"/>
      <c r="OWK91" s="248" t="n"/>
      <c r="OWL91" s="248" t="n"/>
      <c r="OWM91" s="240" t="n"/>
      <c r="OWN91" s="240" t="n"/>
      <c r="OWP91" s="15" t="n"/>
      <c r="OWQ91" s="15" t="n"/>
      <c r="OWR91" s="248" t="n"/>
      <c r="OWS91" s="248" t="n"/>
      <c r="OWT91" s="240" t="n"/>
      <c r="OWU91" s="240" t="n"/>
      <c r="OWW91" s="15" t="n"/>
      <c r="OWX91" s="15" t="n"/>
      <c r="OWY91" s="248" t="n"/>
      <c r="OWZ91" s="248" t="n"/>
      <c r="OXA91" s="240" t="n"/>
      <c r="OXB91" s="240" t="n"/>
      <c r="OXD91" s="15" t="n"/>
      <c r="OXE91" s="15" t="n"/>
      <c r="OXF91" s="248" t="n"/>
      <c r="OXG91" s="248" t="n"/>
      <c r="OXH91" s="240" t="n"/>
      <c r="OXI91" s="240" t="n"/>
      <c r="OXK91" s="15" t="n"/>
      <c r="OXL91" s="15" t="n"/>
      <c r="OXM91" s="248" t="n"/>
      <c r="OXN91" s="248" t="n"/>
      <c r="OXO91" s="240" t="n"/>
      <c r="OXP91" s="240" t="n"/>
      <c r="OXR91" s="15" t="n"/>
      <c r="OXS91" s="15" t="n"/>
      <c r="OXT91" s="248" t="n"/>
      <c r="OXU91" s="248" t="n"/>
      <c r="OXV91" s="240" t="n"/>
      <c r="OXW91" s="240" t="n"/>
      <c r="OXY91" s="15" t="n"/>
      <c r="OXZ91" s="15" t="n"/>
      <c r="OYA91" s="248" t="n"/>
      <c r="OYB91" s="248" t="n"/>
      <c r="OYC91" s="240" t="n"/>
      <c r="OYD91" s="240" t="n"/>
      <c r="OYF91" s="15" t="n"/>
      <c r="OYG91" s="15" t="n"/>
      <c r="OYH91" s="248" t="n"/>
      <c r="OYI91" s="248" t="n"/>
      <c r="OYJ91" s="240" t="n"/>
      <c r="OYK91" s="240" t="n"/>
      <c r="OYM91" s="15" t="n"/>
      <c r="OYN91" s="15" t="n"/>
      <c r="OYO91" s="248" t="n"/>
      <c r="OYP91" s="248" t="n"/>
      <c r="OYQ91" s="240" t="n"/>
      <c r="OYR91" s="240" t="n"/>
      <c r="OYT91" s="15" t="n"/>
      <c r="OYU91" s="15" t="n"/>
      <c r="OYV91" s="248" t="n"/>
      <c r="OYW91" s="248" t="n"/>
      <c r="OYX91" s="240" t="n"/>
      <c r="OYY91" s="240" t="n"/>
      <c r="OZA91" s="15" t="n"/>
      <c r="OZB91" s="15" t="n"/>
      <c r="OZC91" s="248" t="n"/>
      <c r="OZD91" s="248" t="n"/>
      <c r="OZE91" s="240" t="n"/>
      <c r="OZF91" s="240" t="n"/>
      <c r="OZH91" s="15" t="n"/>
      <c r="OZI91" s="15" t="n"/>
      <c r="OZJ91" s="248" t="n"/>
      <c r="OZK91" s="248" t="n"/>
      <c r="OZL91" s="240" t="n"/>
      <c r="OZM91" s="240" t="n"/>
      <c r="OZO91" s="15" t="n"/>
      <c r="OZP91" s="15" t="n"/>
      <c r="OZQ91" s="248" t="n"/>
      <c r="OZR91" s="248" t="n"/>
      <c r="OZS91" s="240" t="n"/>
      <c r="OZT91" s="240" t="n"/>
      <c r="OZV91" s="15" t="n"/>
      <c r="OZW91" s="15" t="n"/>
      <c r="OZX91" s="248" t="n"/>
      <c r="OZY91" s="248" t="n"/>
      <c r="OZZ91" s="240" t="n"/>
      <c r="PAA91" s="240" t="n"/>
      <c r="PAC91" s="15" t="n"/>
      <c r="PAD91" s="15" t="n"/>
      <c r="PAE91" s="248" t="n"/>
      <c r="PAF91" s="248" t="n"/>
      <c r="PAG91" s="240" t="n"/>
      <c r="PAH91" s="240" t="n"/>
      <c r="PAJ91" s="15" t="n"/>
      <c r="PAK91" s="15" t="n"/>
      <c r="PAL91" s="248" t="n"/>
      <c r="PAM91" s="248" t="n"/>
      <c r="PAN91" s="240" t="n"/>
      <c r="PAO91" s="240" t="n"/>
      <c r="PAQ91" s="15" t="n"/>
      <c r="PAR91" s="15" t="n"/>
      <c r="PAS91" s="248" t="n"/>
      <c r="PAT91" s="248" t="n"/>
      <c r="PAU91" s="240" t="n"/>
      <c r="PAV91" s="240" t="n"/>
      <c r="PAX91" s="15" t="n"/>
      <c r="PAY91" s="15" t="n"/>
      <c r="PAZ91" s="248" t="n"/>
      <c r="PBA91" s="248" t="n"/>
      <c r="PBB91" s="240" t="n"/>
      <c r="PBC91" s="240" t="n"/>
      <c r="PBE91" s="15" t="n"/>
      <c r="PBF91" s="15" t="n"/>
      <c r="PBG91" s="248" t="n"/>
      <c r="PBH91" s="248" t="n"/>
      <c r="PBI91" s="240" t="n"/>
      <c r="PBJ91" s="240" t="n"/>
      <c r="PBL91" s="15" t="n"/>
      <c r="PBM91" s="15" t="n"/>
      <c r="PBN91" s="248" t="n"/>
      <c r="PBO91" s="248" t="n"/>
      <c r="PBP91" s="240" t="n"/>
      <c r="PBQ91" s="240" t="n"/>
      <c r="PBS91" s="15" t="n"/>
      <c r="PBT91" s="15" t="n"/>
      <c r="PBU91" s="248" t="n"/>
      <c r="PBV91" s="248" t="n"/>
      <c r="PBW91" s="240" t="n"/>
      <c r="PBX91" s="240" t="n"/>
      <c r="PBZ91" s="15" t="n"/>
      <c r="PCA91" s="15" t="n"/>
      <c r="PCB91" s="248" t="n"/>
      <c r="PCC91" s="248" t="n"/>
      <c r="PCD91" s="240" t="n"/>
      <c r="PCE91" s="240" t="n"/>
      <c r="PCG91" s="15" t="n"/>
      <c r="PCH91" s="15" t="n"/>
      <c r="PCI91" s="248" t="n"/>
      <c r="PCJ91" s="248" t="n"/>
      <c r="PCK91" s="240" t="n"/>
      <c r="PCL91" s="240" t="n"/>
      <c r="PCN91" s="15" t="n"/>
      <c r="PCO91" s="15" t="n"/>
      <c r="PCP91" s="248" t="n"/>
      <c r="PCQ91" s="248" t="n"/>
      <c r="PCR91" s="240" t="n"/>
      <c r="PCS91" s="240" t="n"/>
      <c r="PCU91" s="15" t="n"/>
      <c r="PCV91" s="15" t="n"/>
      <c r="PCW91" s="248" t="n"/>
      <c r="PCX91" s="248" t="n"/>
      <c r="PCY91" s="240" t="n"/>
      <c r="PCZ91" s="240" t="n"/>
      <c r="PDB91" s="15" t="n"/>
      <c r="PDC91" s="15" t="n"/>
      <c r="PDD91" s="248" t="n"/>
      <c r="PDE91" s="248" t="n"/>
      <c r="PDF91" s="240" t="n"/>
      <c r="PDG91" s="240" t="n"/>
      <c r="PDI91" s="15" t="n"/>
      <c r="PDJ91" s="15" t="n"/>
      <c r="PDK91" s="248" t="n"/>
      <c r="PDL91" s="248" t="n"/>
      <c r="PDM91" s="240" t="n"/>
      <c r="PDN91" s="240" t="n"/>
      <c r="PDP91" s="15" t="n"/>
      <c r="PDQ91" s="15" t="n"/>
      <c r="PDR91" s="248" t="n"/>
      <c r="PDS91" s="248" t="n"/>
      <c r="PDT91" s="240" t="n"/>
      <c r="PDU91" s="240" t="n"/>
      <c r="PDW91" s="15" t="n"/>
      <c r="PDX91" s="15" t="n"/>
      <c r="PDY91" s="248" t="n"/>
      <c r="PDZ91" s="248" t="n"/>
      <c r="PEA91" s="240" t="n"/>
      <c r="PEB91" s="240" t="n"/>
      <c r="PED91" s="15" t="n"/>
      <c r="PEE91" s="15" t="n"/>
      <c r="PEF91" s="248" t="n"/>
      <c r="PEG91" s="248" t="n"/>
      <c r="PEH91" s="240" t="n"/>
      <c r="PEI91" s="240" t="n"/>
      <c r="PEK91" s="15" t="n"/>
      <c r="PEL91" s="15" t="n"/>
      <c r="PEM91" s="248" t="n"/>
      <c r="PEN91" s="248" t="n"/>
      <c r="PEO91" s="240" t="n"/>
      <c r="PEP91" s="240" t="n"/>
      <c r="PER91" s="15" t="n"/>
      <c r="PES91" s="15" t="n"/>
      <c r="PET91" s="248" t="n"/>
      <c r="PEU91" s="248" t="n"/>
      <c r="PEV91" s="240" t="n"/>
      <c r="PEW91" s="240" t="n"/>
      <c r="PEY91" s="15" t="n"/>
      <c r="PEZ91" s="15" t="n"/>
      <c r="PFA91" s="248" t="n"/>
      <c r="PFB91" s="248" t="n"/>
      <c r="PFC91" s="240" t="n"/>
      <c r="PFD91" s="240" t="n"/>
      <c r="PFF91" s="15" t="n"/>
      <c r="PFG91" s="15" t="n"/>
      <c r="PFH91" s="248" t="n"/>
      <c r="PFI91" s="248" t="n"/>
      <c r="PFJ91" s="240" t="n"/>
      <c r="PFK91" s="240" t="n"/>
      <c r="PFM91" s="15" t="n"/>
      <c r="PFN91" s="15" t="n"/>
      <c r="PFO91" s="248" t="n"/>
      <c r="PFP91" s="248" t="n"/>
      <c r="PFQ91" s="240" t="n"/>
      <c r="PFR91" s="240" t="n"/>
      <c r="PFT91" s="15" t="n"/>
      <c r="PFU91" s="15" t="n"/>
      <c r="PFV91" s="248" t="n"/>
      <c r="PFW91" s="248" t="n"/>
      <c r="PFX91" s="240" t="n"/>
      <c r="PFY91" s="240" t="n"/>
      <c r="PGA91" s="15" t="n"/>
      <c r="PGB91" s="15" t="n"/>
      <c r="PGC91" s="248" t="n"/>
      <c r="PGD91" s="248" t="n"/>
      <c r="PGE91" s="240" t="n"/>
      <c r="PGF91" s="240" t="n"/>
      <c r="PGH91" s="15" t="n"/>
      <c r="PGI91" s="15" t="n"/>
      <c r="PGJ91" s="248" t="n"/>
      <c r="PGK91" s="248" t="n"/>
      <c r="PGL91" s="240" t="n"/>
      <c r="PGM91" s="240" t="n"/>
      <c r="PGO91" s="15" t="n"/>
      <c r="PGP91" s="15" t="n"/>
      <c r="PGQ91" s="248" t="n"/>
      <c r="PGR91" s="248" t="n"/>
      <c r="PGS91" s="240" t="n"/>
      <c r="PGT91" s="240" t="n"/>
      <c r="PGV91" s="15" t="n"/>
      <c r="PGW91" s="15" t="n"/>
      <c r="PGX91" s="248" t="n"/>
      <c r="PGY91" s="248" t="n"/>
      <c r="PGZ91" s="240" t="n"/>
      <c r="PHA91" s="240" t="n"/>
      <c r="PHC91" s="15" t="n"/>
      <c r="PHD91" s="15" t="n"/>
      <c r="PHE91" s="248" t="n"/>
      <c r="PHF91" s="248" t="n"/>
      <c r="PHG91" s="240" t="n"/>
      <c r="PHH91" s="240" t="n"/>
      <c r="PHJ91" s="15" t="n"/>
      <c r="PHK91" s="15" t="n"/>
      <c r="PHL91" s="248" t="n"/>
      <c r="PHM91" s="248" t="n"/>
      <c r="PHN91" s="240" t="n"/>
      <c r="PHO91" s="240" t="n"/>
      <c r="PHQ91" s="15" t="n"/>
      <c r="PHR91" s="15" t="n"/>
      <c r="PHS91" s="248" t="n"/>
      <c r="PHT91" s="248" t="n"/>
      <c r="PHU91" s="240" t="n"/>
      <c r="PHV91" s="240" t="n"/>
      <c r="PHX91" s="15" t="n"/>
      <c r="PHY91" s="15" t="n"/>
      <c r="PHZ91" s="248" t="n"/>
      <c r="PIA91" s="248" t="n"/>
      <c r="PIB91" s="240" t="n"/>
      <c r="PIC91" s="240" t="n"/>
      <c r="PIE91" s="15" t="n"/>
      <c r="PIF91" s="15" t="n"/>
      <c r="PIG91" s="248" t="n"/>
      <c r="PIH91" s="248" t="n"/>
      <c r="PII91" s="240" t="n"/>
      <c r="PIJ91" s="240" t="n"/>
      <c r="PIL91" s="15" t="n"/>
      <c r="PIM91" s="15" t="n"/>
      <c r="PIN91" s="248" t="n"/>
      <c r="PIO91" s="248" t="n"/>
      <c r="PIP91" s="240" t="n"/>
      <c r="PIQ91" s="240" t="n"/>
      <c r="PIS91" s="15" t="n"/>
      <c r="PIT91" s="15" t="n"/>
      <c r="PIU91" s="248" t="n"/>
      <c r="PIV91" s="248" t="n"/>
      <c r="PIW91" s="240" t="n"/>
      <c r="PIX91" s="240" t="n"/>
      <c r="PIZ91" s="15" t="n"/>
      <c r="PJA91" s="15" t="n"/>
      <c r="PJB91" s="248" t="n"/>
      <c r="PJC91" s="248" t="n"/>
      <c r="PJD91" s="240" t="n"/>
      <c r="PJE91" s="240" t="n"/>
      <c r="PJG91" s="15" t="n"/>
      <c r="PJH91" s="15" t="n"/>
      <c r="PJI91" s="248" t="n"/>
      <c r="PJJ91" s="248" t="n"/>
      <c r="PJK91" s="240" t="n"/>
      <c r="PJL91" s="240" t="n"/>
      <c r="PJN91" s="15" t="n"/>
      <c r="PJO91" s="15" t="n"/>
      <c r="PJP91" s="248" t="n"/>
      <c r="PJQ91" s="248" t="n"/>
      <c r="PJR91" s="240" t="n"/>
      <c r="PJS91" s="240" t="n"/>
      <c r="PJU91" s="15" t="n"/>
      <c r="PJV91" s="15" t="n"/>
      <c r="PJW91" s="248" t="n"/>
      <c r="PJX91" s="248" t="n"/>
      <c r="PJY91" s="240" t="n"/>
      <c r="PJZ91" s="240" t="n"/>
      <c r="PKB91" s="15" t="n"/>
      <c r="PKC91" s="15" t="n"/>
      <c r="PKD91" s="248" t="n"/>
      <c r="PKE91" s="248" t="n"/>
      <c r="PKF91" s="240" t="n"/>
      <c r="PKG91" s="240" t="n"/>
      <c r="PKI91" s="15" t="n"/>
      <c r="PKJ91" s="15" t="n"/>
      <c r="PKK91" s="248" t="n"/>
      <c r="PKL91" s="248" t="n"/>
      <c r="PKM91" s="240" t="n"/>
      <c r="PKN91" s="240" t="n"/>
      <c r="PKP91" s="15" t="n"/>
      <c r="PKQ91" s="15" t="n"/>
      <c r="PKR91" s="248" t="n"/>
      <c r="PKS91" s="248" t="n"/>
      <c r="PKT91" s="240" t="n"/>
      <c r="PKU91" s="240" t="n"/>
      <c r="PKW91" s="15" t="n"/>
      <c r="PKX91" s="15" t="n"/>
      <c r="PKY91" s="248" t="n"/>
      <c r="PKZ91" s="248" t="n"/>
      <c r="PLA91" s="240" t="n"/>
      <c r="PLB91" s="240" t="n"/>
      <c r="PLD91" s="15" t="n"/>
      <c r="PLE91" s="15" t="n"/>
      <c r="PLF91" s="248" t="n"/>
      <c r="PLG91" s="248" t="n"/>
      <c r="PLH91" s="240" t="n"/>
      <c r="PLI91" s="240" t="n"/>
      <c r="PLK91" s="15" t="n"/>
      <c r="PLL91" s="15" t="n"/>
      <c r="PLM91" s="248" t="n"/>
      <c r="PLN91" s="248" t="n"/>
      <c r="PLO91" s="240" t="n"/>
      <c r="PLP91" s="240" t="n"/>
      <c r="PLR91" s="15" t="n"/>
      <c r="PLS91" s="15" t="n"/>
      <c r="PLT91" s="248" t="n"/>
      <c r="PLU91" s="248" t="n"/>
      <c r="PLV91" s="240" t="n"/>
      <c r="PLW91" s="240" t="n"/>
      <c r="PLY91" s="15" t="n"/>
      <c r="PLZ91" s="15" t="n"/>
      <c r="PMA91" s="248" t="n"/>
      <c r="PMB91" s="248" t="n"/>
      <c r="PMC91" s="240" t="n"/>
      <c r="PMD91" s="240" t="n"/>
      <c r="PMF91" s="15" t="n"/>
      <c r="PMG91" s="15" t="n"/>
      <c r="PMH91" s="248" t="n"/>
      <c r="PMI91" s="248" t="n"/>
      <c r="PMJ91" s="240" t="n"/>
      <c r="PMK91" s="240" t="n"/>
      <c r="PMM91" s="15" t="n"/>
      <c r="PMN91" s="15" t="n"/>
      <c r="PMO91" s="248" t="n"/>
      <c r="PMP91" s="248" t="n"/>
      <c r="PMQ91" s="240" t="n"/>
      <c r="PMR91" s="240" t="n"/>
      <c r="PMT91" s="15" t="n"/>
      <c r="PMU91" s="15" t="n"/>
      <c r="PMV91" s="248" t="n"/>
      <c r="PMW91" s="248" t="n"/>
      <c r="PMX91" s="240" t="n"/>
      <c r="PMY91" s="240" t="n"/>
      <c r="PNA91" s="15" t="n"/>
      <c r="PNB91" s="15" t="n"/>
      <c r="PNC91" s="248" t="n"/>
      <c r="PND91" s="248" t="n"/>
      <c r="PNE91" s="240" t="n"/>
      <c r="PNF91" s="240" t="n"/>
      <c r="PNH91" s="15" t="n"/>
      <c r="PNI91" s="15" t="n"/>
      <c r="PNJ91" s="248" t="n"/>
      <c r="PNK91" s="248" t="n"/>
      <c r="PNL91" s="240" t="n"/>
      <c r="PNM91" s="240" t="n"/>
      <c r="PNO91" s="15" t="n"/>
      <c r="PNP91" s="15" t="n"/>
      <c r="PNQ91" s="248" t="n"/>
      <c r="PNR91" s="248" t="n"/>
      <c r="PNS91" s="240" t="n"/>
      <c r="PNT91" s="240" t="n"/>
      <c r="PNV91" s="15" t="n"/>
      <c r="PNW91" s="15" t="n"/>
      <c r="PNX91" s="248" t="n"/>
      <c r="PNY91" s="248" t="n"/>
      <c r="PNZ91" s="240" t="n"/>
      <c r="POA91" s="240" t="n"/>
      <c r="POC91" s="15" t="n"/>
      <c r="POD91" s="15" t="n"/>
      <c r="POE91" s="248" t="n"/>
      <c r="POF91" s="248" t="n"/>
      <c r="POG91" s="240" t="n"/>
      <c r="POH91" s="240" t="n"/>
      <c r="POJ91" s="15" t="n"/>
      <c r="POK91" s="15" t="n"/>
      <c r="POL91" s="248" t="n"/>
      <c r="POM91" s="248" t="n"/>
      <c r="PON91" s="240" t="n"/>
      <c r="POO91" s="240" t="n"/>
      <c r="POQ91" s="15" t="n"/>
      <c r="POR91" s="15" t="n"/>
      <c r="POS91" s="248" t="n"/>
      <c r="POT91" s="248" t="n"/>
      <c r="POU91" s="240" t="n"/>
      <c r="POV91" s="240" t="n"/>
      <c r="POX91" s="15" t="n"/>
      <c r="POY91" s="15" t="n"/>
      <c r="POZ91" s="248" t="n"/>
      <c r="PPA91" s="248" t="n"/>
      <c r="PPB91" s="240" t="n"/>
      <c r="PPC91" s="240" t="n"/>
      <c r="PPE91" s="15" t="n"/>
      <c r="PPF91" s="15" t="n"/>
      <c r="PPG91" s="248" t="n"/>
      <c r="PPH91" s="248" t="n"/>
      <c r="PPI91" s="240" t="n"/>
      <c r="PPJ91" s="240" t="n"/>
      <c r="PPL91" s="15" t="n"/>
      <c r="PPM91" s="15" t="n"/>
      <c r="PPN91" s="248" t="n"/>
      <c r="PPO91" s="248" t="n"/>
      <c r="PPP91" s="240" t="n"/>
      <c r="PPQ91" s="240" t="n"/>
      <c r="PPS91" s="15" t="n"/>
      <c r="PPT91" s="15" t="n"/>
      <c r="PPU91" s="248" t="n"/>
      <c r="PPV91" s="248" t="n"/>
      <c r="PPW91" s="240" t="n"/>
      <c r="PPX91" s="240" t="n"/>
      <c r="PPZ91" s="15" t="n"/>
      <c r="PQA91" s="15" t="n"/>
      <c r="PQB91" s="248" t="n"/>
      <c r="PQC91" s="248" t="n"/>
      <c r="PQD91" s="240" t="n"/>
      <c r="PQE91" s="240" t="n"/>
      <c r="PQG91" s="15" t="n"/>
      <c r="PQH91" s="15" t="n"/>
      <c r="PQI91" s="248" t="n"/>
      <c r="PQJ91" s="248" t="n"/>
      <c r="PQK91" s="240" t="n"/>
      <c r="PQL91" s="240" t="n"/>
      <c r="PQN91" s="15" t="n"/>
      <c r="PQO91" s="15" t="n"/>
      <c r="PQP91" s="248" t="n"/>
      <c r="PQQ91" s="248" t="n"/>
      <c r="PQR91" s="240" t="n"/>
      <c r="PQS91" s="240" t="n"/>
      <c r="PQU91" s="15" t="n"/>
      <c r="PQV91" s="15" t="n"/>
      <c r="PQW91" s="248" t="n"/>
      <c r="PQX91" s="248" t="n"/>
      <c r="PQY91" s="240" t="n"/>
      <c r="PQZ91" s="240" t="n"/>
      <c r="PRB91" s="15" t="n"/>
      <c r="PRC91" s="15" t="n"/>
      <c r="PRD91" s="248" t="n"/>
      <c r="PRE91" s="248" t="n"/>
      <c r="PRF91" s="240" t="n"/>
      <c r="PRG91" s="240" t="n"/>
      <c r="PRI91" s="15" t="n"/>
      <c r="PRJ91" s="15" t="n"/>
      <c r="PRK91" s="248" t="n"/>
      <c r="PRL91" s="248" t="n"/>
      <c r="PRM91" s="240" t="n"/>
      <c r="PRN91" s="240" t="n"/>
      <c r="PRP91" s="15" t="n"/>
      <c r="PRQ91" s="15" t="n"/>
      <c r="PRR91" s="248" t="n"/>
      <c r="PRS91" s="248" t="n"/>
      <c r="PRT91" s="240" t="n"/>
      <c r="PRU91" s="240" t="n"/>
      <c r="PRW91" s="15" t="n"/>
      <c r="PRX91" s="15" t="n"/>
      <c r="PRY91" s="248" t="n"/>
      <c r="PRZ91" s="248" t="n"/>
      <c r="PSA91" s="240" t="n"/>
      <c r="PSB91" s="240" t="n"/>
      <c r="PSD91" s="15" t="n"/>
      <c r="PSE91" s="15" t="n"/>
      <c r="PSF91" s="248" t="n"/>
      <c r="PSG91" s="248" t="n"/>
      <c r="PSH91" s="240" t="n"/>
      <c r="PSI91" s="240" t="n"/>
      <c r="PSK91" s="15" t="n"/>
      <c r="PSL91" s="15" t="n"/>
      <c r="PSM91" s="248" t="n"/>
      <c r="PSN91" s="248" t="n"/>
      <c r="PSO91" s="240" t="n"/>
      <c r="PSP91" s="240" t="n"/>
      <c r="PSR91" s="15" t="n"/>
      <c r="PSS91" s="15" t="n"/>
      <c r="PST91" s="248" t="n"/>
      <c r="PSU91" s="248" t="n"/>
      <c r="PSV91" s="240" t="n"/>
      <c r="PSW91" s="240" t="n"/>
      <c r="PSY91" s="15" t="n"/>
      <c r="PSZ91" s="15" t="n"/>
      <c r="PTA91" s="248" t="n"/>
      <c r="PTB91" s="248" t="n"/>
      <c r="PTC91" s="240" t="n"/>
      <c r="PTD91" s="240" t="n"/>
      <c r="PTF91" s="15" t="n"/>
      <c r="PTG91" s="15" t="n"/>
      <c r="PTH91" s="248" t="n"/>
      <c r="PTI91" s="248" t="n"/>
      <c r="PTJ91" s="240" t="n"/>
      <c r="PTK91" s="240" t="n"/>
      <c r="PTM91" s="15" t="n"/>
      <c r="PTN91" s="15" t="n"/>
      <c r="PTO91" s="248" t="n"/>
      <c r="PTP91" s="248" t="n"/>
      <c r="PTQ91" s="240" t="n"/>
      <c r="PTR91" s="240" t="n"/>
      <c r="PTT91" s="15" t="n"/>
      <c r="PTU91" s="15" t="n"/>
      <c r="PTV91" s="248" t="n"/>
      <c r="PTW91" s="248" t="n"/>
      <c r="PTX91" s="240" t="n"/>
      <c r="PTY91" s="240" t="n"/>
      <c r="PUA91" s="15" t="n"/>
      <c r="PUB91" s="15" t="n"/>
      <c r="PUC91" s="248" t="n"/>
      <c r="PUD91" s="248" t="n"/>
      <c r="PUE91" s="240" t="n"/>
      <c r="PUF91" s="240" t="n"/>
      <c r="PUH91" s="15" t="n"/>
      <c r="PUI91" s="15" t="n"/>
      <c r="PUJ91" s="248" t="n"/>
      <c r="PUK91" s="248" t="n"/>
      <c r="PUL91" s="240" t="n"/>
      <c r="PUM91" s="240" t="n"/>
      <c r="PUO91" s="15" t="n"/>
      <c r="PUP91" s="15" t="n"/>
      <c r="PUQ91" s="248" t="n"/>
      <c r="PUR91" s="248" t="n"/>
      <c r="PUS91" s="240" t="n"/>
      <c r="PUT91" s="240" t="n"/>
      <c r="PUV91" s="15" t="n"/>
      <c r="PUW91" s="15" t="n"/>
      <c r="PUX91" s="248" t="n"/>
      <c r="PUY91" s="248" t="n"/>
      <c r="PUZ91" s="240" t="n"/>
      <c r="PVA91" s="240" t="n"/>
      <c r="PVC91" s="15" t="n"/>
      <c r="PVD91" s="15" t="n"/>
      <c r="PVE91" s="248" t="n"/>
      <c r="PVF91" s="248" t="n"/>
      <c r="PVG91" s="240" t="n"/>
      <c r="PVH91" s="240" t="n"/>
      <c r="PVJ91" s="15" t="n"/>
      <c r="PVK91" s="15" t="n"/>
      <c r="PVL91" s="248" t="n"/>
      <c r="PVM91" s="248" t="n"/>
      <c r="PVN91" s="240" t="n"/>
      <c r="PVO91" s="240" t="n"/>
      <c r="PVQ91" s="15" t="n"/>
      <c r="PVR91" s="15" t="n"/>
      <c r="PVS91" s="248" t="n"/>
      <c r="PVT91" s="248" t="n"/>
      <c r="PVU91" s="240" t="n"/>
      <c r="PVV91" s="240" t="n"/>
      <c r="PVX91" s="15" t="n"/>
      <c r="PVY91" s="15" t="n"/>
      <c r="PVZ91" s="248" t="n"/>
      <c r="PWA91" s="248" t="n"/>
      <c r="PWB91" s="240" t="n"/>
      <c r="PWC91" s="240" t="n"/>
      <c r="PWE91" s="15" t="n"/>
      <c r="PWF91" s="15" t="n"/>
      <c r="PWG91" s="248" t="n"/>
      <c r="PWH91" s="248" t="n"/>
      <c r="PWI91" s="240" t="n"/>
      <c r="PWJ91" s="240" t="n"/>
      <c r="PWL91" s="15" t="n"/>
      <c r="PWM91" s="15" t="n"/>
      <c r="PWN91" s="248" t="n"/>
      <c r="PWO91" s="248" t="n"/>
      <c r="PWP91" s="240" t="n"/>
      <c r="PWQ91" s="240" t="n"/>
      <c r="PWS91" s="15" t="n"/>
      <c r="PWT91" s="15" t="n"/>
      <c r="PWU91" s="248" t="n"/>
      <c r="PWV91" s="248" t="n"/>
      <c r="PWW91" s="240" t="n"/>
      <c r="PWX91" s="240" t="n"/>
      <c r="PWZ91" s="15" t="n"/>
      <c r="PXA91" s="15" t="n"/>
      <c r="PXB91" s="248" t="n"/>
      <c r="PXC91" s="248" t="n"/>
      <c r="PXD91" s="240" t="n"/>
      <c r="PXE91" s="240" t="n"/>
      <c r="PXG91" s="15" t="n"/>
      <c r="PXH91" s="15" t="n"/>
      <c r="PXI91" s="248" t="n"/>
      <c r="PXJ91" s="248" t="n"/>
      <c r="PXK91" s="240" t="n"/>
      <c r="PXL91" s="240" t="n"/>
      <c r="PXN91" s="15" t="n"/>
      <c r="PXO91" s="15" t="n"/>
      <c r="PXP91" s="248" t="n"/>
      <c r="PXQ91" s="248" t="n"/>
      <c r="PXR91" s="240" t="n"/>
      <c r="PXS91" s="240" t="n"/>
      <c r="PXU91" s="15" t="n"/>
      <c r="PXV91" s="15" t="n"/>
      <c r="PXW91" s="248" t="n"/>
      <c r="PXX91" s="248" t="n"/>
      <c r="PXY91" s="240" t="n"/>
      <c r="PXZ91" s="240" t="n"/>
      <c r="PYB91" s="15" t="n"/>
      <c r="PYC91" s="15" t="n"/>
      <c r="PYD91" s="248" t="n"/>
      <c r="PYE91" s="248" t="n"/>
      <c r="PYF91" s="240" t="n"/>
      <c r="PYG91" s="240" t="n"/>
      <c r="PYI91" s="15" t="n"/>
      <c r="PYJ91" s="15" t="n"/>
      <c r="PYK91" s="248" t="n"/>
      <c r="PYL91" s="248" t="n"/>
      <c r="PYM91" s="240" t="n"/>
      <c r="PYN91" s="240" t="n"/>
      <c r="PYP91" s="15" t="n"/>
      <c r="PYQ91" s="15" t="n"/>
      <c r="PYR91" s="248" t="n"/>
      <c r="PYS91" s="248" t="n"/>
      <c r="PYT91" s="240" t="n"/>
      <c r="PYU91" s="240" t="n"/>
      <c r="PYW91" s="15" t="n"/>
      <c r="PYX91" s="15" t="n"/>
      <c r="PYY91" s="248" t="n"/>
      <c r="PYZ91" s="248" t="n"/>
      <c r="PZA91" s="240" t="n"/>
      <c r="PZB91" s="240" t="n"/>
      <c r="PZD91" s="15" t="n"/>
      <c r="PZE91" s="15" t="n"/>
      <c r="PZF91" s="248" t="n"/>
      <c r="PZG91" s="248" t="n"/>
      <c r="PZH91" s="240" t="n"/>
      <c r="PZI91" s="240" t="n"/>
      <c r="PZK91" s="15" t="n"/>
      <c r="PZL91" s="15" t="n"/>
      <c r="PZM91" s="248" t="n"/>
      <c r="PZN91" s="248" t="n"/>
      <c r="PZO91" s="240" t="n"/>
      <c r="PZP91" s="240" t="n"/>
      <c r="PZR91" s="15" t="n"/>
      <c r="PZS91" s="15" t="n"/>
      <c r="PZT91" s="248" t="n"/>
      <c r="PZU91" s="248" t="n"/>
      <c r="PZV91" s="240" t="n"/>
      <c r="PZW91" s="240" t="n"/>
      <c r="PZY91" s="15" t="n"/>
      <c r="PZZ91" s="15" t="n"/>
      <c r="QAA91" s="248" t="n"/>
      <c r="QAB91" s="248" t="n"/>
      <c r="QAC91" s="240" t="n"/>
      <c r="QAD91" s="240" t="n"/>
      <c r="QAF91" s="15" t="n"/>
      <c r="QAG91" s="15" t="n"/>
      <c r="QAH91" s="248" t="n"/>
      <c r="QAI91" s="248" t="n"/>
      <c r="QAJ91" s="240" t="n"/>
      <c r="QAK91" s="240" t="n"/>
      <c r="QAM91" s="15" t="n"/>
      <c r="QAN91" s="15" t="n"/>
      <c r="QAO91" s="248" t="n"/>
      <c r="QAP91" s="248" t="n"/>
      <c r="QAQ91" s="240" t="n"/>
      <c r="QAR91" s="240" t="n"/>
      <c r="QAT91" s="15" t="n"/>
      <c r="QAU91" s="15" t="n"/>
      <c r="QAV91" s="248" t="n"/>
      <c r="QAW91" s="248" t="n"/>
      <c r="QAX91" s="240" t="n"/>
      <c r="QAY91" s="240" t="n"/>
      <c r="QBA91" s="15" t="n"/>
      <c r="QBB91" s="15" t="n"/>
      <c r="QBC91" s="248" t="n"/>
      <c r="QBD91" s="248" t="n"/>
      <c r="QBE91" s="240" t="n"/>
      <c r="QBF91" s="240" t="n"/>
      <c r="QBH91" s="15" t="n"/>
      <c r="QBI91" s="15" t="n"/>
      <c r="QBJ91" s="248" t="n"/>
      <c r="QBK91" s="248" t="n"/>
      <c r="QBL91" s="240" t="n"/>
      <c r="QBM91" s="240" t="n"/>
      <c r="QBO91" s="15" t="n"/>
      <c r="QBP91" s="15" t="n"/>
      <c r="QBQ91" s="248" t="n"/>
      <c r="QBR91" s="248" t="n"/>
      <c r="QBS91" s="240" t="n"/>
      <c r="QBT91" s="240" t="n"/>
      <c r="QBV91" s="15" t="n"/>
      <c r="QBW91" s="15" t="n"/>
      <c r="QBX91" s="248" t="n"/>
      <c r="QBY91" s="248" t="n"/>
      <c r="QBZ91" s="240" t="n"/>
      <c r="QCA91" s="240" t="n"/>
      <c r="QCC91" s="15" t="n"/>
      <c r="QCD91" s="15" t="n"/>
      <c r="QCE91" s="248" t="n"/>
      <c r="QCF91" s="248" t="n"/>
      <c r="QCG91" s="240" t="n"/>
      <c r="QCH91" s="240" t="n"/>
      <c r="QCJ91" s="15" t="n"/>
      <c r="QCK91" s="15" t="n"/>
      <c r="QCL91" s="248" t="n"/>
      <c r="QCM91" s="248" t="n"/>
      <c r="QCN91" s="240" t="n"/>
      <c r="QCO91" s="240" t="n"/>
      <c r="QCQ91" s="15" t="n"/>
      <c r="QCR91" s="15" t="n"/>
      <c r="QCS91" s="248" t="n"/>
      <c r="QCT91" s="248" t="n"/>
      <c r="QCU91" s="240" t="n"/>
      <c r="QCV91" s="240" t="n"/>
      <c r="QCX91" s="15" t="n"/>
      <c r="QCY91" s="15" t="n"/>
      <c r="QCZ91" s="248" t="n"/>
      <c r="QDA91" s="248" t="n"/>
      <c r="QDB91" s="240" t="n"/>
      <c r="QDC91" s="240" t="n"/>
      <c r="QDE91" s="15" t="n"/>
      <c r="QDF91" s="15" t="n"/>
      <c r="QDG91" s="248" t="n"/>
      <c r="QDH91" s="248" t="n"/>
      <c r="QDI91" s="240" t="n"/>
      <c r="QDJ91" s="240" t="n"/>
      <c r="QDL91" s="15" t="n"/>
      <c r="QDM91" s="15" t="n"/>
      <c r="QDN91" s="248" t="n"/>
      <c r="QDO91" s="248" t="n"/>
      <c r="QDP91" s="240" t="n"/>
      <c r="QDQ91" s="240" t="n"/>
      <c r="QDS91" s="15" t="n"/>
      <c r="QDT91" s="15" t="n"/>
      <c r="QDU91" s="248" t="n"/>
      <c r="QDV91" s="248" t="n"/>
      <c r="QDW91" s="240" t="n"/>
      <c r="QDX91" s="240" t="n"/>
      <c r="QDZ91" s="15" t="n"/>
      <c r="QEA91" s="15" t="n"/>
      <c r="QEB91" s="248" t="n"/>
      <c r="QEC91" s="248" t="n"/>
      <c r="QED91" s="240" t="n"/>
      <c r="QEE91" s="240" t="n"/>
      <c r="QEG91" s="15" t="n"/>
      <c r="QEH91" s="15" t="n"/>
      <c r="QEI91" s="248" t="n"/>
      <c r="QEJ91" s="248" t="n"/>
      <c r="QEK91" s="240" t="n"/>
      <c r="QEL91" s="240" t="n"/>
      <c r="QEN91" s="15" t="n"/>
      <c r="QEO91" s="15" t="n"/>
      <c r="QEP91" s="248" t="n"/>
      <c r="QEQ91" s="248" t="n"/>
      <c r="QER91" s="240" t="n"/>
      <c r="QES91" s="240" t="n"/>
      <c r="QEU91" s="15" t="n"/>
      <c r="QEV91" s="15" t="n"/>
      <c r="QEW91" s="248" t="n"/>
      <c r="QEX91" s="248" t="n"/>
      <c r="QEY91" s="240" t="n"/>
      <c r="QEZ91" s="240" t="n"/>
      <c r="QFB91" s="15" t="n"/>
      <c r="QFC91" s="15" t="n"/>
      <c r="QFD91" s="248" t="n"/>
      <c r="QFE91" s="248" t="n"/>
      <c r="QFF91" s="240" t="n"/>
      <c r="QFG91" s="240" t="n"/>
      <c r="QFI91" s="15" t="n"/>
      <c r="QFJ91" s="15" t="n"/>
      <c r="QFK91" s="248" t="n"/>
      <c r="QFL91" s="248" t="n"/>
      <c r="QFM91" s="240" t="n"/>
      <c r="QFN91" s="240" t="n"/>
      <c r="QFP91" s="15" t="n"/>
      <c r="QFQ91" s="15" t="n"/>
      <c r="QFR91" s="248" t="n"/>
      <c r="QFS91" s="248" t="n"/>
      <c r="QFT91" s="240" t="n"/>
      <c r="QFU91" s="240" t="n"/>
      <c r="QFW91" s="15" t="n"/>
      <c r="QFX91" s="15" t="n"/>
      <c r="QFY91" s="248" t="n"/>
      <c r="QFZ91" s="248" t="n"/>
      <c r="QGA91" s="240" t="n"/>
      <c r="QGB91" s="240" t="n"/>
      <c r="QGD91" s="15" t="n"/>
      <c r="QGE91" s="15" t="n"/>
      <c r="QGF91" s="248" t="n"/>
      <c r="QGG91" s="248" t="n"/>
      <c r="QGH91" s="240" t="n"/>
      <c r="QGI91" s="240" t="n"/>
      <c r="QGK91" s="15" t="n"/>
      <c r="QGL91" s="15" t="n"/>
      <c r="QGM91" s="248" t="n"/>
      <c r="QGN91" s="248" t="n"/>
      <c r="QGO91" s="240" t="n"/>
      <c r="QGP91" s="240" t="n"/>
      <c r="QGR91" s="15" t="n"/>
      <c r="QGS91" s="15" t="n"/>
      <c r="QGT91" s="248" t="n"/>
      <c r="QGU91" s="248" t="n"/>
      <c r="QGV91" s="240" t="n"/>
      <c r="QGW91" s="240" t="n"/>
      <c r="QGY91" s="15" t="n"/>
      <c r="QGZ91" s="15" t="n"/>
      <c r="QHA91" s="248" t="n"/>
      <c r="QHB91" s="248" t="n"/>
      <c r="QHC91" s="240" t="n"/>
      <c r="QHD91" s="240" t="n"/>
      <c r="QHF91" s="15" t="n"/>
      <c r="QHG91" s="15" t="n"/>
      <c r="QHH91" s="248" t="n"/>
      <c r="QHI91" s="248" t="n"/>
      <c r="QHJ91" s="240" t="n"/>
      <c r="QHK91" s="240" t="n"/>
      <c r="QHM91" s="15" t="n"/>
      <c r="QHN91" s="15" t="n"/>
      <c r="QHO91" s="248" t="n"/>
      <c r="QHP91" s="248" t="n"/>
      <c r="QHQ91" s="240" t="n"/>
      <c r="QHR91" s="240" t="n"/>
      <c r="QHT91" s="15" t="n"/>
      <c r="QHU91" s="15" t="n"/>
      <c r="QHV91" s="248" t="n"/>
      <c r="QHW91" s="248" t="n"/>
      <c r="QHX91" s="240" t="n"/>
      <c r="QHY91" s="240" t="n"/>
      <c r="QIA91" s="15" t="n"/>
      <c r="QIB91" s="15" t="n"/>
      <c r="QIC91" s="248" t="n"/>
      <c r="QID91" s="248" t="n"/>
      <c r="QIE91" s="240" t="n"/>
      <c r="QIF91" s="240" t="n"/>
      <c r="QIH91" s="15" t="n"/>
      <c r="QII91" s="15" t="n"/>
      <c r="QIJ91" s="248" t="n"/>
      <c r="QIK91" s="248" t="n"/>
      <c r="QIL91" s="240" t="n"/>
      <c r="QIM91" s="240" t="n"/>
      <c r="QIO91" s="15" t="n"/>
      <c r="QIP91" s="15" t="n"/>
      <c r="QIQ91" s="248" t="n"/>
      <c r="QIR91" s="248" t="n"/>
      <c r="QIS91" s="240" t="n"/>
      <c r="QIT91" s="240" t="n"/>
      <c r="QIV91" s="15" t="n"/>
      <c r="QIW91" s="15" t="n"/>
      <c r="QIX91" s="248" t="n"/>
      <c r="QIY91" s="248" t="n"/>
      <c r="QIZ91" s="240" t="n"/>
      <c r="QJA91" s="240" t="n"/>
      <c r="QJC91" s="15" t="n"/>
      <c r="QJD91" s="15" t="n"/>
      <c r="QJE91" s="248" t="n"/>
      <c r="QJF91" s="248" t="n"/>
      <c r="QJG91" s="240" t="n"/>
      <c r="QJH91" s="240" t="n"/>
      <c r="QJJ91" s="15" t="n"/>
      <c r="QJK91" s="15" t="n"/>
      <c r="QJL91" s="248" t="n"/>
      <c r="QJM91" s="248" t="n"/>
      <c r="QJN91" s="240" t="n"/>
      <c r="QJO91" s="240" t="n"/>
      <c r="QJQ91" s="15" t="n"/>
      <c r="QJR91" s="15" t="n"/>
      <c r="QJS91" s="248" t="n"/>
      <c r="QJT91" s="248" t="n"/>
      <c r="QJU91" s="240" t="n"/>
      <c r="QJV91" s="240" t="n"/>
      <c r="QJX91" s="15" t="n"/>
      <c r="QJY91" s="15" t="n"/>
      <c r="QJZ91" s="248" t="n"/>
      <c r="QKA91" s="248" t="n"/>
      <c r="QKB91" s="240" t="n"/>
      <c r="QKC91" s="240" t="n"/>
      <c r="QKE91" s="15" t="n"/>
      <c r="QKF91" s="15" t="n"/>
      <c r="QKG91" s="248" t="n"/>
      <c r="QKH91" s="248" t="n"/>
      <c r="QKI91" s="240" t="n"/>
      <c r="QKJ91" s="240" t="n"/>
      <c r="QKL91" s="15" t="n"/>
      <c r="QKM91" s="15" t="n"/>
      <c r="QKN91" s="248" t="n"/>
      <c r="QKO91" s="248" t="n"/>
      <c r="QKP91" s="240" t="n"/>
      <c r="QKQ91" s="240" t="n"/>
      <c r="QKS91" s="15" t="n"/>
      <c r="QKT91" s="15" t="n"/>
      <c r="QKU91" s="248" t="n"/>
      <c r="QKV91" s="248" t="n"/>
      <c r="QKW91" s="240" t="n"/>
      <c r="QKX91" s="240" t="n"/>
      <c r="QKZ91" s="15" t="n"/>
      <c r="QLA91" s="15" t="n"/>
      <c r="QLB91" s="248" t="n"/>
      <c r="QLC91" s="248" t="n"/>
      <c r="QLD91" s="240" t="n"/>
      <c r="QLE91" s="240" t="n"/>
      <c r="QLG91" s="15" t="n"/>
      <c r="QLH91" s="15" t="n"/>
      <c r="QLI91" s="248" t="n"/>
      <c r="QLJ91" s="248" t="n"/>
      <c r="QLK91" s="240" t="n"/>
      <c r="QLL91" s="240" t="n"/>
      <c r="QLN91" s="15" t="n"/>
      <c r="QLO91" s="15" t="n"/>
      <c r="QLP91" s="248" t="n"/>
      <c r="QLQ91" s="248" t="n"/>
      <c r="QLR91" s="240" t="n"/>
      <c r="QLS91" s="240" t="n"/>
      <c r="QLU91" s="15" t="n"/>
      <c r="QLV91" s="15" t="n"/>
      <c r="QLW91" s="248" t="n"/>
      <c r="QLX91" s="248" t="n"/>
      <c r="QLY91" s="240" t="n"/>
      <c r="QLZ91" s="240" t="n"/>
      <c r="QMB91" s="15" t="n"/>
      <c r="QMC91" s="15" t="n"/>
      <c r="QMD91" s="248" t="n"/>
      <c r="QME91" s="248" t="n"/>
      <c r="QMF91" s="240" t="n"/>
      <c r="QMG91" s="240" t="n"/>
      <c r="QMI91" s="15" t="n"/>
      <c r="QMJ91" s="15" t="n"/>
      <c r="QMK91" s="248" t="n"/>
      <c r="QML91" s="248" t="n"/>
      <c r="QMM91" s="240" t="n"/>
      <c r="QMN91" s="240" t="n"/>
      <c r="QMP91" s="15" t="n"/>
      <c r="QMQ91" s="15" t="n"/>
      <c r="QMR91" s="248" t="n"/>
      <c r="QMS91" s="248" t="n"/>
      <c r="QMT91" s="240" t="n"/>
      <c r="QMU91" s="240" t="n"/>
      <c r="QMW91" s="15" t="n"/>
      <c r="QMX91" s="15" t="n"/>
      <c r="QMY91" s="248" t="n"/>
      <c r="QMZ91" s="248" t="n"/>
      <c r="QNA91" s="240" t="n"/>
      <c r="QNB91" s="240" t="n"/>
      <c r="QND91" s="15" t="n"/>
      <c r="QNE91" s="15" t="n"/>
      <c r="QNF91" s="248" t="n"/>
      <c r="QNG91" s="248" t="n"/>
      <c r="QNH91" s="240" t="n"/>
      <c r="QNI91" s="240" t="n"/>
      <c r="QNK91" s="15" t="n"/>
      <c r="QNL91" s="15" t="n"/>
      <c r="QNM91" s="248" t="n"/>
      <c r="QNN91" s="248" t="n"/>
      <c r="QNO91" s="240" t="n"/>
      <c r="QNP91" s="240" t="n"/>
      <c r="QNR91" s="15" t="n"/>
      <c r="QNS91" s="15" t="n"/>
      <c r="QNT91" s="248" t="n"/>
      <c r="QNU91" s="248" t="n"/>
      <c r="QNV91" s="240" t="n"/>
      <c r="QNW91" s="240" t="n"/>
      <c r="QNY91" s="15" t="n"/>
      <c r="QNZ91" s="15" t="n"/>
      <c r="QOA91" s="248" t="n"/>
      <c r="QOB91" s="248" t="n"/>
      <c r="QOC91" s="240" t="n"/>
      <c r="QOD91" s="240" t="n"/>
      <c r="QOF91" s="15" t="n"/>
      <c r="QOG91" s="15" t="n"/>
      <c r="QOH91" s="248" t="n"/>
      <c r="QOI91" s="248" t="n"/>
      <c r="QOJ91" s="240" t="n"/>
      <c r="QOK91" s="240" t="n"/>
      <c r="QOM91" s="15" t="n"/>
      <c r="QON91" s="15" t="n"/>
      <c r="QOO91" s="248" t="n"/>
      <c r="QOP91" s="248" t="n"/>
      <c r="QOQ91" s="240" t="n"/>
      <c r="QOR91" s="240" t="n"/>
      <c r="QOT91" s="15" t="n"/>
      <c r="QOU91" s="15" t="n"/>
      <c r="QOV91" s="248" t="n"/>
      <c r="QOW91" s="248" t="n"/>
      <c r="QOX91" s="240" t="n"/>
      <c r="QOY91" s="240" t="n"/>
      <c r="QPA91" s="15" t="n"/>
      <c r="QPB91" s="15" t="n"/>
      <c r="QPC91" s="248" t="n"/>
      <c r="QPD91" s="248" t="n"/>
      <c r="QPE91" s="240" t="n"/>
      <c r="QPF91" s="240" t="n"/>
      <c r="QPH91" s="15" t="n"/>
      <c r="QPI91" s="15" t="n"/>
      <c r="QPJ91" s="248" t="n"/>
      <c r="QPK91" s="248" t="n"/>
      <c r="QPL91" s="240" t="n"/>
      <c r="QPM91" s="240" t="n"/>
      <c r="QPO91" s="15" t="n"/>
      <c r="QPP91" s="15" t="n"/>
      <c r="QPQ91" s="248" t="n"/>
      <c r="QPR91" s="248" t="n"/>
      <c r="QPS91" s="240" t="n"/>
      <c r="QPT91" s="240" t="n"/>
      <c r="QPV91" s="15" t="n"/>
      <c r="QPW91" s="15" t="n"/>
      <c r="QPX91" s="248" t="n"/>
      <c r="QPY91" s="248" t="n"/>
      <c r="QPZ91" s="240" t="n"/>
      <c r="QQA91" s="240" t="n"/>
      <c r="QQC91" s="15" t="n"/>
      <c r="QQD91" s="15" t="n"/>
      <c r="QQE91" s="248" t="n"/>
      <c r="QQF91" s="248" t="n"/>
      <c r="QQG91" s="240" t="n"/>
      <c r="QQH91" s="240" t="n"/>
      <c r="QQJ91" s="15" t="n"/>
      <c r="QQK91" s="15" t="n"/>
      <c r="QQL91" s="248" t="n"/>
      <c r="QQM91" s="248" t="n"/>
      <c r="QQN91" s="240" t="n"/>
      <c r="QQO91" s="240" t="n"/>
      <c r="QQQ91" s="15" t="n"/>
      <c r="QQR91" s="15" t="n"/>
      <c r="QQS91" s="248" t="n"/>
      <c r="QQT91" s="248" t="n"/>
      <c r="QQU91" s="240" t="n"/>
      <c r="QQV91" s="240" t="n"/>
      <c r="QQX91" s="15" t="n"/>
      <c r="QQY91" s="15" t="n"/>
      <c r="QQZ91" s="248" t="n"/>
      <c r="QRA91" s="248" t="n"/>
      <c r="QRB91" s="240" t="n"/>
      <c r="QRC91" s="240" t="n"/>
      <c r="QRE91" s="15" t="n"/>
      <c r="QRF91" s="15" t="n"/>
      <c r="QRG91" s="248" t="n"/>
      <c r="QRH91" s="248" t="n"/>
      <c r="QRI91" s="240" t="n"/>
      <c r="QRJ91" s="240" t="n"/>
      <c r="QRL91" s="15" t="n"/>
      <c r="QRM91" s="15" t="n"/>
      <c r="QRN91" s="248" t="n"/>
      <c r="QRO91" s="248" t="n"/>
      <c r="QRP91" s="240" t="n"/>
      <c r="QRQ91" s="240" t="n"/>
      <c r="QRS91" s="15" t="n"/>
      <c r="QRT91" s="15" t="n"/>
      <c r="QRU91" s="248" t="n"/>
      <c r="QRV91" s="248" t="n"/>
      <c r="QRW91" s="240" t="n"/>
      <c r="QRX91" s="240" t="n"/>
      <c r="QRZ91" s="15" t="n"/>
      <c r="QSA91" s="15" t="n"/>
      <c r="QSB91" s="248" t="n"/>
      <c r="QSC91" s="248" t="n"/>
      <c r="QSD91" s="240" t="n"/>
      <c r="QSE91" s="240" t="n"/>
      <c r="QSG91" s="15" t="n"/>
      <c r="QSH91" s="15" t="n"/>
      <c r="QSI91" s="248" t="n"/>
      <c r="QSJ91" s="248" t="n"/>
      <c r="QSK91" s="240" t="n"/>
      <c r="QSL91" s="240" t="n"/>
      <c r="QSN91" s="15" t="n"/>
      <c r="QSO91" s="15" t="n"/>
      <c r="QSP91" s="248" t="n"/>
      <c r="QSQ91" s="248" t="n"/>
      <c r="QSR91" s="240" t="n"/>
      <c r="QSS91" s="240" t="n"/>
      <c r="QSU91" s="15" t="n"/>
      <c r="QSV91" s="15" t="n"/>
      <c r="QSW91" s="248" t="n"/>
      <c r="QSX91" s="248" t="n"/>
      <c r="QSY91" s="240" t="n"/>
      <c r="QSZ91" s="240" t="n"/>
      <c r="QTB91" s="15" t="n"/>
      <c r="QTC91" s="15" t="n"/>
      <c r="QTD91" s="248" t="n"/>
      <c r="QTE91" s="248" t="n"/>
      <c r="QTF91" s="240" t="n"/>
      <c r="QTG91" s="240" t="n"/>
      <c r="QTI91" s="15" t="n"/>
      <c r="QTJ91" s="15" t="n"/>
      <c r="QTK91" s="248" t="n"/>
      <c r="QTL91" s="248" t="n"/>
      <c r="QTM91" s="240" t="n"/>
      <c r="QTN91" s="240" t="n"/>
      <c r="QTP91" s="15" t="n"/>
      <c r="QTQ91" s="15" t="n"/>
      <c r="QTR91" s="248" t="n"/>
      <c r="QTS91" s="248" t="n"/>
      <c r="QTT91" s="240" t="n"/>
      <c r="QTU91" s="240" t="n"/>
      <c r="QTW91" s="15" t="n"/>
      <c r="QTX91" s="15" t="n"/>
      <c r="QTY91" s="248" t="n"/>
      <c r="QTZ91" s="248" t="n"/>
      <c r="QUA91" s="240" t="n"/>
      <c r="QUB91" s="240" t="n"/>
      <c r="QUD91" s="15" t="n"/>
      <c r="QUE91" s="15" t="n"/>
      <c r="QUF91" s="248" t="n"/>
      <c r="QUG91" s="248" t="n"/>
      <c r="QUH91" s="240" t="n"/>
      <c r="QUI91" s="240" t="n"/>
      <c r="QUK91" s="15" t="n"/>
      <c r="QUL91" s="15" t="n"/>
      <c r="QUM91" s="248" t="n"/>
      <c r="QUN91" s="248" t="n"/>
      <c r="QUO91" s="240" t="n"/>
      <c r="QUP91" s="240" t="n"/>
      <c r="QUR91" s="15" t="n"/>
      <c r="QUS91" s="15" t="n"/>
      <c r="QUT91" s="248" t="n"/>
      <c r="QUU91" s="248" t="n"/>
      <c r="QUV91" s="240" t="n"/>
      <c r="QUW91" s="240" t="n"/>
      <c r="QUY91" s="15" t="n"/>
      <c r="QUZ91" s="15" t="n"/>
      <c r="QVA91" s="248" t="n"/>
      <c r="QVB91" s="248" t="n"/>
      <c r="QVC91" s="240" t="n"/>
      <c r="QVD91" s="240" t="n"/>
      <c r="QVF91" s="15" t="n"/>
      <c r="QVG91" s="15" t="n"/>
      <c r="QVH91" s="248" t="n"/>
      <c r="QVI91" s="248" t="n"/>
      <c r="QVJ91" s="240" t="n"/>
      <c r="QVK91" s="240" t="n"/>
      <c r="QVM91" s="15" t="n"/>
      <c r="QVN91" s="15" t="n"/>
      <c r="QVO91" s="248" t="n"/>
      <c r="QVP91" s="248" t="n"/>
      <c r="QVQ91" s="240" t="n"/>
      <c r="QVR91" s="240" t="n"/>
      <c r="QVT91" s="15" t="n"/>
      <c r="QVU91" s="15" t="n"/>
      <c r="QVV91" s="248" t="n"/>
      <c r="QVW91" s="248" t="n"/>
      <c r="QVX91" s="240" t="n"/>
      <c r="QVY91" s="240" t="n"/>
      <c r="QWA91" s="15" t="n"/>
      <c r="QWB91" s="15" t="n"/>
      <c r="QWC91" s="248" t="n"/>
      <c r="QWD91" s="248" t="n"/>
      <c r="QWE91" s="240" t="n"/>
      <c r="QWF91" s="240" t="n"/>
      <c r="QWH91" s="15" t="n"/>
      <c r="QWI91" s="15" t="n"/>
      <c r="QWJ91" s="248" t="n"/>
      <c r="QWK91" s="248" t="n"/>
      <c r="QWL91" s="240" t="n"/>
      <c r="QWM91" s="240" t="n"/>
      <c r="QWO91" s="15" t="n"/>
      <c r="QWP91" s="15" t="n"/>
      <c r="QWQ91" s="248" t="n"/>
      <c r="QWR91" s="248" t="n"/>
      <c r="QWS91" s="240" t="n"/>
      <c r="QWT91" s="240" t="n"/>
      <c r="QWV91" s="15" t="n"/>
      <c r="QWW91" s="15" t="n"/>
      <c r="QWX91" s="248" t="n"/>
      <c r="QWY91" s="248" t="n"/>
      <c r="QWZ91" s="240" t="n"/>
      <c r="QXA91" s="240" t="n"/>
      <c r="QXC91" s="15" t="n"/>
      <c r="QXD91" s="15" t="n"/>
      <c r="QXE91" s="248" t="n"/>
      <c r="QXF91" s="248" t="n"/>
      <c r="QXG91" s="240" t="n"/>
      <c r="QXH91" s="240" t="n"/>
      <c r="QXJ91" s="15" t="n"/>
      <c r="QXK91" s="15" t="n"/>
      <c r="QXL91" s="248" t="n"/>
      <c r="QXM91" s="248" t="n"/>
      <c r="QXN91" s="240" t="n"/>
      <c r="QXO91" s="240" t="n"/>
      <c r="QXQ91" s="15" t="n"/>
      <c r="QXR91" s="15" t="n"/>
      <c r="QXS91" s="248" t="n"/>
      <c r="QXT91" s="248" t="n"/>
      <c r="QXU91" s="240" t="n"/>
      <c r="QXV91" s="240" t="n"/>
      <c r="QXX91" s="15" t="n"/>
      <c r="QXY91" s="15" t="n"/>
      <c r="QXZ91" s="248" t="n"/>
      <c r="QYA91" s="248" t="n"/>
      <c r="QYB91" s="240" t="n"/>
      <c r="QYC91" s="240" t="n"/>
      <c r="QYE91" s="15" t="n"/>
      <c r="QYF91" s="15" t="n"/>
      <c r="QYG91" s="248" t="n"/>
      <c r="QYH91" s="248" t="n"/>
      <c r="QYI91" s="240" t="n"/>
      <c r="QYJ91" s="240" t="n"/>
      <c r="QYL91" s="15" t="n"/>
      <c r="QYM91" s="15" t="n"/>
      <c r="QYN91" s="248" t="n"/>
      <c r="QYO91" s="248" t="n"/>
      <c r="QYP91" s="240" t="n"/>
      <c r="QYQ91" s="240" t="n"/>
      <c r="QYS91" s="15" t="n"/>
      <c r="QYT91" s="15" t="n"/>
      <c r="QYU91" s="248" t="n"/>
      <c r="QYV91" s="248" t="n"/>
      <c r="QYW91" s="240" t="n"/>
      <c r="QYX91" s="240" t="n"/>
      <c r="QYZ91" s="15" t="n"/>
      <c r="QZA91" s="15" t="n"/>
      <c r="QZB91" s="248" t="n"/>
      <c r="QZC91" s="248" t="n"/>
      <c r="QZD91" s="240" t="n"/>
      <c r="QZE91" s="240" t="n"/>
      <c r="QZG91" s="15" t="n"/>
      <c r="QZH91" s="15" t="n"/>
      <c r="QZI91" s="248" t="n"/>
      <c r="QZJ91" s="248" t="n"/>
      <c r="QZK91" s="240" t="n"/>
      <c r="QZL91" s="240" t="n"/>
      <c r="QZN91" s="15" t="n"/>
      <c r="QZO91" s="15" t="n"/>
      <c r="QZP91" s="248" t="n"/>
      <c r="QZQ91" s="248" t="n"/>
      <c r="QZR91" s="240" t="n"/>
      <c r="QZS91" s="240" t="n"/>
      <c r="QZU91" s="15" t="n"/>
      <c r="QZV91" s="15" t="n"/>
      <c r="QZW91" s="248" t="n"/>
      <c r="QZX91" s="248" t="n"/>
      <c r="QZY91" s="240" t="n"/>
      <c r="QZZ91" s="240" t="n"/>
      <c r="RAB91" s="15" t="n"/>
      <c r="RAC91" s="15" t="n"/>
      <c r="RAD91" s="248" t="n"/>
      <c r="RAE91" s="248" t="n"/>
      <c r="RAF91" s="240" t="n"/>
      <c r="RAG91" s="240" t="n"/>
      <c r="RAI91" s="15" t="n"/>
      <c r="RAJ91" s="15" t="n"/>
      <c r="RAK91" s="248" t="n"/>
      <c r="RAL91" s="248" t="n"/>
      <c r="RAM91" s="240" t="n"/>
      <c r="RAN91" s="240" t="n"/>
      <c r="RAP91" s="15" t="n"/>
      <c r="RAQ91" s="15" t="n"/>
      <c r="RAR91" s="248" t="n"/>
      <c r="RAS91" s="248" t="n"/>
      <c r="RAT91" s="240" t="n"/>
      <c r="RAU91" s="240" t="n"/>
      <c r="RAW91" s="15" t="n"/>
      <c r="RAX91" s="15" t="n"/>
      <c r="RAY91" s="248" t="n"/>
      <c r="RAZ91" s="248" t="n"/>
      <c r="RBA91" s="240" t="n"/>
      <c r="RBB91" s="240" t="n"/>
      <c r="RBD91" s="15" t="n"/>
      <c r="RBE91" s="15" t="n"/>
      <c r="RBF91" s="248" t="n"/>
      <c r="RBG91" s="248" t="n"/>
      <c r="RBH91" s="240" t="n"/>
      <c r="RBI91" s="240" t="n"/>
      <c r="RBK91" s="15" t="n"/>
      <c r="RBL91" s="15" t="n"/>
      <c r="RBM91" s="248" t="n"/>
      <c r="RBN91" s="248" t="n"/>
      <c r="RBO91" s="240" t="n"/>
      <c r="RBP91" s="240" t="n"/>
      <c r="RBR91" s="15" t="n"/>
      <c r="RBS91" s="15" t="n"/>
      <c r="RBT91" s="248" t="n"/>
      <c r="RBU91" s="248" t="n"/>
      <c r="RBV91" s="240" t="n"/>
      <c r="RBW91" s="240" t="n"/>
      <c r="RBY91" s="15" t="n"/>
      <c r="RBZ91" s="15" t="n"/>
      <c r="RCA91" s="248" t="n"/>
      <c r="RCB91" s="248" t="n"/>
      <c r="RCC91" s="240" t="n"/>
      <c r="RCD91" s="240" t="n"/>
      <c r="RCF91" s="15" t="n"/>
      <c r="RCG91" s="15" t="n"/>
      <c r="RCH91" s="248" t="n"/>
      <c r="RCI91" s="248" t="n"/>
      <c r="RCJ91" s="240" t="n"/>
      <c r="RCK91" s="240" t="n"/>
      <c r="RCM91" s="15" t="n"/>
      <c r="RCN91" s="15" t="n"/>
      <c r="RCO91" s="248" t="n"/>
      <c r="RCP91" s="248" t="n"/>
      <c r="RCQ91" s="240" t="n"/>
      <c r="RCR91" s="240" t="n"/>
      <c r="RCT91" s="15" t="n"/>
      <c r="RCU91" s="15" t="n"/>
      <c r="RCV91" s="248" t="n"/>
      <c r="RCW91" s="248" t="n"/>
      <c r="RCX91" s="240" t="n"/>
      <c r="RCY91" s="240" t="n"/>
      <c r="RDA91" s="15" t="n"/>
      <c r="RDB91" s="15" t="n"/>
      <c r="RDC91" s="248" t="n"/>
      <c r="RDD91" s="248" t="n"/>
      <c r="RDE91" s="240" t="n"/>
      <c r="RDF91" s="240" t="n"/>
      <c r="RDH91" s="15" t="n"/>
      <c r="RDI91" s="15" t="n"/>
      <c r="RDJ91" s="248" t="n"/>
      <c r="RDK91" s="248" t="n"/>
      <c r="RDL91" s="240" t="n"/>
      <c r="RDM91" s="240" t="n"/>
      <c r="RDO91" s="15" t="n"/>
      <c r="RDP91" s="15" t="n"/>
      <c r="RDQ91" s="248" t="n"/>
      <c r="RDR91" s="248" t="n"/>
      <c r="RDS91" s="240" t="n"/>
      <c r="RDT91" s="240" t="n"/>
      <c r="RDV91" s="15" t="n"/>
      <c r="RDW91" s="15" t="n"/>
      <c r="RDX91" s="248" t="n"/>
      <c r="RDY91" s="248" t="n"/>
      <c r="RDZ91" s="240" t="n"/>
      <c r="REA91" s="240" t="n"/>
      <c r="REC91" s="15" t="n"/>
      <c r="RED91" s="15" t="n"/>
      <c r="REE91" s="248" t="n"/>
      <c r="REF91" s="248" t="n"/>
      <c r="REG91" s="240" t="n"/>
      <c r="REH91" s="240" t="n"/>
      <c r="REJ91" s="15" t="n"/>
      <c r="REK91" s="15" t="n"/>
      <c r="REL91" s="248" t="n"/>
      <c r="REM91" s="248" t="n"/>
      <c r="REN91" s="240" t="n"/>
      <c r="REO91" s="240" t="n"/>
      <c r="REQ91" s="15" t="n"/>
      <c r="RER91" s="15" t="n"/>
      <c r="RES91" s="248" t="n"/>
      <c r="RET91" s="248" t="n"/>
      <c r="REU91" s="240" t="n"/>
      <c r="REV91" s="240" t="n"/>
      <c r="REX91" s="15" t="n"/>
      <c r="REY91" s="15" t="n"/>
      <c r="REZ91" s="248" t="n"/>
      <c r="RFA91" s="248" t="n"/>
      <c r="RFB91" s="240" t="n"/>
      <c r="RFC91" s="240" t="n"/>
      <c r="RFE91" s="15" t="n"/>
      <c r="RFF91" s="15" t="n"/>
      <c r="RFG91" s="248" t="n"/>
      <c r="RFH91" s="248" t="n"/>
      <c r="RFI91" s="240" t="n"/>
      <c r="RFJ91" s="240" t="n"/>
      <c r="RFL91" s="15" t="n"/>
      <c r="RFM91" s="15" t="n"/>
      <c r="RFN91" s="248" t="n"/>
      <c r="RFO91" s="248" t="n"/>
      <c r="RFP91" s="240" t="n"/>
      <c r="RFQ91" s="240" t="n"/>
      <c r="RFS91" s="15" t="n"/>
      <c r="RFT91" s="15" t="n"/>
      <c r="RFU91" s="248" t="n"/>
      <c r="RFV91" s="248" t="n"/>
      <c r="RFW91" s="240" t="n"/>
      <c r="RFX91" s="240" t="n"/>
      <c r="RFZ91" s="15" t="n"/>
      <c r="RGA91" s="15" t="n"/>
      <c r="RGB91" s="248" t="n"/>
      <c r="RGC91" s="248" t="n"/>
      <c r="RGD91" s="240" t="n"/>
      <c r="RGE91" s="240" t="n"/>
      <c r="RGG91" s="15" t="n"/>
      <c r="RGH91" s="15" t="n"/>
      <c r="RGI91" s="248" t="n"/>
      <c r="RGJ91" s="248" t="n"/>
      <c r="RGK91" s="240" t="n"/>
      <c r="RGL91" s="240" t="n"/>
      <c r="RGN91" s="15" t="n"/>
      <c r="RGO91" s="15" t="n"/>
      <c r="RGP91" s="248" t="n"/>
      <c r="RGQ91" s="248" t="n"/>
      <c r="RGR91" s="240" t="n"/>
      <c r="RGS91" s="240" t="n"/>
      <c r="RGU91" s="15" t="n"/>
      <c r="RGV91" s="15" t="n"/>
      <c r="RGW91" s="248" t="n"/>
      <c r="RGX91" s="248" t="n"/>
      <c r="RGY91" s="240" t="n"/>
      <c r="RGZ91" s="240" t="n"/>
      <c r="RHB91" s="15" t="n"/>
      <c r="RHC91" s="15" t="n"/>
      <c r="RHD91" s="248" t="n"/>
      <c r="RHE91" s="248" t="n"/>
      <c r="RHF91" s="240" t="n"/>
      <c r="RHG91" s="240" t="n"/>
      <c r="RHI91" s="15" t="n"/>
      <c r="RHJ91" s="15" t="n"/>
      <c r="RHK91" s="248" t="n"/>
      <c r="RHL91" s="248" t="n"/>
      <c r="RHM91" s="240" t="n"/>
      <c r="RHN91" s="240" t="n"/>
      <c r="RHP91" s="15" t="n"/>
      <c r="RHQ91" s="15" t="n"/>
      <c r="RHR91" s="248" t="n"/>
      <c r="RHS91" s="248" t="n"/>
      <c r="RHT91" s="240" t="n"/>
      <c r="RHU91" s="240" t="n"/>
      <c r="RHW91" s="15" t="n"/>
      <c r="RHX91" s="15" t="n"/>
      <c r="RHY91" s="248" t="n"/>
      <c r="RHZ91" s="248" t="n"/>
      <c r="RIA91" s="240" t="n"/>
      <c r="RIB91" s="240" t="n"/>
      <c r="RID91" s="15" t="n"/>
      <c r="RIE91" s="15" t="n"/>
      <c r="RIF91" s="248" t="n"/>
      <c r="RIG91" s="248" t="n"/>
      <c r="RIH91" s="240" t="n"/>
      <c r="RII91" s="240" t="n"/>
      <c r="RIK91" s="15" t="n"/>
      <c r="RIL91" s="15" t="n"/>
      <c r="RIM91" s="248" t="n"/>
      <c r="RIN91" s="248" t="n"/>
      <c r="RIO91" s="240" t="n"/>
      <c r="RIP91" s="240" t="n"/>
      <c r="RIR91" s="15" t="n"/>
      <c r="RIS91" s="15" t="n"/>
      <c r="RIT91" s="248" t="n"/>
      <c r="RIU91" s="248" t="n"/>
      <c r="RIV91" s="240" t="n"/>
      <c r="RIW91" s="240" t="n"/>
      <c r="RIY91" s="15" t="n"/>
      <c r="RIZ91" s="15" t="n"/>
      <c r="RJA91" s="248" t="n"/>
      <c r="RJB91" s="248" t="n"/>
      <c r="RJC91" s="240" t="n"/>
      <c r="RJD91" s="240" t="n"/>
      <c r="RJF91" s="15" t="n"/>
      <c r="RJG91" s="15" t="n"/>
      <c r="RJH91" s="248" t="n"/>
      <c r="RJI91" s="248" t="n"/>
      <c r="RJJ91" s="240" t="n"/>
      <c r="RJK91" s="240" t="n"/>
      <c r="RJM91" s="15" t="n"/>
      <c r="RJN91" s="15" t="n"/>
      <c r="RJO91" s="248" t="n"/>
      <c r="RJP91" s="248" t="n"/>
      <c r="RJQ91" s="240" t="n"/>
      <c r="RJR91" s="240" t="n"/>
      <c r="RJT91" s="15" t="n"/>
      <c r="RJU91" s="15" t="n"/>
      <c r="RJV91" s="248" t="n"/>
      <c r="RJW91" s="248" t="n"/>
      <c r="RJX91" s="240" t="n"/>
      <c r="RJY91" s="240" t="n"/>
      <c r="RKA91" s="15" t="n"/>
      <c r="RKB91" s="15" t="n"/>
      <c r="RKC91" s="248" t="n"/>
      <c r="RKD91" s="248" t="n"/>
      <c r="RKE91" s="240" t="n"/>
      <c r="RKF91" s="240" t="n"/>
      <c r="RKH91" s="15" t="n"/>
      <c r="RKI91" s="15" t="n"/>
      <c r="RKJ91" s="248" t="n"/>
      <c r="RKK91" s="248" t="n"/>
      <c r="RKL91" s="240" t="n"/>
      <c r="RKM91" s="240" t="n"/>
      <c r="RKO91" s="15" t="n"/>
      <c r="RKP91" s="15" t="n"/>
      <c r="RKQ91" s="248" t="n"/>
      <c r="RKR91" s="248" t="n"/>
      <c r="RKS91" s="240" t="n"/>
      <c r="RKT91" s="240" t="n"/>
      <c r="RKV91" s="15" t="n"/>
      <c r="RKW91" s="15" t="n"/>
      <c r="RKX91" s="248" t="n"/>
      <c r="RKY91" s="248" t="n"/>
      <c r="RKZ91" s="240" t="n"/>
      <c r="RLA91" s="240" t="n"/>
      <c r="RLC91" s="15" t="n"/>
      <c r="RLD91" s="15" t="n"/>
      <c r="RLE91" s="248" t="n"/>
      <c r="RLF91" s="248" t="n"/>
      <c r="RLG91" s="240" t="n"/>
      <c r="RLH91" s="240" t="n"/>
      <c r="RLJ91" s="15" t="n"/>
      <c r="RLK91" s="15" t="n"/>
      <c r="RLL91" s="248" t="n"/>
      <c r="RLM91" s="248" t="n"/>
      <c r="RLN91" s="240" t="n"/>
      <c r="RLO91" s="240" t="n"/>
      <c r="RLQ91" s="15" t="n"/>
      <c r="RLR91" s="15" t="n"/>
      <c r="RLS91" s="248" t="n"/>
      <c r="RLT91" s="248" t="n"/>
      <c r="RLU91" s="240" t="n"/>
      <c r="RLV91" s="240" t="n"/>
      <c r="RLX91" s="15" t="n"/>
      <c r="RLY91" s="15" t="n"/>
      <c r="RLZ91" s="248" t="n"/>
      <c r="RMA91" s="248" t="n"/>
      <c r="RMB91" s="240" t="n"/>
      <c r="RMC91" s="240" t="n"/>
      <c r="RME91" s="15" t="n"/>
      <c r="RMF91" s="15" t="n"/>
      <c r="RMG91" s="248" t="n"/>
      <c r="RMH91" s="248" t="n"/>
      <c r="RMI91" s="240" t="n"/>
      <c r="RMJ91" s="240" t="n"/>
      <c r="RML91" s="15" t="n"/>
      <c r="RMM91" s="15" t="n"/>
      <c r="RMN91" s="248" t="n"/>
      <c r="RMO91" s="248" t="n"/>
      <c r="RMP91" s="240" t="n"/>
      <c r="RMQ91" s="240" t="n"/>
      <c r="RMS91" s="15" t="n"/>
      <c r="RMT91" s="15" t="n"/>
      <c r="RMU91" s="248" t="n"/>
      <c r="RMV91" s="248" t="n"/>
      <c r="RMW91" s="240" t="n"/>
      <c r="RMX91" s="240" t="n"/>
      <c r="RMZ91" s="15" t="n"/>
      <c r="RNA91" s="15" t="n"/>
      <c r="RNB91" s="248" t="n"/>
      <c r="RNC91" s="248" t="n"/>
      <c r="RND91" s="240" t="n"/>
      <c r="RNE91" s="240" t="n"/>
      <c r="RNG91" s="15" t="n"/>
      <c r="RNH91" s="15" t="n"/>
      <c r="RNI91" s="248" t="n"/>
      <c r="RNJ91" s="248" t="n"/>
      <c r="RNK91" s="240" t="n"/>
      <c r="RNL91" s="240" t="n"/>
      <c r="RNN91" s="15" t="n"/>
      <c r="RNO91" s="15" t="n"/>
      <c r="RNP91" s="248" t="n"/>
      <c r="RNQ91" s="248" t="n"/>
      <c r="RNR91" s="240" t="n"/>
      <c r="RNS91" s="240" t="n"/>
      <c r="RNU91" s="15" t="n"/>
      <c r="RNV91" s="15" t="n"/>
      <c r="RNW91" s="248" t="n"/>
      <c r="RNX91" s="248" t="n"/>
      <c r="RNY91" s="240" t="n"/>
      <c r="RNZ91" s="240" t="n"/>
      <c r="ROB91" s="15" t="n"/>
      <c r="ROC91" s="15" t="n"/>
      <c r="ROD91" s="248" t="n"/>
      <c r="ROE91" s="248" t="n"/>
      <c r="ROF91" s="240" t="n"/>
      <c r="ROG91" s="240" t="n"/>
      <c r="ROI91" s="15" t="n"/>
      <c r="ROJ91" s="15" t="n"/>
      <c r="ROK91" s="248" t="n"/>
      <c r="ROL91" s="248" t="n"/>
      <c r="ROM91" s="240" t="n"/>
      <c r="RON91" s="240" t="n"/>
      <c r="ROP91" s="15" t="n"/>
      <c r="ROQ91" s="15" t="n"/>
      <c r="ROR91" s="248" t="n"/>
      <c r="ROS91" s="248" t="n"/>
      <c r="ROT91" s="240" t="n"/>
      <c r="ROU91" s="240" t="n"/>
      <c r="ROW91" s="15" t="n"/>
      <c r="ROX91" s="15" t="n"/>
      <c r="ROY91" s="248" t="n"/>
      <c r="ROZ91" s="248" t="n"/>
      <c r="RPA91" s="240" t="n"/>
      <c r="RPB91" s="240" t="n"/>
      <c r="RPD91" s="15" t="n"/>
      <c r="RPE91" s="15" t="n"/>
      <c r="RPF91" s="248" t="n"/>
      <c r="RPG91" s="248" t="n"/>
      <c r="RPH91" s="240" t="n"/>
      <c r="RPI91" s="240" t="n"/>
      <c r="RPK91" s="15" t="n"/>
      <c r="RPL91" s="15" t="n"/>
      <c r="RPM91" s="248" t="n"/>
      <c r="RPN91" s="248" t="n"/>
      <c r="RPO91" s="240" t="n"/>
      <c r="RPP91" s="240" t="n"/>
      <c r="RPR91" s="15" t="n"/>
      <c r="RPS91" s="15" t="n"/>
      <c r="RPT91" s="248" t="n"/>
      <c r="RPU91" s="248" t="n"/>
      <c r="RPV91" s="240" t="n"/>
      <c r="RPW91" s="240" t="n"/>
      <c r="RPY91" s="15" t="n"/>
      <c r="RPZ91" s="15" t="n"/>
      <c r="RQA91" s="248" t="n"/>
      <c r="RQB91" s="248" t="n"/>
      <c r="RQC91" s="240" t="n"/>
      <c r="RQD91" s="240" t="n"/>
      <c r="RQF91" s="15" t="n"/>
      <c r="RQG91" s="15" t="n"/>
      <c r="RQH91" s="248" t="n"/>
      <c r="RQI91" s="248" t="n"/>
      <c r="RQJ91" s="240" t="n"/>
      <c r="RQK91" s="240" t="n"/>
      <c r="RQM91" s="15" t="n"/>
      <c r="RQN91" s="15" t="n"/>
      <c r="RQO91" s="248" t="n"/>
      <c r="RQP91" s="248" t="n"/>
      <c r="RQQ91" s="240" t="n"/>
      <c r="RQR91" s="240" t="n"/>
      <c r="RQT91" s="15" t="n"/>
      <c r="RQU91" s="15" t="n"/>
      <c r="RQV91" s="248" t="n"/>
      <c r="RQW91" s="248" t="n"/>
      <c r="RQX91" s="240" t="n"/>
      <c r="RQY91" s="240" t="n"/>
      <c r="RRA91" s="15" t="n"/>
      <c r="RRB91" s="15" t="n"/>
      <c r="RRC91" s="248" t="n"/>
      <c r="RRD91" s="248" t="n"/>
      <c r="RRE91" s="240" t="n"/>
      <c r="RRF91" s="240" t="n"/>
      <c r="RRH91" s="15" t="n"/>
      <c r="RRI91" s="15" t="n"/>
      <c r="RRJ91" s="248" t="n"/>
      <c r="RRK91" s="248" t="n"/>
      <c r="RRL91" s="240" t="n"/>
      <c r="RRM91" s="240" t="n"/>
      <c r="RRO91" s="15" t="n"/>
      <c r="RRP91" s="15" t="n"/>
      <c r="RRQ91" s="248" t="n"/>
      <c r="RRR91" s="248" t="n"/>
      <c r="RRS91" s="240" t="n"/>
      <c r="RRT91" s="240" t="n"/>
      <c r="RRV91" s="15" t="n"/>
      <c r="RRW91" s="15" t="n"/>
      <c r="RRX91" s="248" t="n"/>
      <c r="RRY91" s="248" t="n"/>
      <c r="RRZ91" s="240" t="n"/>
      <c r="RSA91" s="240" t="n"/>
      <c r="RSC91" s="15" t="n"/>
      <c r="RSD91" s="15" t="n"/>
      <c r="RSE91" s="248" t="n"/>
      <c r="RSF91" s="248" t="n"/>
      <c r="RSG91" s="240" t="n"/>
      <c r="RSH91" s="240" t="n"/>
      <c r="RSJ91" s="15" t="n"/>
      <c r="RSK91" s="15" t="n"/>
      <c r="RSL91" s="248" t="n"/>
      <c r="RSM91" s="248" t="n"/>
      <c r="RSN91" s="240" t="n"/>
      <c r="RSO91" s="240" t="n"/>
      <c r="RSQ91" s="15" t="n"/>
      <c r="RSR91" s="15" t="n"/>
      <c r="RSS91" s="248" t="n"/>
      <c r="RST91" s="248" t="n"/>
      <c r="RSU91" s="240" t="n"/>
      <c r="RSV91" s="240" t="n"/>
      <c r="RSX91" s="15" t="n"/>
      <c r="RSY91" s="15" t="n"/>
      <c r="RSZ91" s="248" t="n"/>
      <c r="RTA91" s="248" t="n"/>
      <c r="RTB91" s="240" t="n"/>
      <c r="RTC91" s="240" t="n"/>
      <c r="RTE91" s="15" t="n"/>
      <c r="RTF91" s="15" t="n"/>
      <c r="RTG91" s="248" t="n"/>
      <c r="RTH91" s="248" t="n"/>
      <c r="RTI91" s="240" t="n"/>
      <c r="RTJ91" s="240" t="n"/>
      <c r="RTL91" s="15" t="n"/>
      <c r="RTM91" s="15" t="n"/>
      <c r="RTN91" s="248" t="n"/>
      <c r="RTO91" s="248" t="n"/>
      <c r="RTP91" s="240" t="n"/>
      <c r="RTQ91" s="240" t="n"/>
      <c r="RTS91" s="15" t="n"/>
      <c r="RTT91" s="15" t="n"/>
      <c r="RTU91" s="248" t="n"/>
      <c r="RTV91" s="248" t="n"/>
      <c r="RTW91" s="240" t="n"/>
      <c r="RTX91" s="240" t="n"/>
      <c r="RTZ91" s="15" t="n"/>
      <c r="RUA91" s="15" t="n"/>
      <c r="RUB91" s="248" t="n"/>
      <c r="RUC91" s="248" t="n"/>
      <c r="RUD91" s="240" t="n"/>
      <c r="RUE91" s="240" t="n"/>
      <c r="RUG91" s="15" t="n"/>
      <c r="RUH91" s="15" t="n"/>
      <c r="RUI91" s="248" t="n"/>
      <c r="RUJ91" s="248" t="n"/>
      <c r="RUK91" s="240" t="n"/>
      <c r="RUL91" s="240" t="n"/>
      <c r="RUN91" s="15" t="n"/>
      <c r="RUO91" s="15" t="n"/>
      <c r="RUP91" s="248" t="n"/>
      <c r="RUQ91" s="248" t="n"/>
      <c r="RUR91" s="240" t="n"/>
      <c r="RUS91" s="240" t="n"/>
      <c r="RUU91" s="15" t="n"/>
      <c r="RUV91" s="15" t="n"/>
      <c r="RUW91" s="248" t="n"/>
      <c r="RUX91" s="248" t="n"/>
      <c r="RUY91" s="240" t="n"/>
      <c r="RUZ91" s="240" t="n"/>
      <c r="RVB91" s="15" t="n"/>
      <c r="RVC91" s="15" t="n"/>
      <c r="RVD91" s="248" t="n"/>
      <c r="RVE91" s="248" t="n"/>
      <c r="RVF91" s="240" t="n"/>
      <c r="RVG91" s="240" t="n"/>
      <c r="RVI91" s="15" t="n"/>
      <c r="RVJ91" s="15" t="n"/>
      <c r="RVK91" s="248" t="n"/>
      <c r="RVL91" s="248" t="n"/>
      <c r="RVM91" s="240" t="n"/>
      <c r="RVN91" s="240" t="n"/>
      <c r="RVP91" s="15" t="n"/>
      <c r="RVQ91" s="15" t="n"/>
      <c r="RVR91" s="248" t="n"/>
      <c r="RVS91" s="248" t="n"/>
      <c r="RVT91" s="240" t="n"/>
      <c r="RVU91" s="240" t="n"/>
      <c r="RVW91" s="15" t="n"/>
      <c r="RVX91" s="15" t="n"/>
      <c r="RVY91" s="248" t="n"/>
      <c r="RVZ91" s="248" t="n"/>
      <c r="RWA91" s="240" t="n"/>
      <c r="RWB91" s="240" t="n"/>
      <c r="RWD91" s="15" t="n"/>
      <c r="RWE91" s="15" t="n"/>
      <c r="RWF91" s="248" t="n"/>
      <c r="RWG91" s="248" t="n"/>
      <c r="RWH91" s="240" t="n"/>
      <c r="RWI91" s="240" t="n"/>
      <c r="RWK91" s="15" t="n"/>
      <c r="RWL91" s="15" t="n"/>
      <c r="RWM91" s="248" t="n"/>
      <c r="RWN91" s="248" t="n"/>
      <c r="RWO91" s="240" t="n"/>
      <c r="RWP91" s="240" t="n"/>
      <c r="RWR91" s="15" t="n"/>
      <c r="RWS91" s="15" t="n"/>
      <c r="RWT91" s="248" t="n"/>
      <c r="RWU91" s="248" t="n"/>
      <c r="RWV91" s="240" t="n"/>
      <c r="RWW91" s="240" t="n"/>
      <c r="RWY91" s="15" t="n"/>
      <c r="RWZ91" s="15" t="n"/>
      <c r="RXA91" s="248" t="n"/>
      <c r="RXB91" s="248" t="n"/>
      <c r="RXC91" s="240" t="n"/>
      <c r="RXD91" s="240" t="n"/>
      <c r="RXF91" s="15" t="n"/>
      <c r="RXG91" s="15" t="n"/>
      <c r="RXH91" s="248" t="n"/>
      <c r="RXI91" s="248" t="n"/>
      <c r="RXJ91" s="240" t="n"/>
      <c r="RXK91" s="240" t="n"/>
      <c r="RXM91" s="15" t="n"/>
      <c r="RXN91" s="15" t="n"/>
      <c r="RXO91" s="248" t="n"/>
      <c r="RXP91" s="248" t="n"/>
      <c r="RXQ91" s="240" t="n"/>
      <c r="RXR91" s="240" t="n"/>
      <c r="RXT91" s="15" t="n"/>
      <c r="RXU91" s="15" t="n"/>
      <c r="RXV91" s="248" t="n"/>
      <c r="RXW91" s="248" t="n"/>
      <c r="RXX91" s="240" t="n"/>
      <c r="RXY91" s="240" t="n"/>
      <c r="RYA91" s="15" t="n"/>
      <c r="RYB91" s="15" t="n"/>
      <c r="RYC91" s="248" t="n"/>
      <c r="RYD91" s="248" t="n"/>
      <c r="RYE91" s="240" t="n"/>
      <c r="RYF91" s="240" t="n"/>
      <c r="RYH91" s="15" t="n"/>
      <c r="RYI91" s="15" t="n"/>
      <c r="RYJ91" s="248" t="n"/>
      <c r="RYK91" s="248" t="n"/>
      <c r="RYL91" s="240" t="n"/>
      <c r="RYM91" s="240" t="n"/>
      <c r="RYO91" s="15" t="n"/>
      <c r="RYP91" s="15" t="n"/>
      <c r="RYQ91" s="248" t="n"/>
      <c r="RYR91" s="248" t="n"/>
      <c r="RYS91" s="240" t="n"/>
      <c r="RYT91" s="240" t="n"/>
      <c r="RYV91" s="15" t="n"/>
      <c r="RYW91" s="15" t="n"/>
      <c r="RYX91" s="248" t="n"/>
      <c r="RYY91" s="248" t="n"/>
      <c r="RYZ91" s="240" t="n"/>
      <c r="RZA91" s="240" t="n"/>
      <c r="RZC91" s="15" t="n"/>
      <c r="RZD91" s="15" t="n"/>
      <c r="RZE91" s="248" t="n"/>
      <c r="RZF91" s="248" t="n"/>
      <c r="RZG91" s="240" t="n"/>
      <c r="RZH91" s="240" t="n"/>
      <c r="RZJ91" s="15" t="n"/>
      <c r="RZK91" s="15" t="n"/>
      <c r="RZL91" s="248" t="n"/>
      <c r="RZM91" s="248" t="n"/>
      <c r="RZN91" s="240" t="n"/>
      <c r="RZO91" s="240" t="n"/>
      <c r="RZQ91" s="15" t="n"/>
      <c r="RZR91" s="15" t="n"/>
      <c r="RZS91" s="248" t="n"/>
      <c r="RZT91" s="248" t="n"/>
      <c r="RZU91" s="240" t="n"/>
      <c r="RZV91" s="240" t="n"/>
      <c r="RZX91" s="15" t="n"/>
      <c r="RZY91" s="15" t="n"/>
      <c r="RZZ91" s="248" t="n"/>
      <c r="SAA91" s="248" t="n"/>
      <c r="SAB91" s="240" t="n"/>
      <c r="SAC91" s="240" t="n"/>
      <c r="SAE91" s="15" t="n"/>
      <c r="SAF91" s="15" t="n"/>
      <c r="SAG91" s="248" t="n"/>
      <c r="SAH91" s="248" t="n"/>
      <c r="SAI91" s="240" t="n"/>
      <c r="SAJ91" s="240" t="n"/>
      <c r="SAL91" s="15" t="n"/>
      <c r="SAM91" s="15" t="n"/>
      <c r="SAN91" s="248" t="n"/>
      <c r="SAO91" s="248" t="n"/>
      <c r="SAP91" s="240" t="n"/>
      <c r="SAQ91" s="240" t="n"/>
      <c r="SAS91" s="15" t="n"/>
      <c r="SAT91" s="15" t="n"/>
      <c r="SAU91" s="248" t="n"/>
      <c r="SAV91" s="248" t="n"/>
      <c r="SAW91" s="240" t="n"/>
      <c r="SAX91" s="240" t="n"/>
      <c r="SAZ91" s="15" t="n"/>
      <c r="SBA91" s="15" t="n"/>
      <c r="SBB91" s="248" t="n"/>
      <c r="SBC91" s="248" t="n"/>
      <c r="SBD91" s="240" t="n"/>
      <c r="SBE91" s="240" t="n"/>
      <c r="SBG91" s="15" t="n"/>
      <c r="SBH91" s="15" t="n"/>
      <c r="SBI91" s="248" t="n"/>
      <c r="SBJ91" s="248" t="n"/>
      <c r="SBK91" s="240" t="n"/>
      <c r="SBL91" s="240" t="n"/>
      <c r="SBN91" s="15" t="n"/>
      <c r="SBO91" s="15" t="n"/>
      <c r="SBP91" s="248" t="n"/>
      <c r="SBQ91" s="248" t="n"/>
      <c r="SBR91" s="240" t="n"/>
      <c r="SBS91" s="240" t="n"/>
      <c r="SBU91" s="15" t="n"/>
      <c r="SBV91" s="15" t="n"/>
      <c r="SBW91" s="248" t="n"/>
      <c r="SBX91" s="248" t="n"/>
      <c r="SBY91" s="240" t="n"/>
      <c r="SBZ91" s="240" t="n"/>
      <c r="SCB91" s="15" t="n"/>
      <c r="SCC91" s="15" t="n"/>
      <c r="SCD91" s="248" t="n"/>
      <c r="SCE91" s="248" t="n"/>
      <c r="SCF91" s="240" t="n"/>
      <c r="SCG91" s="240" t="n"/>
      <c r="SCI91" s="15" t="n"/>
      <c r="SCJ91" s="15" t="n"/>
      <c r="SCK91" s="248" t="n"/>
      <c r="SCL91" s="248" t="n"/>
      <c r="SCM91" s="240" t="n"/>
      <c r="SCN91" s="240" t="n"/>
      <c r="SCP91" s="15" t="n"/>
      <c r="SCQ91" s="15" t="n"/>
      <c r="SCR91" s="248" t="n"/>
      <c r="SCS91" s="248" t="n"/>
      <c r="SCT91" s="240" t="n"/>
      <c r="SCU91" s="240" t="n"/>
      <c r="SCW91" s="15" t="n"/>
      <c r="SCX91" s="15" t="n"/>
      <c r="SCY91" s="248" t="n"/>
      <c r="SCZ91" s="248" t="n"/>
      <c r="SDA91" s="240" t="n"/>
      <c r="SDB91" s="240" t="n"/>
      <c r="SDD91" s="15" t="n"/>
      <c r="SDE91" s="15" t="n"/>
      <c r="SDF91" s="248" t="n"/>
      <c r="SDG91" s="248" t="n"/>
      <c r="SDH91" s="240" t="n"/>
      <c r="SDI91" s="240" t="n"/>
      <c r="SDK91" s="15" t="n"/>
      <c r="SDL91" s="15" t="n"/>
      <c r="SDM91" s="248" t="n"/>
      <c r="SDN91" s="248" t="n"/>
      <c r="SDO91" s="240" t="n"/>
      <c r="SDP91" s="240" t="n"/>
      <c r="SDR91" s="15" t="n"/>
      <c r="SDS91" s="15" t="n"/>
      <c r="SDT91" s="248" t="n"/>
      <c r="SDU91" s="248" t="n"/>
      <c r="SDV91" s="240" t="n"/>
      <c r="SDW91" s="240" t="n"/>
      <c r="SDY91" s="15" t="n"/>
      <c r="SDZ91" s="15" t="n"/>
      <c r="SEA91" s="248" t="n"/>
      <c r="SEB91" s="248" t="n"/>
      <c r="SEC91" s="240" t="n"/>
      <c r="SED91" s="240" t="n"/>
      <c r="SEF91" s="15" t="n"/>
      <c r="SEG91" s="15" t="n"/>
      <c r="SEH91" s="248" t="n"/>
      <c r="SEI91" s="248" t="n"/>
      <c r="SEJ91" s="240" t="n"/>
      <c r="SEK91" s="240" t="n"/>
      <c r="SEM91" s="15" t="n"/>
      <c r="SEN91" s="15" t="n"/>
      <c r="SEO91" s="248" t="n"/>
      <c r="SEP91" s="248" t="n"/>
      <c r="SEQ91" s="240" t="n"/>
      <c r="SER91" s="240" t="n"/>
      <c r="SET91" s="15" t="n"/>
      <c r="SEU91" s="15" t="n"/>
      <c r="SEV91" s="248" t="n"/>
      <c r="SEW91" s="248" t="n"/>
      <c r="SEX91" s="240" t="n"/>
      <c r="SEY91" s="240" t="n"/>
      <c r="SFA91" s="15" t="n"/>
      <c r="SFB91" s="15" t="n"/>
      <c r="SFC91" s="248" t="n"/>
      <c r="SFD91" s="248" t="n"/>
      <c r="SFE91" s="240" t="n"/>
      <c r="SFF91" s="240" t="n"/>
      <c r="SFH91" s="15" t="n"/>
      <c r="SFI91" s="15" t="n"/>
      <c r="SFJ91" s="248" t="n"/>
      <c r="SFK91" s="248" t="n"/>
      <c r="SFL91" s="240" t="n"/>
      <c r="SFM91" s="240" t="n"/>
      <c r="SFO91" s="15" t="n"/>
      <c r="SFP91" s="15" t="n"/>
      <c r="SFQ91" s="248" t="n"/>
      <c r="SFR91" s="248" t="n"/>
      <c r="SFS91" s="240" t="n"/>
      <c r="SFT91" s="240" t="n"/>
      <c r="SFV91" s="15" t="n"/>
      <c r="SFW91" s="15" t="n"/>
      <c r="SFX91" s="248" t="n"/>
      <c r="SFY91" s="248" t="n"/>
      <c r="SFZ91" s="240" t="n"/>
      <c r="SGA91" s="240" t="n"/>
      <c r="SGC91" s="15" t="n"/>
      <c r="SGD91" s="15" t="n"/>
      <c r="SGE91" s="248" t="n"/>
      <c r="SGF91" s="248" t="n"/>
      <c r="SGG91" s="240" t="n"/>
      <c r="SGH91" s="240" t="n"/>
      <c r="SGJ91" s="15" t="n"/>
      <c r="SGK91" s="15" t="n"/>
      <c r="SGL91" s="248" t="n"/>
      <c r="SGM91" s="248" t="n"/>
      <c r="SGN91" s="240" t="n"/>
      <c r="SGO91" s="240" t="n"/>
      <c r="SGQ91" s="15" t="n"/>
      <c r="SGR91" s="15" t="n"/>
      <c r="SGS91" s="248" t="n"/>
      <c r="SGT91" s="248" t="n"/>
      <c r="SGU91" s="240" t="n"/>
      <c r="SGV91" s="240" t="n"/>
      <c r="SGX91" s="15" t="n"/>
      <c r="SGY91" s="15" t="n"/>
      <c r="SGZ91" s="248" t="n"/>
      <c r="SHA91" s="248" t="n"/>
      <c r="SHB91" s="240" t="n"/>
      <c r="SHC91" s="240" t="n"/>
      <c r="SHE91" s="15" t="n"/>
      <c r="SHF91" s="15" t="n"/>
      <c r="SHG91" s="248" t="n"/>
      <c r="SHH91" s="248" t="n"/>
      <c r="SHI91" s="240" t="n"/>
      <c r="SHJ91" s="240" t="n"/>
      <c r="SHL91" s="15" t="n"/>
      <c r="SHM91" s="15" t="n"/>
      <c r="SHN91" s="248" t="n"/>
      <c r="SHO91" s="248" t="n"/>
      <c r="SHP91" s="240" t="n"/>
      <c r="SHQ91" s="240" t="n"/>
      <c r="SHS91" s="15" t="n"/>
      <c r="SHT91" s="15" t="n"/>
      <c r="SHU91" s="248" t="n"/>
      <c r="SHV91" s="248" t="n"/>
      <c r="SHW91" s="240" t="n"/>
      <c r="SHX91" s="240" t="n"/>
      <c r="SHZ91" s="15" t="n"/>
      <c r="SIA91" s="15" t="n"/>
      <c r="SIB91" s="248" t="n"/>
      <c r="SIC91" s="248" t="n"/>
      <c r="SID91" s="240" t="n"/>
      <c r="SIE91" s="240" t="n"/>
      <c r="SIG91" s="15" t="n"/>
      <c r="SIH91" s="15" t="n"/>
      <c r="SII91" s="248" t="n"/>
      <c r="SIJ91" s="248" t="n"/>
      <c r="SIK91" s="240" t="n"/>
      <c r="SIL91" s="240" t="n"/>
      <c r="SIN91" s="15" t="n"/>
      <c r="SIO91" s="15" t="n"/>
      <c r="SIP91" s="248" t="n"/>
      <c r="SIQ91" s="248" t="n"/>
      <c r="SIR91" s="240" t="n"/>
      <c r="SIS91" s="240" t="n"/>
      <c r="SIU91" s="15" t="n"/>
      <c r="SIV91" s="15" t="n"/>
      <c r="SIW91" s="248" t="n"/>
      <c r="SIX91" s="248" t="n"/>
      <c r="SIY91" s="240" t="n"/>
      <c r="SIZ91" s="240" t="n"/>
      <c r="SJB91" s="15" t="n"/>
      <c r="SJC91" s="15" t="n"/>
      <c r="SJD91" s="248" t="n"/>
      <c r="SJE91" s="248" t="n"/>
      <c r="SJF91" s="240" t="n"/>
      <c r="SJG91" s="240" t="n"/>
      <c r="SJI91" s="15" t="n"/>
      <c r="SJJ91" s="15" t="n"/>
      <c r="SJK91" s="248" t="n"/>
      <c r="SJL91" s="248" t="n"/>
      <c r="SJM91" s="240" t="n"/>
      <c r="SJN91" s="240" t="n"/>
      <c r="SJP91" s="15" t="n"/>
      <c r="SJQ91" s="15" t="n"/>
      <c r="SJR91" s="248" t="n"/>
      <c r="SJS91" s="248" t="n"/>
      <c r="SJT91" s="240" t="n"/>
      <c r="SJU91" s="240" t="n"/>
      <c r="SJW91" s="15" t="n"/>
      <c r="SJX91" s="15" t="n"/>
      <c r="SJY91" s="248" t="n"/>
      <c r="SJZ91" s="248" t="n"/>
      <c r="SKA91" s="240" t="n"/>
      <c r="SKB91" s="240" t="n"/>
      <c r="SKD91" s="15" t="n"/>
      <c r="SKE91" s="15" t="n"/>
      <c r="SKF91" s="248" t="n"/>
      <c r="SKG91" s="248" t="n"/>
      <c r="SKH91" s="240" t="n"/>
      <c r="SKI91" s="240" t="n"/>
      <c r="SKK91" s="15" t="n"/>
      <c r="SKL91" s="15" t="n"/>
      <c r="SKM91" s="248" t="n"/>
      <c r="SKN91" s="248" t="n"/>
      <c r="SKO91" s="240" t="n"/>
      <c r="SKP91" s="240" t="n"/>
      <c r="SKR91" s="15" t="n"/>
      <c r="SKS91" s="15" t="n"/>
      <c r="SKT91" s="248" t="n"/>
      <c r="SKU91" s="248" t="n"/>
      <c r="SKV91" s="240" t="n"/>
      <c r="SKW91" s="240" t="n"/>
      <c r="SKY91" s="15" t="n"/>
      <c r="SKZ91" s="15" t="n"/>
      <c r="SLA91" s="248" t="n"/>
      <c r="SLB91" s="248" t="n"/>
      <c r="SLC91" s="240" t="n"/>
      <c r="SLD91" s="240" t="n"/>
      <c r="SLF91" s="15" t="n"/>
      <c r="SLG91" s="15" t="n"/>
      <c r="SLH91" s="248" t="n"/>
      <c r="SLI91" s="248" t="n"/>
      <c r="SLJ91" s="240" t="n"/>
      <c r="SLK91" s="240" t="n"/>
      <c r="SLM91" s="15" t="n"/>
      <c r="SLN91" s="15" t="n"/>
      <c r="SLO91" s="248" t="n"/>
      <c r="SLP91" s="248" t="n"/>
      <c r="SLQ91" s="240" t="n"/>
      <c r="SLR91" s="240" t="n"/>
      <c r="SLT91" s="15" t="n"/>
      <c r="SLU91" s="15" t="n"/>
      <c r="SLV91" s="248" t="n"/>
      <c r="SLW91" s="248" t="n"/>
      <c r="SLX91" s="240" t="n"/>
      <c r="SLY91" s="240" t="n"/>
      <c r="SMA91" s="15" t="n"/>
      <c r="SMB91" s="15" t="n"/>
      <c r="SMC91" s="248" t="n"/>
      <c r="SMD91" s="248" t="n"/>
      <c r="SME91" s="240" t="n"/>
      <c r="SMF91" s="240" t="n"/>
      <c r="SMH91" s="15" t="n"/>
      <c r="SMI91" s="15" t="n"/>
      <c r="SMJ91" s="248" t="n"/>
      <c r="SMK91" s="248" t="n"/>
      <c r="SML91" s="240" t="n"/>
      <c r="SMM91" s="240" t="n"/>
      <c r="SMO91" s="15" t="n"/>
      <c r="SMP91" s="15" t="n"/>
      <c r="SMQ91" s="248" t="n"/>
      <c r="SMR91" s="248" t="n"/>
      <c r="SMS91" s="240" t="n"/>
      <c r="SMT91" s="240" t="n"/>
      <c r="SMV91" s="15" t="n"/>
      <c r="SMW91" s="15" t="n"/>
      <c r="SMX91" s="248" t="n"/>
      <c r="SMY91" s="248" t="n"/>
      <c r="SMZ91" s="240" t="n"/>
      <c r="SNA91" s="240" t="n"/>
      <c r="SNC91" s="15" t="n"/>
      <c r="SND91" s="15" t="n"/>
      <c r="SNE91" s="248" t="n"/>
      <c r="SNF91" s="248" t="n"/>
      <c r="SNG91" s="240" t="n"/>
      <c r="SNH91" s="240" t="n"/>
      <c r="SNJ91" s="15" t="n"/>
      <c r="SNK91" s="15" t="n"/>
      <c r="SNL91" s="248" t="n"/>
      <c r="SNM91" s="248" t="n"/>
      <c r="SNN91" s="240" t="n"/>
      <c r="SNO91" s="240" t="n"/>
      <c r="SNQ91" s="15" t="n"/>
      <c r="SNR91" s="15" t="n"/>
      <c r="SNS91" s="248" t="n"/>
      <c r="SNT91" s="248" t="n"/>
      <c r="SNU91" s="240" t="n"/>
      <c r="SNV91" s="240" t="n"/>
      <c r="SNX91" s="15" t="n"/>
      <c r="SNY91" s="15" t="n"/>
      <c r="SNZ91" s="248" t="n"/>
      <c r="SOA91" s="248" t="n"/>
      <c r="SOB91" s="240" t="n"/>
      <c r="SOC91" s="240" t="n"/>
      <c r="SOE91" s="15" t="n"/>
      <c r="SOF91" s="15" t="n"/>
      <c r="SOG91" s="248" t="n"/>
      <c r="SOH91" s="248" t="n"/>
      <c r="SOI91" s="240" t="n"/>
      <c r="SOJ91" s="240" t="n"/>
      <c r="SOL91" s="15" t="n"/>
      <c r="SOM91" s="15" t="n"/>
      <c r="SON91" s="248" t="n"/>
      <c r="SOO91" s="248" t="n"/>
      <c r="SOP91" s="240" t="n"/>
      <c r="SOQ91" s="240" t="n"/>
      <c r="SOS91" s="15" t="n"/>
      <c r="SOT91" s="15" t="n"/>
      <c r="SOU91" s="248" t="n"/>
      <c r="SOV91" s="248" t="n"/>
      <c r="SOW91" s="240" t="n"/>
      <c r="SOX91" s="240" t="n"/>
      <c r="SOZ91" s="15" t="n"/>
      <c r="SPA91" s="15" t="n"/>
      <c r="SPB91" s="248" t="n"/>
      <c r="SPC91" s="248" t="n"/>
      <c r="SPD91" s="240" t="n"/>
      <c r="SPE91" s="240" t="n"/>
      <c r="SPG91" s="15" t="n"/>
      <c r="SPH91" s="15" t="n"/>
      <c r="SPI91" s="248" t="n"/>
      <c r="SPJ91" s="248" t="n"/>
      <c r="SPK91" s="240" t="n"/>
      <c r="SPL91" s="240" t="n"/>
      <c r="SPN91" s="15" t="n"/>
      <c r="SPO91" s="15" t="n"/>
      <c r="SPP91" s="248" t="n"/>
      <c r="SPQ91" s="248" t="n"/>
      <c r="SPR91" s="240" t="n"/>
      <c r="SPS91" s="240" t="n"/>
      <c r="SPU91" s="15" t="n"/>
      <c r="SPV91" s="15" t="n"/>
      <c r="SPW91" s="248" t="n"/>
      <c r="SPX91" s="248" t="n"/>
      <c r="SPY91" s="240" t="n"/>
      <c r="SPZ91" s="240" t="n"/>
      <c r="SQB91" s="15" t="n"/>
      <c r="SQC91" s="15" t="n"/>
      <c r="SQD91" s="248" t="n"/>
      <c r="SQE91" s="248" t="n"/>
      <c r="SQF91" s="240" t="n"/>
      <c r="SQG91" s="240" t="n"/>
      <c r="SQI91" s="15" t="n"/>
      <c r="SQJ91" s="15" t="n"/>
      <c r="SQK91" s="248" t="n"/>
      <c r="SQL91" s="248" t="n"/>
      <c r="SQM91" s="240" t="n"/>
      <c r="SQN91" s="240" t="n"/>
      <c r="SQP91" s="15" t="n"/>
      <c r="SQQ91" s="15" t="n"/>
      <c r="SQR91" s="248" t="n"/>
      <c r="SQS91" s="248" t="n"/>
      <c r="SQT91" s="240" t="n"/>
      <c r="SQU91" s="240" t="n"/>
      <c r="SQW91" s="15" t="n"/>
      <c r="SQX91" s="15" t="n"/>
      <c r="SQY91" s="248" t="n"/>
      <c r="SQZ91" s="248" t="n"/>
      <c r="SRA91" s="240" t="n"/>
      <c r="SRB91" s="240" t="n"/>
      <c r="SRD91" s="15" t="n"/>
      <c r="SRE91" s="15" t="n"/>
      <c r="SRF91" s="248" t="n"/>
      <c r="SRG91" s="248" t="n"/>
      <c r="SRH91" s="240" t="n"/>
      <c r="SRI91" s="240" t="n"/>
      <c r="SRK91" s="15" t="n"/>
      <c r="SRL91" s="15" t="n"/>
      <c r="SRM91" s="248" t="n"/>
      <c r="SRN91" s="248" t="n"/>
      <c r="SRO91" s="240" t="n"/>
      <c r="SRP91" s="240" t="n"/>
      <c r="SRR91" s="15" t="n"/>
      <c r="SRS91" s="15" t="n"/>
      <c r="SRT91" s="248" t="n"/>
      <c r="SRU91" s="248" t="n"/>
      <c r="SRV91" s="240" t="n"/>
      <c r="SRW91" s="240" t="n"/>
      <c r="SRY91" s="15" t="n"/>
      <c r="SRZ91" s="15" t="n"/>
      <c r="SSA91" s="248" t="n"/>
      <c r="SSB91" s="248" t="n"/>
      <c r="SSC91" s="240" t="n"/>
      <c r="SSD91" s="240" t="n"/>
      <c r="SSF91" s="15" t="n"/>
      <c r="SSG91" s="15" t="n"/>
      <c r="SSH91" s="248" t="n"/>
      <c r="SSI91" s="248" t="n"/>
      <c r="SSJ91" s="240" t="n"/>
      <c r="SSK91" s="240" t="n"/>
      <c r="SSM91" s="15" t="n"/>
      <c r="SSN91" s="15" t="n"/>
      <c r="SSO91" s="248" t="n"/>
      <c r="SSP91" s="248" t="n"/>
      <c r="SSQ91" s="240" t="n"/>
      <c r="SSR91" s="240" t="n"/>
      <c r="SST91" s="15" t="n"/>
      <c r="SSU91" s="15" t="n"/>
      <c r="SSV91" s="248" t="n"/>
      <c r="SSW91" s="248" t="n"/>
      <c r="SSX91" s="240" t="n"/>
      <c r="SSY91" s="240" t="n"/>
      <c r="STA91" s="15" t="n"/>
      <c r="STB91" s="15" t="n"/>
      <c r="STC91" s="248" t="n"/>
      <c r="STD91" s="248" t="n"/>
      <c r="STE91" s="240" t="n"/>
      <c r="STF91" s="240" t="n"/>
      <c r="STH91" s="15" t="n"/>
      <c r="STI91" s="15" t="n"/>
      <c r="STJ91" s="248" t="n"/>
      <c r="STK91" s="248" t="n"/>
      <c r="STL91" s="240" t="n"/>
      <c r="STM91" s="240" t="n"/>
      <c r="STO91" s="15" t="n"/>
      <c r="STP91" s="15" t="n"/>
      <c r="STQ91" s="248" t="n"/>
      <c r="STR91" s="248" t="n"/>
      <c r="STS91" s="240" t="n"/>
      <c r="STT91" s="240" t="n"/>
      <c r="STV91" s="15" t="n"/>
      <c r="STW91" s="15" t="n"/>
      <c r="STX91" s="248" t="n"/>
      <c r="STY91" s="248" t="n"/>
      <c r="STZ91" s="240" t="n"/>
      <c r="SUA91" s="240" t="n"/>
      <c r="SUC91" s="15" t="n"/>
      <c r="SUD91" s="15" t="n"/>
      <c r="SUE91" s="248" t="n"/>
      <c r="SUF91" s="248" t="n"/>
      <c r="SUG91" s="240" t="n"/>
      <c r="SUH91" s="240" t="n"/>
      <c r="SUJ91" s="15" t="n"/>
      <c r="SUK91" s="15" t="n"/>
      <c r="SUL91" s="248" t="n"/>
      <c r="SUM91" s="248" t="n"/>
      <c r="SUN91" s="240" t="n"/>
      <c r="SUO91" s="240" t="n"/>
      <c r="SUQ91" s="15" t="n"/>
      <c r="SUR91" s="15" t="n"/>
      <c r="SUS91" s="248" t="n"/>
      <c r="SUT91" s="248" t="n"/>
      <c r="SUU91" s="240" t="n"/>
      <c r="SUV91" s="240" t="n"/>
      <c r="SUX91" s="15" t="n"/>
      <c r="SUY91" s="15" t="n"/>
      <c r="SUZ91" s="248" t="n"/>
      <c r="SVA91" s="248" t="n"/>
      <c r="SVB91" s="240" t="n"/>
      <c r="SVC91" s="240" t="n"/>
      <c r="SVE91" s="15" t="n"/>
      <c r="SVF91" s="15" t="n"/>
      <c r="SVG91" s="248" t="n"/>
      <c r="SVH91" s="248" t="n"/>
      <c r="SVI91" s="240" t="n"/>
      <c r="SVJ91" s="240" t="n"/>
      <c r="SVL91" s="15" t="n"/>
      <c r="SVM91" s="15" t="n"/>
      <c r="SVN91" s="248" t="n"/>
      <c r="SVO91" s="248" t="n"/>
      <c r="SVP91" s="240" t="n"/>
      <c r="SVQ91" s="240" t="n"/>
      <c r="SVS91" s="15" t="n"/>
      <c r="SVT91" s="15" t="n"/>
      <c r="SVU91" s="248" t="n"/>
      <c r="SVV91" s="248" t="n"/>
      <c r="SVW91" s="240" t="n"/>
      <c r="SVX91" s="240" t="n"/>
      <c r="SVZ91" s="15" t="n"/>
      <c r="SWA91" s="15" t="n"/>
      <c r="SWB91" s="248" t="n"/>
      <c r="SWC91" s="248" t="n"/>
      <c r="SWD91" s="240" t="n"/>
      <c r="SWE91" s="240" t="n"/>
      <c r="SWG91" s="15" t="n"/>
      <c r="SWH91" s="15" t="n"/>
      <c r="SWI91" s="248" t="n"/>
      <c r="SWJ91" s="248" t="n"/>
      <c r="SWK91" s="240" t="n"/>
      <c r="SWL91" s="240" t="n"/>
      <c r="SWN91" s="15" t="n"/>
      <c r="SWO91" s="15" t="n"/>
      <c r="SWP91" s="248" t="n"/>
      <c r="SWQ91" s="248" t="n"/>
      <c r="SWR91" s="240" t="n"/>
      <c r="SWS91" s="240" t="n"/>
      <c r="SWU91" s="15" t="n"/>
      <c r="SWV91" s="15" t="n"/>
      <c r="SWW91" s="248" t="n"/>
      <c r="SWX91" s="248" t="n"/>
      <c r="SWY91" s="240" t="n"/>
      <c r="SWZ91" s="240" t="n"/>
      <c r="SXB91" s="15" t="n"/>
      <c r="SXC91" s="15" t="n"/>
      <c r="SXD91" s="248" t="n"/>
      <c r="SXE91" s="248" t="n"/>
      <c r="SXF91" s="240" t="n"/>
      <c r="SXG91" s="240" t="n"/>
      <c r="SXI91" s="15" t="n"/>
      <c r="SXJ91" s="15" t="n"/>
      <c r="SXK91" s="248" t="n"/>
      <c r="SXL91" s="248" t="n"/>
      <c r="SXM91" s="240" t="n"/>
      <c r="SXN91" s="240" t="n"/>
      <c r="SXP91" s="15" t="n"/>
      <c r="SXQ91" s="15" t="n"/>
      <c r="SXR91" s="248" t="n"/>
      <c r="SXS91" s="248" t="n"/>
      <c r="SXT91" s="240" t="n"/>
      <c r="SXU91" s="240" t="n"/>
      <c r="SXW91" s="15" t="n"/>
      <c r="SXX91" s="15" t="n"/>
      <c r="SXY91" s="248" t="n"/>
      <c r="SXZ91" s="248" t="n"/>
      <c r="SYA91" s="240" t="n"/>
      <c r="SYB91" s="240" t="n"/>
      <c r="SYD91" s="15" t="n"/>
      <c r="SYE91" s="15" t="n"/>
      <c r="SYF91" s="248" t="n"/>
      <c r="SYG91" s="248" t="n"/>
      <c r="SYH91" s="240" t="n"/>
      <c r="SYI91" s="240" t="n"/>
      <c r="SYK91" s="15" t="n"/>
      <c r="SYL91" s="15" t="n"/>
      <c r="SYM91" s="248" t="n"/>
      <c r="SYN91" s="248" t="n"/>
      <c r="SYO91" s="240" t="n"/>
      <c r="SYP91" s="240" t="n"/>
      <c r="SYR91" s="15" t="n"/>
      <c r="SYS91" s="15" t="n"/>
      <c r="SYT91" s="248" t="n"/>
      <c r="SYU91" s="248" t="n"/>
      <c r="SYV91" s="240" t="n"/>
      <c r="SYW91" s="240" t="n"/>
      <c r="SYY91" s="15" t="n"/>
      <c r="SYZ91" s="15" t="n"/>
      <c r="SZA91" s="248" t="n"/>
      <c r="SZB91" s="248" t="n"/>
      <c r="SZC91" s="240" t="n"/>
      <c r="SZD91" s="240" t="n"/>
      <c r="SZF91" s="15" t="n"/>
      <c r="SZG91" s="15" t="n"/>
      <c r="SZH91" s="248" t="n"/>
      <c r="SZI91" s="248" t="n"/>
      <c r="SZJ91" s="240" t="n"/>
      <c r="SZK91" s="240" t="n"/>
      <c r="SZM91" s="15" t="n"/>
      <c r="SZN91" s="15" t="n"/>
      <c r="SZO91" s="248" t="n"/>
      <c r="SZP91" s="248" t="n"/>
      <c r="SZQ91" s="240" t="n"/>
      <c r="SZR91" s="240" t="n"/>
      <c r="SZT91" s="15" t="n"/>
      <c r="SZU91" s="15" t="n"/>
      <c r="SZV91" s="248" t="n"/>
      <c r="SZW91" s="248" t="n"/>
      <c r="SZX91" s="240" t="n"/>
      <c r="SZY91" s="240" t="n"/>
      <c r="TAA91" s="15" t="n"/>
      <c r="TAB91" s="15" t="n"/>
      <c r="TAC91" s="248" t="n"/>
      <c r="TAD91" s="248" t="n"/>
      <c r="TAE91" s="240" t="n"/>
      <c r="TAF91" s="240" t="n"/>
      <c r="TAH91" s="15" t="n"/>
      <c r="TAI91" s="15" t="n"/>
      <c r="TAJ91" s="248" t="n"/>
      <c r="TAK91" s="248" t="n"/>
      <c r="TAL91" s="240" t="n"/>
      <c r="TAM91" s="240" t="n"/>
      <c r="TAO91" s="15" t="n"/>
      <c r="TAP91" s="15" t="n"/>
      <c r="TAQ91" s="248" t="n"/>
      <c r="TAR91" s="248" t="n"/>
      <c r="TAS91" s="240" t="n"/>
      <c r="TAT91" s="240" t="n"/>
      <c r="TAV91" s="15" t="n"/>
      <c r="TAW91" s="15" t="n"/>
      <c r="TAX91" s="248" t="n"/>
      <c r="TAY91" s="248" t="n"/>
      <c r="TAZ91" s="240" t="n"/>
      <c r="TBA91" s="240" t="n"/>
      <c r="TBC91" s="15" t="n"/>
      <c r="TBD91" s="15" t="n"/>
      <c r="TBE91" s="248" t="n"/>
      <c r="TBF91" s="248" t="n"/>
      <c r="TBG91" s="240" t="n"/>
      <c r="TBH91" s="240" t="n"/>
      <c r="TBJ91" s="15" t="n"/>
      <c r="TBK91" s="15" t="n"/>
      <c r="TBL91" s="248" t="n"/>
      <c r="TBM91" s="248" t="n"/>
      <c r="TBN91" s="240" t="n"/>
      <c r="TBO91" s="240" t="n"/>
      <c r="TBQ91" s="15" t="n"/>
      <c r="TBR91" s="15" t="n"/>
      <c r="TBS91" s="248" t="n"/>
      <c r="TBT91" s="248" t="n"/>
      <c r="TBU91" s="240" t="n"/>
      <c r="TBV91" s="240" t="n"/>
      <c r="TBX91" s="15" t="n"/>
      <c r="TBY91" s="15" t="n"/>
      <c r="TBZ91" s="248" t="n"/>
      <c r="TCA91" s="248" t="n"/>
      <c r="TCB91" s="240" t="n"/>
      <c r="TCC91" s="240" t="n"/>
      <c r="TCE91" s="15" t="n"/>
      <c r="TCF91" s="15" t="n"/>
      <c r="TCG91" s="248" t="n"/>
      <c r="TCH91" s="248" t="n"/>
      <c r="TCI91" s="240" t="n"/>
      <c r="TCJ91" s="240" t="n"/>
      <c r="TCL91" s="15" t="n"/>
      <c r="TCM91" s="15" t="n"/>
      <c r="TCN91" s="248" t="n"/>
      <c r="TCO91" s="248" t="n"/>
      <c r="TCP91" s="240" t="n"/>
      <c r="TCQ91" s="240" t="n"/>
      <c r="TCS91" s="15" t="n"/>
      <c r="TCT91" s="15" t="n"/>
      <c r="TCU91" s="248" t="n"/>
      <c r="TCV91" s="248" t="n"/>
      <c r="TCW91" s="240" t="n"/>
      <c r="TCX91" s="240" t="n"/>
      <c r="TCZ91" s="15" t="n"/>
      <c r="TDA91" s="15" t="n"/>
      <c r="TDB91" s="248" t="n"/>
      <c r="TDC91" s="248" t="n"/>
      <c r="TDD91" s="240" t="n"/>
      <c r="TDE91" s="240" t="n"/>
      <c r="TDG91" s="15" t="n"/>
      <c r="TDH91" s="15" t="n"/>
      <c r="TDI91" s="248" t="n"/>
      <c r="TDJ91" s="248" t="n"/>
      <c r="TDK91" s="240" t="n"/>
      <c r="TDL91" s="240" t="n"/>
      <c r="TDN91" s="15" t="n"/>
      <c r="TDO91" s="15" t="n"/>
      <c r="TDP91" s="248" t="n"/>
      <c r="TDQ91" s="248" t="n"/>
      <c r="TDR91" s="240" t="n"/>
      <c r="TDS91" s="240" t="n"/>
      <c r="TDU91" s="15" t="n"/>
      <c r="TDV91" s="15" t="n"/>
      <c r="TDW91" s="248" t="n"/>
      <c r="TDX91" s="248" t="n"/>
      <c r="TDY91" s="240" t="n"/>
      <c r="TDZ91" s="240" t="n"/>
      <c r="TEB91" s="15" t="n"/>
      <c r="TEC91" s="15" t="n"/>
      <c r="TED91" s="248" t="n"/>
      <c r="TEE91" s="248" t="n"/>
      <c r="TEF91" s="240" t="n"/>
      <c r="TEG91" s="240" t="n"/>
      <c r="TEI91" s="15" t="n"/>
      <c r="TEJ91" s="15" t="n"/>
      <c r="TEK91" s="248" t="n"/>
      <c r="TEL91" s="248" t="n"/>
      <c r="TEM91" s="240" t="n"/>
      <c r="TEN91" s="240" t="n"/>
      <c r="TEP91" s="15" t="n"/>
      <c r="TEQ91" s="15" t="n"/>
      <c r="TER91" s="248" t="n"/>
      <c r="TES91" s="248" t="n"/>
      <c r="TET91" s="240" t="n"/>
      <c r="TEU91" s="240" t="n"/>
      <c r="TEW91" s="15" t="n"/>
      <c r="TEX91" s="15" t="n"/>
      <c r="TEY91" s="248" t="n"/>
      <c r="TEZ91" s="248" t="n"/>
      <c r="TFA91" s="240" t="n"/>
      <c r="TFB91" s="240" t="n"/>
      <c r="TFD91" s="15" t="n"/>
      <c r="TFE91" s="15" t="n"/>
      <c r="TFF91" s="248" t="n"/>
      <c r="TFG91" s="248" t="n"/>
      <c r="TFH91" s="240" t="n"/>
      <c r="TFI91" s="240" t="n"/>
      <c r="TFK91" s="15" t="n"/>
      <c r="TFL91" s="15" t="n"/>
      <c r="TFM91" s="248" t="n"/>
      <c r="TFN91" s="248" t="n"/>
      <c r="TFO91" s="240" t="n"/>
      <c r="TFP91" s="240" t="n"/>
      <c r="TFR91" s="15" t="n"/>
      <c r="TFS91" s="15" t="n"/>
      <c r="TFT91" s="248" t="n"/>
      <c r="TFU91" s="248" t="n"/>
      <c r="TFV91" s="240" t="n"/>
      <c r="TFW91" s="240" t="n"/>
      <c r="TFY91" s="15" t="n"/>
      <c r="TFZ91" s="15" t="n"/>
      <c r="TGA91" s="248" t="n"/>
      <c r="TGB91" s="248" t="n"/>
      <c r="TGC91" s="240" t="n"/>
      <c r="TGD91" s="240" t="n"/>
      <c r="TGF91" s="15" t="n"/>
      <c r="TGG91" s="15" t="n"/>
      <c r="TGH91" s="248" t="n"/>
      <c r="TGI91" s="248" t="n"/>
      <c r="TGJ91" s="240" t="n"/>
      <c r="TGK91" s="240" t="n"/>
      <c r="TGM91" s="15" t="n"/>
      <c r="TGN91" s="15" t="n"/>
      <c r="TGO91" s="248" t="n"/>
      <c r="TGP91" s="248" t="n"/>
      <c r="TGQ91" s="240" t="n"/>
      <c r="TGR91" s="240" t="n"/>
      <c r="TGT91" s="15" t="n"/>
      <c r="TGU91" s="15" t="n"/>
      <c r="TGV91" s="248" t="n"/>
      <c r="TGW91" s="248" t="n"/>
      <c r="TGX91" s="240" t="n"/>
      <c r="TGY91" s="240" t="n"/>
      <c r="THA91" s="15" t="n"/>
      <c r="THB91" s="15" t="n"/>
      <c r="THC91" s="248" t="n"/>
      <c r="THD91" s="248" t="n"/>
      <c r="THE91" s="240" t="n"/>
      <c r="THF91" s="240" t="n"/>
      <c r="THH91" s="15" t="n"/>
      <c r="THI91" s="15" t="n"/>
      <c r="THJ91" s="248" t="n"/>
      <c r="THK91" s="248" t="n"/>
      <c r="THL91" s="240" t="n"/>
      <c r="THM91" s="240" t="n"/>
      <c r="THO91" s="15" t="n"/>
      <c r="THP91" s="15" t="n"/>
      <c r="THQ91" s="248" t="n"/>
      <c r="THR91" s="248" t="n"/>
      <c r="THS91" s="240" t="n"/>
      <c r="THT91" s="240" t="n"/>
      <c r="THV91" s="15" t="n"/>
      <c r="THW91" s="15" t="n"/>
      <c r="THX91" s="248" t="n"/>
      <c r="THY91" s="248" t="n"/>
      <c r="THZ91" s="240" t="n"/>
      <c r="TIA91" s="240" t="n"/>
      <c r="TIC91" s="15" t="n"/>
      <c r="TID91" s="15" t="n"/>
      <c r="TIE91" s="248" t="n"/>
      <c r="TIF91" s="248" t="n"/>
      <c r="TIG91" s="240" t="n"/>
      <c r="TIH91" s="240" t="n"/>
      <c r="TIJ91" s="15" t="n"/>
      <c r="TIK91" s="15" t="n"/>
      <c r="TIL91" s="248" t="n"/>
      <c r="TIM91" s="248" t="n"/>
      <c r="TIN91" s="240" t="n"/>
      <c r="TIO91" s="240" t="n"/>
      <c r="TIQ91" s="15" t="n"/>
      <c r="TIR91" s="15" t="n"/>
      <c r="TIS91" s="248" t="n"/>
      <c r="TIT91" s="248" t="n"/>
      <c r="TIU91" s="240" t="n"/>
      <c r="TIV91" s="240" t="n"/>
      <c r="TIX91" s="15" t="n"/>
      <c r="TIY91" s="15" t="n"/>
      <c r="TIZ91" s="248" t="n"/>
      <c r="TJA91" s="248" t="n"/>
      <c r="TJB91" s="240" t="n"/>
      <c r="TJC91" s="240" t="n"/>
      <c r="TJE91" s="15" t="n"/>
      <c r="TJF91" s="15" t="n"/>
      <c r="TJG91" s="248" t="n"/>
      <c r="TJH91" s="248" t="n"/>
      <c r="TJI91" s="240" t="n"/>
      <c r="TJJ91" s="240" t="n"/>
      <c r="TJL91" s="15" t="n"/>
      <c r="TJM91" s="15" t="n"/>
      <c r="TJN91" s="248" t="n"/>
      <c r="TJO91" s="248" t="n"/>
      <c r="TJP91" s="240" t="n"/>
      <c r="TJQ91" s="240" t="n"/>
      <c r="TJS91" s="15" t="n"/>
      <c r="TJT91" s="15" t="n"/>
      <c r="TJU91" s="248" t="n"/>
      <c r="TJV91" s="248" t="n"/>
      <c r="TJW91" s="240" t="n"/>
      <c r="TJX91" s="240" t="n"/>
      <c r="TJZ91" s="15" t="n"/>
      <c r="TKA91" s="15" t="n"/>
      <c r="TKB91" s="248" t="n"/>
      <c r="TKC91" s="248" t="n"/>
      <c r="TKD91" s="240" t="n"/>
      <c r="TKE91" s="240" t="n"/>
      <c r="TKG91" s="15" t="n"/>
      <c r="TKH91" s="15" t="n"/>
      <c r="TKI91" s="248" t="n"/>
      <c r="TKJ91" s="248" t="n"/>
      <c r="TKK91" s="240" t="n"/>
      <c r="TKL91" s="240" t="n"/>
      <c r="TKN91" s="15" t="n"/>
      <c r="TKO91" s="15" t="n"/>
      <c r="TKP91" s="248" t="n"/>
      <c r="TKQ91" s="248" t="n"/>
      <c r="TKR91" s="240" t="n"/>
      <c r="TKS91" s="240" t="n"/>
      <c r="TKU91" s="15" t="n"/>
      <c r="TKV91" s="15" t="n"/>
      <c r="TKW91" s="248" t="n"/>
      <c r="TKX91" s="248" t="n"/>
      <c r="TKY91" s="240" t="n"/>
      <c r="TKZ91" s="240" t="n"/>
      <c r="TLB91" s="15" t="n"/>
      <c r="TLC91" s="15" t="n"/>
      <c r="TLD91" s="248" t="n"/>
      <c r="TLE91" s="248" t="n"/>
      <c r="TLF91" s="240" t="n"/>
      <c r="TLG91" s="240" t="n"/>
      <c r="TLI91" s="15" t="n"/>
      <c r="TLJ91" s="15" t="n"/>
      <c r="TLK91" s="248" t="n"/>
      <c r="TLL91" s="248" t="n"/>
      <c r="TLM91" s="240" t="n"/>
      <c r="TLN91" s="240" t="n"/>
      <c r="TLP91" s="15" t="n"/>
      <c r="TLQ91" s="15" t="n"/>
      <c r="TLR91" s="248" t="n"/>
      <c r="TLS91" s="248" t="n"/>
      <c r="TLT91" s="240" t="n"/>
      <c r="TLU91" s="240" t="n"/>
      <c r="TLW91" s="15" t="n"/>
      <c r="TLX91" s="15" t="n"/>
      <c r="TLY91" s="248" t="n"/>
      <c r="TLZ91" s="248" t="n"/>
      <c r="TMA91" s="240" t="n"/>
      <c r="TMB91" s="240" t="n"/>
      <c r="TMD91" s="15" t="n"/>
      <c r="TME91" s="15" t="n"/>
      <c r="TMF91" s="248" t="n"/>
      <c r="TMG91" s="248" t="n"/>
      <c r="TMH91" s="240" t="n"/>
      <c r="TMI91" s="240" t="n"/>
      <c r="TMK91" s="15" t="n"/>
      <c r="TML91" s="15" t="n"/>
      <c r="TMM91" s="248" t="n"/>
      <c r="TMN91" s="248" t="n"/>
      <c r="TMO91" s="240" t="n"/>
      <c r="TMP91" s="240" t="n"/>
      <c r="TMR91" s="15" t="n"/>
      <c r="TMS91" s="15" t="n"/>
      <c r="TMT91" s="248" t="n"/>
      <c r="TMU91" s="248" t="n"/>
      <c r="TMV91" s="240" t="n"/>
      <c r="TMW91" s="240" t="n"/>
      <c r="TMY91" s="15" t="n"/>
      <c r="TMZ91" s="15" t="n"/>
      <c r="TNA91" s="248" t="n"/>
      <c r="TNB91" s="248" t="n"/>
      <c r="TNC91" s="240" t="n"/>
      <c r="TND91" s="240" t="n"/>
      <c r="TNF91" s="15" t="n"/>
      <c r="TNG91" s="15" t="n"/>
      <c r="TNH91" s="248" t="n"/>
      <c r="TNI91" s="248" t="n"/>
      <c r="TNJ91" s="240" t="n"/>
      <c r="TNK91" s="240" t="n"/>
      <c r="TNM91" s="15" t="n"/>
      <c r="TNN91" s="15" t="n"/>
      <c r="TNO91" s="248" t="n"/>
      <c r="TNP91" s="248" t="n"/>
      <c r="TNQ91" s="240" t="n"/>
      <c r="TNR91" s="240" t="n"/>
      <c r="TNT91" s="15" t="n"/>
      <c r="TNU91" s="15" t="n"/>
      <c r="TNV91" s="248" t="n"/>
      <c r="TNW91" s="248" t="n"/>
      <c r="TNX91" s="240" t="n"/>
      <c r="TNY91" s="240" t="n"/>
      <c r="TOA91" s="15" t="n"/>
      <c r="TOB91" s="15" t="n"/>
      <c r="TOC91" s="248" t="n"/>
      <c r="TOD91" s="248" t="n"/>
      <c r="TOE91" s="240" t="n"/>
      <c r="TOF91" s="240" t="n"/>
      <c r="TOH91" s="15" t="n"/>
      <c r="TOI91" s="15" t="n"/>
      <c r="TOJ91" s="248" t="n"/>
      <c r="TOK91" s="248" t="n"/>
      <c r="TOL91" s="240" t="n"/>
      <c r="TOM91" s="240" t="n"/>
      <c r="TOO91" s="15" t="n"/>
      <c r="TOP91" s="15" t="n"/>
      <c r="TOQ91" s="248" t="n"/>
      <c r="TOR91" s="248" t="n"/>
      <c r="TOS91" s="240" t="n"/>
      <c r="TOT91" s="240" t="n"/>
      <c r="TOV91" s="15" t="n"/>
      <c r="TOW91" s="15" t="n"/>
      <c r="TOX91" s="248" t="n"/>
      <c r="TOY91" s="248" t="n"/>
      <c r="TOZ91" s="240" t="n"/>
      <c r="TPA91" s="240" t="n"/>
      <c r="TPC91" s="15" t="n"/>
      <c r="TPD91" s="15" t="n"/>
      <c r="TPE91" s="248" t="n"/>
      <c r="TPF91" s="248" t="n"/>
      <c r="TPG91" s="240" t="n"/>
      <c r="TPH91" s="240" t="n"/>
      <c r="TPJ91" s="15" t="n"/>
      <c r="TPK91" s="15" t="n"/>
      <c r="TPL91" s="248" t="n"/>
      <c r="TPM91" s="248" t="n"/>
      <c r="TPN91" s="240" t="n"/>
      <c r="TPO91" s="240" t="n"/>
      <c r="TPQ91" s="15" t="n"/>
      <c r="TPR91" s="15" t="n"/>
      <c r="TPS91" s="248" t="n"/>
      <c r="TPT91" s="248" t="n"/>
      <c r="TPU91" s="240" t="n"/>
      <c r="TPV91" s="240" t="n"/>
      <c r="TPX91" s="15" t="n"/>
      <c r="TPY91" s="15" t="n"/>
      <c r="TPZ91" s="248" t="n"/>
      <c r="TQA91" s="248" t="n"/>
      <c r="TQB91" s="240" t="n"/>
      <c r="TQC91" s="240" t="n"/>
      <c r="TQE91" s="15" t="n"/>
      <c r="TQF91" s="15" t="n"/>
      <c r="TQG91" s="248" t="n"/>
      <c r="TQH91" s="248" t="n"/>
      <c r="TQI91" s="240" t="n"/>
      <c r="TQJ91" s="240" t="n"/>
      <c r="TQL91" s="15" t="n"/>
      <c r="TQM91" s="15" t="n"/>
      <c r="TQN91" s="248" t="n"/>
      <c r="TQO91" s="248" t="n"/>
      <c r="TQP91" s="240" t="n"/>
      <c r="TQQ91" s="240" t="n"/>
      <c r="TQS91" s="15" t="n"/>
      <c r="TQT91" s="15" t="n"/>
      <c r="TQU91" s="248" t="n"/>
      <c r="TQV91" s="248" t="n"/>
      <c r="TQW91" s="240" t="n"/>
      <c r="TQX91" s="240" t="n"/>
      <c r="TQZ91" s="15" t="n"/>
      <c r="TRA91" s="15" t="n"/>
      <c r="TRB91" s="248" t="n"/>
      <c r="TRC91" s="248" t="n"/>
      <c r="TRD91" s="240" t="n"/>
      <c r="TRE91" s="240" t="n"/>
      <c r="TRG91" s="15" t="n"/>
      <c r="TRH91" s="15" t="n"/>
      <c r="TRI91" s="248" t="n"/>
      <c r="TRJ91" s="248" t="n"/>
      <c r="TRK91" s="240" t="n"/>
      <c r="TRL91" s="240" t="n"/>
      <c r="TRN91" s="15" t="n"/>
      <c r="TRO91" s="15" t="n"/>
      <c r="TRP91" s="248" t="n"/>
      <c r="TRQ91" s="248" t="n"/>
      <c r="TRR91" s="240" t="n"/>
      <c r="TRS91" s="240" t="n"/>
      <c r="TRU91" s="15" t="n"/>
      <c r="TRV91" s="15" t="n"/>
      <c r="TRW91" s="248" t="n"/>
      <c r="TRX91" s="248" t="n"/>
      <c r="TRY91" s="240" t="n"/>
      <c r="TRZ91" s="240" t="n"/>
      <c r="TSB91" s="15" t="n"/>
      <c r="TSC91" s="15" t="n"/>
      <c r="TSD91" s="248" t="n"/>
      <c r="TSE91" s="248" t="n"/>
      <c r="TSF91" s="240" t="n"/>
      <c r="TSG91" s="240" t="n"/>
      <c r="TSI91" s="15" t="n"/>
      <c r="TSJ91" s="15" t="n"/>
      <c r="TSK91" s="248" t="n"/>
      <c r="TSL91" s="248" t="n"/>
      <c r="TSM91" s="240" t="n"/>
      <c r="TSN91" s="240" t="n"/>
      <c r="TSP91" s="15" t="n"/>
      <c r="TSQ91" s="15" t="n"/>
      <c r="TSR91" s="248" t="n"/>
      <c r="TSS91" s="248" t="n"/>
      <c r="TST91" s="240" t="n"/>
      <c r="TSU91" s="240" t="n"/>
      <c r="TSW91" s="15" t="n"/>
      <c r="TSX91" s="15" t="n"/>
      <c r="TSY91" s="248" t="n"/>
      <c r="TSZ91" s="248" t="n"/>
      <c r="TTA91" s="240" t="n"/>
      <c r="TTB91" s="240" t="n"/>
      <c r="TTD91" s="15" t="n"/>
      <c r="TTE91" s="15" t="n"/>
      <c r="TTF91" s="248" t="n"/>
      <c r="TTG91" s="248" t="n"/>
      <c r="TTH91" s="240" t="n"/>
      <c r="TTI91" s="240" t="n"/>
      <c r="TTK91" s="15" t="n"/>
      <c r="TTL91" s="15" t="n"/>
      <c r="TTM91" s="248" t="n"/>
      <c r="TTN91" s="248" t="n"/>
      <c r="TTO91" s="240" t="n"/>
      <c r="TTP91" s="240" t="n"/>
      <c r="TTR91" s="15" t="n"/>
      <c r="TTS91" s="15" t="n"/>
      <c r="TTT91" s="248" t="n"/>
      <c r="TTU91" s="248" t="n"/>
      <c r="TTV91" s="240" t="n"/>
      <c r="TTW91" s="240" t="n"/>
      <c r="TTY91" s="15" t="n"/>
      <c r="TTZ91" s="15" t="n"/>
      <c r="TUA91" s="248" t="n"/>
      <c r="TUB91" s="248" t="n"/>
      <c r="TUC91" s="240" t="n"/>
      <c r="TUD91" s="240" t="n"/>
      <c r="TUF91" s="15" t="n"/>
      <c r="TUG91" s="15" t="n"/>
      <c r="TUH91" s="248" t="n"/>
      <c r="TUI91" s="248" t="n"/>
      <c r="TUJ91" s="240" t="n"/>
      <c r="TUK91" s="240" t="n"/>
      <c r="TUM91" s="15" t="n"/>
      <c r="TUN91" s="15" t="n"/>
      <c r="TUO91" s="248" t="n"/>
      <c r="TUP91" s="248" t="n"/>
      <c r="TUQ91" s="240" t="n"/>
      <c r="TUR91" s="240" t="n"/>
      <c r="TUT91" s="15" t="n"/>
      <c r="TUU91" s="15" t="n"/>
      <c r="TUV91" s="248" t="n"/>
      <c r="TUW91" s="248" t="n"/>
      <c r="TUX91" s="240" t="n"/>
      <c r="TUY91" s="240" t="n"/>
      <c r="TVA91" s="15" t="n"/>
      <c r="TVB91" s="15" t="n"/>
      <c r="TVC91" s="248" t="n"/>
      <c r="TVD91" s="248" t="n"/>
      <c r="TVE91" s="240" t="n"/>
      <c r="TVF91" s="240" t="n"/>
      <c r="TVH91" s="15" t="n"/>
      <c r="TVI91" s="15" t="n"/>
      <c r="TVJ91" s="248" t="n"/>
      <c r="TVK91" s="248" t="n"/>
      <c r="TVL91" s="240" t="n"/>
      <c r="TVM91" s="240" t="n"/>
      <c r="TVO91" s="15" t="n"/>
      <c r="TVP91" s="15" t="n"/>
      <c r="TVQ91" s="248" t="n"/>
      <c r="TVR91" s="248" t="n"/>
      <c r="TVS91" s="240" t="n"/>
      <c r="TVT91" s="240" t="n"/>
      <c r="TVV91" s="15" t="n"/>
      <c r="TVW91" s="15" t="n"/>
      <c r="TVX91" s="248" t="n"/>
      <c r="TVY91" s="248" t="n"/>
      <c r="TVZ91" s="240" t="n"/>
      <c r="TWA91" s="240" t="n"/>
      <c r="TWC91" s="15" t="n"/>
      <c r="TWD91" s="15" t="n"/>
      <c r="TWE91" s="248" t="n"/>
      <c r="TWF91" s="248" t="n"/>
      <c r="TWG91" s="240" t="n"/>
      <c r="TWH91" s="240" t="n"/>
      <c r="TWJ91" s="15" t="n"/>
      <c r="TWK91" s="15" t="n"/>
      <c r="TWL91" s="248" t="n"/>
      <c r="TWM91" s="248" t="n"/>
      <c r="TWN91" s="240" t="n"/>
      <c r="TWO91" s="240" t="n"/>
      <c r="TWQ91" s="15" t="n"/>
      <c r="TWR91" s="15" t="n"/>
      <c r="TWS91" s="248" t="n"/>
      <c r="TWT91" s="248" t="n"/>
      <c r="TWU91" s="240" t="n"/>
      <c r="TWV91" s="240" t="n"/>
      <c r="TWX91" s="15" t="n"/>
      <c r="TWY91" s="15" t="n"/>
      <c r="TWZ91" s="248" t="n"/>
      <c r="TXA91" s="248" t="n"/>
      <c r="TXB91" s="240" t="n"/>
      <c r="TXC91" s="240" t="n"/>
      <c r="TXE91" s="15" t="n"/>
      <c r="TXF91" s="15" t="n"/>
      <c r="TXG91" s="248" t="n"/>
      <c r="TXH91" s="248" t="n"/>
      <c r="TXI91" s="240" t="n"/>
      <c r="TXJ91" s="240" t="n"/>
      <c r="TXL91" s="15" t="n"/>
      <c r="TXM91" s="15" t="n"/>
      <c r="TXN91" s="248" t="n"/>
      <c r="TXO91" s="248" t="n"/>
      <c r="TXP91" s="240" t="n"/>
      <c r="TXQ91" s="240" t="n"/>
      <c r="TXS91" s="15" t="n"/>
      <c r="TXT91" s="15" t="n"/>
      <c r="TXU91" s="248" t="n"/>
      <c r="TXV91" s="248" t="n"/>
      <c r="TXW91" s="240" t="n"/>
      <c r="TXX91" s="240" t="n"/>
      <c r="TXZ91" s="15" t="n"/>
      <c r="TYA91" s="15" t="n"/>
      <c r="TYB91" s="248" t="n"/>
      <c r="TYC91" s="248" t="n"/>
      <c r="TYD91" s="240" t="n"/>
      <c r="TYE91" s="240" t="n"/>
      <c r="TYG91" s="15" t="n"/>
      <c r="TYH91" s="15" t="n"/>
      <c r="TYI91" s="248" t="n"/>
      <c r="TYJ91" s="248" t="n"/>
      <c r="TYK91" s="240" t="n"/>
      <c r="TYL91" s="240" t="n"/>
      <c r="TYN91" s="15" t="n"/>
      <c r="TYO91" s="15" t="n"/>
      <c r="TYP91" s="248" t="n"/>
      <c r="TYQ91" s="248" t="n"/>
      <c r="TYR91" s="240" t="n"/>
      <c r="TYS91" s="240" t="n"/>
      <c r="TYU91" s="15" t="n"/>
      <c r="TYV91" s="15" t="n"/>
      <c r="TYW91" s="248" t="n"/>
      <c r="TYX91" s="248" t="n"/>
      <c r="TYY91" s="240" t="n"/>
      <c r="TYZ91" s="240" t="n"/>
      <c r="TZB91" s="15" t="n"/>
      <c r="TZC91" s="15" t="n"/>
      <c r="TZD91" s="248" t="n"/>
      <c r="TZE91" s="248" t="n"/>
      <c r="TZF91" s="240" t="n"/>
      <c r="TZG91" s="240" t="n"/>
      <c r="TZI91" s="15" t="n"/>
      <c r="TZJ91" s="15" t="n"/>
      <c r="TZK91" s="248" t="n"/>
      <c r="TZL91" s="248" t="n"/>
      <c r="TZM91" s="240" t="n"/>
      <c r="TZN91" s="240" t="n"/>
      <c r="TZP91" s="15" t="n"/>
      <c r="TZQ91" s="15" t="n"/>
      <c r="TZR91" s="248" t="n"/>
      <c r="TZS91" s="248" t="n"/>
      <c r="TZT91" s="240" t="n"/>
      <c r="TZU91" s="240" t="n"/>
      <c r="TZW91" s="15" t="n"/>
      <c r="TZX91" s="15" t="n"/>
      <c r="TZY91" s="248" t="n"/>
      <c r="TZZ91" s="248" t="n"/>
      <c r="UAA91" s="240" t="n"/>
      <c r="UAB91" s="240" t="n"/>
      <c r="UAD91" s="15" t="n"/>
      <c r="UAE91" s="15" t="n"/>
      <c r="UAF91" s="248" t="n"/>
      <c r="UAG91" s="248" t="n"/>
      <c r="UAH91" s="240" t="n"/>
      <c r="UAI91" s="240" t="n"/>
      <c r="UAK91" s="15" t="n"/>
      <c r="UAL91" s="15" t="n"/>
      <c r="UAM91" s="248" t="n"/>
      <c r="UAN91" s="248" t="n"/>
      <c r="UAO91" s="240" t="n"/>
      <c r="UAP91" s="240" t="n"/>
      <c r="UAR91" s="15" t="n"/>
      <c r="UAS91" s="15" t="n"/>
      <c r="UAT91" s="248" t="n"/>
      <c r="UAU91" s="248" t="n"/>
      <c r="UAV91" s="240" t="n"/>
      <c r="UAW91" s="240" t="n"/>
      <c r="UAY91" s="15" t="n"/>
      <c r="UAZ91" s="15" t="n"/>
      <c r="UBA91" s="248" t="n"/>
      <c r="UBB91" s="248" t="n"/>
      <c r="UBC91" s="240" t="n"/>
      <c r="UBD91" s="240" t="n"/>
      <c r="UBF91" s="15" t="n"/>
      <c r="UBG91" s="15" t="n"/>
      <c r="UBH91" s="248" t="n"/>
      <c r="UBI91" s="248" t="n"/>
      <c r="UBJ91" s="240" t="n"/>
      <c r="UBK91" s="240" t="n"/>
      <c r="UBM91" s="15" t="n"/>
      <c r="UBN91" s="15" t="n"/>
      <c r="UBO91" s="248" t="n"/>
      <c r="UBP91" s="248" t="n"/>
      <c r="UBQ91" s="240" t="n"/>
      <c r="UBR91" s="240" t="n"/>
      <c r="UBT91" s="15" t="n"/>
      <c r="UBU91" s="15" t="n"/>
      <c r="UBV91" s="248" t="n"/>
      <c r="UBW91" s="248" t="n"/>
      <c r="UBX91" s="240" t="n"/>
      <c r="UBY91" s="240" t="n"/>
      <c r="UCA91" s="15" t="n"/>
      <c r="UCB91" s="15" t="n"/>
      <c r="UCC91" s="248" t="n"/>
      <c r="UCD91" s="248" t="n"/>
      <c r="UCE91" s="240" t="n"/>
      <c r="UCF91" s="240" t="n"/>
      <c r="UCH91" s="15" t="n"/>
      <c r="UCI91" s="15" t="n"/>
      <c r="UCJ91" s="248" t="n"/>
      <c r="UCK91" s="248" t="n"/>
      <c r="UCL91" s="240" t="n"/>
      <c r="UCM91" s="240" t="n"/>
      <c r="UCO91" s="15" t="n"/>
      <c r="UCP91" s="15" t="n"/>
      <c r="UCQ91" s="248" t="n"/>
      <c r="UCR91" s="248" t="n"/>
      <c r="UCS91" s="240" t="n"/>
      <c r="UCT91" s="240" t="n"/>
      <c r="UCV91" s="15" t="n"/>
      <c r="UCW91" s="15" t="n"/>
      <c r="UCX91" s="248" t="n"/>
      <c r="UCY91" s="248" t="n"/>
      <c r="UCZ91" s="240" t="n"/>
      <c r="UDA91" s="240" t="n"/>
      <c r="UDC91" s="15" t="n"/>
      <c r="UDD91" s="15" t="n"/>
      <c r="UDE91" s="248" t="n"/>
      <c r="UDF91" s="248" t="n"/>
      <c r="UDG91" s="240" t="n"/>
      <c r="UDH91" s="240" t="n"/>
      <c r="UDJ91" s="15" t="n"/>
      <c r="UDK91" s="15" t="n"/>
      <c r="UDL91" s="248" t="n"/>
      <c r="UDM91" s="248" t="n"/>
      <c r="UDN91" s="240" t="n"/>
      <c r="UDO91" s="240" t="n"/>
      <c r="UDQ91" s="15" t="n"/>
      <c r="UDR91" s="15" t="n"/>
      <c r="UDS91" s="248" t="n"/>
      <c r="UDT91" s="248" t="n"/>
      <c r="UDU91" s="240" t="n"/>
      <c r="UDV91" s="240" t="n"/>
      <c r="UDX91" s="15" t="n"/>
      <c r="UDY91" s="15" t="n"/>
      <c r="UDZ91" s="248" t="n"/>
      <c r="UEA91" s="248" t="n"/>
      <c r="UEB91" s="240" t="n"/>
      <c r="UEC91" s="240" t="n"/>
      <c r="UEE91" s="15" t="n"/>
      <c r="UEF91" s="15" t="n"/>
      <c r="UEG91" s="248" t="n"/>
      <c r="UEH91" s="248" t="n"/>
      <c r="UEI91" s="240" t="n"/>
      <c r="UEJ91" s="240" t="n"/>
      <c r="UEL91" s="15" t="n"/>
      <c r="UEM91" s="15" t="n"/>
      <c r="UEN91" s="248" t="n"/>
      <c r="UEO91" s="248" t="n"/>
      <c r="UEP91" s="240" t="n"/>
      <c r="UEQ91" s="240" t="n"/>
      <c r="UES91" s="15" t="n"/>
      <c r="UET91" s="15" t="n"/>
      <c r="UEU91" s="248" t="n"/>
      <c r="UEV91" s="248" t="n"/>
      <c r="UEW91" s="240" t="n"/>
      <c r="UEX91" s="240" t="n"/>
      <c r="UEZ91" s="15" t="n"/>
      <c r="UFA91" s="15" t="n"/>
      <c r="UFB91" s="248" t="n"/>
      <c r="UFC91" s="248" t="n"/>
      <c r="UFD91" s="240" t="n"/>
      <c r="UFE91" s="240" t="n"/>
      <c r="UFG91" s="15" t="n"/>
      <c r="UFH91" s="15" t="n"/>
      <c r="UFI91" s="248" t="n"/>
      <c r="UFJ91" s="248" t="n"/>
      <c r="UFK91" s="240" t="n"/>
      <c r="UFL91" s="240" t="n"/>
      <c r="UFN91" s="15" t="n"/>
      <c r="UFO91" s="15" t="n"/>
      <c r="UFP91" s="248" t="n"/>
      <c r="UFQ91" s="248" t="n"/>
      <c r="UFR91" s="240" t="n"/>
      <c r="UFS91" s="240" t="n"/>
      <c r="UFU91" s="15" t="n"/>
      <c r="UFV91" s="15" t="n"/>
      <c r="UFW91" s="248" t="n"/>
      <c r="UFX91" s="248" t="n"/>
      <c r="UFY91" s="240" t="n"/>
      <c r="UFZ91" s="240" t="n"/>
      <c r="UGB91" s="15" t="n"/>
      <c r="UGC91" s="15" t="n"/>
      <c r="UGD91" s="248" t="n"/>
      <c r="UGE91" s="248" t="n"/>
      <c r="UGF91" s="240" t="n"/>
      <c r="UGG91" s="240" t="n"/>
      <c r="UGI91" s="15" t="n"/>
      <c r="UGJ91" s="15" t="n"/>
      <c r="UGK91" s="248" t="n"/>
      <c r="UGL91" s="248" t="n"/>
      <c r="UGM91" s="240" t="n"/>
      <c r="UGN91" s="240" t="n"/>
      <c r="UGP91" s="15" t="n"/>
      <c r="UGQ91" s="15" t="n"/>
      <c r="UGR91" s="248" t="n"/>
      <c r="UGS91" s="248" t="n"/>
      <c r="UGT91" s="240" t="n"/>
      <c r="UGU91" s="240" t="n"/>
      <c r="UGW91" s="15" t="n"/>
      <c r="UGX91" s="15" t="n"/>
      <c r="UGY91" s="248" t="n"/>
      <c r="UGZ91" s="248" t="n"/>
      <c r="UHA91" s="240" t="n"/>
      <c r="UHB91" s="240" t="n"/>
      <c r="UHD91" s="15" t="n"/>
      <c r="UHE91" s="15" t="n"/>
      <c r="UHF91" s="248" t="n"/>
      <c r="UHG91" s="248" t="n"/>
      <c r="UHH91" s="240" t="n"/>
      <c r="UHI91" s="240" t="n"/>
      <c r="UHK91" s="15" t="n"/>
      <c r="UHL91" s="15" t="n"/>
      <c r="UHM91" s="248" t="n"/>
      <c r="UHN91" s="248" t="n"/>
      <c r="UHO91" s="240" t="n"/>
      <c r="UHP91" s="240" t="n"/>
      <c r="UHR91" s="15" t="n"/>
      <c r="UHS91" s="15" t="n"/>
      <c r="UHT91" s="248" t="n"/>
      <c r="UHU91" s="248" t="n"/>
      <c r="UHV91" s="240" t="n"/>
      <c r="UHW91" s="240" t="n"/>
      <c r="UHY91" s="15" t="n"/>
      <c r="UHZ91" s="15" t="n"/>
      <c r="UIA91" s="248" t="n"/>
      <c r="UIB91" s="248" t="n"/>
      <c r="UIC91" s="240" t="n"/>
      <c r="UID91" s="240" t="n"/>
      <c r="UIF91" s="15" t="n"/>
      <c r="UIG91" s="15" t="n"/>
      <c r="UIH91" s="248" t="n"/>
      <c r="UII91" s="248" t="n"/>
      <c r="UIJ91" s="240" t="n"/>
      <c r="UIK91" s="240" t="n"/>
      <c r="UIM91" s="15" t="n"/>
      <c r="UIN91" s="15" t="n"/>
      <c r="UIO91" s="248" t="n"/>
      <c r="UIP91" s="248" t="n"/>
      <c r="UIQ91" s="240" t="n"/>
      <c r="UIR91" s="240" t="n"/>
      <c r="UIT91" s="15" t="n"/>
      <c r="UIU91" s="15" t="n"/>
      <c r="UIV91" s="248" t="n"/>
      <c r="UIW91" s="248" t="n"/>
      <c r="UIX91" s="240" t="n"/>
      <c r="UIY91" s="240" t="n"/>
      <c r="UJA91" s="15" t="n"/>
      <c r="UJB91" s="15" t="n"/>
      <c r="UJC91" s="248" t="n"/>
      <c r="UJD91" s="248" t="n"/>
      <c r="UJE91" s="240" t="n"/>
      <c r="UJF91" s="240" t="n"/>
      <c r="UJH91" s="15" t="n"/>
      <c r="UJI91" s="15" t="n"/>
      <c r="UJJ91" s="248" t="n"/>
      <c r="UJK91" s="248" t="n"/>
      <c r="UJL91" s="240" t="n"/>
      <c r="UJM91" s="240" t="n"/>
      <c r="UJO91" s="15" t="n"/>
      <c r="UJP91" s="15" t="n"/>
      <c r="UJQ91" s="248" t="n"/>
      <c r="UJR91" s="248" t="n"/>
      <c r="UJS91" s="240" t="n"/>
      <c r="UJT91" s="240" t="n"/>
      <c r="UJV91" s="15" t="n"/>
      <c r="UJW91" s="15" t="n"/>
      <c r="UJX91" s="248" t="n"/>
      <c r="UJY91" s="248" t="n"/>
      <c r="UJZ91" s="240" t="n"/>
      <c r="UKA91" s="240" t="n"/>
      <c r="UKC91" s="15" t="n"/>
      <c r="UKD91" s="15" t="n"/>
      <c r="UKE91" s="248" t="n"/>
      <c r="UKF91" s="248" t="n"/>
      <c r="UKG91" s="240" t="n"/>
      <c r="UKH91" s="240" t="n"/>
      <c r="UKJ91" s="15" t="n"/>
      <c r="UKK91" s="15" t="n"/>
      <c r="UKL91" s="248" t="n"/>
      <c r="UKM91" s="248" t="n"/>
      <c r="UKN91" s="240" t="n"/>
      <c r="UKO91" s="240" t="n"/>
      <c r="UKQ91" s="15" t="n"/>
      <c r="UKR91" s="15" t="n"/>
      <c r="UKS91" s="248" t="n"/>
      <c r="UKT91" s="248" t="n"/>
      <c r="UKU91" s="240" t="n"/>
      <c r="UKV91" s="240" t="n"/>
      <c r="UKX91" s="15" t="n"/>
      <c r="UKY91" s="15" t="n"/>
      <c r="UKZ91" s="248" t="n"/>
      <c r="ULA91" s="248" t="n"/>
      <c r="ULB91" s="240" t="n"/>
      <c r="ULC91" s="240" t="n"/>
      <c r="ULE91" s="15" t="n"/>
      <c r="ULF91" s="15" t="n"/>
      <c r="ULG91" s="248" t="n"/>
      <c r="ULH91" s="248" t="n"/>
      <c r="ULI91" s="240" t="n"/>
      <c r="ULJ91" s="240" t="n"/>
      <c r="ULL91" s="15" t="n"/>
      <c r="ULM91" s="15" t="n"/>
      <c r="ULN91" s="248" t="n"/>
      <c r="ULO91" s="248" t="n"/>
      <c r="ULP91" s="240" t="n"/>
      <c r="ULQ91" s="240" t="n"/>
      <c r="ULS91" s="15" t="n"/>
      <c r="ULT91" s="15" t="n"/>
      <c r="ULU91" s="248" t="n"/>
      <c r="ULV91" s="248" t="n"/>
      <c r="ULW91" s="240" t="n"/>
      <c r="ULX91" s="240" t="n"/>
      <c r="ULZ91" s="15" t="n"/>
      <c r="UMA91" s="15" t="n"/>
      <c r="UMB91" s="248" t="n"/>
      <c r="UMC91" s="248" t="n"/>
      <c r="UMD91" s="240" t="n"/>
      <c r="UME91" s="240" t="n"/>
      <c r="UMG91" s="15" t="n"/>
      <c r="UMH91" s="15" t="n"/>
      <c r="UMI91" s="248" t="n"/>
      <c r="UMJ91" s="248" t="n"/>
      <c r="UMK91" s="240" t="n"/>
      <c r="UML91" s="240" t="n"/>
      <c r="UMN91" s="15" t="n"/>
      <c r="UMO91" s="15" t="n"/>
      <c r="UMP91" s="248" t="n"/>
      <c r="UMQ91" s="248" t="n"/>
      <c r="UMR91" s="240" t="n"/>
      <c r="UMS91" s="240" t="n"/>
      <c r="UMU91" s="15" t="n"/>
      <c r="UMV91" s="15" t="n"/>
      <c r="UMW91" s="248" t="n"/>
      <c r="UMX91" s="248" t="n"/>
      <c r="UMY91" s="240" t="n"/>
      <c r="UMZ91" s="240" t="n"/>
      <c r="UNB91" s="15" t="n"/>
      <c r="UNC91" s="15" t="n"/>
      <c r="UND91" s="248" t="n"/>
      <c r="UNE91" s="248" t="n"/>
      <c r="UNF91" s="240" t="n"/>
      <c r="UNG91" s="240" t="n"/>
      <c r="UNI91" s="15" t="n"/>
      <c r="UNJ91" s="15" t="n"/>
      <c r="UNK91" s="248" t="n"/>
      <c r="UNL91" s="248" t="n"/>
      <c r="UNM91" s="240" t="n"/>
      <c r="UNN91" s="240" t="n"/>
      <c r="UNP91" s="15" t="n"/>
      <c r="UNQ91" s="15" t="n"/>
      <c r="UNR91" s="248" t="n"/>
      <c r="UNS91" s="248" t="n"/>
      <c r="UNT91" s="240" t="n"/>
      <c r="UNU91" s="240" t="n"/>
      <c r="UNW91" s="15" t="n"/>
      <c r="UNX91" s="15" t="n"/>
      <c r="UNY91" s="248" t="n"/>
      <c r="UNZ91" s="248" t="n"/>
      <c r="UOA91" s="240" t="n"/>
      <c r="UOB91" s="240" t="n"/>
      <c r="UOD91" s="15" t="n"/>
      <c r="UOE91" s="15" t="n"/>
      <c r="UOF91" s="248" t="n"/>
      <c r="UOG91" s="248" t="n"/>
      <c r="UOH91" s="240" t="n"/>
      <c r="UOI91" s="240" t="n"/>
      <c r="UOK91" s="15" t="n"/>
      <c r="UOL91" s="15" t="n"/>
      <c r="UOM91" s="248" t="n"/>
      <c r="UON91" s="248" t="n"/>
      <c r="UOO91" s="240" t="n"/>
      <c r="UOP91" s="240" t="n"/>
      <c r="UOR91" s="15" t="n"/>
      <c r="UOS91" s="15" t="n"/>
      <c r="UOT91" s="248" t="n"/>
      <c r="UOU91" s="248" t="n"/>
      <c r="UOV91" s="240" t="n"/>
      <c r="UOW91" s="240" t="n"/>
      <c r="UOY91" s="15" t="n"/>
      <c r="UOZ91" s="15" t="n"/>
      <c r="UPA91" s="248" t="n"/>
      <c r="UPB91" s="248" t="n"/>
      <c r="UPC91" s="240" t="n"/>
      <c r="UPD91" s="240" t="n"/>
      <c r="UPF91" s="15" t="n"/>
      <c r="UPG91" s="15" t="n"/>
      <c r="UPH91" s="248" t="n"/>
      <c r="UPI91" s="248" t="n"/>
      <c r="UPJ91" s="240" t="n"/>
      <c r="UPK91" s="240" t="n"/>
      <c r="UPM91" s="15" t="n"/>
      <c r="UPN91" s="15" t="n"/>
      <c r="UPO91" s="248" t="n"/>
      <c r="UPP91" s="248" t="n"/>
      <c r="UPQ91" s="240" t="n"/>
      <c r="UPR91" s="240" t="n"/>
      <c r="UPT91" s="15" t="n"/>
      <c r="UPU91" s="15" t="n"/>
      <c r="UPV91" s="248" t="n"/>
      <c r="UPW91" s="248" t="n"/>
      <c r="UPX91" s="240" t="n"/>
      <c r="UPY91" s="240" t="n"/>
      <c r="UQA91" s="15" t="n"/>
      <c r="UQB91" s="15" t="n"/>
      <c r="UQC91" s="248" t="n"/>
      <c r="UQD91" s="248" t="n"/>
      <c r="UQE91" s="240" t="n"/>
      <c r="UQF91" s="240" t="n"/>
      <c r="UQH91" s="15" t="n"/>
      <c r="UQI91" s="15" t="n"/>
      <c r="UQJ91" s="248" t="n"/>
      <c r="UQK91" s="248" t="n"/>
      <c r="UQL91" s="240" t="n"/>
      <c r="UQM91" s="240" t="n"/>
      <c r="UQO91" s="15" t="n"/>
      <c r="UQP91" s="15" t="n"/>
      <c r="UQQ91" s="248" t="n"/>
      <c r="UQR91" s="248" t="n"/>
      <c r="UQS91" s="240" t="n"/>
      <c r="UQT91" s="240" t="n"/>
      <c r="UQV91" s="15" t="n"/>
      <c r="UQW91" s="15" t="n"/>
      <c r="UQX91" s="248" t="n"/>
      <c r="UQY91" s="248" t="n"/>
      <c r="UQZ91" s="240" t="n"/>
      <c r="URA91" s="240" t="n"/>
      <c r="URC91" s="15" t="n"/>
      <c r="URD91" s="15" t="n"/>
      <c r="URE91" s="248" t="n"/>
      <c r="URF91" s="248" t="n"/>
      <c r="URG91" s="240" t="n"/>
      <c r="URH91" s="240" t="n"/>
      <c r="URJ91" s="15" t="n"/>
      <c r="URK91" s="15" t="n"/>
      <c r="URL91" s="248" t="n"/>
      <c r="URM91" s="248" t="n"/>
      <c r="URN91" s="240" t="n"/>
      <c r="URO91" s="240" t="n"/>
      <c r="URQ91" s="15" t="n"/>
      <c r="URR91" s="15" t="n"/>
      <c r="URS91" s="248" t="n"/>
      <c r="URT91" s="248" t="n"/>
      <c r="URU91" s="240" t="n"/>
      <c r="URV91" s="240" t="n"/>
      <c r="URX91" s="15" t="n"/>
      <c r="URY91" s="15" t="n"/>
      <c r="URZ91" s="248" t="n"/>
      <c r="USA91" s="248" t="n"/>
      <c r="USB91" s="240" t="n"/>
      <c r="USC91" s="240" t="n"/>
      <c r="USE91" s="15" t="n"/>
      <c r="USF91" s="15" t="n"/>
      <c r="USG91" s="248" t="n"/>
      <c r="USH91" s="248" t="n"/>
      <c r="USI91" s="240" t="n"/>
      <c r="USJ91" s="240" t="n"/>
      <c r="USL91" s="15" t="n"/>
      <c r="USM91" s="15" t="n"/>
      <c r="USN91" s="248" t="n"/>
      <c r="USO91" s="248" t="n"/>
      <c r="USP91" s="240" t="n"/>
      <c r="USQ91" s="240" t="n"/>
      <c r="USS91" s="15" t="n"/>
      <c r="UST91" s="15" t="n"/>
      <c r="USU91" s="248" t="n"/>
      <c r="USV91" s="248" t="n"/>
      <c r="USW91" s="240" t="n"/>
      <c r="USX91" s="240" t="n"/>
      <c r="USZ91" s="15" t="n"/>
      <c r="UTA91" s="15" t="n"/>
      <c r="UTB91" s="248" t="n"/>
      <c r="UTC91" s="248" t="n"/>
      <c r="UTD91" s="240" t="n"/>
      <c r="UTE91" s="240" t="n"/>
      <c r="UTG91" s="15" t="n"/>
      <c r="UTH91" s="15" t="n"/>
      <c r="UTI91" s="248" t="n"/>
      <c r="UTJ91" s="248" t="n"/>
      <c r="UTK91" s="240" t="n"/>
      <c r="UTL91" s="240" t="n"/>
      <c r="UTN91" s="15" t="n"/>
      <c r="UTO91" s="15" t="n"/>
      <c r="UTP91" s="248" t="n"/>
      <c r="UTQ91" s="248" t="n"/>
      <c r="UTR91" s="240" t="n"/>
      <c r="UTS91" s="240" t="n"/>
      <c r="UTU91" s="15" t="n"/>
      <c r="UTV91" s="15" t="n"/>
      <c r="UTW91" s="248" t="n"/>
      <c r="UTX91" s="248" t="n"/>
      <c r="UTY91" s="240" t="n"/>
      <c r="UTZ91" s="240" t="n"/>
      <c r="UUB91" s="15" t="n"/>
      <c r="UUC91" s="15" t="n"/>
      <c r="UUD91" s="248" t="n"/>
      <c r="UUE91" s="248" t="n"/>
      <c r="UUF91" s="240" t="n"/>
      <c r="UUG91" s="240" t="n"/>
      <c r="UUI91" s="15" t="n"/>
      <c r="UUJ91" s="15" t="n"/>
      <c r="UUK91" s="248" t="n"/>
      <c r="UUL91" s="248" t="n"/>
      <c r="UUM91" s="240" t="n"/>
      <c r="UUN91" s="240" t="n"/>
      <c r="UUP91" s="15" t="n"/>
      <c r="UUQ91" s="15" t="n"/>
      <c r="UUR91" s="248" t="n"/>
      <c r="UUS91" s="248" t="n"/>
      <c r="UUT91" s="240" t="n"/>
      <c r="UUU91" s="240" t="n"/>
      <c r="UUW91" s="15" t="n"/>
      <c r="UUX91" s="15" t="n"/>
      <c r="UUY91" s="248" t="n"/>
      <c r="UUZ91" s="248" t="n"/>
      <c r="UVA91" s="240" t="n"/>
      <c r="UVB91" s="240" t="n"/>
      <c r="UVD91" s="15" t="n"/>
      <c r="UVE91" s="15" t="n"/>
      <c r="UVF91" s="248" t="n"/>
      <c r="UVG91" s="248" t="n"/>
      <c r="UVH91" s="240" t="n"/>
      <c r="UVI91" s="240" t="n"/>
      <c r="UVK91" s="15" t="n"/>
      <c r="UVL91" s="15" t="n"/>
      <c r="UVM91" s="248" t="n"/>
      <c r="UVN91" s="248" t="n"/>
      <c r="UVO91" s="240" t="n"/>
      <c r="UVP91" s="240" t="n"/>
      <c r="UVR91" s="15" t="n"/>
      <c r="UVS91" s="15" t="n"/>
      <c r="UVT91" s="248" t="n"/>
      <c r="UVU91" s="248" t="n"/>
      <c r="UVV91" s="240" t="n"/>
      <c r="UVW91" s="240" t="n"/>
      <c r="UVY91" s="15" t="n"/>
      <c r="UVZ91" s="15" t="n"/>
      <c r="UWA91" s="248" t="n"/>
      <c r="UWB91" s="248" t="n"/>
      <c r="UWC91" s="240" t="n"/>
      <c r="UWD91" s="240" t="n"/>
      <c r="UWF91" s="15" t="n"/>
      <c r="UWG91" s="15" t="n"/>
      <c r="UWH91" s="248" t="n"/>
      <c r="UWI91" s="248" t="n"/>
      <c r="UWJ91" s="240" t="n"/>
      <c r="UWK91" s="240" t="n"/>
      <c r="UWM91" s="15" t="n"/>
      <c r="UWN91" s="15" t="n"/>
      <c r="UWO91" s="248" t="n"/>
      <c r="UWP91" s="248" t="n"/>
      <c r="UWQ91" s="240" t="n"/>
      <c r="UWR91" s="240" t="n"/>
      <c r="UWT91" s="15" t="n"/>
      <c r="UWU91" s="15" t="n"/>
      <c r="UWV91" s="248" t="n"/>
      <c r="UWW91" s="248" t="n"/>
      <c r="UWX91" s="240" t="n"/>
      <c r="UWY91" s="240" t="n"/>
      <c r="UXA91" s="15" t="n"/>
      <c r="UXB91" s="15" t="n"/>
      <c r="UXC91" s="248" t="n"/>
      <c r="UXD91" s="248" t="n"/>
      <c r="UXE91" s="240" t="n"/>
      <c r="UXF91" s="240" t="n"/>
      <c r="UXH91" s="15" t="n"/>
      <c r="UXI91" s="15" t="n"/>
      <c r="UXJ91" s="248" t="n"/>
      <c r="UXK91" s="248" t="n"/>
      <c r="UXL91" s="240" t="n"/>
      <c r="UXM91" s="240" t="n"/>
      <c r="UXO91" s="15" t="n"/>
      <c r="UXP91" s="15" t="n"/>
      <c r="UXQ91" s="248" t="n"/>
      <c r="UXR91" s="248" t="n"/>
      <c r="UXS91" s="240" t="n"/>
      <c r="UXT91" s="240" t="n"/>
      <c r="UXV91" s="15" t="n"/>
      <c r="UXW91" s="15" t="n"/>
      <c r="UXX91" s="248" t="n"/>
      <c r="UXY91" s="248" t="n"/>
      <c r="UXZ91" s="240" t="n"/>
      <c r="UYA91" s="240" t="n"/>
      <c r="UYC91" s="15" t="n"/>
      <c r="UYD91" s="15" t="n"/>
      <c r="UYE91" s="248" t="n"/>
      <c r="UYF91" s="248" t="n"/>
      <c r="UYG91" s="240" t="n"/>
      <c r="UYH91" s="240" t="n"/>
      <c r="UYJ91" s="15" t="n"/>
      <c r="UYK91" s="15" t="n"/>
      <c r="UYL91" s="248" t="n"/>
      <c r="UYM91" s="248" t="n"/>
      <c r="UYN91" s="240" t="n"/>
      <c r="UYO91" s="240" t="n"/>
      <c r="UYQ91" s="15" t="n"/>
      <c r="UYR91" s="15" t="n"/>
      <c r="UYS91" s="248" t="n"/>
      <c r="UYT91" s="248" t="n"/>
      <c r="UYU91" s="240" t="n"/>
      <c r="UYV91" s="240" t="n"/>
      <c r="UYX91" s="15" t="n"/>
      <c r="UYY91" s="15" t="n"/>
      <c r="UYZ91" s="248" t="n"/>
      <c r="UZA91" s="248" t="n"/>
      <c r="UZB91" s="240" t="n"/>
      <c r="UZC91" s="240" t="n"/>
      <c r="UZE91" s="15" t="n"/>
      <c r="UZF91" s="15" t="n"/>
      <c r="UZG91" s="248" t="n"/>
      <c r="UZH91" s="248" t="n"/>
      <c r="UZI91" s="240" t="n"/>
      <c r="UZJ91" s="240" t="n"/>
      <c r="UZL91" s="15" t="n"/>
      <c r="UZM91" s="15" t="n"/>
      <c r="UZN91" s="248" t="n"/>
      <c r="UZO91" s="248" t="n"/>
      <c r="UZP91" s="240" t="n"/>
      <c r="UZQ91" s="240" t="n"/>
      <c r="UZS91" s="15" t="n"/>
      <c r="UZT91" s="15" t="n"/>
      <c r="UZU91" s="248" t="n"/>
      <c r="UZV91" s="248" t="n"/>
      <c r="UZW91" s="240" t="n"/>
      <c r="UZX91" s="240" t="n"/>
      <c r="UZZ91" s="15" t="n"/>
      <c r="VAA91" s="15" t="n"/>
      <c r="VAB91" s="248" t="n"/>
      <c r="VAC91" s="248" t="n"/>
      <c r="VAD91" s="240" t="n"/>
      <c r="VAE91" s="240" t="n"/>
      <c r="VAG91" s="15" t="n"/>
      <c r="VAH91" s="15" t="n"/>
      <c r="VAI91" s="248" t="n"/>
      <c r="VAJ91" s="248" t="n"/>
      <c r="VAK91" s="240" t="n"/>
      <c r="VAL91" s="240" t="n"/>
      <c r="VAN91" s="15" t="n"/>
      <c r="VAO91" s="15" t="n"/>
      <c r="VAP91" s="248" t="n"/>
      <c r="VAQ91" s="248" t="n"/>
      <c r="VAR91" s="240" t="n"/>
      <c r="VAS91" s="240" t="n"/>
      <c r="VAU91" s="15" t="n"/>
      <c r="VAV91" s="15" t="n"/>
      <c r="VAW91" s="248" t="n"/>
      <c r="VAX91" s="248" t="n"/>
      <c r="VAY91" s="240" t="n"/>
      <c r="VAZ91" s="240" t="n"/>
      <c r="VBB91" s="15" t="n"/>
      <c r="VBC91" s="15" t="n"/>
      <c r="VBD91" s="248" t="n"/>
      <c r="VBE91" s="248" t="n"/>
      <c r="VBF91" s="240" t="n"/>
      <c r="VBG91" s="240" t="n"/>
      <c r="VBI91" s="15" t="n"/>
      <c r="VBJ91" s="15" t="n"/>
      <c r="VBK91" s="248" t="n"/>
      <c r="VBL91" s="248" t="n"/>
      <c r="VBM91" s="240" t="n"/>
      <c r="VBN91" s="240" t="n"/>
      <c r="VBP91" s="15" t="n"/>
      <c r="VBQ91" s="15" t="n"/>
      <c r="VBR91" s="248" t="n"/>
      <c r="VBS91" s="248" t="n"/>
      <c r="VBT91" s="240" t="n"/>
      <c r="VBU91" s="240" t="n"/>
      <c r="VBW91" s="15" t="n"/>
      <c r="VBX91" s="15" t="n"/>
      <c r="VBY91" s="248" t="n"/>
      <c r="VBZ91" s="248" t="n"/>
      <c r="VCA91" s="240" t="n"/>
      <c r="VCB91" s="240" t="n"/>
      <c r="VCD91" s="15" t="n"/>
      <c r="VCE91" s="15" t="n"/>
      <c r="VCF91" s="248" t="n"/>
      <c r="VCG91" s="248" t="n"/>
      <c r="VCH91" s="240" t="n"/>
      <c r="VCI91" s="240" t="n"/>
      <c r="VCK91" s="15" t="n"/>
      <c r="VCL91" s="15" t="n"/>
      <c r="VCM91" s="248" t="n"/>
      <c r="VCN91" s="248" t="n"/>
      <c r="VCO91" s="240" t="n"/>
      <c r="VCP91" s="240" t="n"/>
      <c r="VCR91" s="15" t="n"/>
      <c r="VCS91" s="15" t="n"/>
      <c r="VCT91" s="248" t="n"/>
      <c r="VCU91" s="248" t="n"/>
      <c r="VCV91" s="240" t="n"/>
      <c r="VCW91" s="240" t="n"/>
      <c r="VCY91" s="15" t="n"/>
      <c r="VCZ91" s="15" t="n"/>
      <c r="VDA91" s="248" t="n"/>
      <c r="VDB91" s="248" t="n"/>
      <c r="VDC91" s="240" t="n"/>
      <c r="VDD91" s="240" t="n"/>
      <c r="VDF91" s="15" t="n"/>
      <c r="VDG91" s="15" t="n"/>
      <c r="VDH91" s="248" t="n"/>
      <c r="VDI91" s="248" t="n"/>
      <c r="VDJ91" s="240" t="n"/>
      <c r="VDK91" s="240" t="n"/>
      <c r="VDM91" s="15" t="n"/>
      <c r="VDN91" s="15" t="n"/>
      <c r="VDO91" s="248" t="n"/>
      <c r="VDP91" s="248" t="n"/>
      <c r="VDQ91" s="240" t="n"/>
      <c r="VDR91" s="240" t="n"/>
      <c r="VDT91" s="15" t="n"/>
      <c r="VDU91" s="15" t="n"/>
      <c r="VDV91" s="248" t="n"/>
      <c r="VDW91" s="248" t="n"/>
      <c r="VDX91" s="240" t="n"/>
      <c r="VDY91" s="240" t="n"/>
      <c r="VEA91" s="15" t="n"/>
      <c r="VEB91" s="15" t="n"/>
      <c r="VEC91" s="248" t="n"/>
      <c r="VED91" s="248" t="n"/>
      <c r="VEE91" s="240" t="n"/>
      <c r="VEF91" s="240" t="n"/>
      <c r="VEH91" s="15" t="n"/>
      <c r="VEI91" s="15" t="n"/>
      <c r="VEJ91" s="248" t="n"/>
      <c r="VEK91" s="248" t="n"/>
      <c r="VEL91" s="240" t="n"/>
      <c r="VEM91" s="240" t="n"/>
      <c r="VEO91" s="15" t="n"/>
      <c r="VEP91" s="15" t="n"/>
      <c r="VEQ91" s="248" t="n"/>
      <c r="VER91" s="248" t="n"/>
      <c r="VES91" s="240" t="n"/>
      <c r="VET91" s="240" t="n"/>
      <c r="VEV91" s="15" t="n"/>
      <c r="VEW91" s="15" t="n"/>
      <c r="VEX91" s="248" t="n"/>
      <c r="VEY91" s="248" t="n"/>
      <c r="VEZ91" s="240" t="n"/>
      <c r="VFA91" s="240" t="n"/>
      <c r="VFC91" s="15" t="n"/>
      <c r="VFD91" s="15" t="n"/>
      <c r="VFE91" s="248" t="n"/>
      <c r="VFF91" s="248" t="n"/>
      <c r="VFG91" s="240" t="n"/>
      <c r="VFH91" s="240" t="n"/>
      <c r="VFJ91" s="15" t="n"/>
      <c r="VFK91" s="15" t="n"/>
      <c r="VFL91" s="248" t="n"/>
      <c r="VFM91" s="248" t="n"/>
      <c r="VFN91" s="240" t="n"/>
      <c r="VFO91" s="240" t="n"/>
      <c r="VFQ91" s="15" t="n"/>
      <c r="VFR91" s="15" t="n"/>
      <c r="VFS91" s="248" t="n"/>
      <c r="VFT91" s="248" t="n"/>
      <c r="VFU91" s="240" t="n"/>
      <c r="VFV91" s="240" t="n"/>
      <c r="VFX91" s="15" t="n"/>
      <c r="VFY91" s="15" t="n"/>
      <c r="VFZ91" s="248" t="n"/>
      <c r="VGA91" s="248" t="n"/>
      <c r="VGB91" s="240" t="n"/>
      <c r="VGC91" s="240" t="n"/>
      <c r="VGE91" s="15" t="n"/>
      <c r="VGF91" s="15" t="n"/>
      <c r="VGG91" s="248" t="n"/>
      <c r="VGH91" s="248" t="n"/>
      <c r="VGI91" s="240" t="n"/>
      <c r="VGJ91" s="240" t="n"/>
      <c r="VGL91" s="15" t="n"/>
      <c r="VGM91" s="15" t="n"/>
      <c r="VGN91" s="248" t="n"/>
      <c r="VGO91" s="248" t="n"/>
      <c r="VGP91" s="240" t="n"/>
      <c r="VGQ91" s="240" t="n"/>
      <c r="VGS91" s="15" t="n"/>
      <c r="VGT91" s="15" t="n"/>
      <c r="VGU91" s="248" t="n"/>
      <c r="VGV91" s="248" t="n"/>
      <c r="VGW91" s="240" t="n"/>
      <c r="VGX91" s="240" t="n"/>
      <c r="VGZ91" s="15" t="n"/>
      <c r="VHA91" s="15" t="n"/>
      <c r="VHB91" s="248" t="n"/>
      <c r="VHC91" s="248" t="n"/>
      <c r="VHD91" s="240" t="n"/>
      <c r="VHE91" s="240" t="n"/>
      <c r="VHG91" s="15" t="n"/>
      <c r="VHH91" s="15" t="n"/>
      <c r="VHI91" s="248" t="n"/>
      <c r="VHJ91" s="248" t="n"/>
      <c r="VHK91" s="240" t="n"/>
      <c r="VHL91" s="240" t="n"/>
      <c r="VHN91" s="15" t="n"/>
      <c r="VHO91" s="15" t="n"/>
      <c r="VHP91" s="248" t="n"/>
      <c r="VHQ91" s="248" t="n"/>
      <c r="VHR91" s="240" t="n"/>
      <c r="VHS91" s="240" t="n"/>
      <c r="VHU91" s="15" t="n"/>
      <c r="VHV91" s="15" t="n"/>
      <c r="VHW91" s="248" t="n"/>
      <c r="VHX91" s="248" t="n"/>
      <c r="VHY91" s="240" t="n"/>
      <c r="VHZ91" s="240" t="n"/>
      <c r="VIB91" s="15" t="n"/>
      <c r="VIC91" s="15" t="n"/>
      <c r="VID91" s="248" t="n"/>
      <c r="VIE91" s="248" t="n"/>
      <c r="VIF91" s="240" t="n"/>
      <c r="VIG91" s="240" t="n"/>
      <c r="VII91" s="15" t="n"/>
      <c r="VIJ91" s="15" t="n"/>
      <c r="VIK91" s="248" t="n"/>
      <c r="VIL91" s="248" t="n"/>
      <c r="VIM91" s="240" t="n"/>
      <c r="VIN91" s="240" t="n"/>
      <c r="VIP91" s="15" t="n"/>
      <c r="VIQ91" s="15" t="n"/>
      <c r="VIR91" s="248" t="n"/>
      <c r="VIS91" s="248" t="n"/>
      <c r="VIT91" s="240" t="n"/>
      <c r="VIU91" s="240" t="n"/>
      <c r="VIW91" s="15" t="n"/>
      <c r="VIX91" s="15" t="n"/>
      <c r="VIY91" s="248" t="n"/>
      <c r="VIZ91" s="248" t="n"/>
      <c r="VJA91" s="240" t="n"/>
      <c r="VJB91" s="240" t="n"/>
      <c r="VJD91" s="15" t="n"/>
      <c r="VJE91" s="15" t="n"/>
      <c r="VJF91" s="248" t="n"/>
      <c r="VJG91" s="248" t="n"/>
      <c r="VJH91" s="240" t="n"/>
      <c r="VJI91" s="240" t="n"/>
      <c r="VJK91" s="15" t="n"/>
      <c r="VJL91" s="15" t="n"/>
      <c r="VJM91" s="248" t="n"/>
      <c r="VJN91" s="248" t="n"/>
      <c r="VJO91" s="240" t="n"/>
      <c r="VJP91" s="240" t="n"/>
      <c r="VJR91" s="15" t="n"/>
      <c r="VJS91" s="15" t="n"/>
      <c r="VJT91" s="248" t="n"/>
      <c r="VJU91" s="248" t="n"/>
      <c r="VJV91" s="240" t="n"/>
      <c r="VJW91" s="240" t="n"/>
      <c r="VJY91" s="15" t="n"/>
      <c r="VJZ91" s="15" t="n"/>
      <c r="VKA91" s="248" t="n"/>
      <c r="VKB91" s="248" t="n"/>
      <c r="VKC91" s="240" t="n"/>
      <c r="VKD91" s="240" t="n"/>
      <c r="VKF91" s="15" t="n"/>
      <c r="VKG91" s="15" t="n"/>
      <c r="VKH91" s="248" t="n"/>
      <c r="VKI91" s="248" t="n"/>
      <c r="VKJ91" s="240" t="n"/>
      <c r="VKK91" s="240" t="n"/>
      <c r="VKM91" s="15" t="n"/>
      <c r="VKN91" s="15" t="n"/>
      <c r="VKO91" s="248" t="n"/>
      <c r="VKP91" s="248" t="n"/>
      <c r="VKQ91" s="240" t="n"/>
      <c r="VKR91" s="240" t="n"/>
      <c r="VKT91" s="15" t="n"/>
      <c r="VKU91" s="15" t="n"/>
      <c r="VKV91" s="248" t="n"/>
      <c r="VKW91" s="248" t="n"/>
      <c r="VKX91" s="240" t="n"/>
      <c r="VKY91" s="240" t="n"/>
      <c r="VLA91" s="15" t="n"/>
      <c r="VLB91" s="15" t="n"/>
      <c r="VLC91" s="248" t="n"/>
      <c r="VLD91" s="248" t="n"/>
      <c r="VLE91" s="240" t="n"/>
      <c r="VLF91" s="240" t="n"/>
      <c r="VLH91" s="15" t="n"/>
      <c r="VLI91" s="15" t="n"/>
      <c r="VLJ91" s="248" t="n"/>
      <c r="VLK91" s="248" t="n"/>
      <c r="VLL91" s="240" t="n"/>
      <c r="VLM91" s="240" t="n"/>
      <c r="VLO91" s="15" t="n"/>
      <c r="VLP91" s="15" t="n"/>
      <c r="VLQ91" s="248" t="n"/>
      <c r="VLR91" s="248" t="n"/>
      <c r="VLS91" s="240" t="n"/>
      <c r="VLT91" s="240" t="n"/>
      <c r="VLV91" s="15" t="n"/>
      <c r="VLW91" s="15" t="n"/>
      <c r="VLX91" s="248" t="n"/>
      <c r="VLY91" s="248" t="n"/>
      <c r="VLZ91" s="240" t="n"/>
      <c r="VMA91" s="240" t="n"/>
      <c r="VMC91" s="15" t="n"/>
      <c r="VMD91" s="15" t="n"/>
      <c r="VME91" s="248" t="n"/>
      <c r="VMF91" s="248" t="n"/>
      <c r="VMG91" s="240" t="n"/>
      <c r="VMH91" s="240" t="n"/>
      <c r="VMJ91" s="15" t="n"/>
      <c r="VMK91" s="15" t="n"/>
      <c r="VML91" s="248" t="n"/>
      <c r="VMM91" s="248" t="n"/>
      <c r="VMN91" s="240" t="n"/>
      <c r="VMO91" s="240" t="n"/>
      <c r="VMQ91" s="15" t="n"/>
      <c r="VMR91" s="15" t="n"/>
      <c r="VMS91" s="248" t="n"/>
      <c r="VMT91" s="248" t="n"/>
      <c r="VMU91" s="240" t="n"/>
      <c r="VMV91" s="240" t="n"/>
      <c r="VMX91" s="15" t="n"/>
      <c r="VMY91" s="15" t="n"/>
      <c r="VMZ91" s="248" t="n"/>
      <c r="VNA91" s="248" t="n"/>
      <c r="VNB91" s="240" t="n"/>
      <c r="VNC91" s="240" t="n"/>
      <c r="VNE91" s="15" t="n"/>
      <c r="VNF91" s="15" t="n"/>
      <c r="VNG91" s="248" t="n"/>
      <c r="VNH91" s="248" t="n"/>
      <c r="VNI91" s="240" t="n"/>
      <c r="VNJ91" s="240" t="n"/>
      <c r="VNL91" s="15" t="n"/>
      <c r="VNM91" s="15" t="n"/>
      <c r="VNN91" s="248" t="n"/>
      <c r="VNO91" s="248" t="n"/>
      <c r="VNP91" s="240" t="n"/>
      <c r="VNQ91" s="240" t="n"/>
      <c r="VNS91" s="15" t="n"/>
      <c r="VNT91" s="15" t="n"/>
      <c r="VNU91" s="248" t="n"/>
      <c r="VNV91" s="248" t="n"/>
      <c r="VNW91" s="240" t="n"/>
      <c r="VNX91" s="240" t="n"/>
      <c r="VNZ91" s="15" t="n"/>
      <c r="VOA91" s="15" t="n"/>
      <c r="VOB91" s="248" t="n"/>
      <c r="VOC91" s="248" t="n"/>
      <c r="VOD91" s="240" t="n"/>
      <c r="VOE91" s="240" t="n"/>
      <c r="VOG91" s="15" t="n"/>
      <c r="VOH91" s="15" t="n"/>
      <c r="VOI91" s="248" t="n"/>
      <c r="VOJ91" s="248" t="n"/>
      <c r="VOK91" s="240" t="n"/>
      <c r="VOL91" s="240" t="n"/>
      <c r="VON91" s="15" t="n"/>
      <c r="VOO91" s="15" t="n"/>
      <c r="VOP91" s="248" t="n"/>
      <c r="VOQ91" s="248" t="n"/>
      <c r="VOR91" s="240" t="n"/>
      <c r="VOS91" s="240" t="n"/>
      <c r="VOU91" s="15" t="n"/>
      <c r="VOV91" s="15" t="n"/>
      <c r="VOW91" s="248" t="n"/>
      <c r="VOX91" s="248" t="n"/>
      <c r="VOY91" s="240" t="n"/>
      <c r="VOZ91" s="240" t="n"/>
      <c r="VPB91" s="15" t="n"/>
      <c r="VPC91" s="15" t="n"/>
      <c r="VPD91" s="248" t="n"/>
      <c r="VPE91" s="248" t="n"/>
      <c r="VPF91" s="240" t="n"/>
      <c r="VPG91" s="240" t="n"/>
      <c r="VPI91" s="15" t="n"/>
      <c r="VPJ91" s="15" t="n"/>
      <c r="VPK91" s="248" t="n"/>
      <c r="VPL91" s="248" t="n"/>
      <c r="VPM91" s="240" t="n"/>
      <c r="VPN91" s="240" t="n"/>
      <c r="VPP91" s="15" t="n"/>
      <c r="VPQ91" s="15" t="n"/>
      <c r="VPR91" s="248" t="n"/>
      <c r="VPS91" s="248" t="n"/>
      <c r="VPT91" s="240" t="n"/>
      <c r="VPU91" s="240" t="n"/>
      <c r="VPW91" s="15" t="n"/>
      <c r="VPX91" s="15" t="n"/>
      <c r="VPY91" s="248" t="n"/>
      <c r="VPZ91" s="248" t="n"/>
      <c r="VQA91" s="240" t="n"/>
      <c r="VQB91" s="240" t="n"/>
      <c r="VQD91" s="15" t="n"/>
      <c r="VQE91" s="15" t="n"/>
      <c r="VQF91" s="248" t="n"/>
      <c r="VQG91" s="248" t="n"/>
      <c r="VQH91" s="240" t="n"/>
      <c r="VQI91" s="240" t="n"/>
      <c r="VQK91" s="15" t="n"/>
      <c r="VQL91" s="15" t="n"/>
      <c r="VQM91" s="248" t="n"/>
      <c r="VQN91" s="248" t="n"/>
      <c r="VQO91" s="240" t="n"/>
      <c r="VQP91" s="240" t="n"/>
      <c r="VQR91" s="15" t="n"/>
      <c r="VQS91" s="15" t="n"/>
      <c r="VQT91" s="248" t="n"/>
      <c r="VQU91" s="248" t="n"/>
      <c r="VQV91" s="240" t="n"/>
      <c r="VQW91" s="240" t="n"/>
      <c r="VQY91" s="15" t="n"/>
      <c r="VQZ91" s="15" t="n"/>
      <c r="VRA91" s="248" t="n"/>
      <c r="VRB91" s="248" t="n"/>
      <c r="VRC91" s="240" t="n"/>
      <c r="VRD91" s="240" t="n"/>
      <c r="VRF91" s="15" t="n"/>
      <c r="VRG91" s="15" t="n"/>
      <c r="VRH91" s="248" t="n"/>
      <c r="VRI91" s="248" t="n"/>
      <c r="VRJ91" s="240" t="n"/>
      <c r="VRK91" s="240" t="n"/>
      <c r="VRM91" s="15" t="n"/>
      <c r="VRN91" s="15" t="n"/>
      <c r="VRO91" s="248" t="n"/>
      <c r="VRP91" s="248" t="n"/>
      <c r="VRQ91" s="240" t="n"/>
      <c r="VRR91" s="240" t="n"/>
      <c r="VRT91" s="15" t="n"/>
      <c r="VRU91" s="15" t="n"/>
      <c r="VRV91" s="248" t="n"/>
      <c r="VRW91" s="248" t="n"/>
      <c r="VRX91" s="240" t="n"/>
      <c r="VRY91" s="240" t="n"/>
      <c r="VSA91" s="15" t="n"/>
      <c r="VSB91" s="15" t="n"/>
      <c r="VSC91" s="248" t="n"/>
      <c r="VSD91" s="248" t="n"/>
      <c r="VSE91" s="240" t="n"/>
      <c r="VSF91" s="240" t="n"/>
      <c r="VSH91" s="15" t="n"/>
      <c r="VSI91" s="15" t="n"/>
      <c r="VSJ91" s="248" t="n"/>
      <c r="VSK91" s="248" t="n"/>
      <c r="VSL91" s="240" t="n"/>
      <c r="VSM91" s="240" t="n"/>
      <c r="VSO91" s="15" t="n"/>
      <c r="VSP91" s="15" t="n"/>
      <c r="VSQ91" s="248" t="n"/>
      <c r="VSR91" s="248" t="n"/>
      <c r="VSS91" s="240" t="n"/>
      <c r="VST91" s="240" t="n"/>
      <c r="VSV91" s="15" t="n"/>
      <c r="VSW91" s="15" t="n"/>
      <c r="VSX91" s="248" t="n"/>
      <c r="VSY91" s="248" t="n"/>
      <c r="VSZ91" s="240" t="n"/>
      <c r="VTA91" s="240" t="n"/>
      <c r="VTC91" s="15" t="n"/>
      <c r="VTD91" s="15" t="n"/>
      <c r="VTE91" s="248" t="n"/>
      <c r="VTF91" s="248" t="n"/>
      <c r="VTG91" s="240" t="n"/>
      <c r="VTH91" s="240" t="n"/>
      <c r="VTJ91" s="15" t="n"/>
      <c r="VTK91" s="15" t="n"/>
      <c r="VTL91" s="248" t="n"/>
      <c r="VTM91" s="248" t="n"/>
      <c r="VTN91" s="240" t="n"/>
      <c r="VTO91" s="240" t="n"/>
      <c r="VTQ91" s="15" t="n"/>
      <c r="VTR91" s="15" t="n"/>
      <c r="VTS91" s="248" t="n"/>
      <c r="VTT91" s="248" t="n"/>
      <c r="VTU91" s="240" t="n"/>
      <c r="VTV91" s="240" t="n"/>
      <c r="VTX91" s="15" t="n"/>
      <c r="VTY91" s="15" t="n"/>
      <c r="VTZ91" s="248" t="n"/>
      <c r="VUA91" s="248" t="n"/>
      <c r="VUB91" s="240" t="n"/>
      <c r="VUC91" s="240" t="n"/>
      <c r="VUE91" s="15" t="n"/>
      <c r="VUF91" s="15" t="n"/>
      <c r="VUG91" s="248" t="n"/>
      <c r="VUH91" s="248" t="n"/>
      <c r="VUI91" s="240" t="n"/>
      <c r="VUJ91" s="240" t="n"/>
      <c r="VUL91" s="15" t="n"/>
      <c r="VUM91" s="15" t="n"/>
      <c r="VUN91" s="248" t="n"/>
      <c r="VUO91" s="248" t="n"/>
      <c r="VUP91" s="240" t="n"/>
      <c r="VUQ91" s="240" t="n"/>
      <c r="VUS91" s="15" t="n"/>
      <c r="VUT91" s="15" t="n"/>
      <c r="VUU91" s="248" t="n"/>
      <c r="VUV91" s="248" t="n"/>
      <c r="VUW91" s="240" t="n"/>
      <c r="VUX91" s="240" t="n"/>
      <c r="VUZ91" s="15" t="n"/>
      <c r="VVA91" s="15" t="n"/>
      <c r="VVB91" s="248" t="n"/>
      <c r="VVC91" s="248" t="n"/>
      <c r="VVD91" s="240" t="n"/>
      <c r="VVE91" s="240" t="n"/>
      <c r="VVG91" s="15" t="n"/>
      <c r="VVH91" s="15" t="n"/>
      <c r="VVI91" s="248" t="n"/>
      <c r="VVJ91" s="248" t="n"/>
      <c r="VVK91" s="240" t="n"/>
      <c r="VVL91" s="240" t="n"/>
      <c r="VVN91" s="15" t="n"/>
      <c r="VVO91" s="15" t="n"/>
      <c r="VVP91" s="248" t="n"/>
      <c r="VVQ91" s="248" t="n"/>
      <c r="VVR91" s="240" t="n"/>
      <c r="VVS91" s="240" t="n"/>
      <c r="VVU91" s="15" t="n"/>
      <c r="VVV91" s="15" t="n"/>
      <c r="VVW91" s="248" t="n"/>
      <c r="VVX91" s="248" t="n"/>
      <c r="VVY91" s="240" t="n"/>
      <c r="VVZ91" s="240" t="n"/>
      <c r="VWB91" s="15" t="n"/>
      <c r="VWC91" s="15" t="n"/>
      <c r="VWD91" s="248" t="n"/>
      <c r="VWE91" s="248" t="n"/>
      <c r="VWF91" s="240" t="n"/>
      <c r="VWG91" s="240" t="n"/>
      <c r="VWI91" s="15" t="n"/>
      <c r="VWJ91" s="15" t="n"/>
      <c r="VWK91" s="248" t="n"/>
      <c r="VWL91" s="248" t="n"/>
      <c r="VWM91" s="240" t="n"/>
      <c r="VWN91" s="240" t="n"/>
      <c r="VWP91" s="15" t="n"/>
      <c r="VWQ91" s="15" t="n"/>
      <c r="VWR91" s="248" t="n"/>
      <c r="VWS91" s="248" t="n"/>
      <c r="VWT91" s="240" t="n"/>
      <c r="VWU91" s="240" t="n"/>
      <c r="VWW91" s="15" t="n"/>
      <c r="VWX91" s="15" t="n"/>
      <c r="VWY91" s="248" t="n"/>
      <c r="VWZ91" s="248" t="n"/>
      <c r="VXA91" s="240" t="n"/>
      <c r="VXB91" s="240" t="n"/>
      <c r="VXD91" s="15" t="n"/>
      <c r="VXE91" s="15" t="n"/>
      <c r="VXF91" s="248" t="n"/>
      <c r="VXG91" s="248" t="n"/>
      <c r="VXH91" s="240" t="n"/>
      <c r="VXI91" s="240" t="n"/>
      <c r="VXK91" s="15" t="n"/>
      <c r="VXL91" s="15" t="n"/>
      <c r="VXM91" s="248" t="n"/>
      <c r="VXN91" s="248" t="n"/>
      <c r="VXO91" s="240" t="n"/>
      <c r="VXP91" s="240" t="n"/>
      <c r="VXR91" s="15" t="n"/>
      <c r="VXS91" s="15" t="n"/>
      <c r="VXT91" s="248" t="n"/>
      <c r="VXU91" s="248" t="n"/>
      <c r="VXV91" s="240" t="n"/>
      <c r="VXW91" s="240" t="n"/>
      <c r="VXY91" s="15" t="n"/>
      <c r="VXZ91" s="15" t="n"/>
      <c r="VYA91" s="248" t="n"/>
      <c r="VYB91" s="248" t="n"/>
      <c r="VYC91" s="240" t="n"/>
      <c r="VYD91" s="240" t="n"/>
      <c r="VYF91" s="15" t="n"/>
      <c r="VYG91" s="15" t="n"/>
      <c r="VYH91" s="248" t="n"/>
      <c r="VYI91" s="248" t="n"/>
      <c r="VYJ91" s="240" t="n"/>
      <c r="VYK91" s="240" t="n"/>
      <c r="VYM91" s="15" t="n"/>
      <c r="VYN91" s="15" t="n"/>
      <c r="VYO91" s="248" t="n"/>
      <c r="VYP91" s="248" t="n"/>
      <c r="VYQ91" s="240" t="n"/>
      <c r="VYR91" s="240" t="n"/>
      <c r="VYT91" s="15" t="n"/>
      <c r="VYU91" s="15" t="n"/>
      <c r="VYV91" s="248" t="n"/>
      <c r="VYW91" s="248" t="n"/>
      <c r="VYX91" s="240" t="n"/>
      <c r="VYY91" s="240" t="n"/>
      <c r="VZA91" s="15" t="n"/>
      <c r="VZB91" s="15" t="n"/>
      <c r="VZC91" s="248" t="n"/>
      <c r="VZD91" s="248" t="n"/>
      <c r="VZE91" s="240" t="n"/>
      <c r="VZF91" s="240" t="n"/>
      <c r="VZH91" s="15" t="n"/>
      <c r="VZI91" s="15" t="n"/>
      <c r="VZJ91" s="248" t="n"/>
      <c r="VZK91" s="248" t="n"/>
      <c r="VZL91" s="240" t="n"/>
      <c r="VZM91" s="240" t="n"/>
      <c r="VZO91" s="15" t="n"/>
      <c r="VZP91" s="15" t="n"/>
      <c r="VZQ91" s="248" t="n"/>
      <c r="VZR91" s="248" t="n"/>
      <c r="VZS91" s="240" t="n"/>
      <c r="VZT91" s="240" t="n"/>
      <c r="VZV91" s="15" t="n"/>
      <c r="VZW91" s="15" t="n"/>
      <c r="VZX91" s="248" t="n"/>
      <c r="VZY91" s="248" t="n"/>
      <c r="VZZ91" s="240" t="n"/>
      <c r="WAA91" s="240" t="n"/>
      <c r="WAC91" s="15" t="n"/>
      <c r="WAD91" s="15" t="n"/>
      <c r="WAE91" s="248" t="n"/>
      <c r="WAF91" s="248" t="n"/>
      <c r="WAG91" s="240" t="n"/>
      <c r="WAH91" s="240" t="n"/>
      <c r="WAJ91" s="15" t="n"/>
      <c r="WAK91" s="15" t="n"/>
      <c r="WAL91" s="248" t="n"/>
      <c r="WAM91" s="248" t="n"/>
      <c r="WAN91" s="240" t="n"/>
      <c r="WAO91" s="240" t="n"/>
      <c r="WAQ91" s="15" t="n"/>
      <c r="WAR91" s="15" t="n"/>
      <c r="WAS91" s="248" t="n"/>
      <c r="WAT91" s="248" t="n"/>
      <c r="WAU91" s="240" t="n"/>
      <c r="WAV91" s="240" t="n"/>
      <c r="WAX91" s="15" t="n"/>
      <c r="WAY91" s="15" t="n"/>
      <c r="WAZ91" s="248" t="n"/>
      <c r="WBA91" s="248" t="n"/>
      <c r="WBB91" s="240" t="n"/>
      <c r="WBC91" s="240" t="n"/>
      <c r="WBE91" s="15" t="n"/>
      <c r="WBF91" s="15" t="n"/>
      <c r="WBG91" s="248" t="n"/>
      <c r="WBH91" s="248" t="n"/>
      <c r="WBI91" s="240" t="n"/>
      <c r="WBJ91" s="240" t="n"/>
      <c r="WBL91" s="15" t="n"/>
      <c r="WBM91" s="15" t="n"/>
      <c r="WBN91" s="248" t="n"/>
      <c r="WBO91" s="248" t="n"/>
      <c r="WBP91" s="240" t="n"/>
      <c r="WBQ91" s="240" t="n"/>
      <c r="WBS91" s="15" t="n"/>
      <c r="WBT91" s="15" t="n"/>
      <c r="WBU91" s="248" t="n"/>
      <c r="WBV91" s="248" t="n"/>
      <c r="WBW91" s="240" t="n"/>
      <c r="WBX91" s="240" t="n"/>
      <c r="WBZ91" s="15" t="n"/>
      <c r="WCA91" s="15" t="n"/>
      <c r="WCB91" s="248" t="n"/>
      <c r="WCC91" s="248" t="n"/>
      <c r="WCD91" s="240" t="n"/>
      <c r="WCE91" s="240" t="n"/>
      <c r="WCG91" s="15" t="n"/>
      <c r="WCH91" s="15" t="n"/>
      <c r="WCI91" s="248" t="n"/>
      <c r="WCJ91" s="248" t="n"/>
      <c r="WCK91" s="240" t="n"/>
      <c r="WCL91" s="240" t="n"/>
      <c r="WCN91" s="15" t="n"/>
      <c r="WCO91" s="15" t="n"/>
      <c r="WCP91" s="248" t="n"/>
      <c r="WCQ91" s="248" t="n"/>
      <c r="WCR91" s="240" t="n"/>
      <c r="WCS91" s="240" t="n"/>
      <c r="WCU91" s="15" t="n"/>
      <c r="WCV91" s="15" t="n"/>
      <c r="WCW91" s="248" t="n"/>
      <c r="WCX91" s="248" t="n"/>
      <c r="WCY91" s="240" t="n"/>
      <c r="WCZ91" s="240" t="n"/>
      <c r="WDB91" s="15" t="n"/>
      <c r="WDC91" s="15" t="n"/>
      <c r="WDD91" s="248" t="n"/>
      <c r="WDE91" s="248" t="n"/>
      <c r="WDF91" s="240" t="n"/>
      <c r="WDG91" s="240" t="n"/>
      <c r="WDI91" s="15" t="n"/>
      <c r="WDJ91" s="15" t="n"/>
      <c r="WDK91" s="248" t="n"/>
      <c r="WDL91" s="248" t="n"/>
      <c r="WDM91" s="240" t="n"/>
      <c r="WDN91" s="240" t="n"/>
      <c r="WDP91" s="15" t="n"/>
      <c r="WDQ91" s="15" t="n"/>
      <c r="WDR91" s="248" t="n"/>
      <c r="WDS91" s="248" t="n"/>
      <c r="WDT91" s="240" t="n"/>
      <c r="WDU91" s="240" t="n"/>
      <c r="WDW91" s="15" t="n"/>
      <c r="WDX91" s="15" t="n"/>
      <c r="WDY91" s="248" t="n"/>
      <c r="WDZ91" s="248" t="n"/>
      <c r="WEA91" s="240" t="n"/>
      <c r="WEB91" s="240" t="n"/>
      <c r="WED91" s="15" t="n"/>
      <c r="WEE91" s="15" t="n"/>
      <c r="WEF91" s="248" t="n"/>
      <c r="WEG91" s="248" t="n"/>
      <c r="WEH91" s="240" t="n"/>
      <c r="WEI91" s="240" t="n"/>
      <c r="WEK91" s="15" t="n"/>
      <c r="WEL91" s="15" t="n"/>
      <c r="WEM91" s="248" t="n"/>
      <c r="WEN91" s="248" t="n"/>
      <c r="WEO91" s="240" t="n"/>
      <c r="WEP91" s="240" t="n"/>
      <c r="WER91" s="15" t="n"/>
      <c r="WES91" s="15" t="n"/>
      <c r="WET91" s="248" t="n"/>
      <c r="WEU91" s="248" t="n"/>
      <c r="WEV91" s="240" t="n"/>
      <c r="WEW91" s="240" t="n"/>
      <c r="WEY91" s="15" t="n"/>
      <c r="WEZ91" s="15" t="n"/>
      <c r="WFA91" s="248" t="n"/>
      <c r="WFB91" s="248" t="n"/>
      <c r="WFC91" s="240" t="n"/>
      <c r="WFD91" s="240" t="n"/>
      <c r="WFF91" s="15" t="n"/>
      <c r="WFG91" s="15" t="n"/>
      <c r="WFH91" s="248" t="n"/>
      <c r="WFI91" s="248" t="n"/>
      <c r="WFJ91" s="240" t="n"/>
      <c r="WFK91" s="240" t="n"/>
      <c r="WFM91" s="15" t="n"/>
      <c r="WFN91" s="15" t="n"/>
      <c r="WFO91" s="248" t="n"/>
      <c r="WFP91" s="248" t="n"/>
      <c r="WFQ91" s="240" t="n"/>
      <c r="WFR91" s="240" t="n"/>
      <c r="WFT91" s="15" t="n"/>
      <c r="WFU91" s="15" t="n"/>
      <c r="WFV91" s="248" t="n"/>
      <c r="WFW91" s="248" t="n"/>
      <c r="WFX91" s="240" t="n"/>
      <c r="WFY91" s="240" t="n"/>
      <c r="WGA91" s="15" t="n"/>
      <c r="WGB91" s="15" t="n"/>
      <c r="WGC91" s="248" t="n"/>
      <c r="WGD91" s="248" t="n"/>
      <c r="WGE91" s="240" t="n"/>
      <c r="WGF91" s="240" t="n"/>
      <c r="WGH91" s="15" t="n"/>
      <c r="WGI91" s="15" t="n"/>
      <c r="WGJ91" s="248" t="n"/>
      <c r="WGK91" s="248" t="n"/>
      <c r="WGL91" s="240" t="n"/>
      <c r="WGM91" s="240" t="n"/>
      <c r="WGO91" s="15" t="n"/>
      <c r="WGP91" s="15" t="n"/>
      <c r="WGQ91" s="248" t="n"/>
      <c r="WGR91" s="248" t="n"/>
      <c r="WGS91" s="240" t="n"/>
      <c r="WGT91" s="240" t="n"/>
      <c r="WGV91" s="15" t="n"/>
      <c r="WGW91" s="15" t="n"/>
      <c r="WGX91" s="248" t="n"/>
      <c r="WGY91" s="248" t="n"/>
      <c r="WGZ91" s="240" t="n"/>
      <c r="WHA91" s="240" t="n"/>
      <c r="WHC91" s="15" t="n"/>
      <c r="WHD91" s="15" t="n"/>
      <c r="WHE91" s="248" t="n"/>
      <c r="WHF91" s="248" t="n"/>
      <c r="WHG91" s="240" t="n"/>
      <c r="WHH91" s="240" t="n"/>
      <c r="WHJ91" s="15" t="n"/>
      <c r="WHK91" s="15" t="n"/>
      <c r="WHL91" s="248" t="n"/>
      <c r="WHM91" s="248" t="n"/>
      <c r="WHN91" s="240" t="n"/>
      <c r="WHO91" s="240" t="n"/>
      <c r="WHQ91" s="15" t="n"/>
      <c r="WHR91" s="15" t="n"/>
      <c r="WHS91" s="248" t="n"/>
      <c r="WHT91" s="248" t="n"/>
      <c r="WHU91" s="240" t="n"/>
      <c r="WHV91" s="240" t="n"/>
      <c r="WHX91" s="15" t="n"/>
      <c r="WHY91" s="15" t="n"/>
      <c r="WHZ91" s="248" t="n"/>
      <c r="WIA91" s="248" t="n"/>
      <c r="WIB91" s="240" t="n"/>
      <c r="WIC91" s="240" t="n"/>
      <c r="WIE91" s="15" t="n"/>
      <c r="WIF91" s="15" t="n"/>
      <c r="WIG91" s="248" t="n"/>
      <c r="WIH91" s="248" t="n"/>
      <c r="WII91" s="240" t="n"/>
      <c r="WIJ91" s="240" t="n"/>
      <c r="WIL91" s="15" t="n"/>
      <c r="WIM91" s="15" t="n"/>
      <c r="WIN91" s="248" t="n"/>
      <c r="WIO91" s="248" t="n"/>
      <c r="WIP91" s="240" t="n"/>
      <c r="WIQ91" s="240" t="n"/>
      <c r="WIS91" s="15" t="n"/>
      <c r="WIT91" s="15" t="n"/>
      <c r="WIU91" s="248" t="n"/>
      <c r="WIV91" s="248" t="n"/>
      <c r="WIW91" s="240" t="n"/>
      <c r="WIX91" s="240" t="n"/>
      <c r="WIZ91" s="15" t="n"/>
      <c r="WJA91" s="15" t="n"/>
      <c r="WJB91" s="248" t="n"/>
      <c r="WJC91" s="248" t="n"/>
      <c r="WJD91" s="240" t="n"/>
      <c r="WJE91" s="240" t="n"/>
      <c r="WJG91" s="15" t="n"/>
      <c r="WJH91" s="15" t="n"/>
      <c r="WJI91" s="248" t="n"/>
      <c r="WJJ91" s="248" t="n"/>
      <c r="WJK91" s="240" t="n"/>
      <c r="WJL91" s="240" t="n"/>
      <c r="WJN91" s="15" t="n"/>
      <c r="WJO91" s="15" t="n"/>
      <c r="WJP91" s="248" t="n"/>
      <c r="WJQ91" s="248" t="n"/>
      <c r="WJR91" s="240" t="n"/>
      <c r="WJS91" s="240" t="n"/>
      <c r="WJU91" s="15" t="n"/>
      <c r="WJV91" s="15" t="n"/>
      <c r="WJW91" s="248" t="n"/>
      <c r="WJX91" s="248" t="n"/>
      <c r="WJY91" s="240" t="n"/>
      <c r="WJZ91" s="240" t="n"/>
      <c r="WKB91" s="15" t="n"/>
      <c r="WKC91" s="15" t="n"/>
      <c r="WKD91" s="248" t="n"/>
      <c r="WKE91" s="248" t="n"/>
      <c r="WKF91" s="240" t="n"/>
      <c r="WKG91" s="240" t="n"/>
      <c r="WKI91" s="15" t="n"/>
      <c r="WKJ91" s="15" t="n"/>
      <c r="WKK91" s="248" t="n"/>
      <c r="WKL91" s="248" t="n"/>
      <c r="WKM91" s="240" t="n"/>
      <c r="WKN91" s="240" t="n"/>
      <c r="WKP91" s="15" t="n"/>
      <c r="WKQ91" s="15" t="n"/>
      <c r="WKR91" s="248" t="n"/>
      <c r="WKS91" s="248" t="n"/>
      <c r="WKT91" s="240" t="n"/>
      <c r="WKU91" s="240" t="n"/>
      <c r="WKW91" s="15" t="n"/>
      <c r="WKX91" s="15" t="n"/>
      <c r="WKY91" s="248" t="n"/>
      <c r="WKZ91" s="248" t="n"/>
      <c r="WLA91" s="240" t="n"/>
      <c r="WLB91" s="240" t="n"/>
      <c r="WLD91" s="15" t="n"/>
      <c r="WLE91" s="15" t="n"/>
      <c r="WLF91" s="248" t="n"/>
      <c r="WLG91" s="248" t="n"/>
      <c r="WLH91" s="240" t="n"/>
      <c r="WLI91" s="240" t="n"/>
      <c r="WLK91" s="15" t="n"/>
      <c r="WLL91" s="15" t="n"/>
      <c r="WLM91" s="248" t="n"/>
      <c r="WLN91" s="248" t="n"/>
      <c r="WLO91" s="240" t="n"/>
      <c r="WLP91" s="240" t="n"/>
      <c r="WLR91" s="15" t="n"/>
      <c r="WLS91" s="15" t="n"/>
      <c r="WLT91" s="248" t="n"/>
      <c r="WLU91" s="248" t="n"/>
      <c r="WLV91" s="240" t="n"/>
      <c r="WLW91" s="240" t="n"/>
      <c r="WLY91" s="15" t="n"/>
      <c r="WLZ91" s="15" t="n"/>
      <c r="WMA91" s="248" t="n"/>
      <c r="WMB91" s="248" t="n"/>
      <c r="WMC91" s="240" t="n"/>
      <c r="WMD91" s="240" t="n"/>
      <c r="WMF91" s="15" t="n"/>
      <c r="WMG91" s="15" t="n"/>
      <c r="WMH91" s="248" t="n"/>
      <c r="WMI91" s="248" t="n"/>
      <c r="WMJ91" s="240" t="n"/>
      <c r="WMK91" s="240" t="n"/>
      <c r="WMM91" s="15" t="n"/>
      <c r="WMN91" s="15" t="n"/>
      <c r="WMO91" s="248" t="n"/>
      <c r="WMP91" s="248" t="n"/>
      <c r="WMQ91" s="240" t="n"/>
      <c r="WMR91" s="240" t="n"/>
      <c r="WMT91" s="15" t="n"/>
      <c r="WMU91" s="15" t="n"/>
      <c r="WMV91" s="248" t="n"/>
      <c r="WMW91" s="248" t="n"/>
      <c r="WMX91" s="240" t="n"/>
      <c r="WMY91" s="240" t="n"/>
      <c r="WNA91" s="15" t="n"/>
      <c r="WNB91" s="15" t="n"/>
      <c r="WNC91" s="248" t="n"/>
      <c r="WND91" s="248" t="n"/>
      <c r="WNE91" s="240" t="n"/>
      <c r="WNF91" s="240" t="n"/>
      <c r="WNH91" s="15" t="n"/>
      <c r="WNI91" s="15" t="n"/>
      <c r="WNJ91" s="248" t="n"/>
      <c r="WNK91" s="248" t="n"/>
      <c r="WNL91" s="240" t="n"/>
      <c r="WNM91" s="240" t="n"/>
      <c r="WNO91" s="15" t="n"/>
      <c r="WNP91" s="15" t="n"/>
      <c r="WNQ91" s="248" t="n"/>
      <c r="WNR91" s="248" t="n"/>
      <c r="WNS91" s="240" t="n"/>
      <c r="WNT91" s="240" t="n"/>
      <c r="WNV91" s="15" t="n"/>
      <c r="WNW91" s="15" t="n"/>
      <c r="WNX91" s="248" t="n"/>
      <c r="WNY91" s="248" t="n"/>
      <c r="WNZ91" s="240" t="n"/>
      <c r="WOA91" s="240" t="n"/>
      <c r="WOC91" s="15" t="n"/>
      <c r="WOD91" s="15" t="n"/>
      <c r="WOE91" s="248" t="n"/>
      <c r="WOF91" s="248" t="n"/>
      <c r="WOG91" s="240" t="n"/>
      <c r="WOH91" s="240" t="n"/>
      <c r="WOJ91" s="15" t="n"/>
      <c r="WOK91" s="15" t="n"/>
      <c r="WOL91" s="248" t="n"/>
      <c r="WOM91" s="248" t="n"/>
      <c r="WON91" s="240" t="n"/>
      <c r="WOO91" s="240" t="n"/>
      <c r="WOQ91" s="15" t="n"/>
      <c r="WOR91" s="15" t="n"/>
      <c r="WOS91" s="248" t="n"/>
      <c r="WOT91" s="248" t="n"/>
      <c r="WOU91" s="240" t="n"/>
      <c r="WOV91" s="240" t="n"/>
      <c r="WOX91" s="15" t="n"/>
      <c r="WOY91" s="15" t="n"/>
      <c r="WOZ91" s="248" t="n"/>
      <c r="WPA91" s="248" t="n"/>
      <c r="WPB91" s="240" t="n"/>
      <c r="WPC91" s="240" t="n"/>
      <c r="WPE91" s="15" t="n"/>
      <c r="WPF91" s="15" t="n"/>
      <c r="WPG91" s="248" t="n"/>
      <c r="WPH91" s="248" t="n"/>
      <c r="WPI91" s="240" t="n"/>
      <c r="WPJ91" s="240" t="n"/>
      <c r="WPL91" s="15" t="n"/>
      <c r="WPM91" s="15" t="n"/>
      <c r="WPN91" s="248" t="n"/>
      <c r="WPO91" s="248" t="n"/>
      <c r="WPP91" s="240" t="n"/>
      <c r="WPQ91" s="240" t="n"/>
      <c r="WPS91" s="15" t="n"/>
      <c r="WPT91" s="15" t="n"/>
      <c r="WPU91" s="248" t="n"/>
      <c r="WPV91" s="248" t="n"/>
      <c r="WPW91" s="240" t="n"/>
      <c r="WPX91" s="240" t="n"/>
      <c r="WPZ91" s="15" t="n"/>
      <c r="WQA91" s="15" t="n"/>
      <c r="WQB91" s="248" t="n"/>
      <c r="WQC91" s="248" t="n"/>
      <c r="WQD91" s="240" t="n"/>
      <c r="WQE91" s="240" t="n"/>
      <c r="WQG91" s="15" t="n"/>
      <c r="WQH91" s="15" t="n"/>
      <c r="WQI91" s="248" t="n"/>
      <c r="WQJ91" s="248" t="n"/>
      <c r="WQK91" s="240" t="n"/>
      <c r="WQL91" s="240" t="n"/>
      <c r="WQN91" s="15" t="n"/>
      <c r="WQO91" s="15" t="n"/>
      <c r="WQP91" s="248" t="n"/>
      <c r="WQQ91" s="248" t="n"/>
      <c r="WQR91" s="240" t="n"/>
      <c r="WQS91" s="240" t="n"/>
      <c r="WQU91" s="15" t="n"/>
      <c r="WQV91" s="15" t="n"/>
      <c r="WQW91" s="248" t="n"/>
      <c r="WQX91" s="248" t="n"/>
      <c r="WQY91" s="240" t="n"/>
      <c r="WQZ91" s="240" t="n"/>
      <c r="WRB91" s="15" t="n"/>
      <c r="WRC91" s="15" t="n"/>
      <c r="WRD91" s="248" t="n"/>
      <c r="WRE91" s="248" t="n"/>
      <c r="WRF91" s="240" t="n"/>
      <c r="WRG91" s="240" t="n"/>
      <c r="WRI91" s="15" t="n"/>
      <c r="WRJ91" s="15" t="n"/>
      <c r="WRK91" s="248" t="n"/>
      <c r="WRL91" s="248" t="n"/>
      <c r="WRM91" s="240" t="n"/>
      <c r="WRN91" s="240" t="n"/>
      <c r="WRP91" s="15" t="n"/>
      <c r="WRQ91" s="15" t="n"/>
      <c r="WRR91" s="248" t="n"/>
      <c r="WRS91" s="248" t="n"/>
      <c r="WRT91" s="240" t="n"/>
      <c r="WRU91" s="240" t="n"/>
      <c r="WRW91" s="15" t="n"/>
      <c r="WRX91" s="15" t="n"/>
      <c r="WRY91" s="248" t="n"/>
      <c r="WRZ91" s="248" t="n"/>
      <c r="WSA91" s="240" t="n"/>
      <c r="WSB91" s="240" t="n"/>
      <c r="WSD91" s="15" t="n"/>
      <c r="WSE91" s="15" t="n"/>
      <c r="WSF91" s="248" t="n"/>
      <c r="WSG91" s="248" t="n"/>
      <c r="WSH91" s="240" t="n"/>
      <c r="WSI91" s="240" t="n"/>
      <c r="WSK91" s="15" t="n"/>
      <c r="WSL91" s="15" t="n"/>
      <c r="WSM91" s="248" t="n"/>
      <c r="WSN91" s="248" t="n"/>
      <c r="WSO91" s="240" t="n"/>
      <c r="WSP91" s="240" t="n"/>
      <c r="WSR91" s="15" t="n"/>
      <c r="WSS91" s="15" t="n"/>
      <c r="WST91" s="248" t="n"/>
      <c r="WSU91" s="248" t="n"/>
      <c r="WSV91" s="240" t="n"/>
      <c r="WSW91" s="240" t="n"/>
      <c r="WSY91" s="15" t="n"/>
      <c r="WSZ91" s="15" t="n"/>
      <c r="WTA91" s="248" t="n"/>
      <c r="WTB91" s="248" t="n"/>
      <c r="WTC91" s="240" t="n"/>
      <c r="WTD91" s="240" t="n"/>
      <c r="WTF91" s="15" t="n"/>
      <c r="WTG91" s="15" t="n"/>
      <c r="WTH91" s="248" t="n"/>
      <c r="WTI91" s="248" t="n"/>
      <c r="WTJ91" s="240" t="n"/>
      <c r="WTK91" s="240" t="n"/>
      <c r="WTM91" s="15" t="n"/>
      <c r="WTN91" s="15" t="n"/>
      <c r="WTO91" s="248" t="n"/>
      <c r="WTP91" s="248" t="n"/>
      <c r="WTQ91" s="240" t="n"/>
      <c r="WTR91" s="240" t="n"/>
      <c r="WTT91" s="15" t="n"/>
      <c r="WTU91" s="15" t="n"/>
      <c r="WTV91" s="248" t="n"/>
      <c r="WTW91" s="248" t="n"/>
      <c r="WTX91" s="240" t="n"/>
      <c r="WTY91" s="240" t="n"/>
      <c r="WUA91" s="15" t="n"/>
      <c r="WUB91" s="15" t="n"/>
      <c r="WUC91" s="248" t="n"/>
      <c r="WUD91" s="248" t="n"/>
      <c r="WUE91" s="240" t="n"/>
      <c r="WUF91" s="240" t="n"/>
      <c r="WUH91" s="15" t="n"/>
      <c r="WUI91" s="15" t="n"/>
      <c r="WUJ91" s="248" t="n"/>
      <c r="WUK91" s="248" t="n"/>
      <c r="WUL91" s="240" t="n"/>
      <c r="WUM91" s="240" t="n"/>
      <c r="WUO91" s="15" t="n"/>
      <c r="WUP91" s="15" t="n"/>
      <c r="WUQ91" s="248" t="n"/>
      <c r="WUR91" s="248" t="n"/>
      <c r="WUS91" s="240" t="n"/>
      <c r="WUT91" s="240" t="n"/>
      <c r="WUV91" s="15" t="n"/>
      <c r="WUW91" s="15" t="n"/>
      <c r="WUX91" s="248" t="n"/>
      <c r="WUY91" s="248" t="n"/>
      <c r="WUZ91" s="240" t="n"/>
      <c r="WVA91" s="240" t="n"/>
      <c r="WVC91" s="15" t="n"/>
      <c r="WVD91" s="15" t="n"/>
      <c r="WVE91" s="248" t="n"/>
      <c r="WVF91" s="248" t="n"/>
      <c r="WVG91" s="240" t="n"/>
      <c r="WVH91" s="240" t="n"/>
      <c r="WVJ91" s="15" t="n"/>
      <c r="WVK91" s="15" t="n"/>
      <c r="WVL91" s="248" t="n"/>
      <c r="WVM91" s="248" t="n"/>
      <c r="WVN91" s="240" t="n"/>
      <c r="WVO91" s="240" t="n"/>
      <c r="WVQ91" s="15" t="n"/>
      <c r="WVR91" s="15" t="n"/>
      <c r="WVS91" s="248" t="n"/>
      <c r="WVT91" s="248" t="n"/>
      <c r="WVU91" s="240" t="n"/>
      <c r="WVV91" s="240" t="n"/>
      <c r="WVX91" s="15" t="n"/>
      <c r="WVY91" s="15" t="n"/>
      <c r="WVZ91" s="248" t="n"/>
      <c r="WWA91" s="248" t="n"/>
      <c r="WWB91" s="240" t="n"/>
      <c r="WWC91" s="240" t="n"/>
      <c r="WWE91" s="15" t="n"/>
      <c r="WWF91" s="15" t="n"/>
      <c r="WWG91" s="248" t="n"/>
      <c r="WWH91" s="248" t="n"/>
      <c r="WWI91" s="240" t="n"/>
      <c r="WWJ91" s="240" t="n"/>
      <c r="WWL91" s="15" t="n"/>
      <c r="WWM91" s="15" t="n"/>
      <c r="WWN91" s="248" t="n"/>
      <c r="WWO91" s="248" t="n"/>
      <c r="WWP91" s="240" t="n"/>
      <c r="WWQ91" s="240" t="n"/>
      <c r="WWS91" s="15" t="n"/>
      <c r="WWT91" s="15" t="n"/>
      <c r="WWU91" s="248" t="n"/>
      <c r="WWV91" s="248" t="n"/>
      <c r="WWW91" s="240" t="n"/>
      <c r="WWX91" s="240" t="n"/>
      <c r="WWZ91" s="15" t="n"/>
      <c r="WXA91" s="15" t="n"/>
      <c r="WXB91" s="248" t="n"/>
      <c r="WXC91" s="248" t="n"/>
      <c r="WXD91" s="240" t="n"/>
      <c r="WXE91" s="240" t="n"/>
      <c r="WXG91" s="15" t="n"/>
      <c r="WXH91" s="15" t="n"/>
      <c r="WXI91" s="248" t="n"/>
      <c r="WXJ91" s="248" t="n"/>
      <c r="WXK91" s="240" t="n"/>
      <c r="WXL91" s="240" t="n"/>
      <c r="WXN91" s="15" t="n"/>
      <c r="WXO91" s="15" t="n"/>
      <c r="WXP91" s="248" t="n"/>
      <c r="WXQ91" s="248" t="n"/>
      <c r="WXR91" s="240" t="n"/>
      <c r="WXS91" s="240" t="n"/>
      <c r="WXU91" s="15" t="n"/>
      <c r="WXV91" s="15" t="n"/>
      <c r="WXW91" s="248" t="n"/>
      <c r="WXX91" s="248" t="n"/>
      <c r="WXY91" s="240" t="n"/>
      <c r="WXZ91" s="240" t="n"/>
      <c r="WYB91" s="15" t="n"/>
      <c r="WYC91" s="15" t="n"/>
      <c r="WYD91" s="248" t="n"/>
      <c r="WYE91" s="248" t="n"/>
      <c r="WYF91" s="240" t="n"/>
      <c r="WYG91" s="240" t="n"/>
      <c r="WYI91" s="15" t="n"/>
      <c r="WYJ91" s="15" t="n"/>
      <c r="WYK91" s="248" t="n"/>
      <c r="WYL91" s="248" t="n"/>
      <c r="WYM91" s="240" t="n"/>
      <c r="WYN91" s="240" t="n"/>
      <c r="WYP91" s="15" t="n"/>
      <c r="WYQ91" s="15" t="n"/>
      <c r="WYR91" s="248" t="n"/>
      <c r="WYS91" s="248" t="n"/>
      <c r="WYT91" s="240" t="n"/>
      <c r="WYU91" s="240" t="n"/>
      <c r="WYW91" s="15" t="n"/>
      <c r="WYX91" s="15" t="n"/>
      <c r="WYY91" s="248" t="n"/>
      <c r="WYZ91" s="248" t="n"/>
      <c r="WZA91" s="240" t="n"/>
      <c r="WZB91" s="240" t="n"/>
      <c r="WZD91" s="15" t="n"/>
      <c r="WZE91" s="15" t="n"/>
      <c r="WZF91" s="248" t="n"/>
      <c r="WZG91" s="248" t="n"/>
      <c r="WZH91" s="240" t="n"/>
      <c r="WZI91" s="240" t="n"/>
      <c r="WZK91" s="15" t="n"/>
      <c r="WZL91" s="15" t="n"/>
      <c r="WZM91" s="248" t="n"/>
      <c r="WZN91" s="248" t="n"/>
      <c r="WZO91" s="240" t="n"/>
      <c r="WZP91" s="240" t="n"/>
      <c r="WZR91" s="15" t="n"/>
      <c r="WZS91" s="15" t="n"/>
      <c r="WZT91" s="248" t="n"/>
      <c r="WZU91" s="248" t="n"/>
      <c r="WZV91" s="240" t="n"/>
      <c r="WZW91" s="240" t="n"/>
      <c r="WZY91" s="15" t="n"/>
      <c r="WZZ91" s="15" t="n"/>
      <c r="XAA91" s="248" t="n"/>
      <c r="XAB91" s="248" t="n"/>
      <c r="XAC91" s="240" t="n"/>
      <c r="XAD91" s="240" t="n"/>
      <c r="XAF91" s="15" t="n"/>
      <c r="XAG91" s="15" t="n"/>
      <c r="XAH91" s="248" t="n"/>
      <c r="XAI91" s="248" t="n"/>
      <c r="XAJ91" s="240" t="n"/>
      <c r="XAK91" s="240" t="n"/>
      <c r="XAM91" s="15" t="n"/>
      <c r="XAN91" s="15" t="n"/>
      <c r="XAO91" s="248" t="n"/>
      <c r="XAP91" s="248" t="n"/>
      <c r="XAQ91" s="240" t="n"/>
      <c r="XAR91" s="240" t="n"/>
      <c r="XAT91" s="15" t="n"/>
      <c r="XAU91" s="15" t="n"/>
      <c r="XAV91" s="248" t="n"/>
      <c r="XAW91" s="248" t="n"/>
      <c r="XAX91" s="240" t="n"/>
      <c r="XAY91" s="240" t="n"/>
      <c r="XBA91" s="15" t="n"/>
      <c r="XBB91" s="15" t="n"/>
      <c r="XBC91" s="248" t="n"/>
      <c r="XBD91" s="248" t="n"/>
      <c r="XBE91" s="240" t="n"/>
      <c r="XBF91" s="240" t="n"/>
      <c r="XBH91" s="15" t="n"/>
      <c r="XBI91" s="15" t="n"/>
      <c r="XBJ91" s="248" t="n"/>
      <c r="XBK91" s="248" t="n"/>
      <c r="XBL91" s="240" t="n"/>
      <c r="XBM91" s="240" t="n"/>
      <c r="XBO91" s="15" t="n"/>
      <c r="XBP91" s="15" t="n"/>
      <c r="XBQ91" s="248" t="n"/>
      <c r="XBR91" s="248" t="n"/>
      <c r="XBS91" s="240" t="n"/>
      <c r="XBT91" s="240" t="n"/>
      <c r="XBV91" s="15" t="n"/>
      <c r="XBW91" s="15" t="n"/>
      <c r="XBX91" s="248" t="n"/>
      <c r="XBY91" s="248" t="n"/>
      <c r="XBZ91" s="240" t="n"/>
      <c r="XCA91" s="240" t="n"/>
      <c r="XCC91" s="15" t="n"/>
      <c r="XCD91" s="15" t="n"/>
      <c r="XCE91" s="248" t="n"/>
      <c r="XCF91" s="248" t="n"/>
      <c r="XCG91" s="240" t="n"/>
      <c r="XCH91" s="240" t="n"/>
      <c r="XCJ91" s="15" t="n"/>
      <c r="XCK91" s="15" t="n"/>
      <c r="XCL91" s="248" t="n"/>
      <c r="XCM91" s="248" t="n"/>
      <c r="XCN91" s="240" t="n"/>
      <c r="XCO91" s="240" t="n"/>
      <c r="XCQ91" s="15" t="n"/>
      <c r="XCR91" s="15" t="n"/>
      <c r="XCS91" s="248" t="n"/>
      <c r="XCT91" s="248" t="n"/>
      <c r="XCU91" s="240" t="n"/>
      <c r="XCV91" s="240" t="n"/>
      <c r="XCX91" s="15" t="n"/>
      <c r="XCY91" s="15" t="n"/>
      <c r="XCZ91" s="248" t="n"/>
      <c r="XDA91" s="248" t="n"/>
      <c r="XDB91" s="240" t="n"/>
      <c r="XDC91" s="240" t="n"/>
      <c r="XDE91" s="15" t="n"/>
      <c r="XDF91" s="15" t="n"/>
      <c r="XDG91" s="248" t="n"/>
      <c r="XDH91" s="248" t="n"/>
      <c r="XDI91" s="240" t="n"/>
      <c r="XDJ91" s="240" t="n"/>
      <c r="XDL91" s="15" t="n"/>
      <c r="XDM91" s="15" t="n"/>
      <c r="XDN91" s="248" t="n"/>
      <c r="XDO91" s="248" t="n"/>
      <c r="XDP91" s="240" t="n"/>
      <c r="XDQ91" s="240" t="n"/>
      <c r="XDS91" s="15" t="n"/>
      <c r="XDT91" s="15" t="n"/>
      <c r="XDU91" s="248" t="n"/>
      <c r="XDV91" s="248" t="n"/>
      <c r="XDW91" s="240" t="n"/>
      <c r="XDX91" s="240" t="n"/>
      <c r="XDZ91" s="15" t="n"/>
      <c r="XEA91" s="15" t="n"/>
      <c r="XEB91" s="248" t="n"/>
      <c r="XEC91" s="248" t="n"/>
      <c r="XED91" s="240" t="n"/>
      <c r="XEE91" s="240" t="n"/>
      <c r="XEG91" s="15" t="n"/>
      <c r="XEH91" s="15" t="n"/>
      <c r="XEI91" s="248" t="n"/>
      <c r="XEJ91" s="248" t="n"/>
      <c r="XEK91" s="240" t="n"/>
      <c r="XEL91" s="240" t="n"/>
      <c r="XEN91" s="15" t="n"/>
      <c r="XEO91" s="15" t="n"/>
      <c r="XEP91" s="248" t="n"/>
      <c r="XEQ91" s="248" t="n"/>
      <c r="XER91" s="240" t="n"/>
      <c r="XES91" s="240" t="n"/>
      <c r="XEU91" s="15" t="n"/>
      <c r="XEV91" s="15" t="n"/>
      <c r="XEW91" s="248" t="n"/>
      <c r="XEX91" s="248" t="n"/>
      <c r="XEY91" s="240" t="n"/>
      <c r="XEZ91" s="240" t="n"/>
      <c r="XFB91" s="15" t="n"/>
      <c r="XFC91" s="15" t="n"/>
      <c r="XFD91" s="248" t="n"/>
    </row>
    <row r="92">
      <c r="A92" s="41" t="inlineStr">
        <is>
          <t>Coverage J</t>
        </is>
      </c>
      <c r="B92" s="42" t="inlineStr">
        <is>
          <t>Farm Employers Liability</t>
        </is>
      </c>
      <c r="C92" s="42" t="n"/>
      <c r="D92" s="42" t="n"/>
      <c r="E92" s="253" t="n">
        <v>500000</v>
      </c>
      <c r="F92" s="251">
        <f>E92</f>
        <v/>
      </c>
      <c r="G92" s="257" t="inlineStr">
        <is>
          <t>per occurrence, $1,000,000 in the annual aggregate</t>
        </is>
      </c>
      <c r="H92" s="253" t="n"/>
      <c r="I92" s="253" t="n"/>
      <c r="J92" s="253" t="n"/>
      <c r="K92" s="253" t="n"/>
      <c r="L92" s="154" t="n">
        <v>80</v>
      </c>
      <c r="M92" s="142" t="n">
        <v>80</v>
      </c>
      <c r="N92" s="254" t="inlineStr">
        <is>
          <t>1 PERSON</t>
        </is>
      </c>
      <c r="O92" s="93" t="n"/>
      <c r="P92" s="259" t="n"/>
      <c r="Q92" s="15" t="n"/>
      <c r="R92" s="248" t="n"/>
      <c r="S92" s="248" t="n"/>
      <c r="T92" s="240" t="n"/>
      <c r="U92" s="240" t="n"/>
      <c r="W92" s="15" t="n"/>
      <c r="X92" s="15" t="n"/>
      <c r="Y92" s="248" t="n"/>
      <c r="Z92" s="248" t="n"/>
      <c r="AA92" s="240" t="n"/>
      <c r="AB92" s="240" t="n"/>
      <c r="AD92" s="15" t="n"/>
      <c r="AE92" s="15" t="n"/>
      <c r="AF92" s="248" t="n"/>
      <c r="AG92" s="248" t="n"/>
      <c r="AH92" s="240" t="n"/>
      <c r="AI92" s="240" t="n"/>
      <c r="AK92" s="15" t="n"/>
      <c r="AL92" s="15" t="n"/>
      <c r="AM92" s="248" t="n"/>
      <c r="AN92" s="248" t="n"/>
      <c r="AO92" s="240" t="n"/>
      <c r="AP92" s="240" t="n"/>
      <c r="AR92" s="15" t="n"/>
      <c r="AS92" s="15" t="n"/>
      <c r="AT92" s="248" t="n"/>
      <c r="AU92" s="248" t="n"/>
      <c r="AV92" s="240" t="n"/>
      <c r="AW92" s="240" t="n"/>
      <c r="AY92" s="15" t="n"/>
      <c r="AZ92" s="15" t="n"/>
      <c r="BA92" s="248" t="n"/>
      <c r="BB92" s="248" t="n"/>
      <c r="BC92" s="240" t="n"/>
      <c r="BD92" s="240" t="n"/>
      <c r="BF92" s="15" t="n"/>
      <c r="BG92" s="15" t="n"/>
      <c r="BH92" s="248" t="n"/>
      <c r="BI92" s="248" t="n"/>
      <c r="BJ92" s="240" t="n"/>
      <c r="BK92" s="240" t="n"/>
      <c r="BM92" s="15" t="n"/>
      <c r="BN92" s="15" t="n"/>
      <c r="BO92" s="248" t="n"/>
      <c r="BP92" s="248" t="n"/>
      <c r="BQ92" s="240" t="n"/>
      <c r="BR92" s="240" t="n"/>
      <c r="BT92" s="15" t="n"/>
      <c r="BU92" s="15" t="n"/>
      <c r="BV92" s="248" t="n"/>
      <c r="BW92" s="248" t="n"/>
      <c r="BX92" s="240" t="n"/>
      <c r="BY92" s="240" t="n"/>
      <c r="CA92" s="15" t="n"/>
      <c r="CB92" s="15" t="n"/>
      <c r="CC92" s="248" t="n"/>
      <c r="CD92" s="248" t="n"/>
      <c r="CE92" s="240" t="n"/>
      <c r="CF92" s="240" t="n"/>
      <c r="CH92" s="15" t="n"/>
      <c r="CI92" s="15" t="n"/>
      <c r="CJ92" s="248" t="n"/>
      <c r="CK92" s="248" t="n"/>
      <c r="CL92" s="240" t="n"/>
      <c r="CM92" s="240" t="n"/>
      <c r="CO92" s="15" t="n"/>
      <c r="CP92" s="15" t="n"/>
      <c r="CQ92" s="248" t="n"/>
      <c r="CR92" s="248" t="n"/>
      <c r="CS92" s="240" t="n"/>
      <c r="CT92" s="240" t="n"/>
      <c r="CV92" s="15" t="n"/>
      <c r="CW92" s="15" t="n"/>
      <c r="CX92" s="248" t="n"/>
      <c r="CY92" s="248" t="n"/>
      <c r="CZ92" s="240" t="n"/>
      <c r="DA92" s="240" t="n"/>
      <c r="DC92" s="15" t="n"/>
      <c r="DD92" s="15" t="n"/>
      <c r="DE92" s="248" t="n"/>
      <c r="DF92" s="248" t="n"/>
      <c r="DG92" s="240" t="n"/>
      <c r="DH92" s="240" t="n"/>
      <c r="DJ92" s="15" t="n"/>
      <c r="DK92" s="15" t="n"/>
      <c r="DL92" s="248" t="n"/>
      <c r="DM92" s="248" t="n"/>
      <c r="DN92" s="240" t="n"/>
      <c r="DO92" s="240" t="n"/>
      <c r="DQ92" s="15" t="n"/>
      <c r="DR92" s="15" t="n"/>
      <c r="DS92" s="248" t="n"/>
      <c r="DT92" s="248" t="n"/>
      <c r="DU92" s="240" t="n"/>
      <c r="DV92" s="240" t="n"/>
      <c r="DX92" s="15" t="n"/>
      <c r="DY92" s="15" t="n"/>
      <c r="DZ92" s="248" t="n"/>
      <c r="EA92" s="248" t="n"/>
      <c r="EB92" s="240" t="n"/>
      <c r="EC92" s="240" t="n"/>
      <c r="EE92" s="15" t="n"/>
      <c r="EF92" s="15" t="n"/>
      <c r="EG92" s="248" t="n"/>
      <c r="EH92" s="248" t="n"/>
      <c r="EI92" s="240" t="n"/>
      <c r="EJ92" s="240" t="n"/>
      <c r="EL92" s="15" t="n"/>
      <c r="EM92" s="15" t="n"/>
      <c r="EN92" s="248" t="n"/>
      <c r="EO92" s="248" t="n"/>
      <c r="EP92" s="240" t="n"/>
      <c r="EQ92" s="240" t="n"/>
      <c r="ES92" s="15" t="n"/>
      <c r="ET92" s="15" t="n"/>
      <c r="EU92" s="248" t="n"/>
      <c r="EV92" s="248" t="n"/>
      <c r="EW92" s="240" t="n"/>
      <c r="EX92" s="240" t="n"/>
      <c r="EZ92" s="15" t="n"/>
      <c r="FA92" s="15" t="n"/>
      <c r="FB92" s="248" t="n"/>
      <c r="FC92" s="248" t="n"/>
      <c r="FD92" s="240" t="n"/>
      <c r="FE92" s="240" t="n"/>
      <c r="FG92" s="15" t="n"/>
      <c r="FH92" s="15" t="n"/>
      <c r="FI92" s="248" t="n"/>
      <c r="FJ92" s="248" t="n"/>
      <c r="FK92" s="240" t="n"/>
      <c r="FL92" s="240" t="n"/>
      <c r="FN92" s="15" t="n"/>
      <c r="FO92" s="15" t="n"/>
      <c r="FP92" s="248" t="n"/>
      <c r="FQ92" s="248" t="n"/>
      <c r="FR92" s="240" t="n"/>
      <c r="FS92" s="240" t="n"/>
      <c r="FU92" s="15" t="n"/>
      <c r="FV92" s="15" t="n"/>
      <c r="FW92" s="248" t="n"/>
      <c r="FX92" s="248" t="n"/>
      <c r="FY92" s="240" t="n"/>
      <c r="FZ92" s="240" t="n"/>
      <c r="GB92" s="15" t="n"/>
      <c r="GC92" s="15" t="n"/>
      <c r="GD92" s="248" t="n"/>
      <c r="GE92" s="248" t="n"/>
      <c r="GF92" s="240" t="n"/>
      <c r="GG92" s="240" t="n"/>
      <c r="GI92" s="15" t="n"/>
      <c r="GJ92" s="15" t="n"/>
      <c r="GK92" s="248" t="n"/>
      <c r="GL92" s="248" t="n"/>
      <c r="GM92" s="240" t="n"/>
      <c r="GN92" s="240" t="n"/>
      <c r="GP92" s="15" t="n"/>
      <c r="GQ92" s="15" t="n"/>
      <c r="GR92" s="248" t="n"/>
      <c r="GS92" s="248" t="n"/>
      <c r="GT92" s="240" t="n"/>
      <c r="GU92" s="240" t="n"/>
      <c r="GW92" s="15" t="n"/>
      <c r="GX92" s="15" t="n"/>
      <c r="GY92" s="248" t="n"/>
      <c r="GZ92" s="248" t="n"/>
      <c r="HA92" s="240" t="n"/>
      <c r="HB92" s="240" t="n"/>
      <c r="HD92" s="15" t="n"/>
      <c r="HE92" s="15" t="n"/>
      <c r="HF92" s="248" t="n"/>
      <c r="HG92" s="248" t="n"/>
      <c r="HH92" s="240" t="n"/>
      <c r="HI92" s="240" t="n"/>
      <c r="HK92" s="15" t="n"/>
      <c r="HL92" s="15" t="n"/>
      <c r="HM92" s="248" t="n"/>
      <c r="HN92" s="248" t="n"/>
      <c r="HO92" s="240" t="n"/>
      <c r="HP92" s="240" t="n"/>
      <c r="HR92" s="15" t="n"/>
      <c r="HS92" s="15" t="n"/>
      <c r="HT92" s="248" t="n"/>
      <c r="HU92" s="248" t="n"/>
      <c r="HV92" s="240" t="n"/>
      <c r="HW92" s="240" t="n"/>
      <c r="HY92" s="15" t="n"/>
      <c r="HZ92" s="15" t="n"/>
      <c r="IA92" s="248" t="n"/>
      <c r="IB92" s="248" t="n"/>
      <c r="IC92" s="240" t="n"/>
      <c r="ID92" s="240" t="n"/>
      <c r="IF92" s="15" t="n"/>
      <c r="IG92" s="15" t="n"/>
      <c r="IH92" s="248" t="n"/>
      <c r="II92" s="248" t="n"/>
      <c r="IJ92" s="240" t="n"/>
      <c r="IK92" s="240" t="n"/>
      <c r="IM92" s="15" t="n"/>
      <c r="IN92" s="15" t="n"/>
      <c r="IO92" s="248" t="n"/>
      <c r="IP92" s="248" t="n"/>
      <c r="IQ92" s="240" t="n"/>
      <c r="IR92" s="240" t="n"/>
      <c r="IT92" s="15" t="n"/>
      <c r="IU92" s="15" t="n"/>
      <c r="IV92" s="248" t="n"/>
      <c r="IW92" s="248" t="n"/>
      <c r="IX92" s="240" t="n"/>
      <c r="IY92" s="240" t="n"/>
      <c r="JA92" s="15" t="n"/>
      <c r="JB92" s="15" t="n"/>
      <c r="JC92" s="248" t="n"/>
      <c r="JD92" s="248" t="n"/>
      <c r="JE92" s="240" t="n"/>
      <c r="JF92" s="240" t="n"/>
      <c r="JH92" s="15" t="n"/>
      <c r="JI92" s="15" t="n"/>
      <c r="JJ92" s="248" t="n"/>
      <c r="JK92" s="248" t="n"/>
      <c r="JL92" s="240" t="n"/>
      <c r="JM92" s="240" t="n"/>
      <c r="JO92" s="15" t="n"/>
      <c r="JP92" s="15" t="n"/>
      <c r="JQ92" s="248" t="n"/>
      <c r="JR92" s="248" t="n"/>
      <c r="JS92" s="240" t="n"/>
      <c r="JT92" s="240" t="n"/>
      <c r="JV92" s="15" t="n"/>
      <c r="JW92" s="15" t="n"/>
      <c r="JX92" s="248" t="n"/>
      <c r="JY92" s="248" t="n"/>
      <c r="JZ92" s="240" t="n"/>
      <c r="KA92" s="240" t="n"/>
      <c r="KC92" s="15" t="n"/>
      <c r="KD92" s="15" t="n"/>
      <c r="KE92" s="248" t="n"/>
      <c r="KF92" s="248" t="n"/>
      <c r="KG92" s="240" t="n"/>
      <c r="KH92" s="240" t="n"/>
      <c r="KJ92" s="15" t="n"/>
      <c r="KK92" s="15" t="n"/>
      <c r="KL92" s="248" t="n"/>
      <c r="KM92" s="248" t="n"/>
      <c r="KN92" s="240" t="n"/>
      <c r="KO92" s="240" t="n"/>
      <c r="KQ92" s="15" t="n"/>
      <c r="KR92" s="15" t="n"/>
      <c r="KS92" s="248" t="n"/>
      <c r="KT92" s="248" t="n"/>
      <c r="KU92" s="240" t="n"/>
      <c r="KV92" s="240" t="n"/>
      <c r="KX92" s="15" t="n"/>
      <c r="KY92" s="15" t="n"/>
      <c r="KZ92" s="248" t="n"/>
      <c r="LA92" s="248" t="n"/>
      <c r="LB92" s="240" t="n"/>
      <c r="LC92" s="240" t="n"/>
      <c r="LE92" s="15" t="n"/>
      <c r="LF92" s="15" t="n"/>
      <c r="LG92" s="248" t="n"/>
      <c r="LH92" s="248" t="n"/>
      <c r="LI92" s="240" t="n"/>
      <c r="LJ92" s="240" t="n"/>
      <c r="LL92" s="15" t="n"/>
      <c r="LM92" s="15" t="n"/>
      <c r="LN92" s="248" t="n"/>
      <c r="LO92" s="248" t="n"/>
      <c r="LP92" s="240" t="n"/>
      <c r="LQ92" s="240" t="n"/>
      <c r="LS92" s="15" t="n"/>
      <c r="LT92" s="15" t="n"/>
      <c r="LU92" s="248" t="n"/>
      <c r="LV92" s="248" t="n"/>
      <c r="LW92" s="240" t="n"/>
      <c r="LX92" s="240" t="n"/>
      <c r="LZ92" s="15" t="n"/>
      <c r="MA92" s="15" t="n"/>
      <c r="MB92" s="248" t="n"/>
      <c r="MC92" s="248" t="n"/>
      <c r="MD92" s="240" t="n"/>
      <c r="ME92" s="240" t="n"/>
      <c r="MG92" s="15" t="n"/>
      <c r="MH92" s="15" t="n"/>
      <c r="MI92" s="248" t="n"/>
      <c r="MJ92" s="248" t="n"/>
      <c r="MK92" s="240" t="n"/>
      <c r="ML92" s="240" t="n"/>
      <c r="MN92" s="15" t="n"/>
      <c r="MO92" s="15" t="n"/>
      <c r="MP92" s="248" t="n"/>
      <c r="MQ92" s="248" t="n"/>
      <c r="MR92" s="240" t="n"/>
      <c r="MS92" s="240" t="n"/>
      <c r="MU92" s="15" t="n"/>
      <c r="MV92" s="15" t="n"/>
      <c r="MW92" s="248" t="n"/>
      <c r="MX92" s="248" t="n"/>
      <c r="MY92" s="240" t="n"/>
      <c r="MZ92" s="240" t="n"/>
      <c r="NB92" s="15" t="n"/>
      <c r="NC92" s="15" t="n"/>
      <c r="ND92" s="248" t="n"/>
      <c r="NE92" s="248" t="n"/>
      <c r="NF92" s="240" t="n"/>
      <c r="NG92" s="240" t="n"/>
      <c r="NI92" s="15" t="n"/>
      <c r="NJ92" s="15" t="n"/>
      <c r="NK92" s="248" t="n"/>
      <c r="NL92" s="248" t="n"/>
      <c r="NM92" s="240" t="n"/>
      <c r="NN92" s="240" t="n"/>
      <c r="NP92" s="15" t="n"/>
      <c r="NQ92" s="15" t="n"/>
      <c r="NR92" s="248" t="n"/>
      <c r="NS92" s="248" t="n"/>
      <c r="NT92" s="240" t="n"/>
      <c r="NU92" s="240" t="n"/>
      <c r="NW92" s="15" t="n"/>
      <c r="NX92" s="15" t="n"/>
      <c r="NY92" s="248" t="n"/>
      <c r="NZ92" s="248" t="n"/>
      <c r="OA92" s="240" t="n"/>
      <c r="OB92" s="240" t="n"/>
      <c r="OD92" s="15" t="n"/>
      <c r="OE92" s="15" t="n"/>
      <c r="OF92" s="248" t="n"/>
      <c r="OG92" s="248" t="n"/>
      <c r="OH92" s="240" t="n"/>
      <c r="OI92" s="240" t="n"/>
      <c r="OK92" s="15" t="n"/>
      <c r="OL92" s="15" t="n"/>
      <c r="OM92" s="248" t="n"/>
      <c r="ON92" s="248" t="n"/>
      <c r="OO92" s="240" t="n"/>
      <c r="OP92" s="240" t="n"/>
      <c r="OR92" s="15" t="n"/>
      <c r="OS92" s="15" t="n"/>
      <c r="OT92" s="248" t="n"/>
      <c r="OU92" s="248" t="n"/>
      <c r="OV92" s="240" t="n"/>
      <c r="OW92" s="240" t="n"/>
      <c r="OY92" s="15" t="n"/>
      <c r="OZ92" s="15" t="n"/>
      <c r="PA92" s="248" t="n"/>
      <c r="PB92" s="248" t="n"/>
      <c r="PC92" s="240" t="n"/>
      <c r="PD92" s="240" t="n"/>
      <c r="PF92" s="15" t="n"/>
      <c r="PG92" s="15" t="n"/>
      <c r="PH92" s="248" t="n"/>
      <c r="PI92" s="248" t="n"/>
      <c r="PJ92" s="240" t="n"/>
      <c r="PK92" s="240" t="n"/>
      <c r="PM92" s="15" t="n"/>
      <c r="PN92" s="15" t="n"/>
      <c r="PO92" s="248" t="n"/>
      <c r="PP92" s="248" t="n"/>
      <c r="PQ92" s="240" t="n"/>
      <c r="PR92" s="240" t="n"/>
      <c r="PT92" s="15" t="n"/>
      <c r="PU92" s="15" t="n"/>
      <c r="PV92" s="248" t="n"/>
      <c r="PW92" s="248" t="n"/>
      <c r="PX92" s="240" t="n"/>
      <c r="PY92" s="240" t="n"/>
      <c r="QA92" s="15" t="n"/>
      <c r="QB92" s="15" t="n"/>
      <c r="QC92" s="248" t="n"/>
      <c r="QD92" s="248" t="n"/>
      <c r="QE92" s="240" t="n"/>
      <c r="QF92" s="240" t="n"/>
      <c r="QH92" s="15" t="n"/>
      <c r="QI92" s="15" t="n"/>
      <c r="QJ92" s="248" t="n"/>
      <c r="QK92" s="248" t="n"/>
      <c r="QL92" s="240" t="n"/>
      <c r="QM92" s="240" t="n"/>
      <c r="QO92" s="15" t="n"/>
      <c r="QP92" s="15" t="n"/>
      <c r="QQ92" s="248" t="n"/>
      <c r="QR92" s="248" t="n"/>
      <c r="QS92" s="240" t="n"/>
      <c r="QT92" s="240" t="n"/>
      <c r="QV92" s="15" t="n"/>
      <c r="QW92" s="15" t="n"/>
      <c r="QX92" s="248" t="n"/>
      <c r="QY92" s="248" t="n"/>
      <c r="QZ92" s="240" t="n"/>
      <c r="RA92" s="240" t="n"/>
      <c r="RC92" s="15" t="n"/>
      <c r="RD92" s="15" t="n"/>
      <c r="RE92" s="248" t="n"/>
      <c r="RF92" s="248" t="n"/>
      <c r="RG92" s="240" t="n"/>
      <c r="RH92" s="240" t="n"/>
      <c r="RJ92" s="15" t="n"/>
      <c r="RK92" s="15" t="n"/>
      <c r="RL92" s="248" t="n"/>
      <c r="RM92" s="248" t="n"/>
      <c r="RN92" s="240" t="n"/>
      <c r="RO92" s="240" t="n"/>
      <c r="RQ92" s="15" t="n"/>
      <c r="RR92" s="15" t="n"/>
      <c r="RS92" s="248" t="n"/>
      <c r="RT92" s="248" t="n"/>
      <c r="RU92" s="240" t="n"/>
      <c r="RV92" s="240" t="n"/>
      <c r="RX92" s="15" t="n"/>
      <c r="RY92" s="15" t="n"/>
      <c r="RZ92" s="248" t="n"/>
      <c r="SA92" s="248" t="n"/>
      <c r="SB92" s="240" t="n"/>
      <c r="SC92" s="240" t="n"/>
      <c r="SE92" s="15" t="n"/>
      <c r="SF92" s="15" t="n"/>
      <c r="SG92" s="248" t="n"/>
      <c r="SH92" s="248" t="n"/>
      <c r="SI92" s="240" t="n"/>
      <c r="SJ92" s="240" t="n"/>
      <c r="SL92" s="15" t="n"/>
      <c r="SM92" s="15" t="n"/>
      <c r="SN92" s="248" t="n"/>
      <c r="SO92" s="248" t="n"/>
      <c r="SP92" s="240" t="n"/>
      <c r="SQ92" s="240" t="n"/>
      <c r="SS92" s="15" t="n"/>
      <c r="ST92" s="15" t="n"/>
      <c r="SU92" s="248" t="n"/>
      <c r="SV92" s="248" t="n"/>
      <c r="SW92" s="240" t="n"/>
      <c r="SX92" s="240" t="n"/>
      <c r="SZ92" s="15" t="n"/>
      <c r="TA92" s="15" t="n"/>
      <c r="TB92" s="248" t="n"/>
      <c r="TC92" s="248" t="n"/>
      <c r="TD92" s="240" t="n"/>
      <c r="TE92" s="240" t="n"/>
      <c r="TG92" s="15" t="n"/>
      <c r="TH92" s="15" t="n"/>
      <c r="TI92" s="248" t="n"/>
      <c r="TJ92" s="248" t="n"/>
      <c r="TK92" s="240" t="n"/>
      <c r="TL92" s="240" t="n"/>
      <c r="TN92" s="15" t="n"/>
      <c r="TO92" s="15" t="n"/>
      <c r="TP92" s="248" t="n"/>
      <c r="TQ92" s="248" t="n"/>
      <c r="TR92" s="240" t="n"/>
      <c r="TS92" s="240" t="n"/>
      <c r="TU92" s="15" t="n"/>
      <c r="TV92" s="15" t="n"/>
      <c r="TW92" s="248" t="n"/>
      <c r="TX92" s="248" t="n"/>
      <c r="TY92" s="240" t="n"/>
      <c r="TZ92" s="240" t="n"/>
      <c r="UB92" s="15" t="n"/>
      <c r="UC92" s="15" t="n"/>
      <c r="UD92" s="248" t="n"/>
      <c r="UE92" s="248" t="n"/>
      <c r="UF92" s="240" t="n"/>
      <c r="UG92" s="240" t="n"/>
      <c r="UI92" s="15" t="n"/>
      <c r="UJ92" s="15" t="n"/>
      <c r="UK92" s="248" t="n"/>
      <c r="UL92" s="248" t="n"/>
      <c r="UM92" s="240" t="n"/>
      <c r="UN92" s="240" t="n"/>
      <c r="UP92" s="15" t="n"/>
      <c r="UQ92" s="15" t="n"/>
      <c r="UR92" s="248" t="n"/>
      <c r="US92" s="248" t="n"/>
      <c r="UT92" s="240" t="n"/>
      <c r="UU92" s="240" t="n"/>
      <c r="UW92" s="15" t="n"/>
      <c r="UX92" s="15" t="n"/>
      <c r="UY92" s="248" t="n"/>
      <c r="UZ92" s="248" t="n"/>
      <c r="VA92" s="240" t="n"/>
      <c r="VB92" s="240" t="n"/>
      <c r="VD92" s="15" t="n"/>
      <c r="VE92" s="15" t="n"/>
      <c r="VF92" s="248" t="n"/>
      <c r="VG92" s="248" t="n"/>
      <c r="VH92" s="240" t="n"/>
      <c r="VI92" s="240" t="n"/>
      <c r="VK92" s="15" t="n"/>
      <c r="VL92" s="15" t="n"/>
      <c r="VM92" s="248" t="n"/>
      <c r="VN92" s="248" t="n"/>
      <c r="VO92" s="240" t="n"/>
      <c r="VP92" s="240" t="n"/>
      <c r="VR92" s="15" t="n"/>
      <c r="VS92" s="15" t="n"/>
      <c r="VT92" s="248" t="n"/>
      <c r="VU92" s="248" t="n"/>
      <c r="VV92" s="240" t="n"/>
      <c r="VW92" s="240" t="n"/>
      <c r="VY92" s="15" t="n"/>
      <c r="VZ92" s="15" t="n"/>
      <c r="WA92" s="248" t="n"/>
      <c r="WB92" s="248" t="n"/>
      <c r="WC92" s="240" t="n"/>
      <c r="WD92" s="240" t="n"/>
      <c r="WF92" s="15" t="n"/>
      <c r="WG92" s="15" t="n"/>
      <c r="WH92" s="248" t="n"/>
      <c r="WI92" s="248" t="n"/>
      <c r="WJ92" s="240" t="n"/>
      <c r="WK92" s="240" t="n"/>
      <c r="WM92" s="15" t="n"/>
      <c r="WN92" s="15" t="n"/>
      <c r="WO92" s="248" t="n"/>
      <c r="WP92" s="248" t="n"/>
      <c r="WQ92" s="240" t="n"/>
      <c r="WR92" s="240" t="n"/>
      <c r="WT92" s="15" t="n"/>
      <c r="WU92" s="15" t="n"/>
      <c r="WV92" s="248" t="n"/>
      <c r="WW92" s="248" t="n"/>
      <c r="WX92" s="240" t="n"/>
      <c r="WY92" s="240" t="n"/>
      <c r="XA92" s="15" t="n"/>
      <c r="XB92" s="15" t="n"/>
      <c r="XC92" s="248" t="n"/>
      <c r="XD92" s="248" t="n"/>
      <c r="XE92" s="240" t="n"/>
      <c r="XF92" s="240" t="n"/>
      <c r="XH92" s="15" t="n"/>
      <c r="XI92" s="15" t="n"/>
      <c r="XJ92" s="248" t="n"/>
      <c r="XK92" s="248" t="n"/>
      <c r="XL92" s="240" t="n"/>
      <c r="XM92" s="240" t="n"/>
      <c r="XO92" s="15" t="n"/>
      <c r="XP92" s="15" t="n"/>
      <c r="XQ92" s="248" t="n"/>
      <c r="XR92" s="248" t="n"/>
      <c r="XS92" s="240" t="n"/>
      <c r="XT92" s="240" t="n"/>
      <c r="XV92" s="15" t="n"/>
      <c r="XW92" s="15" t="n"/>
      <c r="XX92" s="248" t="n"/>
      <c r="XY92" s="248" t="n"/>
      <c r="XZ92" s="240" t="n"/>
      <c r="YA92" s="240" t="n"/>
      <c r="YC92" s="15" t="n"/>
      <c r="YD92" s="15" t="n"/>
      <c r="YE92" s="248" t="n"/>
      <c r="YF92" s="248" t="n"/>
      <c r="YG92" s="240" t="n"/>
      <c r="YH92" s="240" t="n"/>
      <c r="YJ92" s="15" t="n"/>
      <c r="YK92" s="15" t="n"/>
      <c r="YL92" s="248" t="n"/>
      <c r="YM92" s="248" t="n"/>
      <c r="YN92" s="240" t="n"/>
      <c r="YO92" s="240" t="n"/>
      <c r="YQ92" s="15" t="n"/>
      <c r="YR92" s="15" t="n"/>
      <c r="YS92" s="248" t="n"/>
      <c r="YT92" s="248" t="n"/>
      <c r="YU92" s="240" t="n"/>
      <c r="YV92" s="240" t="n"/>
      <c r="YX92" s="15" t="n"/>
      <c r="YY92" s="15" t="n"/>
      <c r="YZ92" s="248" t="n"/>
      <c r="ZA92" s="248" t="n"/>
      <c r="ZB92" s="240" t="n"/>
      <c r="ZC92" s="240" t="n"/>
      <c r="ZE92" s="15" t="n"/>
      <c r="ZF92" s="15" t="n"/>
      <c r="ZG92" s="248" t="n"/>
      <c r="ZH92" s="248" t="n"/>
      <c r="ZI92" s="240" t="n"/>
      <c r="ZJ92" s="240" t="n"/>
      <c r="ZL92" s="15" t="n"/>
      <c r="ZM92" s="15" t="n"/>
      <c r="ZN92" s="248" t="n"/>
      <c r="ZO92" s="248" t="n"/>
      <c r="ZP92" s="240" t="n"/>
      <c r="ZQ92" s="240" t="n"/>
      <c r="ZS92" s="15" t="n"/>
      <c r="ZT92" s="15" t="n"/>
      <c r="ZU92" s="248" t="n"/>
      <c r="ZV92" s="248" t="n"/>
      <c r="ZW92" s="240" t="n"/>
      <c r="ZX92" s="240" t="n"/>
      <c r="ZZ92" s="15" t="n"/>
      <c r="AAA92" s="15" t="n"/>
      <c r="AAB92" s="248" t="n"/>
      <c r="AAC92" s="248" t="n"/>
      <c r="AAD92" s="240" t="n"/>
      <c r="AAE92" s="240" t="n"/>
      <c r="AAG92" s="15" t="n"/>
      <c r="AAH92" s="15" t="n"/>
      <c r="AAI92" s="248" t="n"/>
      <c r="AAJ92" s="248" t="n"/>
      <c r="AAK92" s="240" t="n"/>
      <c r="AAL92" s="240" t="n"/>
      <c r="AAN92" s="15" t="n"/>
      <c r="AAO92" s="15" t="n"/>
      <c r="AAP92" s="248" t="n"/>
      <c r="AAQ92" s="248" t="n"/>
      <c r="AAR92" s="240" t="n"/>
      <c r="AAS92" s="240" t="n"/>
      <c r="AAU92" s="15" t="n"/>
      <c r="AAV92" s="15" t="n"/>
      <c r="AAW92" s="248" t="n"/>
      <c r="AAX92" s="248" t="n"/>
      <c r="AAY92" s="240" t="n"/>
      <c r="AAZ92" s="240" t="n"/>
      <c r="ABB92" s="15" t="n"/>
      <c r="ABC92" s="15" t="n"/>
      <c r="ABD92" s="248" t="n"/>
      <c r="ABE92" s="248" t="n"/>
      <c r="ABF92" s="240" t="n"/>
      <c r="ABG92" s="240" t="n"/>
      <c r="ABI92" s="15" t="n"/>
      <c r="ABJ92" s="15" t="n"/>
      <c r="ABK92" s="248" t="n"/>
      <c r="ABL92" s="248" t="n"/>
      <c r="ABM92" s="240" t="n"/>
      <c r="ABN92" s="240" t="n"/>
      <c r="ABP92" s="15" t="n"/>
      <c r="ABQ92" s="15" t="n"/>
      <c r="ABR92" s="248" t="n"/>
      <c r="ABS92" s="248" t="n"/>
      <c r="ABT92" s="240" t="n"/>
      <c r="ABU92" s="240" t="n"/>
      <c r="ABW92" s="15" t="n"/>
      <c r="ABX92" s="15" t="n"/>
      <c r="ABY92" s="248" t="n"/>
      <c r="ABZ92" s="248" t="n"/>
      <c r="ACA92" s="240" t="n"/>
      <c r="ACB92" s="240" t="n"/>
      <c r="ACD92" s="15" t="n"/>
      <c r="ACE92" s="15" t="n"/>
      <c r="ACF92" s="248" t="n"/>
      <c r="ACG92" s="248" t="n"/>
      <c r="ACH92" s="240" t="n"/>
      <c r="ACI92" s="240" t="n"/>
      <c r="ACK92" s="15" t="n"/>
      <c r="ACL92" s="15" t="n"/>
      <c r="ACM92" s="248" t="n"/>
      <c r="ACN92" s="248" t="n"/>
      <c r="ACO92" s="240" t="n"/>
      <c r="ACP92" s="240" t="n"/>
      <c r="ACR92" s="15" t="n"/>
      <c r="ACS92" s="15" t="n"/>
      <c r="ACT92" s="248" t="n"/>
      <c r="ACU92" s="248" t="n"/>
      <c r="ACV92" s="240" t="n"/>
      <c r="ACW92" s="240" t="n"/>
      <c r="ACY92" s="15" t="n"/>
      <c r="ACZ92" s="15" t="n"/>
      <c r="ADA92" s="248" t="n"/>
      <c r="ADB92" s="248" t="n"/>
      <c r="ADC92" s="240" t="n"/>
      <c r="ADD92" s="240" t="n"/>
      <c r="ADF92" s="15" t="n"/>
      <c r="ADG92" s="15" t="n"/>
      <c r="ADH92" s="248" t="n"/>
      <c r="ADI92" s="248" t="n"/>
      <c r="ADJ92" s="240" t="n"/>
      <c r="ADK92" s="240" t="n"/>
      <c r="ADM92" s="15" t="n"/>
      <c r="ADN92" s="15" t="n"/>
      <c r="ADO92" s="248" t="n"/>
      <c r="ADP92" s="248" t="n"/>
      <c r="ADQ92" s="240" t="n"/>
      <c r="ADR92" s="240" t="n"/>
      <c r="ADT92" s="15" t="n"/>
      <c r="ADU92" s="15" t="n"/>
      <c r="ADV92" s="248" t="n"/>
      <c r="ADW92" s="248" t="n"/>
      <c r="ADX92" s="240" t="n"/>
      <c r="ADY92" s="240" t="n"/>
      <c r="AEA92" s="15" t="n"/>
      <c r="AEB92" s="15" t="n"/>
      <c r="AEC92" s="248" t="n"/>
      <c r="AED92" s="248" t="n"/>
      <c r="AEE92" s="240" t="n"/>
      <c r="AEF92" s="240" t="n"/>
      <c r="AEH92" s="15" t="n"/>
      <c r="AEI92" s="15" t="n"/>
      <c r="AEJ92" s="248" t="n"/>
      <c r="AEK92" s="248" t="n"/>
      <c r="AEL92" s="240" t="n"/>
      <c r="AEM92" s="240" t="n"/>
      <c r="AEO92" s="15" t="n"/>
      <c r="AEP92" s="15" t="n"/>
      <c r="AEQ92" s="248" t="n"/>
      <c r="AER92" s="248" t="n"/>
      <c r="AES92" s="240" t="n"/>
      <c r="AET92" s="240" t="n"/>
      <c r="AEV92" s="15" t="n"/>
      <c r="AEW92" s="15" t="n"/>
      <c r="AEX92" s="248" t="n"/>
      <c r="AEY92" s="248" t="n"/>
      <c r="AEZ92" s="240" t="n"/>
      <c r="AFA92" s="240" t="n"/>
      <c r="AFC92" s="15" t="n"/>
      <c r="AFD92" s="15" t="n"/>
      <c r="AFE92" s="248" t="n"/>
      <c r="AFF92" s="248" t="n"/>
      <c r="AFG92" s="240" t="n"/>
      <c r="AFH92" s="240" t="n"/>
      <c r="AFJ92" s="15" t="n"/>
      <c r="AFK92" s="15" t="n"/>
      <c r="AFL92" s="248" t="n"/>
      <c r="AFM92" s="248" t="n"/>
      <c r="AFN92" s="240" t="n"/>
      <c r="AFO92" s="240" t="n"/>
      <c r="AFQ92" s="15" t="n"/>
      <c r="AFR92" s="15" t="n"/>
      <c r="AFS92" s="248" t="n"/>
      <c r="AFT92" s="248" t="n"/>
      <c r="AFU92" s="240" t="n"/>
      <c r="AFV92" s="240" t="n"/>
      <c r="AFX92" s="15" t="n"/>
      <c r="AFY92" s="15" t="n"/>
      <c r="AFZ92" s="248" t="n"/>
      <c r="AGA92" s="248" t="n"/>
      <c r="AGB92" s="240" t="n"/>
      <c r="AGC92" s="240" t="n"/>
      <c r="AGE92" s="15" t="n"/>
      <c r="AGF92" s="15" t="n"/>
      <c r="AGG92" s="248" t="n"/>
      <c r="AGH92" s="248" t="n"/>
      <c r="AGI92" s="240" t="n"/>
      <c r="AGJ92" s="240" t="n"/>
      <c r="AGL92" s="15" t="n"/>
      <c r="AGM92" s="15" t="n"/>
      <c r="AGN92" s="248" t="n"/>
      <c r="AGO92" s="248" t="n"/>
      <c r="AGP92" s="240" t="n"/>
      <c r="AGQ92" s="240" t="n"/>
      <c r="AGS92" s="15" t="n"/>
      <c r="AGT92" s="15" t="n"/>
      <c r="AGU92" s="248" t="n"/>
      <c r="AGV92" s="248" t="n"/>
      <c r="AGW92" s="240" t="n"/>
      <c r="AGX92" s="240" t="n"/>
      <c r="AGZ92" s="15" t="n"/>
      <c r="AHA92" s="15" t="n"/>
      <c r="AHB92" s="248" t="n"/>
      <c r="AHC92" s="248" t="n"/>
      <c r="AHD92" s="240" t="n"/>
      <c r="AHE92" s="240" t="n"/>
      <c r="AHG92" s="15" t="n"/>
      <c r="AHH92" s="15" t="n"/>
      <c r="AHI92" s="248" t="n"/>
      <c r="AHJ92" s="248" t="n"/>
      <c r="AHK92" s="240" t="n"/>
      <c r="AHL92" s="240" t="n"/>
      <c r="AHN92" s="15" t="n"/>
      <c r="AHO92" s="15" t="n"/>
      <c r="AHP92" s="248" t="n"/>
      <c r="AHQ92" s="248" t="n"/>
      <c r="AHR92" s="240" t="n"/>
      <c r="AHS92" s="240" t="n"/>
      <c r="AHU92" s="15" t="n"/>
      <c r="AHV92" s="15" t="n"/>
      <c r="AHW92" s="248" t="n"/>
      <c r="AHX92" s="248" t="n"/>
      <c r="AHY92" s="240" t="n"/>
      <c r="AHZ92" s="240" t="n"/>
      <c r="AIB92" s="15" t="n"/>
      <c r="AIC92" s="15" t="n"/>
      <c r="AID92" s="248" t="n"/>
      <c r="AIE92" s="248" t="n"/>
      <c r="AIF92" s="240" t="n"/>
      <c r="AIG92" s="240" t="n"/>
      <c r="AII92" s="15" t="n"/>
      <c r="AIJ92" s="15" t="n"/>
      <c r="AIK92" s="248" t="n"/>
      <c r="AIL92" s="248" t="n"/>
      <c r="AIM92" s="240" t="n"/>
      <c r="AIN92" s="240" t="n"/>
      <c r="AIP92" s="15" t="n"/>
      <c r="AIQ92" s="15" t="n"/>
      <c r="AIR92" s="248" t="n"/>
      <c r="AIS92" s="248" t="n"/>
      <c r="AIT92" s="240" t="n"/>
      <c r="AIU92" s="240" t="n"/>
      <c r="AIW92" s="15" t="n"/>
      <c r="AIX92" s="15" t="n"/>
      <c r="AIY92" s="248" t="n"/>
      <c r="AIZ92" s="248" t="n"/>
      <c r="AJA92" s="240" t="n"/>
      <c r="AJB92" s="240" t="n"/>
      <c r="AJD92" s="15" t="n"/>
      <c r="AJE92" s="15" t="n"/>
      <c r="AJF92" s="248" t="n"/>
      <c r="AJG92" s="248" t="n"/>
      <c r="AJH92" s="240" t="n"/>
      <c r="AJI92" s="240" t="n"/>
      <c r="AJK92" s="15" t="n"/>
      <c r="AJL92" s="15" t="n"/>
      <c r="AJM92" s="248" t="n"/>
      <c r="AJN92" s="248" t="n"/>
      <c r="AJO92" s="240" t="n"/>
      <c r="AJP92" s="240" t="n"/>
      <c r="AJR92" s="15" t="n"/>
      <c r="AJS92" s="15" t="n"/>
      <c r="AJT92" s="248" t="n"/>
      <c r="AJU92" s="248" t="n"/>
      <c r="AJV92" s="240" t="n"/>
      <c r="AJW92" s="240" t="n"/>
      <c r="AJY92" s="15" t="n"/>
      <c r="AJZ92" s="15" t="n"/>
      <c r="AKA92" s="248" t="n"/>
      <c r="AKB92" s="248" t="n"/>
      <c r="AKC92" s="240" t="n"/>
      <c r="AKD92" s="240" t="n"/>
      <c r="AKF92" s="15" t="n"/>
      <c r="AKG92" s="15" t="n"/>
      <c r="AKH92" s="248" t="n"/>
      <c r="AKI92" s="248" t="n"/>
      <c r="AKJ92" s="240" t="n"/>
      <c r="AKK92" s="240" t="n"/>
      <c r="AKM92" s="15" t="n"/>
      <c r="AKN92" s="15" t="n"/>
      <c r="AKO92" s="248" t="n"/>
      <c r="AKP92" s="248" t="n"/>
      <c r="AKQ92" s="240" t="n"/>
      <c r="AKR92" s="240" t="n"/>
      <c r="AKT92" s="15" t="n"/>
      <c r="AKU92" s="15" t="n"/>
      <c r="AKV92" s="248" t="n"/>
      <c r="AKW92" s="248" t="n"/>
      <c r="AKX92" s="240" t="n"/>
      <c r="AKY92" s="240" t="n"/>
      <c r="ALA92" s="15" t="n"/>
      <c r="ALB92" s="15" t="n"/>
      <c r="ALC92" s="248" t="n"/>
      <c r="ALD92" s="248" t="n"/>
      <c r="ALE92" s="240" t="n"/>
      <c r="ALF92" s="240" t="n"/>
      <c r="ALH92" s="15" t="n"/>
      <c r="ALI92" s="15" t="n"/>
      <c r="ALJ92" s="248" t="n"/>
      <c r="ALK92" s="248" t="n"/>
      <c r="ALL92" s="240" t="n"/>
      <c r="ALM92" s="240" t="n"/>
      <c r="ALO92" s="15" t="n"/>
      <c r="ALP92" s="15" t="n"/>
      <c r="ALQ92" s="248" t="n"/>
      <c r="ALR92" s="248" t="n"/>
      <c r="ALS92" s="240" t="n"/>
      <c r="ALT92" s="240" t="n"/>
      <c r="ALV92" s="15" t="n"/>
      <c r="ALW92" s="15" t="n"/>
      <c r="ALX92" s="248" t="n"/>
      <c r="ALY92" s="248" t="n"/>
      <c r="ALZ92" s="240" t="n"/>
      <c r="AMA92" s="240" t="n"/>
      <c r="AMC92" s="15" t="n"/>
      <c r="AMD92" s="15" t="n"/>
      <c r="AME92" s="248" t="n"/>
      <c r="AMF92" s="248" t="n"/>
      <c r="AMG92" s="240" t="n"/>
      <c r="AMH92" s="240" t="n"/>
      <c r="AMJ92" s="15" t="n"/>
      <c r="AMK92" s="15" t="n"/>
      <c r="AML92" s="248" t="n"/>
      <c r="AMM92" s="248" t="n"/>
      <c r="AMN92" s="240" t="n"/>
      <c r="AMO92" s="240" t="n"/>
      <c r="AMQ92" s="15" t="n"/>
      <c r="AMR92" s="15" t="n"/>
      <c r="AMS92" s="248" t="n"/>
      <c r="AMT92" s="248" t="n"/>
      <c r="AMU92" s="240" t="n"/>
      <c r="AMV92" s="240" t="n"/>
      <c r="AMX92" s="15" t="n"/>
      <c r="AMY92" s="15" t="n"/>
      <c r="AMZ92" s="248" t="n"/>
      <c r="ANA92" s="248" t="n"/>
      <c r="ANB92" s="240" t="n"/>
      <c r="ANC92" s="240" t="n"/>
      <c r="ANE92" s="15" t="n"/>
      <c r="ANF92" s="15" t="n"/>
      <c r="ANG92" s="248" t="n"/>
      <c r="ANH92" s="248" t="n"/>
      <c r="ANI92" s="240" t="n"/>
      <c r="ANJ92" s="240" t="n"/>
      <c r="ANL92" s="15" t="n"/>
      <c r="ANM92" s="15" t="n"/>
      <c r="ANN92" s="248" t="n"/>
      <c r="ANO92" s="248" t="n"/>
      <c r="ANP92" s="240" t="n"/>
      <c r="ANQ92" s="240" t="n"/>
      <c r="ANS92" s="15" t="n"/>
      <c r="ANT92" s="15" t="n"/>
      <c r="ANU92" s="248" t="n"/>
      <c r="ANV92" s="248" t="n"/>
      <c r="ANW92" s="240" t="n"/>
      <c r="ANX92" s="240" t="n"/>
      <c r="ANZ92" s="15" t="n"/>
      <c r="AOA92" s="15" t="n"/>
      <c r="AOB92" s="248" t="n"/>
      <c r="AOC92" s="248" t="n"/>
      <c r="AOD92" s="240" t="n"/>
      <c r="AOE92" s="240" t="n"/>
      <c r="AOG92" s="15" t="n"/>
      <c r="AOH92" s="15" t="n"/>
      <c r="AOI92" s="248" t="n"/>
      <c r="AOJ92" s="248" t="n"/>
      <c r="AOK92" s="240" t="n"/>
      <c r="AOL92" s="240" t="n"/>
      <c r="AON92" s="15" t="n"/>
      <c r="AOO92" s="15" t="n"/>
      <c r="AOP92" s="248" t="n"/>
      <c r="AOQ92" s="248" t="n"/>
      <c r="AOR92" s="240" t="n"/>
      <c r="AOS92" s="240" t="n"/>
      <c r="AOU92" s="15" t="n"/>
      <c r="AOV92" s="15" t="n"/>
      <c r="AOW92" s="248" t="n"/>
      <c r="AOX92" s="248" t="n"/>
      <c r="AOY92" s="240" t="n"/>
      <c r="AOZ92" s="240" t="n"/>
      <c r="APB92" s="15" t="n"/>
      <c r="APC92" s="15" t="n"/>
      <c r="APD92" s="248" t="n"/>
      <c r="APE92" s="248" t="n"/>
      <c r="APF92" s="240" t="n"/>
      <c r="APG92" s="240" t="n"/>
      <c r="API92" s="15" t="n"/>
      <c r="APJ92" s="15" t="n"/>
      <c r="APK92" s="248" t="n"/>
      <c r="APL92" s="248" t="n"/>
      <c r="APM92" s="240" t="n"/>
      <c r="APN92" s="240" t="n"/>
      <c r="APP92" s="15" t="n"/>
      <c r="APQ92" s="15" t="n"/>
      <c r="APR92" s="248" t="n"/>
      <c r="APS92" s="248" t="n"/>
      <c r="APT92" s="240" t="n"/>
      <c r="APU92" s="240" t="n"/>
      <c r="APW92" s="15" t="n"/>
      <c r="APX92" s="15" t="n"/>
      <c r="APY92" s="248" t="n"/>
      <c r="APZ92" s="248" t="n"/>
      <c r="AQA92" s="240" t="n"/>
      <c r="AQB92" s="240" t="n"/>
      <c r="AQD92" s="15" t="n"/>
      <c r="AQE92" s="15" t="n"/>
      <c r="AQF92" s="248" t="n"/>
      <c r="AQG92" s="248" t="n"/>
      <c r="AQH92" s="240" t="n"/>
      <c r="AQI92" s="240" t="n"/>
      <c r="AQK92" s="15" t="n"/>
      <c r="AQL92" s="15" t="n"/>
      <c r="AQM92" s="248" t="n"/>
      <c r="AQN92" s="248" t="n"/>
      <c r="AQO92" s="240" t="n"/>
      <c r="AQP92" s="240" t="n"/>
      <c r="AQR92" s="15" t="n"/>
      <c r="AQS92" s="15" t="n"/>
      <c r="AQT92" s="248" t="n"/>
      <c r="AQU92" s="248" t="n"/>
      <c r="AQV92" s="240" t="n"/>
      <c r="AQW92" s="240" t="n"/>
      <c r="AQY92" s="15" t="n"/>
      <c r="AQZ92" s="15" t="n"/>
      <c r="ARA92" s="248" t="n"/>
      <c r="ARB92" s="248" t="n"/>
      <c r="ARC92" s="240" t="n"/>
      <c r="ARD92" s="240" t="n"/>
      <c r="ARF92" s="15" t="n"/>
      <c r="ARG92" s="15" t="n"/>
      <c r="ARH92" s="248" t="n"/>
      <c r="ARI92" s="248" t="n"/>
      <c r="ARJ92" s="240" t="n"/>
      <c r="ARK92" s="240" t="n"/>
      <c r="ARM92" s="15" t="n"/>
      <c r="ARN92" s="15" t="n"/>
      <c r="ARO92" s="248" t="n"/>
      <c r="ARP92" s="248" t="n"/>
      <c r="ARQ92" s="240" t="n"/>
      <c r="ARR92" s="240" t="n"/>
      <c r="ART92" s="15" t="n"/>
      <c r="ARU92" s="15" t="n"/>
      <c r="ARV92" s="248" t="n"/>
      <c r="ARW92" s="248" t="n"/>
      <c r="ARX92" s="240" t="n"/>
      <c r="ARY92" s="240" t="n"/>
      <c r="ASA92" s="15" t="n"/>
      <c r="ASB92" s="15" t="n"/>
      <c r="ASC92" s="248" t="n"/>
      <c r="ASD92" s="248" t="n"/>
      <c r="ASE92" s="240" t="n"/>
      <c r="ASF92" s="240" t="n"/>
      <c r="ASH92" s="15" t="n"/>
      <c r="ASI92" s="15" t="n"/>
      <c r="ASJ92" s="248" t="n"/>
      <c r="ASK92" s="248" t="n"/>
      <c r="ASL92" s="240" t="n"/>
      <c r="ASM92" s="240" t="n"/>
      <c r="ASO92" s="15" t="n"/>
      <c r="ASP92" s="15" t="n"/>
      <c r="ASQ92" s="248" t="n"/>
      <c r="ASR92" s="248" t="n"/>
      <c r="ASS92" s="240" t="n"/>
      <c r="AST92" s="240" t="n"/>
      <c r="ASV92" s="15" t="n"/>
      <c r="ASW92" s="15" t="n"/>
      <c r="ASX92" s="248" t="n"/>
      <c r="ASY92" s="248" t="n"/>
      <c r="ASZ92" s="240" t="n"/>
      <c r="ATA92" s="240" t="n"/>
      <c r="ATC92" s="15" t="n"/>
      <c r="ATD92" s="15" t="n"/>
      <c r="ATE92" s="248" t="n"/>
      <c r="ATF92" s="248" t="n"/>
      <c r="ATG92" s="240" t="n"/>
      <c r="ATH92" s="240" t="n"/>
      <c r="ATJ92" s="15" t="n"/>
      <c r="ATK92" s="15" t="n"/>
      <c r="ATL92" s="248" t="n"/>
      <c r="ATM92" s="248" t="n"/>
      <c r="ATN92" s="240" t="n"/>
      <c r="ATO92" s="240" t="n"/>
      <c r="ATQ92" s="15" t="n"/>
      <c r="ATR92" s="15" t="n"/>
      <c r="ATS92" s="248" t="n"/>
      <c r="ATT92" s="248" t="n"/>
      <c r="ATU92" s="240" t="n"/>
      <c r="ATV92" s="240" t="n"/>
      <c r="ATX92" s="15" t="n"/>
      <c r="ATY92" s="15" t="n"/>
      <c r="ATZ92" s="248" t="n"/>
      <c r="AUA92" s="248" t="n"/>
      <c r="AUB92" s="240" t="n"/>
      <c r="AUC92" s="240" t="n"/>
      <c r="AUE92" s="15" t="n"/>
      <c r="AUF92" s="15" t="n"/>
      <c r="AUG92" s="248" t="n"/>
      <c r="AUH92" s="248" t="n"/>
      <c r="AUI92" s="240" t="n"/>
      <c r="AUJ92" s="240" t="n"/>
      <c r="AUL92" s="15" t="n"/>
      <c r="AUM92" s="15" t="n"/>
      <c r="AUN92" s="248" t="n"/>
      <c r="AUO92" s="248" t="n"/>
      <c r="AUP92" s="240" t="n"/>
      <c r="AUQ92" s="240" t="n"/>
      <c r="AUS92" s="15" t="n"/>
      <c r="AUT92" s="15" t="n"/>
      <c r="AUU92" s="248" t="n"/>
      <c r="AUV92" s="248" t="n"/>
      <c r="AUW92" s="240" t="n"/>
      <c r="AUX92" s="240" t="n"/>
      <c r="AUZ92" s="15" t="n"/>
      <c r="AVA92" s="15" t="n"/>
      <c r="AVB92" s="248" t="n"/>
      <c r="AVC92" s="248" t="n"/>
      <c r="AVD92" s="240" t="n"/>
      <c r="AVE92" s="240" t="n"/>
      <c r="AVG92" s="15" t="n"/>
      <c r="AVH92" s="15" t="n"/>
      <c r="AVI92" s="248" t="n"/>
      <c r="AVJ92" s="248" t="n"/>
      <c r="AVK92" s="240" t="n"/>
      <c r="AVL92" s="240" t="n"/>
      <c r="AVN92" s="15" t="n"/>
      <c r="AVO92" s="15" t="n"/>
      <c r="AVP92" s="248" t="n"/>
      <c r="AVQ92" s="248" t="n"/>
      <c r="AVR92" s="240" t="n"/>
      <c r="AVS92" s="240" t="n"/>
      <c r="AVU92" s="15" t="n"/>
      <c r="AVV92" s="15" t="n"/>
      <c r="AVW92" s="248" t="n"/>
      <c r="AVX92" s="248" t="n"/>
      <c r="AVY92" s="240" t="n"/>
      <c r="AVZ92" s="240" t="n"/>
      <c r="AWB92" s="15" t="n"/>
      <c r="AWC92" s="15" t="n"/>
      <c r="AWD92" s="248" t="n"/>
      <c r="AWE92" s="248" t="n"/>
      <c r="AWF92" s="240" t="n"/>
      <c r="AWG92" s="240" t="n"/>
      <c r="AWI92" s="15" t="n"/>
      <c r="AWJ92" s="15" t="n"/>
      <c r="AWK92" s="248" t="n"/>
      <c r="AWL92" s="248" t="n"/>
      <c r="AWM92" s="240" t="n"/>
      <c r="AWN92" s="240" t="n"/>
      <c r="AWP92" s="15" t="n"/>
      <c r="AWQ92" s="15" t="n"/>
      <c r="AWR92" s="248" t="n"/>
      <c r="AWS92" s="248" t="n"/>
      <c r="AWT92" s="240" t="n"/>
      <c r="AWU92" s="240" t="n"/>
      <c r="AWW92" s="15" t="n"/>
      <c r="AWX92" s="15" t="n"/>
      <c r="AWY92" s="248" t="n"/>
      <c r="AWZ92" s="248" t="n"/>
      <c r="AXA92" s="240" t="n"/>
      <c r="AXB92" s="240" t="n"/>
      <c r="AXD92" s="15" t="n"/>
      <c r="AXE92" s="15" t="n"/>
      <c r="AXF92" s="248" t="n"/>
      <c r="AXG92" s="248" t="n"/>
      <c r="AXH92" s="240" t="n"/>
      <c r="AXI92" s="240" t="n"/>
      <c r="AXK92" s="15" t="n"/>
      <c r="AXL92" s="15" t="n"/>
      <c r="AXM92" s="248" t="n"/>
      <c r="AXN92" s="248" t="n"/>
      <c r="AXO92" s="240" t="n"/>
      <c r="AXP92" s="240" t="n"/>
      <c r="AXR92" s="15" t="n"/>
      <c r="AXS92" s="15" t="n"/>
      <c r="AXT92" s="248" t="n"/>
      <c r="AXU92" s="248" t="n"/>
      <c r="AXV92" s="240" t="n"/>
      <c r="AXW92" s="240" t="n"/>
      <c r="AXY92" s="15" t="n"/>
      <c r="AXZ92" s="15" t="n"/>
      <c r="AYA92" s="248" t="n"/>
      <c r="AYB92" s="248" t="n"/>
      <c r="AYC92" s="240" t="n"/>
      <c r="AYD92" s="240" t="n"/>
      <c r="AYF92" s="15" t="n"/>
      <c r="AYG92" s="15" t="n"/>
      <c r="AYH92" s="248" t="n"/>
      <c r="AYI92" s="248" t="n"/>
      <c r="AYJ92" s="240" t="n"/>
      <c r="AYK92" s="240" t="n"/>
      <c r="AYM92" s="15" t="n"/>
      <c r="AYN92" s="15" t="n"/>
      <c r="AYO92" s="248" t="n"/>
      <c r="AYP92" s="248" t="n"/>
      <c r="AYQ92" s="240" t="n"/>
      <c r="AYR92" s="240" t="n"/>
      <c r="AYT92" s="15" t="n"/>
      <c r="AYU92" s="15" t="n"/>
      <c r="AYV92" s="248" t="n"/>
      <c r="AYW92" s="248" t="n"/>
      <c r="AYX92" s="240" t="n"/>
      <c r="AYY92" s="240" t="n"/>
      <c r="AZA92" s="15" t="n"/>
      <c r="AZB92" s="15" t="n"/>
      <c r="AZC92" s="248" t="n"/>
      <c r="AZD92" s="248" t="n"/>
      <c r="AZE92" s="240" t="n"/>
      <c r="AZF92" s="240" t="n"/>
      <c r="AZH92" s="15" t="n"/>
      <c r="AZI92" s="15" t="n"/>
      <c r="AZJ92" s="248" t="n"/>
      <c r="AZK92" s="248" t="n"/>
      <c r="AZL92" s="240" t="n"/>
      <c r="AZM92" s="240" t="n"/>
      <c r="AZO92" s="15" t="n"/>
      <c r="AZP92" s="15" t="n"/>
      <c r="AZQ92" s="248" t="n"/>
      <c r="AZR92" s="248" t="n"/>
      <c r="AZS92" s="240" t="n"/>
      <c r="AZT92" s="240" t="n"/>
      <c r="AZV92" s="15" t="n"/>
      <c r="AZW92" s="15" t="n"/>
      <c r="AZX92" s="248" t="n"/>
      <c r="AZY92" s="248" t="n"/>
      <c r="AZZ92" s="240" t="n"/>
      <c r="BAA92" s="240" t="n"/>
      <c r="BAC92" s="15" t="n"/>
      <c r="BAD92" s="15" t="n"/>
      <c r="BAE92" s="248" t="n"/>
      <c r="BAF92" s="248" t="n"/>
      <c r="BAG92" s="240" t="n"/>
      <c r="BAH92" s="240" t="n"/>
      <c r="BAJ92" s="15" t="n"/>
      <c r="BAK92" s="15" t="n"/>
      <c r="BAL92" s="248" t="n"/>
      <c r="BAM92" s="248" t="n"/>
      <c r="BAN92" s="240" t="n"/>
      <c r="BAO92" s="240" t="n"/>
      <c r="BAQ92" s="15" t="n"/>
      <c r="BAR92" s="15" t="n"/>
      <c r="BAS92" s="248" t="n"/>
      <c r="BAT92" s="248" t="n"/>
      <c r="BAU92" s="240" t="n"/>
      <c r="BAV92" s="240" t="n"/>
      <c r="BAX92" s="15" t="n"/>
      <c r="BAY92" s="15" t="n"/>
      <c r="BAZ92" s="248" t="n"/>
      <c r="BBA92" s="248" t="n"/>
      <c r="BBB92" s="240" t="n"/>
      <c r="BBC92" s="240" t="n"/>
      <c r="BBE92" s="15" t="n"/>
      <c r="BBF92" s="15" t="n"/>
      <c r="BBG92" s="248" t="n"/>
      <c r="BBH92" s="248" t="n"/>
      <c r="BBI92" s="240" t="n"/>
      <c r="BBJ92" s="240" t="n"/>
      <c r="BBL92" s="15" t="n"/>
      <c r="BBM92" s="15" t="n"/>
      <c r="BBN92" s="248" t="n"/>
      <c r="BBO92" s="248" t="n"/>
      <c r="BBP92" s="240" t="n"/>
      <c r="BBQ92" s="240" t="n"/>
      <c r="BBS92" s="15" t="n"/>
      <c r="BBT92" s="15" t="n"/>
      <c r="BBU92" s="248" t="n"/>
      <c r="BBV92" s="248" t="n"/>
      <c r="BBW92" s="240" t="n"/>
      <c r="BBX92" s="240" t="n"/>
      <c r="BBZ92" s="15" t="n"/>
      <c r="BCA92" s="15" t="n"/>
      <c r="BCB92" s="248" t="n"/>
      <c r="BCC92" s="248" t="n"/>
      <c r="BCD92" s="240" t="n"/>
      <c r="BCE92" s="240" t="n"/>
      <c r="BCG92" s="15" t="n"/>
      <c r="BCH92" s="15" t="n"/>
      <c r="BCI92" s="248" t="n"/>
      <c r="BCJ92" s="248" t="n"/>
      <c r="BCK92" s="240" t="n"/>
      <c r="BCL92" s="240" t="n"/>
      <c r="BCN92" s="15" t="n"/>
      <c r="BCO92" s="15" t="n"/>
      <c r="BCP92" s="248" t="n"/>
      <c r="BCQ92" s="248" t="n"/>
      <c r="BCR92" s="240" t="n"/>
      <c r="BCS92" s="240" t="n"/>
      <c r="BCU92" s="15" t="n"/>
      <c r="BCV92" s="15" t="n"/>
      <c r="BCW92" s="248" t="n"/>
      <c r="BCX92" s="248" t="n"/>
      <c r="BCY92" s="240" t="n"/>
      <c r="BCZ92" s="240" t="n"/>
      <c r="BDB92" s="15" t="n"/>
      <c r="BDC92" s="15" t="n"/>
      <c r="BDD92" s="248" t="n"/>
      <c r="BDE92" s="248" t="n"/>
      <c r="BDF92" s="240" t="n"/>
      <c r="BDG92" s="240" t="n"/>
      <c r="BDI92" s="15" t="n"/>
      <c r="BDJ92" s="15" t="n"/>
      <c r="BDK92" s="248" t="n"/>
      <c r="BDL92" s="248" t="n"/>
      <c r="BDM92" s="240" t="n"/>
      <c r="BDN92" s="240" t="n"/>
      <c r="BDP92" s="15" t="n"/>
      <c r="BDQ92" s="15" t="n"/>
      <c r="BDR92" s="248" t="n"/>
      <c r="BDS92" s="248" t="n"/>
      <c r="BDT92" s="240" t="n"/>
      <c r="BDU92" s="240" t="n"/>
      <c r="BDW92" s="15" t="n"/>
      <c r="BDX92" s="15" t="n"/>
      <c r="BDY92" s="248" t="n"/>
      <c r="BDZ92" s="248" t="n"/>
      <c r="BEA92" s="240" t="n"/>
      <c r="BEB92" s="240" t="n"/>
      <c r="BED92" s="15" t="n"/>
      <c r="BEE92" s="15" t="n"/>
      <c r="BEF92" s="248" t="n"/>
      <c r="BEG92" s="248" t="n"/>
      <c r="BEH92" s="240" t="n"/>
      <c r="BEI92" s="240" t="n"/>
      <c r="BEK92" s="15" t="n"/>
      <c r="BEL92" s="15" t="n"/>
      <c r="BEM92" s="248" t="n"/>
      <c r="BEN92" s="248" t="n"/>
      <c r="BEO92" s="240" t="n"/>
      <c r="BEP92" s="240" t="n"/>
      <c r="BER92" s="15" t="n"/>
      <c r="BES92" s="15" t="n"/>
      <c r="BET92" s="248" t="n"/>
      <c r="BEU92" s="248" t="n"/>
      <c r="BEV92" s="240" t="n"/>
      <c r="BEW92" s="240" t="n"/>
      <c r="BEY92" s="15" t="n"/>
      <c r="BEZ92" s="15" t="n"/>
      <c r="BFA92" s="248" t="n"/>
      <c r="BFB92" s="248" t="n"/>
      <c r="BFC92" s="240" t="n"/>
      <c r="BFD92" s="240" t="n"/>
      <c r="BFF92" s="15" t="n"/>
      <c r="BFG92" s="15" t="n"/>
      <c r="BFH92" s="248" t="n"/>
      <c r="BFI92" s="248" t="n"/>
      <c r="BFJ92" s="240" t="n"/>
      <c r="BFK92" s="240" t="n"/>
      <c r="BFM92" s="15" t="n"/>
      <c r="BFN92" s="15" t="n"/>
      <c r="BFO92" s="248" t="n"/>
      <c r="BFP92" s="248" t="n"/>
      <c r="BFQ92" s="240" t="n"/>
      <c r="BFR92" s="240" t="n"/>
      <c r="BFT92" s="15" t="n"/>
      <c r="BFU92" s="15" t="n"/>
      <c r="BFV92" s="248" t="n"/>
      <c r="BFW92" s="248" t="n"/>
      <c r="BFX92" s="240" t="n"/>
      <c r="BFY92" s="240" t="n"/>
      <c r="BGA92" s="15" t="n"/>
      <c r="BGB92" s="15" t="n"/>
      <c r="BGC92" s="248" t="n"/>
      <c r="BGD92" s="248" t="n"/>
      <c r="BGE92" s="240" t="n"/>
      <c r="BGF92" s="240" t="n"/>
      <c r="BGH92" s="15" t="n"/>
      <c r="BGI92" s="15" t="n"/>
      <c r="BGJ92" s="248" t="n"/>
      <c r="BGK92" s="248" t="n"/>
      <c r="BGL92" s="240" t="n"/>
      <c r="BGM92" s="240" t="n"/>
      <c r="BGO92" s="15" t="n"/>
      <c r="BGP92" s="15" t="n"/>
      <c r="BGQ92" s="248" t="n"/>
      <c r="BGR92" s="248" t="n"/>
      <c r="BGS92" s="240" t="n"/>
      <c r="BGT92" s="240" t="n"/>
      <c r="BGV92" s="15" t="n"/>
      <c r="BGW92" s="15" t="n"/>
      <c r="BGX92" s="248" t="n"/>
      <c r="BGY92" s="248" t="n"/>
      <c r="BGZ92" s="240" t="n"/>
      <c r="BHA92" s="240" t="n"/>
      <c r="BHC92" s="15" t="n"/>
      <c r="BHD92" s="15" t="n"/>
      <c r="BHE92" s="248" t="n"/>
      <c r="BHF92" s="248" t="n"/>
      <c r="BHG92" s="240" t="n"/>
      <c r="BHH92" s="240" t="n"/>
      <c r="BHJ92" s="15" t="n"/>
      <c r="BHK92" s="15" t="n"/>
      <c r="BHL92" s="248" t="n"/>
      <c r="BHM92" s="248" t="n"/>
      <c r="BHN92" s="240" t="n"/>
      <c r="BHO92" s="240" t="n"/>
      <c r="BHQ92" s="15" t="n"/>
      <c r="BHR92" s="15" t="n"/>
      <c r="BHS92" s="248" t="n"/>
      <c r="BHT92" s="248" t="n"/>
      <c r="BHU92" s="240" t="n"/>
      <c r="BHV92" s="240" t="n"/>
      <c r="BHX92" s="15" t="n"/>
      <c r="BHY92" s="15" t="n"/>
      <c r="BHZ92" s="248" t="n"/>
      <c r="BIA92" s="248" t="n"/>
      <c r="BIB92" s="240" t="n"/>
      <c r="BIC92" s="240" t="n"/>
      <c r="BIE92" s="15" t="n"/>
      <c r="BIF92" s="15" t="n"/>
      <c r="BIG92" s="248" t="n"/>
      <c r="BIH92" s="248" t="n"/>
      <c r="BII92" s="240" t="n"/>
      <c r="BIJ92" s="240" t="n"/>
      <c r="BIL92" s="15" t="n"/>
      <c r="BIM92" s="15" t="n"/>
      <c r="BIN92" s="248" t="n"/>
      <c r="BIO92" s="248" t="n"/>
      <c r="BIP92" s="240" t="n"/>
      <c r="BIQ92" s="240" t="n"/>
      <c r="BIS92" s="15" t="n"/>
      <c r="BIT92" s="15" t="n"/>
      <c r="BIU92" s="248" t="n"/>
      <c r="BIV92" s="248" t="n"/>
      <c r="BIW92" s="240" t="n"/>
      <c r="BIX92" s="240" t="n"/>
      <c r="BIZ92" s="15" t="n"/>
      <c r="BJA92" s="15" t="n"/>
      <c r="BJB92" s="248" t="n"/>
      <c r="BJC92" s="248" t="n"/>
      <c r="BJD92" s="240" t="n"/>
      <c r="BJE92" s="240" t="n"/>
      <c r="BJG92" s="15" t="n"/>
      <c r="BJH92" s="15" t="n"/>
      <c r="BJI92" s="248" t="n"/>
      <c r="BJJ92" s="248" t="n"/>
      <c r="BJK92" s="240" t="n"/>
      <c r="BJL92" s="240" t="n"/>
      <c r="BJN92" s="15" t="n"/>
      <c r="BJO92" s="15" t="n"/>
      <c r="BJP92" s="248" t="n"/>
      <c r="BJQ92" s="248" t="n"/>
      <c r="BJR92" s="240" t="n"/>
      <c r="BJS92" s="240" t="n"/>
      <c r="BJU92" s="15" t="n"/>
      <c r="BJV92" s="15" t="n"/>
      <c r="BJW92" s="248" t="n"/>
      <c r="BJX92" s="248" t="n"/>
      <c r="BJY92" s="240" t="n"/>
      <c r="BJZ92" s="240" t="n"/>
      <c r="BKB92" s="15" t="n"/>
      <c r="BKC92" s="15" t="n"/>
      <c r="BKD92" s="248" t="n"/>
      <c r="BKE92" s="248" t="n"/>
      <c r="BKF92" s="240" t="n"/>
      <c r="BKG92" s="240" t="n"/>
      <c r="BKI92" s="15" t="n"/>
      <c r="BKJ92" s="15" t="n"/>
      <c r="BKK92" s="248" t="n"/>
      <c r="BKL92" s="248" t="n"/>
      <c r="BKM92" s="240" t="n"/>
      <c r="BKN92" s="240" t="n"/>
      <c r="BKP92" s="15" t="n"/>
      <c r="BKQ92" s="15" t="n"/>
      <c r="BKR92" s="248" t="n"/>
      <c r="BKS92" s="248" t="n"/>
      <c r="BKT92" s="240" t="n"/>
      <c r="BKU92" s="240" t="n"/>
      <c r="BKW92" s="15" t="n"/>
      <c r="BKX92" s="15" t="n"/>
      <c r="BKY92" s="248" t="n"/>
      <c r="BKZ92" s="248" t="n"/>
      <c r="BLA92" s="240" t="n"/>
      <c r="BLB92" s="240" t="n"/>
      <c r="BLD92" s="15" t="n"/>
      <c r="BLE92" s="15" t="n"/>
      <c r="BLF92" s="248" t="n"/>
      <c r="BLG92" s="248" t="n"/>
      <c r="BLH92" s="240" t="n"/>
      <c r="BLI92" s="240" t="n"/>
      <c r="BLK92" s="15" t="n"/>
      <c r="BLL92" s="15" t="n"/>
      <c r="BLM92" s="248" t="n"/>
      <c r="BLN92" s="248" t="n"/>
      <c r="BLO92" s="240" t="n"/>
      <c r="BLP92" s="240" t="n"/>
      <c r="BLR92" s="15" t="n"/>
      <c r="BLS92" s="15" t="n"/>
      <c r="BLT92" s="248" t="n"/>
      <c r="BLU92" s="248" t="n"/>
      <c r="BLV92" s="240" t="n"/>
      <c r="BLW92" s="240" t="n"/>
      <c r="BLY92" s="15" t="n"/>
      <c r="BLZ92" s="15" t="n"/>
      <c r="BMA92" s="248" t="n"/>
      <c r="BMB92" s="248" t="n"/>
      <c r="BMC92" s="240" t="n"/>
      <c r="BMD92" s="240" t="n"/>
      <c r="BMF92" s="15" t="n"/>
      <c r="BMG92" s="15" t="n"/>
      <c r="BMH92" s="248" t="n"/>
      <c r="BMI92" s="248" t="n"/>
      <c r="BMJ92" s="240" t="n"/>
      <c r="BMK92" s="240" t="n"/>
      <c r="BMM92" s="15" t="n"/>
      <c r="BMN92" s="15" t="n"/>
      <c r="BMO92" s="248" t="n"/>
      <c r="BMP92" s="248" t="n"/>
      <c r="BMQ92" s="240" t="n"/>
      <c r="BMR92" s="240" t="n"/>
      <c r="BMT92" s="15" t="n"/>
      <c r="BMU92" s="15" t="n"/>
      <c r="BMV92" s="248" t="n"/>
      <c r="BMW92" s="248" t="n"/>
      <c r="BMX92" s="240" t="n"/>
      <c r="BMY92" s="240" t="n"/>
      <c r="BNA92" s="15" t="n"/>
      <c r="BNB92" s="15" t="n"/>
      <c r="BNC92" s="248" t="n"/>
      <c r="BND92" s="248" t="n"/>
      <c r="BNE92" s="240" t="n"/>
      <c r="BNF92" s="240" t="n"/>
      <c r="BNH92" s="15" t="n"/>
      <c r="BNI92" s="15" t="n"/>
      <c r="BNJ92" s="248" t="n"/>
      <c r="BNK92" s="248" t="n"/>
      <c r="BNL92" s="240" t="n"/>
      <c r="BNM92" s="240" t="n"/>
      <c r="BNO92" s="15" t="n"/>
      <c r="BNP92" s="15" t="n"/>
      <c r="BNQ92" s="248" t="n"/>
      <c r="BNR92" s="248" t="n"/>
      <c r="BNS92" s="240" t="n"/>
      <c r="BNT92" s="240" t="n"/>
      <c r="BNV92" s="15" t="n"/>
      <c r="BNW92" s="15" t="n"/>
      <c r="BNX92" s="248" t="n"/>
      <c r="BNY92" s="248" t="n"/>
      <c r="BNZ92" s="240" t="n"/>
      <c r="BOA92" s="240" t="n"/>
      <c r="BOC92" s="15" t="n"/>
      <c r="BOD92" s="15" t="n"/>
      <c r="BOE92" s="248" t="n"/>
      <c r="BOF92" s="248" t="n"/>
      <c r="BOG92" s="240" t="n"/>
      <c r="BOH92" s="240" t="n"/>
      <c r="BOJ92" s="15" t="n"/>
      <c r="BOK92" s="15" t="n"/>
      <c r="BOL92" s="248" t="n"/>
      <c r="BOM92" s="248" t="n"/>
      <c r="BON92" s="240" t="n"/>
      <c r="BOO92" s="240" t="n"/>
      <c r="BOQ92" s="15" t="n"/>
      <c r="BOR92" s="15" t="n"/>
      <c r="BOS92" s="248" t="n"/>
      <c r="BOT92" s="248" t="n"/>
      <c r="BOU92" s="240" t="n"/>
      <c r="BOV92" s="240" t="n"/>
      <c r="BOX92" s="15" t="n"/>
      <c r="BOY92" s="15" t="n"/>
      <c r="BOZ92" s="248" t="n"/>
      <c r="BPA92" s="248" t="n"/>
      <c r="BPB92" s="240" t="n"/>
      <c r="BPC92" s="240" t="n"/>
      <c r="BPE92" s="15" t="n"/>
      <c r="BPF92" s="15" t="n"/>
      <c r="BPG92" s="248" t="n"/>
      <c r="BPH92" s="248" t="n"/>
      <c r="BPI92" s="240" t="n"/>
      <c r="BPJ92" s="240" t="n"/>
      <c r="BPL92" s="15" t="n"/>
      <c r="BPM92" s="15" t="n"/>
      <c r="BPN92" s="248" t="n"/>
      <c r="BPO92" s="248" t="n"/>
      <c r="BPP92" s="240" t="n"/>
      <c r="BPQ92" s="240" t="n"/>
      <c r="BPS92" s="15" t="n"/>
      <c r="BPT92" s="15" t="n"/>
      <c r="BPU92" s="248" t="n"/>
      <c r="BPV92" s="248" t="n"/>
      <c r="BPW92" s="240" t="n"/>
      <c r="BPX92" s="240" t="n"/>
      <c r="BPZ92" s="15" t="n"/>
      <c r="BQA92" s="15" t="n"/>
      <c r="BQB92" s="248" t="n"/>
      <c r="BQC92" s="248" t="n"/>
      <c r="BQD92" s="240" t="n"/>
      <c r="BQE92" s="240" t="n"/>
      <c r="BQG92" s="15" t="n"/>
      <c r="BQH92" s="15" t="n"/>
      <c r="BQI92" s="248" t="n"/>
      <c r="BQJ92" s="248" t="n"/>
      <c r="BQK92" s="240" t="n"/>
      <c r="BQL92" s="240" t="n"/>
      <c r="BQN92" s="15" t="n"/>
      <c r="BQO92" s="15" t="n"/>
      <c r="BQP92" s="248" t="n"/>
      <c r="BQQ92" s="248" t="n"/>
      <c r="BQR92" s="240" t="n"/>
      <c r="BQS92" s="240" t="n"/>
      <c r="BQU92" s="15" t="n"/>
      <c r="BQV92" s="15" t="n"/>
      <c r="BQW92" s="248" t="n"/>
      <c r="BQX92" s="248" t="n"/>
      <c r="BQY92" s="240" t="n"/>
      <c r="BQZ92" s="240" t="n"/>
      <c r="BRB92" s="15" t="n"/>
      <c r="BRC92" s="15" t="n"/>
      <c r="BRD92" s="248" t="n"/>
      <c r="BRE92" s="248" t="n"/>
      <c r="BRF92" s="240" t="n"/>
      <c r="BRG92" s="240" t="n"/>
      <c r="BRI92" s="15" t="n"/>
      <c r="BRJ92" s="15" t="n"/>
      <c r="BRK92" s="248" t="n"/>
      <c r="BRL92" s="248" t="n"/>
      <c r="BRM92" s="240" t="n"/>
      <c r="BRN92" s="240" t="n"/>
      <c r="BRP92" s="15" t="n"/>
      <c r="BRQ92" s="15" t="n"/>
      <c r="BRR92" s="248" t="n"/>
      <c r="BRS92" s="248" t="n"/>
      <c r="BRT92" s="240" t="n"/>
      <c r="BRU92" s="240" t="n"/>
      <c r="BRW92" s="15" t="n"/>
      <c r="BRX92" s="15" t="n"/>
      <c r="BRY92" s="248" t="n"/>
      <c r="BRZ92" s="248" t="n"/>
      <c r="BSA92" s="240" t="n"/>
      <c r="BSB92" s="240" t="n"/>
      <c r="BSD92" s="15" t="n"/>
      <c r="BSE92" s="15" t="n"/>
      <c r="BSF92" s="248" t="n"/>
      <c r="BSG92" s="248" t="n"/>
      <c r="BSH92" s="240" t="n"/>
      <c r="BSI92" s="240" t="n"/>
      <c r="BSK92" s="15" t="n"/>
      <c r="BSL92" s="15" t="n"/>
      <c r="BSM92" s="248" t="n"/>
      <c r="BSN92" s="248" t="n"/>
      <c r="BSO92" s="240" t="n"/>
      <c r="BSP92" s="240" t="n"/>
      <c r="BSR92" s="15" t="n"/>
      <c r="BSS92" s="15" t="n"/>
      <c r="BST92" s="248" t="n"/>
      <c r="BSU92" s="248" t="n"/>
      <c r="BSV92" s="240" t="n"/>
      <c r="BSW92" s="240" t="n"/>
      <c r="BSY92" s="15" t="n"/>
      <c r="BSZ92" s="15" t="n"/>
      <c r="BTA92" s="248" t="n"/>
      <c r="BTB92" s="248" t="n"/>
      <c r="BTC92" s="240" t="n"/>
      <c r="BTD92" s="240" t="n"/>
      <c r="BTF92" s="15" t="n"/>
      <c r="BTG92" s="15" t="n"/>
      <c r="BTH92" s="248" t="n"/>
      <c r="BTI92" s="248" t="n"/>
      <c r="BTJ92" s="240" t="n"/>
      <c r="BTK92" s="240" t="n"/>
      <c r="BTM92" s="15" t="n"/>
      <c r="BTN92" s="15" t="n"/>
      <c r="BTO92" s="248" t="n"/>
      <c r="BTP92" s="248" t="n"/>
      <c r="BTQ92" s="240" t="n"/>
      <c r="BTR92" s="240" t="n"/>
      <c r="BTT92" s="15" t="n"/>
      <c r="BTU92" s="15" t="n"/>
      <c r="BTV92" s="248" t="n"/>
      <c r="BTW92" s="248" t="n"/>
      <c r="BTX92" s="240" t="n"/>
      <c r="BTY92" s="240" t="n"/>
      <c r="BUA92" s="15" t="n"/>
      <c r="BUB92" s="15" t="n"/>
      <c r="BUC92" s="248" t="n"/>
      <c r="BUD92" s="248" t="n"/>
      <c r="BUE92" s="240" t="n"/>
      <c r="BUF92" s="240" t="n"/>
      <c r="BUH92" s="15" t="n"/>
      <c r="BUI92" s="15" t="n"/>
      <c r="BUJ92" s="248" t="n"/>
      <c r="BUK92" s="248" t="n"/>
      <c r="BUL92" s="240" t="n"/>
      <c r="BUM92" s="240" t="n"/>
      <c r="BUO92" s="15" t="n"/>
      <c r="BUP92" s="15" t="n"/>
      <c r="BUQ92" s="248" t="n"/>
      <c r="BUR92" s="248" t="n"/>
      <c r="BUS92" s="240" t="n"/>
      <c r="BUT92" s="240" t="n"/>
      <c r="BUV92" s="15" t="n"/>
      <c r="BUW92" s="15" t="n"/>
      <c r="BUX92" s="248" t="n"/>
      <c r="BUY92" s="248" t="n"/>
      <c r="BUZ92" s="240" t="n"/>
      <c r="BVA92" s="240" t="n"/>
      <c r="BVC92" s="15" t="n"/>
      <c r="BVD92" s="15" t="n"/>
      <c r="BVE92" s="248" t="n"/>
      <c r="BVF92" s="248" t="n"/>
      <c r="BVG92" s="240" t="n"/>
      <c r="BVH92" s="240" t="n"/>
      <c r="BVJ92" s="15" t="n"/>
      <c r="BVK92" s="15" t="n"/>
      <c r="BVL92" s="248" t="n"/>
      <c r="BVM92" s="248" t="n"/>
      <c r="BVN92" s="240" t="n"/>
      <c r="BVO92" s="240" t="n"/>
      <c r="BVQ92" s="15" t="n"/>
      <c r="BVR92" s="15" t="n"/>
      <c r="BVS92" s="248" t="n"/>
      <c r="BVT92" s="248" t="n"/>
      <c r="BVU92" s="240" t="n"/>
      <c r="BVV92" s="240" t="n"/>
      <c r="BVX92" s="15" t="n"/>
      <c r="BVY92" s="15" t="n"/>
      <c r="BVZ92" s="248" t="n"/>
      <c r="BWA92" s="248" t="n"/>
      <c r="BWB92" s="240" t="n"/>
      <c r="BWC92" s="240" t="n"/>
      <c r="BWE92" s="15" t="n"/>
      <c r="BWF92" s="15" t="n"/>
      <c r="BWG92" s="248" t="n"/>
      <c r="BWH92" s="248" t="n"/>
      <c r="BWI92" s="240" t="n"/>
      <c r="BWJ92" s="240" t="n"/>
      <c r="BWL92" s="15" t="n"/>
      <c r="BWM92" s="15" t="n"/>
      <c r="BWN92" s="248" t="n"/>
      <c r="BWO92" s="248" t="n"/>
      <c r="BWP92" s="240" t="n"/>
      <c r="BWQ92" s="240" t="n"/>
      <c r="BWS92" s="15" t="n"/>
      <c r="BWT92" s="15" t="n"/>
      <c r="BWU92" s="248" t="n"/>
      <c r="BWV92" s="248" t="n"/>
      <c r="BWW92" s="240" t="n"/>
      <c r="BWX92" s="240" t="n"/>
      <c r="BWZ92" s="15" t="n"/>
      <c r="BXA92" s="15" t="n"/>
      <c r="BXB92" s="248" t="n"/>
      <c r="BXC92" s="248" t="n"/>
      <c r="BXD92" s="240" t="n"/>
      <c r="BXE92" s="240" t="n"/>
      <c r="BXG92" s="15" t="n"/>
      <c r="BXH92" s="15" t="n"/>
      <c r="BXI92" s="248" t="n"/>
      <c r="BXJ92" s="248" t="n"/>
      <c r="BXK92" s="240" t="n"/>
      <c r="BXL92" s="240" t="n"/>
      <c r="BXN92" s="15" t="n"/>
      <c r="BXO92" s="15" t="n"/>
      <c r="BXP92" s="248" t="n"/>
      <c r="BXQ92" s="248" t="n"/>
      <c r="BXR92" s="240" t="n"/>
      <c r="BXS92" s="240" t="n"/>
      <c r="BXU92" s="15" t="n"/>
      <c r="BXV92" s="15" t="n"/>
      <c r="BXW92" s="248" t="n"/>
      <c r="BXX92" s="248" t="n"/>
      <c r="BXY92" s="240" t="n"/>
      <c r="BXZ92" s="240" t="n"/>
      <c r="BYB92" s="15" t="n"/>
      <c r="BYC92" s="15" t="n"/>
      <c r="BYD92" s="248" t="n"/>
      <c r="BYE92" s="248" t="n"/>
      <c r="BYF92" s="240" t="n"/>
      <c r="BYG92" s="240" t="n"/>
      <c r="BYI92" s="15" t="n"/>
      <c r="BYJ92" s="15" t="n"/>
      <c r="BYK92" s="248" t="n"/>
      <c r="BYL92" s="248" t="n"/>
      <c r="BYM92" s="240" t="n"/>
      <c r="BYN92" s="240" t="n"/>
      <c r="BYP92" s="15" t="n"/>
      <c r="BYQ92" s="15" t="n"/>
      <c r="BYR92" s="248" t="n"/>
      <c r="BYS92" s="248" t="n"/>
      <c r="BYT92" s="240" t="n"/>
      <c r="BYU92" s="240" t="n"/>
      <c r="BYW92" s="15" t="n"/>
      <c r="BYX92" s="15" t="n"/>
      <c r="BYY92" s="248" t="n"/>
      <c r="BYZ92" s="248" t="n"/>
      <c r="BZA92" s="240" t="n"/>
      <c r="BZB92" s="240" t="n"/>
      <c r="BZD92" s="15" t="n"/>
      <c r="BZE92" s="15" t="n"/>
      <c r="BZF92" s="248" t="n"/>
      <c r="BZG92" s="248" t="n"/>
      <c r="BZH92" s="240" t="n"/>
      <c r="BZI92" s="240" t="n"/>
      <c r="BZK92" s="15" t="n"/>
      <c r="BZL92" s="15" t="n"/>
      <c r="BZM92" s="248" t="n"/>
      <c r="BZN92" s="248" t="n"/>
      <c r="BZO92" s="240" t="n"/>
      <c r="BZP92" s="240" t="n"/>
      <c r="BZR92" s="15" t="n"/>
      <c r="BZS92" s="15" t="n"/>
      <c r="BZT92" s="248" t="n"/>
      <c r="BZU92" s="248" t="n"/>
      <c r="BZV92" s="240" t="n"/>
      <c r="BZW92" s="240" t="n"/>
      <c r="BZY92" s="15" t="n"/>
      <c r="BZZ92" s="15" t="n"/>
      <c r="CAA92" s="248" t="n"/>
      <c r="CAB92" s="248" t="n"/>
      <c r="CAC92" s="240" t="n"/>
      <c r="CAD92" s="240" t="n"/>
      <c r="CAF92" s="15" t="n"/>
      <c r="CAG92" s="15" t="n"/>
      <c r="CAH92" s="248" t="n"/>
      <c r="CAI92" s="248" t="n"/>
      <c r="CAJ92" s="240" t="n"/>
      <c r="CAK92" s="240" t="n"/>
      <c r="CAM92" s="15" t="n"/>
      <c r="CAN92" s="15" t="n"/>
      <c r="CAO92" s="248" t="n"/>
      <c r="CAP92" s="248" t="n"/>
      <c r="CAQ92" s="240" t="n"/>
      <c r="CAR92" s="240" t="n"/>
      <c r="CAT92" s="15" t="n"/>
      <c r="CAU92" s="15" t="n"/>
      <c r="CAV92" s="248" t="n"/>
      <c r="CAW92" s="248" t="n"/>
      <c r="CAX92" s="240" t="n"/>
      <c r="CAY92" s="240" t="n"/>
      <c r="CBA92" s="15" t="n"/>
      <c r="CBB92" s="15" t="n"/>
      <c r="CBC92" s="248" t="n"/>
      <c r="CBD92" s="248" t="n"/>
      <c r="CBE92" s="240" t="n"/>
      <c r="CBF92" s="240" t="n"/>
      <c r="CBH92" s="15" t="n"/>
      <c r="CBI92" s="15" t="n"/>
      <c r="CBJ92" s="248" t="n"/>
      <c r="CBK92" s="248" t="n"/>
      <c r="CBL92" s="240" t="n"/>
      <c r="CBM92" s="240" t="n"/>
      <c r="CBO92" s="15" t="n"/>
      <c r="CBP92" s="15" t="n"/>
      <c r="CBQ92" s="248" t="n"/>
      <c r="CBR92" s="248" t="n"/>
      <c r="CBS92" s="240" t="n"/>
      <c r="CBT92" s="240" t="n"/>
      <c r="CBV92" s="15" t="n"/>
      <c r="CBW92" s="15" t="n"/>
      <c r="CBX92" s="248" t="n"/>
      <c r="CBY92" s="248" t="n"/>
      <c r="CBZ92" s="240" t="n"/>
      <c r="CCA92" s="240" t="n"/>
      <c r="CCC92" s="15" t="n"/>
      <c r="CCD92" s="15" t="n"/>
      <c r="CCE92" s="248" t="n"/>
      <c r="CCF92" s="248" t="n"/>
      <c r="CCG92" s="240" t="n"/>
      <c r="CCH92" s="240" t="n"/>
      <c r="CCJ92" s="15" t="n"/>
      <c r="CCK92" s="15" t="n"/>
      <c r="CCL92" s="248" t="n"/>
      <c r="CCM92" s="248" t="n"/>
      <c r="CCN92" s="240" t="n"/>
      <c r="CCO92" s="240" t="n"/>
      <c r="CCQ92" s="15" t="n"/>
      <c r="CCR92" s="15" t="n"/>
      <c r="CCS92" s="248" t="n"/>
      <c r="CCT92" s="248" t="n"/>
      <c r="CCU92" s="240" t="n"/>
      <c r="CCV92" s="240" t="n"/>
      <c r="CCX92" s="15" t="n"/>
      <c r="CCY92" s="15" t="n"/>
      <c r="CCZ92" s="248" t="n"/>
      <c r="CDA92" s="248" t="n"/>
      <c r="CDB92" s="240" t="n"/>
      <c r="CDC92" s="240" t="n"/>
      <c r="CDE92" s="15" t="n"/>
      <c r="CDF92" s="15" t="n"/>
      <c r="CDG92" s="248" t="n"/>
      <c r="CDH92" s="248" t="n"/>
      <c r="CDI92" s="240" t="n"/>
      <c r="CDJ92" s="240" t="n"/>
      <c r="CDL92" s="15" t="n"/>
      <c r="CDM92" s="15" t="n"/>
      <c r="CDN92" s="248" t="n"/>
      <c r="CDO92" s="248" t="n"/>
      <c r="CDP92" s="240" t="n"/>
      <c r="CDQ92" s="240" t="n"/>
      <c r="CDS92" s="15" t="n"/>
      <c r="CDT92" s="15" t="n"/>
      <c r="CDU92" s="248" t="n"/>
      <c r="CDV92" s="248" t="n"/>
      <c r="CDW92" s="240" t="n"/>
      <c r="CDX92" s="240" t="n"/>
      <c r="CDZ92" s="15" t="n"/>
      <c r="CEA92" s="15" t="n"/>
      <c r="CEB92" s="248" t="n"/>
      <c r="CEC92" s="248" t="n"/>
      <c r="CED92" s="240" t="n"/>
      <c r="CEE92" s="240" t="n"/>
      <c r="CEG92" s="15" t="n"/>
      <c r="CEH92" s="15" t="n"/>
      <c r="CEI92" s="248" t="n"/>
      <c r="CEJ92" s="248" t="n"/>
      <c r="CEK92" s="240" t="n"/>
      <c r="CEL92" s="240" t="n"/>
      <c r="CEN92" s="15" t="n"/>
      <c r="CEO92" s="15" t="n"/>
      <c r="CEP92" s="248" t="n"/>
      <c r="CEQ92" s="248" t="n"/>
      <c r="CER92" s="240" t="n"/>
      <c r="CES92" s="240" t="n"/>
      <c r="CEU92" s="15" t="n"/>
      <c r="CEV92" s="15" t="n"/>
      <c r="CEW92" s="248" t="n"/>
      <c r="CEX92" s="248" t="n"/>
      <c r="CEY92" s="240" t="n"/>
      <c r="CEZ92" s="240" t="n"/>
      <c r="CFB92" s="15" t="n"/>
      <c r="CFC92" s="15" t="n"/>
      <c r="CFD92" s="248" t="n"/>
      <c r="CFE92" s="248" t="n"/>
      <c r="CFF92" s="240" t="n"/>
      <c r="CFG92" s="240" t="n"/>
      <c r="CFI92" s="15" t="n"/>
      <c r="CFJ92" s="15" t="n"/>
      <c r="CFK92" s="248" t="n"/>
      <c r="CFL92" s="248" t="n"/>
      <c r="CFM92" s="240" t="n"/>
      <c r="CFN92" s="240" t="n"/>
      <c r="CFP92" s="15" t="n"/>
      <c r="CFQ92" s="15" t="n"/>
      <c r="CFR92" s="248" t="n"/>
      <c r="CFS92" s="248" t="n"/>
      <c r="CFT92" s="240" t="n"/>
      <c r="CFU92" s="240" t="n"/>
      <c r="CFW92" s="15" t="n"/>
      <c r="CFX92" s="15" t="n"/>
      <c r="CFY92" s="248" t="n"/>
      <c r="CFZ92" s="248" t="n"/>
      <c r="CGA92" s="240" t="n"/>
      <c r="CGB92" s="240" t="n"/>
      <c r="CGD92" s="15" t="n"/>
      <c r="CGE92" s="15" t="n"/>
      <c r="CGF92" s="248" t="n"/>
      <c r="CGG92" s="248" t="n"/>
      <c r="CGH92" s="240" t="n"/>
      <c r="CGI92" s="240" t="n"/>
      <c r="CGK92" s="15" t="n"/>
      <c r="CGL92" s="15" t="n"/>
      <c r="CGM92" s="248" t="n"/>
      <c r="CGN92" s="248" t="n"/>
      <c r="CGO92" s="240" t="n"/>
      <c r="CGP92" s="240" t="n"/>
      <c r="CGR92" s="15" t="n"/>
      <c r="CGS92" s="15" t="n"/>
      <c r="CGT92" s="248" t="n"/>
      <c r="CGU92" s="248" t="n"/>
      <c r="CGV92" s="240" t="n"/>
      <c r="CGW92" s="240" t="n"/>
      <c r="CGY92" s="15" t="n"/>
      <c r="CGZ92" s="15" t="n"/>
      <c r="CHA92" s="248" t="n"/>
      <c r="CHB92" s="248" t="n"/>
      <c r="CHC92" s="240" t="n"/>
      <c r="CHD92" s="240" t="n"/>
      <c r="CHF92" s="15" t="n"/>
      <c r="CHG92" s="15" t="n"/>
      <c r="CHH92" s="248" t="n"/>
      <c r="CHI92" s="248" t="n"/>
      <c r="CHJ92" s="240" t="n"/>
      <c r="CHK92" s="240" t="n"/>
      <c r="CHM92" s="15" t="n"/>
      <c r="CHN92" s="15" t="n"/>
      <c r="CHO92" s="248" t="n"/>
      <c r="CHP92" s="248" t="n"/>
      <c r="CHQ92" s="240" t="n"/>
      <c r="CHR92" s="240" t="n"/>
      <c r="CHT92" s="15" t="n"/>
      <c r="CHU92" s="15" t="n"/>
      <c r="CHV92" s="248" t="n"/>
      <c r="CHW92" s="248" t="n"/>
      <c r="CHX92" s="240" t="n"/>
      <c r="CHY92" s="240" t="n"/>
      <c r="CIA92" s="15" t="n"/>
      <c r="CIB92" s="15" t="n"/>
      <c r="CIC92" s="248" t="n"/>
      <c r="CID92" s="248" t="n"/>
      <c r="CIE92" s="240" t="n"/>
      <c r="CIF92" s="240" t="n"/>
      <c r="CIH92" s="15" t="n"/>
      <c r="CII92" s="15" t="n"/>
      <c r="CIJ92" s="248" t="n"/>
      <c r="CIK92" s="248" t="n"/>
      <c r="CIL92" s="240" t="n"/>
      <c r="CIM92" s="240" t="n"/>
      <c r="CIO92" s="15" t="n"/>
      <c r="CIP92" s="15" t="n"/>
      <c r="CIQ92" s="248" t="n"/>
      <c r="CIR92" s="248" t="n"/>
      <c r="CIS92" s="240" t="n"/>
      <c r="CIT92" s="240" t="n"/>
      <c r="CIV92" s="15" t="n"/>
      <c r="CIW92" s="15" t="n"/>
      <c r="CIX92" s="248" t="n"/>
      <c r="CIY92" s="248" t="n"/>
      <c r="CIZ92" s="240" t="n"/>
      <c r="CJA92" s="240" t="n"/>
      <c r="CJC92" s="15" t="n"/>
      <c r="CJD92" s="15" t="n"/>
      <c r="CJE92" s="248" t="n"/>
      <c r="CJF92" s="248" t="n"/>
      <c r="CJG92" s="240" t="n"/>
      <c r="CJH92" s="240" t="n"/>
      <c r="CJJ92" s="15" t="n"/>
      <c r="CJK92" s="15" t="n"/>
      <c r="CJL92" s="248" t="n"/>
      <c r="CJM92" s="248" t="n"/>
      <c r="CJN92" s="240" t="n"/>
      <c r="CJO92" s="240" t="n"/>
      <c r="CJQ92" s="15" t="n"/>
      <c r="CJR92" s="15" t="n"/>
      <c r="CJS92" s="248" t="n"/>
      <c r="CJT92" s="248" t="n"/>
      <c r="CJU92" s="240" t="n"/>
      <c r="CJV92" s="240" t="n"/>
      <c r="CJX92" s="15" t="n"/>
      <c r="CJY92" s="15" t="n"/>
      <c r="CJZ92" s="248" t="n"/>
      <c r="CKA92" s="248" t="n"/>
      <c r="CKB92" s="240" t="n"/>
      <c r="CKC92" s="240" t="n"/>
      <c r="CKE92" s="15" t="n"/>
      <c r="CKF92" s="15" t="n"/>
      <c r="CKG92" s="248" t="n"/>
      <c r="CKH92" s="248" t="n"/>
      <c r="CKI92" s="240" t="n"/>
      <c r="CKJ92" s="240" t="n"/>
      <c r="CKL92" s="15" t="n"/>
      <c r="CKM92" s="15" t="n"/>
      <c r="CKN92" s="248" t="n"/>
      <c r="CKO92" s="248" t="n"/>
      <c r="CKP92" s="240" t="n"/>
      <c r="CKQ92" s="240" t="n"/>
      <c r="CKS92" s="15" t="n"/>
      <c r="CKT92" s="15" t="n"/>
      <c r="CKU92" s="248" t="n"/>
      <c r="CKV92" s="248" t="n"/>
      <c r="CKW92" s="240" t="n"/>
      <c r="CKX92" s="240" t="n"/>
      <c r="CKZ92" s="15" t="n"/>
      <c r="CLA92" s="15" t="n"/>
      <c r="CLB92" s="248" t="n"/>
      <c r="CLC92" s="248" t="n"/>
      <c r="CLD92" s="240" t="n"/>
      <c r="CLE92" s="240" t="n"/>
      <c r="CLG92" s="15" t="n"/>
      <c r="CLH92" s="15" t="n"/>
      <c r="CLI92" s="248" t="n"/>
      <c r="CLJ92" s="248" t="n"/>
      <c r="CLK92" s="240" t="n"/>
      <c r="CLL92" s="240" t="n"/>
      <c r="CLN92" s="15" t="n"/>
      <c r="CLO92" s="15" t="n"/>
      <c r="CLP92" s="248" t="n"/>
      <c r="CLQ92" s="248" t="n"/>
      <c r="CLR92" s="240" t="n"/>
      <c r="CLS92" s="240" t="n"/>
      <c r="CLU92" s="15" t="n"/>
      <c r="CLV92" s="15" t="n"/>
      <c r="CLW92" s="248" t="n"/>
      <c r="CLX92" s="248" t="n"/>
      <c r="CLY92" s="240" t="n"/>
      <c r="CLZ92" s="240" t="n"/>
      <c r="CMB92" s="15" t="n"/>
      <c r="CMC92" s="15" t="n"/>
      <c r="CMD92" s="248" t="n"/>
      <c r="CME92" s="248" t="n"/>
      <c r="CMF92" s="240" t="n"/>
      <c r="CMG92" s="240" t="n"/>
      <c r="CMI92" s="15" t="n"/>
      <c r="CMJ92" s="15" t="n"/>
      <c r="CMK92" s="248" t="n"/>
      <c r="CML92" s="248" t="n"/>
      <c r="CMM92" s="240" t="n"/>
      <c r="CMN92" s="240" t="n"/>
      <c r="CMP92" s="15" t="n"/>
      <c r="CMQ92" s="15" t="n"/>
      <c r="CMR92" s="248" t="n"/>
      <c r="CMS92" s="248" t="n"/>
      <c r="CMT92" s="240" t="n"/>
      <c r="CMU92" s="240" t="n"/>
      <c r="CMW92" s="15" t="n"/>
      <c r="CMX92" s="15" t="n"/>
      <c r="CMY92" s="248" t="n"/>
      <c r="CMZ92" s="248" t="n"/>
      <c r="CNA92" s="240" t="n"/>
      <c r="CNB92" s="240" t="n"/>
      <c r="CND92" s="15" t="n"/>
      <c r="CNE92" s="15" t="n"/>
      <c r="CNF92" s="248" t="n"/>
      <c r="CNG92" s="248" t="n"/>
      <c r="CNH92" s="240" t="n"/>
      <c r="CNI92" s="240" t="n"/>
      <c r="CNK92" s="15" t="n"/>
      <c r="CNL92" s="15" t="n"/>
      <c r="CNM92" s="248" t="n"/>
      <c r="CNN92" s="248" t="n"/>
      <c r="CNO92" s="240" t="n"/>
      <c r="CNP92" s="240" t="n"/>
      <c r="CNR92" s="15" t="n"/>
      <c r="CNS92" s="15" t="n"/>
      <c r="CNT92" s="248" t="n"/>
      <c r="CNU92" s="248" t="n"/>
      <c r="CNV92" s="240" t="n"/>
      <c r="CNW92" s="240" t="n"/>
      <c r="CNY92" s="15" t="n"/>
      <c r="CNZ92" s="15" t="n"/>
      <c r="COA92" s="248" t="n"/>
      <c r="COB92" s="248" t="n"/>
      <c r="COC92" s="240" t="n"/>
      <c r="COD92" s="240" t="n"/>
      <c r="COF92" s="15" t="n"/>
      <c r="COG92" s="15" t="n"/>
      <c r="COH92" s="248" t="n"/>
      <c r="COI92" s="248" t="n"/>
      <c r="COJ92" s="240" t="n"/>
      <c r="COK92" s="240" t="n"/>
      <c r="COM92" s="15" t="n"/>
      <c r="CON92" s="15" t="n"/>
      <c r="COO92" s="248" t="n"/>
      <c r="COP92" s="248" t="n"/>
      <c r="COQ92" s="240" t="n"/>
      <c r="COR92" s="240" t="n"/>
      <c r="COT92" s="15" t="n"/>
      <c r="COU92" s="15" t="n"/>
      <c r="COV92" s="248" t="n"/>
      <c r="COW92" s="248" t="n"/>
      <c r="COX92" s="240" t="n"/>
      <c r="COY92" s="240" t="n"/>
      <c r="CPA92" s="15" t="n"/>
      <c r="CPB92" s="15" t="n"/>
      <c r="CPC92" s="248" t="n"/>
      <c r="CPD92" s="248" t="n"/>
      <c r="CPE92" s="240" t="n"/>
      <c r="CPF92" s="240" t="n"/>
      <c r="CPH92" s="15" t="n"/>
      <c r="CPI92" s="15" t="n"/>
      <c r="CPJ92" s="248" t="n"/>
      <c r="CPK92" s="248" t="n"/>
      <c r="CPL92" s="240" t="n"/>
      <c r="CPM92" s="240" t="n"/>
      <c r="CPO92" s="15" t="n"/>
      <c r="CPP92" s="15" t="n"/>
      <c r="CPQ92" s="248" t="n"/>
      <c r="CPR92" s="248" t="n"/>
      <c r="CPS92" s="240" t="n"/>
      <c r="CPT92" s="240" t="n"/>
      <c r="CPV92" s="15" t="n"/>
      <c r="CPW92" s="15" t="n"/>
      <c r="CPX92" s="248" t="n"/>
      <c r="CPY92" s="248" t="n"/>
      <c r="CPZ92" s="240" t="n"/>
      <c r="CQA92" s="240" t="n"/>
      <c r="CQC92" s="15" t="n"/>
      <c r="CQD92" s="15" t="n"/>
      <c r="CQE92" s="248" t="n"/>
      <c r="CQF92" s="248" t="n"/>
      <c r="CQG92" s="240" t="n"/>
      <c r="CQH92" s="240" t="n"/>
      <c r="CQJ92" s="15" t="n"/>
      <c r="CQK92" s="15" t="n"/>
      <c r="CQL92" s="248" t="n"/>
      <c r="CQM92" s="248" t="n"/>
      <c r="CQN92" s="240" t="n"/>
      <c r="CQO92" s="240" t="n"/>
      <c r="CQQ92" s="15" t="n"/>
      <c r="CQR92" s="15" t="n"/>
      <c r="CQS92" s="248" t="n"/>
      <c r="CQT92" s="248" t="n"/>
      <c r="CQU92" s="240" t="n"/>
      <c r="CQV92" s="240" t="n"/>
      <c r="CQX92" s="15" t="n"/>
      <c r="CQY92" s="15" t="n"/>
      <c r="CQZ92" s="248" t="n"/>
      <c r="CRA92" s="248" t="n"/>
      <c r="CRB92" s="240" t="n"/>
      <c r="CRC92" s="240" t="n"/>
      <c r="CRE92" s="15" t="n"/>
      <c r="CRF92" s="15" t="n"/>
      <c r="CRG92" s="248" t="n"/>
      <c r="CRH92" s="248" t="n"/>
      <c r="CRI92" s="240" t="n"/>
      <c r="CRJ92" s="240" t="n"/>
      <c r="CRL92" s="15" t="n"/>
      <c r="CRM92" s="15" t="n"/>
      <c r="CRN92" s="248" t="n"/>
      <c r="CRO92" s="248" t="n"/>
      <c r="CRP92" s="240" t="n"/>
      <c r="CRQ92" s="240" t="n"/>
      <c r="CRS92" s="15" t="n"/>
      <c r="CRT92" s="15" t="n"/>
      <c r="CRU92" s="248" t="n"/>
      <c r="CRV92" s="248" t="n"/>
      <c r="CRW92" s="240" t="n"/>
      <c r="CRX92" s="240" t="n"/>
      <c r="CRZ92" s="15" t="n"/>
      <c r="CSA92" s="15" t="n"/>
      <c r="CSB92" s="248" t="n"/>
      <c r="CSC92" s="248" t="n"/>
      <c r="CSD92" s="240" t="n"/>
      <c r="CSE92" s="240" t="n"/>
      <c r="CSG92" s="15" t="n"/>
      <c r="CSH92" s="15" t="n"/>
      <c r="CSI92" s="248" t="n"/>
      <c r="CSJ92" s="248" t="n"/>
      <c r="CSK92" s="240" t="n"/>
      <c r="CSL92" s="240" t="n"/>
      <c r="CSN92" s="15" t="n"/>
      <c r="CSO92" s="15" t="n"/>
      <c r="CSP92" s="248" t="n"/>
      <c r="CSQ92" s="248" t="n"/>
      <c r="CSR92" s="240" t="n"/>
      <c r="CSS92" s="240" t="n"/>
      <c r="CSU92" s="15" t="n"/>
      <c r="CSV92" s="15" t="n"/>
      <c r="CSW92" s="248" t="n"/>
      <c r="CSX92" s="248" t="n"/>
      <c r="CSY92" s="240" t="n"/>
      <c r="CSZ92" s="240" t="n"/>
      <c r="CTB92" s="15" t="n"/>
      <c r="CTC92" s="15" t="n"/>
      <c r="CTD92" s="248" t="n"/>
      <c r="CTE92" s="248" t="n"/>
      <c r="CTF92" s="240" t="n"/>
      <c r="CTG92" s="240" t="n"/>
      <c r="CTI92" s="15" t="n"/>
      <c r="CTJ92" s="15" t="n"/>
      <c r="CTK92" s="248" t="n"/>
      <c r="CTL92" s="248" t="n"/>
      <c r="CTM92" s="240" t="n"/>
      <c r="CTN92" s="240" t="n"/>
      <c r="CTP92" s="15" t="n"/>
      <c r="CTQ92" s="15" t="n"/>
      <c r="CTR92" s="248" t="n"/>
      <c r="CTS92" s="248" t="n"/>
      <c r="CTT92" s="240" t="n"/>
      <c r="CTU92" s="240" t="n"/>
      <c r="CTW92" s="15" t="n"/>
      <c r="CTX92" s="15" t="n"/>
      <c r="CTY92" s="248" t="n"/>
      <c r="CTZ92" s="248" t="n"/>
      <c r="CUA92" s="240" t="n"/>
      <c r="CUB92" s="240" t="n"/>
      <c r="CUD92" s="15" t="n"/>
      <c r="CUE92" s="15" t="n"/>
      <c r="CUF92" s="248" t="n"/>
      <c r="CUG92" s="248" t="n"/>
      <c r="CUH92" s="240" t="n"/>
      <c r="CUI92" s="240" t="n"/>
      <c r="CUK92" s="15" t="n"/>
      <c r="CUL92" s="15" t="n"/>
      <c r="CUM92" s="248" t="n"/>
      <c r="CUN92" s="248" t="n"/>
      <c r="CUO92" s="240" t="n"/>
      <c r="CUP92" s="240" t="n"/>
      <c r="CUR92" s="15" t="n"/>
      <c r="CUS92" s="15" t="n"/>
      <c r="CUT92" s="248" t="n"/>
      <c r="CUU92" s="248" t="n"/>
      <c r="CUV92" s="240" t="n"/>
      <c r="CUW92" s="240" t="n"/>
      <c r="CUY92" s="15" t="n"/>
      <c r="CUZ92" s="15" t="n"/>
      <c r="CVA92" s="248" t="n"/>
      <c r="CVB92" s="248" t="n"/>
      <c r="CVC92" s="240" t="n"/>
      <c r="CVD92" s="240" t="n"/>
      <c r="CVF92" s="15" t="n"/>
      <c r="CVG92" s="15" t="n"/>
      <c r="CVH92" s="248" t="n"/>
      <c r="CVI92" s="248" t="n"/>
      <c r="CVJ92" s="240" t="n"/>
      <c r="CVK92" s="240" t="n"/>
      <c r="CVM92" s="15" t="n"/>
      <c r="CVN92" s="15" t="n"/>
      <c r="CVO92" s="248" t="n"/>
      <c r="CVP92" s="248" t="n"/>
      <c r="CVQ92" s="240" t="n"/>
      <c r="CVR92" s="240" t="n"/>
      <c r="CVT92" s="15" t="n"/>
      <c r="CVU92" s="15" t="n"/>
      <c r="CVV92" s="248" t="n"/>
      <c r="CVW92" s="248" t="n"/>
      <c r="CVX92" s="240" t="n"/>
      <c r="CVY92" s="240" t="n"/>
      <c r="CWA92" s="15" t="n"/>
      <c r="CWB92" s="15" t="n"/>
      <c r="CWC92" s="248" t="n"/>
      <c r="CWD92" s="248" t="n"/>
      <c r="CWE92" s="240" t="n"/>
      <c r="CWF92" s="240" t="n"/>
      <c r="CWH92" s="15" t="n"/>
      <c r="CWI92" s="15" t="n"/>
      <c r="CWJ92" s="248" t="n"/>
      <c r="CWK92" s="248" t="n"/>
      <c r="CWL92" s="240" t="n"/>
      <c r="CWM92" s="240" t="n"/>
      <c r="CWO92" s="15" t="n"/>
      <c r="CWP92" s="15" t="n"/>
      <c r="CWQ92" s="248" t="n"/>
      <c r="CWR92" s="248" t="n"/>
      <c r="CWS92" s="240" t="n"/>
      <c r="CWT92" s="240" t="n"/>
      <c r="CWV92" s="15" t="n"/>
      <c r="CWW92" s="15" t="n"/>
      <c r="CWX92" s="248" t="n"/>
      <c r="CWY92" s="248" t="n"/>
      <c r="CWZ92" s="240" t="n"/>
      <c r="CXA92" s="240" t="n"/>
      <c r="CXC92" s="15" t="n"/>
      <c r="CXD92" s="15" t="n"/>
      <c r="CXE92" s="248" t="n"/>
      <c r="CXF92" s="248" t="n"/>
      <c r="CXG92" s="240" t="n"/>
      <c r="CXH92" s="240" t="n"/>
      <c r="CXJ92" s="15" t="n"/>
      <c r="CXK92" s="15" t="n"/>
      <c r="CXL92" s="248" t="n"/>
      <c r="CXM92" s="248" t="n"/>
      <c r="CXN92" s="240" t="n"/>
      <c r="CXO92" s="240" t="n"/>
      <c r="CXQ92" s="15" t="n"/>
      <c r="CXR92" s="15" t="n"/>
      <c r="CXS92" s="248" t="n"/>
      <c r="CXT92" s="248" t="n"/>
      <c r="CXU92" s="240" t="n"/>
      <c r="CXV92" s="240" t="n"/>
      <c r="CXX92" s="15" t="n"/>
      <c r="CXY92" s="15" t="n"/>
      <c r="CXZ92" s="248" t="n"/>
      <c r="CYA92" s="248" t="n"/>
      <c r="CYB92" s="240" t="n"/>
      <c r="CYC92" s="240" t="n"/>
      <c r="CYE92" s="15" t="n"/>
      <c r="CYF92" s="15" t="n"/>
      <c r="CYG92" s="248" t="n"/>
      <c r="CYH92" s="248" t="n"/>
      <c r="CYI92" s="240" t="n"/>
      <c r="CYJ92" s="240" t="n"/>
      <c r="CYL92" s="15" t="n"/>
      <c r="CYM92" s="15" t="n"/>
      <c r="CYN92" s="248" t="n"/>
      <c r="CYO92" s="248" t="n"/>
      <c r="CYP92" s="240" t="n"/>
      <c r="CYQ92" s="240" t="n"/>
      <c r="CYS92" s="15" t="n"/>
      <c r="CYT92" s="15" t="n"/>
      <c r="CYU92" s="248" t="n"/>
      <c r="CYV92" s="248" t="n"/>
      <c r="CYW92" s="240" t="n"/>
      <c r="CYX92" s="240" t="n"/>
      <c r="CYZ92" s="15" t="n"/>
      <c r="CZA92" s="15" t="n"/>
      <c r="CZB92" s="248" t="n"/>
      <c r="CZC92" s="248" t="n"/>
      <c r="CZD92" s="240" t="n"/>
      <c r="CZE92" s="240" t="n"/>
      <c r="CZG92" s="15" t="n"/>
      <c r="CZH92" s="15" t="n"/>
      <c r="CZI92" s="248" t="n"/>
      <c r="CZJ92" s="248" t="n"/>
      <c r="CZK92" s="240" t="n"/>
      <c r="CZL92" s="240" t="n"/>
      <c r="CZN92" s="15" t="n"/>
      <c r="CZO92" s="15" t="n"/>
      <c r="CZP92" s="248" t="n"/>
      <c r="CZQ92" s="248" t="n"/>
      <c r="CZR92" s="240" t="n"/>
      <c r="CZS92" s="240" t="n"/>
      <c r="CZU92" s="15" t="n"/>
      <c r="CZV92" s="15" t="n"/>
      <c r="CZW92" s="248" t="n"/>
      <c r="CZX92" s="248" t="n"/>
      <c r="CZY92" s="240" t="n"/>
      <c r="CZZ92" s="240" t="n"/>
      <c r="DAB92" s="15" t="n"/>
      <c r="DAC92" s="15" t="n"/>
      <c r="DAD92" s="248" t="n"/>
      <c r="DAE92" s="248" t="n"/>
      <c r="DAF92" s="240" t="n"/>
      <c r="DAG92" s="240" t="n"/>
      <c r="DAI92" s="15" t="n"/>
      <c r="DAJ92" s="15" t="n"/>
      <c r="DAK92" s="248" t="n"/>
      <c r="DAL92" s="248" t="n"/>
      <c r="DAM92" s="240" t="n"/>
      <c r="DAN92" s="240" t="n"/>
      <c r="DAP92" s="15" t="n"/>
      <c r="DAQ92" s="15" t="n"/>
      <c r="DAR92" s="248" t="n"/>
      <c r="DAS92" s="248" t="n"/>
      <c r="DAT92" s="240" t="n"/>
      <c r="DAU92" s="240" t="n"/>
      <c r="DAW92" s="15" t="n"/>
      <c r="DAX92" s="15" t="n"/>
      <c r="DAY92" s="248" t="n"/>
      <c r="DAZ92" s="248" t="n"/>
      <c r="DBA92" s="240" t="n"/>
      <c r="DBB92" s="240" t="n"/>
      <c r="DBD92" s="15" t="n"/>
      <c r="DBE92" s="15" t="n"/>
      <c r="DBF92" s="248" t="n"/>
      <c r="DBG92" s="248" t="n"/>
      <c r="DBH92" s="240" t="n"/>
      <c r="DBI92" s="240" t="n"/>
      <c r="DBK92" s="15" t="n"/>
      <c r="DBL92" s="15" t="n"/>
      <c r="DBM92" s="248" t="n"/>
      <c r="DBN92" s="248" t="n"/>
      <c r="DBO92" s="240" t="n"/>
      <c r="DBP92" s="240" t="n"/>
      <c r="DBR92" s="15" t="n"/>
      <c r="DBS92" s="15" t="n"/>
      <c r="DBT92" s="248" t="n"/>
      <c r="DBU92" s="248" t="n"/>
      <c r="DBV92" s="240" t="n"/>
      <c r="DBW92" s="240" t="n"/>
      <c r="DBY92" s="15" t="n"/>
      <c r="DBZ92" s="15" t="n"/>
      <c r="DCA92" s="248" t="n"/>
      <c r="DCB92" s="248" t="n"/>
      <c r="DCC92" s="240" t="n"/>
      <c r="DCD92" s="240" t="n"/>
      <c r="DCF92" s="15" t="n"/>
      <c r="DCG92" s="15" t="n"/>
      <c r="DCH92" s="248" t="n"/>
      <c r="DCI92" s="248" t="n"/>
      <c r="DCJ92" s="240" t="n"/>
      <c r="DCK92" s="240" t="n"/>
      <c r="DCM92" s="15" t="n"/>
      <c r="DCN92" s="15" t="n"/>
      <c r="DCO92" s="248" t="n"/>
      <c r="DCP92" s="248" t="n"/>
      <c r="DCQ92" s="240" t="n"/>
      <c r="DCR92" s="240" t="n"/>
      <c r="DCT92" s="15" t="n"/>
      <c r="DCU92" s="15" t="n"/>
      <c r="DCV92" s="248" t="n"/>
      <c r="DCW92" s="248" t="n"/>
      <c r="DCX92" s="240" t="n"/>
      <c r="DCY92" s="240" t="n"/>
      <c r="DDA92" s="15" t="n"/>
      <c r="DDB92" s="15" t="n"/>
      <c r="DDC92" s="248" t="n"/>
      <c r="DDD92" s="248" t="n"/>
      <c r="DDE92" s="240" t="n"/>
      <c r="DDF92" s="240" t="n"/>
      <c r="DDH92" s="15" t="n"/>
      <c r="DDI92" s="15" t="n"/>
      <c r="DDJ92" s="248" t="n"/>
      <c r="DDK92" s="248" t="n"/>
      <c r="DDL92" s="240" t="n"/>
      <c r="DDM92" s="240" t="n"/>
      <c r="DDO92" s="15" t="n"/>
      <c r="DDP92" s="15" t="n"/>
      <c r="DDQ92" s="248" t="n"/>
      <c r="DDR92" s="248" t="n"/>
      <c r="DDS92" s="240" t="n"/>
      <c r="DDT92" s="240" t="n"/>
      <c r="DDV92" s="15" t="n"/>
      <c r="DDW92" s="15" t="n"/>
      <c r="DDX92" s="248" t="n"/>
      <c r="DDY92" s="248" t="n"/>
      <c r="DDZ92" s="240" t="n"/>
      <c r="DEA92" s="240" t="n"/>
      <c r="DEC92" s="15" t="n"/>
      <c r="DED92" s="15" t="n"/>
      <c r="DEE92" s="248" t="n"/>
      <c r="DEF92" s="248" t="n"/>
      <c r="DEG92" s="240" t="n"/>
      <c r="DEH92" s="240" t="n"/>
      <c r="DEJ92" s="15" t="n"/>
      <c r="DEK92" s="15" t="n"/>
      <c r="DEL92" s="248" t="n"/>
      <c r="DEM92" s="248" t="n"/>
      <c r="DEN92" s="240" t="n"/>
      <c r="DEO92" s="240" t="n"/>
      <c r="DEQ92" s="15" t="n"/>
      <c r="DER92" s="15" t="n"/>
      <c r="DES92" s="248" t="n"/>
      <c r="DET92" s="248" t="n"/>
      <c r="DEU92" s="240" t="n"/>
      <c r="DEV92" s="240" t="n"/>
      <c r="DEX92" s="15" t="n"/>
      <c r="DEY92" s="15" t="n"/>
      <c r="DEZ92" s="248" t="n"/>
      <c r="DFA92" s="248" t="n"/>
      <c r="DFB92" s="240" t="n"/>
      <c r="DFC92" s="240" t="n"/>
      <c r="DFE92" s="15" t="n"/>
      <c r="DFF92" s="15" t="n"/>
      <c r="DFG92" s="248" t="n"/>
      <c r="DFH92" s="248" t="n"/>
      <c r="DFI92" s="240" t="n"/>
      <c r="DFJ92" s="240" t="n"/>
      <c r="DFL92" s="15" t="n"/>
      <c r="DFM92" s="15" t="n"/>
      <c r="DFN92" s="248" t="n"/>
      <c r="DFO92" s="248" t="n"/>
      <c r="DFP92" s="240" t="n"/>
      <c r="DFQ92" s="240" t="n"/>
      <c r="DFS92" s="15" t="n"/>
      <c r="DFT92" s="15" t="n"/>
      <c r="DFU92" s="248" t="n"/>
      <c r="DFV92" s="248" t="n"/>
      <c r="DFW92" s="240" t="n"/>
      <c r="DFX92" s="240" t="n"/>
      <c r="DFZ92" s="15" t="n"/>
      <c r="DGA92" s="15" t="n"/>
      <c r="DGB92" s="248" t="n"/>
      <c r="DGC92" s="248" t="n"/>
      <c r="DGD92" s="240" t="n"/>
      <c r="DGE92" s="240" t="n"/>
      <c r="DGG92" s="15" t="n"/>
      <c r="DGH92" s="15" t="n"/>
      <c r="DGI92" s="248" t="n"/>
      <c r="DGJ92" s="248" t="n"/>
      <c r="DGK92" s="240" t="n"/>
      <c r="DGL92" s="240" t="n"/>
      <c r="DGN92" s="15" t="n"/>
      <c r="DGO92" s="15" t="n"/>
      <c r="DGP92" s="248" t="n"/>
      <c r="DGQ92" s="248" t="n"/>
      <c r="DGR92" s="240" t="n"/>
      <c r="DGS92" s="240" t="n"/>
      <c r="DGU92" s="15" t="n"/>
      <c r="DGV92" s="15" t="n"/>
      <c r="DGW92" s="248" t="n"/>
      <c r="DGX92" s="248" t="n"/>
      <c r="DGY92" s="240" t="n"/>
      <c r="DGZ92" s="240" t="n"/>
      <c r="DHB92" s="15" t="n"/>
      <c r="DHC92" s="15" t="n"/>
      <c r="DHD92" s="248" t="n"/>
      <c r="DHE92" s="248" t="n"/>
      <c r="DHF92" s="240" t="n"/>
      <c r="DHG92" s="240" t="n"/>
      <c r="DHI92" s="15" t="n"/>
      <c r="DHJ92" s="15" t="n"/>
      <c r="DHK92" s="248" t="n"/>
      <c r="DHL92" s="248" t="n"/>
      <c r="DHM92" s="240" t="n"/>
      <c r="DHN92" s="240" t="n"/>
      <c r="DHP92" s="15" t="n"/>
      <c r="DHQ92" s="15" t="n"/>
      <c r="DHR92" s="248" t="n"/>
      <c r="DHS92" s="248" t="n"/>
      <c r="DHT92" s="240" t="n"/>
      <c r="DHU92" s="240" t="n"/>
      <c r="DHW92" s="15" t="n"/>
      <c r="DHX92" s="15" t="n"/>
      <c r="DHY92" s="248" t="n"/>
      <c r="DHZ92" s="248" t="n"/>
      <c r="DIA92" s="240" t="n"/>
      <c r="DIB92" s="240" t="n"/>
      <c r="DID92" s="15" t="n"/>
      <c r="DIE92" s="15" t="n"/>
      <c r="DIF92" s="248" t="n"/>
      <c r="DIG92" s="248" t="n"/>
      <c r="DIH92" s="240" t="n"/>
      <c r="DII92" s="240" t="n"/>
      <c r="DIK92" s="15" t="n"/>
      <c r="DIL92" s="15" t="n"/>
      <c r="DIM92" s="248" t="n"/>
      <c r="DIN92" s="248" t="n"/>
      <c r="DIO92" s="240" t="n"/>
      <c r="DIP92" s="240" t="n"/>
      <c r="DIR92" s="15" t="n"/>
      <c r="DIS92" s="15" t="n"/>
      <c r="DIT92" s="248" t="n"/>
      <c r="DIU92" s="248" t="n"/>
      <c r="DIV92" s="240" t="n"/>
      <c r="DIW92" s="240" t="n"/>
      <c r="DIY92" s="15" t="n"/>
      <c r="DIZ92" s="15" t="n"/>
      <c r="DJA92" s="248" t="n"/>
      <c r="DJB92" s="248" t="n"/>
      <c r="DJC92" s="240" t="n"/>
      <c r="DJD92" s="240" t="n"/>
      <c r="DJF92" s="15" t="n"/>
      <c r="DJG92" s="15" t="n"/>
      <c r="DJH92" s="248" t="n"/>
      <c r="DJI92" s="248" t="n"/>
      <c r="DJJ92" s="240" t="n"/>
      <c r="DJK92" s="240" t="n"/>
      <c r="DJM92" s="15" t="n"/>
      <c r="DJN92" s="15" t="n"/>
      <c r="DJO92" s="248" t="n"/>
      <c r="DJP92" s="248" t="n"/>
      <c r="DJQ92" s="240" t="n"/>
      <c r="DJR92" s="240" t="n"/>
      <c r="DJT92" s="15" t="n"/>
      <c r="DJU92" s="15" t="n"/>
      <c r="DJV92" s="248" t="n"/>
      <c r="DJW92" s="248" t="n"/>
      <c r="DJX92" s="240" t="n"/>
      <c r="DJY92" s="240" t="n"/>
      <c r="DKA92" s="15" t="n"/>
      <c r="DKB92" s="15" t="n"/>
      <c r="DKC92" s="248" t="n"/>
      <c r="DKD92" s="248" t="n"/>
      <c r="DKE92" s="240" t="n"/>
      <c r="DKF92" s="240" t="n"/>
      <c r="DKH92" s="15" t="n"/>
      <c r="DKI92" s="15" t="n"/>
      <c r="DKJ92" s="248" t="n"/>
      <c r="DKK92" s="248" t="n"/>
      <c r="DKL92" s="240" t="n"/>
      <c r="DKM92" s="240" t="n"/>
      <c r="DKO92" s="15" t="n"/>
      <c r="DKP92" s="15" t="n"/>
      <c r="DKQ92" s="248" t="n"/>
      <c r="DKR92" s="248" t="n"/>
      <c r="DKS92" s="240" t="n"/>
      <c r="DKT92" s="240" t="n"/>
      <c r="DKV92" s="15" t="n"/>
      <c r="DKW92" s="15" t="n"/>
      <c r="DKX92" s="248" t="n"/>
      <c r="DKY92" s="248" t="n"/>
      <c r="DKZ92" s="240" t="n"/>
      <c r="DLA92" s="240" t="n"/>
      <c r="DLC92" s="15" t="n"/>
      <c r="DLD92" s="15" t="n"/>
      <c r="DLE92" s="248" t="n"/>
      <c r="DLF92" s="248" t="n"/>
      <c r="DLG92" s="240" t="n"/>
      <c r="DLH92" s="240" t="n"/>
      <c r="DLJ92" s="15" t="n"/>
      <c r="DLK92" s="15" t="n"/>
      <c r="DLL92" s="248" t="n"/>
      <c r="DLM92" s="248" t="n"/>
      <c r="DLN92" s="240" t="n"/>
      <c r="DLO92" s="240" t="n"/>
      <c r="DLQ92" s="15" t="n"/>
      <c r="DLR92" s="15" t="n"/>
      <c r="DLS92" s="248" t="n"/>
      <c r="DLT92" s="248" t="n"/>
      <c r="DLU92" s="240" t="n"/>
      <c r="DLV92" s="240" t="n"/>
      <c r="DLX92" s="15" t="n"/>
      <c r="DLY92" s="15" t="n"/>
      <c r="DLZ92" s="248" t="n"/>
      <c r="DMA92" s="248" t="n"/>
      <c r="DMB92" s="240" t="n"/>
      <c r="DMC92" s="240" t="n"/>
      <c r="DME92" s="15" t="n"/>
      <c r="DMF92" s="15" t="n"/>
      <c r="DMG92" s="248" t="n"/>
      <c r="DMH92" s="248" t="n"/>
      <c r="DMI92" s="240" t="n"/>
      <c r="DMJ92" s="240" t="n"/>
      <c r="DML92" s="15" t="n"/>
      <c r="DMM92" s="15" t="n"/>
      <c r="DMN92" s="248" t="n"/>
      <c r="DMO92" s="248" t="n"/>
      <c r="DMP92" s="240" t="n"/>
      <c r="DMQ92" s="240" t="n"/>
      <c r="DMS92" s="15" t="n"/>
      <c r="DMT92" s="15" t="n"/>
      <c r="DMU92" s="248" t="n"/>
      <c r="DMV92" s="248" t="n"/>
      <c r="DMW92" s="240" t="n"/>
      <c r="DMX92" s="240" t="n"/>
      <c r="DMZ92" s="15" t="n"/>
      <c r="DNA92" s="15" t="n"/>
      <c r="DNB92" s="248" t="n"/>
      <c r="DNC92" s="248" t="n"/>
      <c r="DND92" s="240" t="n"/>
      <c r="DNE92" s="240" t="n"/>
      <c r="DNG92" s="15" t="n"/>
      <c r="DNH92" s="15" t="n"/>
      <c r="DNI92" s="248" t="n"/>
      <c r="DNJ92" s="248" t="n"/>
      <c r="DNK92" s="240" t="n"/>
      <c r="DNL92" s="240" t="n"/>
      <c r="DNN92" s="15" t="n"/>
      <c r="DNO92" s="15" t="n"/>
      <c r="DNP92" s="248" t="n"/>
      <c r="DNQ92" s="248" t="n"/>
      <c r="DNR92" s="240" t="n"/>
      <c r="DNS92" s="240" t="n"/>
      <c r="DNU92" s="15" t="n"/>
      <c r="DNV92" s="15" t="n"/>
      <c r="DNW92" s="248" t="n"/>
      <c r="DNX92" s="248" t="n"/>
      <c r="DNY92" s="240" t="n"/>
      <c r="DNZ92" s="240" t="n"/>
      <c r="DOB92" s="15" t="n"/>
      <c r="DOC92" s="15" t="n"/>
      <c r="DOD92" s="248" t="n"/>
      <c r="DOE92" s="248" t="n"/>
      <c r="DOF92" s="240" t="n"/>
      <c r="DOG92" s="240" t="n"/>
      <c r="DOI92" s="15" t="n"/>
      <c r="DOJ92" s="15" t="n"/>
      <c r="DOK92" s="248" t="n"/>
      <c r="DOL92" s="248" t="n"/>
      <c r="DOM92" s="240" t="n"/>
      <c r="DON92" s="240" t="n"/>
      <c r="DOP92" s="15" t="n"/>
      <c r="DOQ92" s="15" t="n"/>
      <c r="DOR92" s="248" t="n"/>
      <c r="DOS92" s="248" t="n"/>
      <c r="DOT92" s="240" t="n"/>
      <c r="DOU92" s="240" t="n"/>
      <c r="DOW92" s="15" t="n"/>
      <c r="DOX92" s="15" t="n"/>
      <c r="DOY92" s="248" t="n"/>
      <c r="DOZ92" s="248" t="n"/>
      <c r="DPA92" s="240" t="n"/>
      <c r="DPB92" s="240" t="n"/>
      <c r="DPD92" s="15" t="n"/>
      <c r="DPE92" s="15" t="n"/>
      <c r="DPF92" s="248" t="n"/>
      <c r="DPG92" s="248" t="n"/>
      <c r="DPH92" s="240" t="n"/>
      <c r="DPI92" s="240" t="n"/>
      <c r="DPK92" s="15" t="n"/>
      <c r="DPL92" s="15" t="n"/>
      <c r="DPM92" s="248" t="n"/>
      <c r="DPN92" s="248" t="n"/>
      <c r="DPO92" s="240" t="n"/>
      <c r="DPP92" s="240" t="n"/>
      <c r="DPR92" s="15" t="n"/>
      <c r="DPS92" s="15" t="n"/>
      <c r="DPT92" s="248" t="n"/>
      <c r="DPU92" s="248" t="n"/>
      <c r="DPV92" s="240" t="n"/>
      <c r="DPW92" s="240" t="n"/>
      <c r="DPY92" s="15" t="n"/>
      <c r="DPZ92" s="15" t="n"/>
      <c r="DQA92" s="248" t="n"/>
      <c r="DQB92" s="248" t="n"/>
      <c r="DQC92" s="240" t="n"/>
      <c r="DQD92" s="240" t="n"/>
      <c r="DQF92" s="15" t="n"/>
      <c r="DQG92" s="15" t="n"/>
      <c r="DQH92" s="248" t="n"/>
      <c r="DQI92" s="248" t="n"/>
      <c r="DQJ92" s="240" t="n"/>
      <c r="DQK92" s="240" t="n"/>
      <c r="DQM92" s="15" t="n"/>
      <c r="DQN92" s="15" t="n"/>
      <c r="DQO92" s="248" t="n"/>
      <c r="DQP92" s="248" t="n"/>
      <c r="DQQ92" s="240" t="n"/>
      <c r="DQR92" s="240" t="n"/>
      <c r="DQT92" s="15" t="n"/>
      <c r="DQU92" s="15" t="n"/>
      <c r="DQV92" s="248" t="n"/>
      <c r="DQW92" s="248" t="n"/>
      <c r="DQX92" s="240" t="n"/>
      <c r="DQY92" s="240" t="n"/>
      <c r="DRA92" s="15" t="n"/>
      <c r="DRB92" s="15" t="n"/>
      <c r="DRC92" s="248" t="n"/>
      <c r="DRD92" s="248" t="n"/>
      <c r="DRE92" s="240" t="n"/>
      <c r="DRF92" s="240" t="n"/>
      <c r="DRH92" s="15" t="n"/>
      <c r="DRI92" s="15" t="n"/>
      <c r="DRJ92" s="248" t="n"/>
      <c r="DRK92" s="248" t="n"/>
      <c r="DRL92" s="240" t="n"/>
      <c r="DRM92" s="240" t="n"/>
      <c r="DRO92" s="15" t="n"/>
      <c r="DRP92" s="15" t="n"/>
      <c r="DRQ92" s="248" t="n"/>
      <c r="DRR92" s="248" t="n"/>
      <c r="DRS92" s="240" t="n"/>
      <c r="DRT92" s="240" t="n"/>
      <c r="DRV92" s="15" t="n"/>
      <c r="DRW92" s="15" t="n"/>
      <c r="DRX92" s="248" t="n"/>
      <c r="DRY92" s="248" t="n"/>
      <c r="DRZ92" s="240" t="n"/>
      <c r="DSA92" s="240" t="n"/>
      <c r="DSC92" s="15" t="n"/>
      <c r="DSD92" s="15" t="n"/>
      <c r="DSE92" s="248" t="n"/>
      <c r="DSF92" s="248" t="n"/>
      <c r="DSG92" s="240" t="n"/>
      <c r="DSH92" s="240" t="n"/>
      <c r="DSJ92" s="15" t="n"/>
      <c r="DSK92" s="15" t="n"/>
      <c r="DSL92" s="248" t="n"/>
      <c r="DSM92" s="248" t="n"/>
      <c r="DSN92" s="240" t="n"/>
      <c r="DSO92" s="240" t="n"/>
      <c r="DSQ92" s="15" t="n"/>
      <c r="DSR92" s="15" t="n"/>
      <c r="DSS92" s="248" t="n"/>
      <c r="DST92" s="248" t="n"/>
      <c r="DSU92" s="240" t="n"/>
      <c r="DSV92" s="240" t="n"/>
      <c r="DSX92" s="15" t="n"/>
      <c r="DSY92" s="15" t="n"/>
      <c r="DSZ92" s="248" t="n"/>
      <c r="DTA92" s="248" t="n"/>
      <c r="DTB92" s="240" t="n"/>
      <c r="DTC92" s="240" t="n"/>
      <c r="DTE92" s="15" t="n"/>
      <c r="DTF92" s="15" t="n"/>
      <c r="DTG92" s="248" t="n"/>
      <c r="DTH92" s="248" t="n"/>
      <c r="DTI92" s="240" t="n"/>
      <c r="DTJ92" s="240" t="n"/>
      <c r="DTL92" s="15" t="n"/>
      <c r="DTM92" s="15" t="n"/>
      <c r="DTN92" s="248" t="n"/>
      <c r="DTO92" s="248" t="n"/>
      <c r="DTP92" s="240" t="n"/>
      <c r="DTQ92" s="240" t="n"/>
      <c r="DTS92" s="15" t="n"/>
      <c r="DTT92" s="15" t="n"/>
      <c r="DTU92" s="248" t="n"/>
      <c r="DTV92" s="248" t="n"/>
      <c r="DTW92" s="240" t="n"/>
      <c r="DTX92" s="240" t="n"/>
      <c r="DTZ92" s="15" t="n"/>
      <c r="DUA92" s="15" t="n"/>
      <c r="DUB92" s="248" t="n"/>
      <c r="DUC92" s="248" t="n"/>
      <c r="DUD92" s="240" t="n"/>
      <c r="DUE92" s="240" t="n"/>
      <c r="DUG92" s="15" t="n"/>
      <c r="DUH92" s="15" t="n"/>
      <c r="DUI92" s="248" t="n"/>
      <c r="DUJ92" s="248" t="n"/>
      <c r="DUK92" s="240" t="n"/>
      <c r="DUL92" s="240" t="n"/>
      <c r="DUN92" s="15" t="n"/>
      <c r="DUO92" s="15" t="n"/>
      <c r="DUP92" s="248" t="n"/>
      <c r="DUQ92" s="248" t="n"/>
      <c r="DUR92" s="240" t="n"/>
      <c r="DUS92" s="240" t="n"/>
      <c r="DUU92" s="15" t="n"/>
      <c r="DUV92" s="15" t="n"/>
      <c r="DUW92" s="248" t="n"/>
      <c r="DUX92" s="248" t="n"/>
      <c r="DUY92" s="240" t="n"/>
      <c r="DUZ92" s="240" t="n"/>
      <c r="DVB92" s="15" t="n"/>
      <c r="DVC92" s="15" t="n"/>
      <c r="DVD92" s="248" t="n"/>
      <c r="DVE92" s="248" t="n"/>
      <c r="DVF92" s="240" t="n"/>
      <c r="DVG92" s="240" t="n"/>
      <c r="DVI92" s="15" t="n"/>
      <c r="DVJ92" s="15" t="n"/>
      <c r="DVK92" s="248" t="n"/>
      <c r="DVL92" s="248" t="n"/>
      <c r="DVM92" s="240" t="n"/>
      <c r="DVN92" s="240" t="n"/>
      <c r="DVP92" s="15" t="n"/>
      <c r="DVQ92" s="15" t="n"/>
      <c r="DVR92" s="248" t="n"/>
      <c r="DVS92" s="248" t="n"/>
      <c r="DVT92" s="240" t="n"/>
      <c r="DVU92" s="240" t="n"/>
      <c r="DVW92" s="15" t="n"/>
      <c r="DVX92" s="15" t="n"/>
      <c r="DVY92" s="248" t="n"/>
      <c r="DVZ92" s="248" t="n"/>
      <c r="DWA92" s="240" t="n"/>
      <c r="DWB92" s="240" t="n"/>
      <c r="DWD92" s="15" t="n"/>
      <c r="DWE92" s="15" t="n"/>
      <c r="DWF92" s="248" t="n"/>
      <c r="DWG92" s="248" t="n"/>
      <c r="DWH92" s="240" t="n"/>
      <c r="DWI92" s="240" t="n"/>
      <c r="DWK92" s="15" t="n"/>
      <c r="DWL92" s="15" t="n"/>
      <c r="DWM92" s="248" t="n"/>
      <c r="DWN92" s="248" t="n"/>
      <c r="DWO92" s="240" t="n"/>
      <c r="DWP92" s="240" t="n"/>
      <c r="DWR92" s="15" t="n"/>
      <c r="DWS92" s="15" t="n"/>
      <c r="DWT92" s="248" t="n"/>
      <c r="DWU92" s="248" t="n"/>
      <c r="DWV92" s="240" t="n"/>
      <c r="DWW92" s="240" t="n"/>
      <c r="DWY92" s="15" t="n"/>
      <c r="DWZ92" s="15" t="n"/>
      <c r="DXA92" s="248" t="n"/>
      <c r="DXB92" s="248" t="n"/>
      <c r="DXC92" s="240" t="n"/>
      <c r="DXD92" s="240" t="n"/>
      <c r="DXF92" s="15" t="n"/>
      <c r="DXG92" s="15" t="n"/>
      <c r="DXH92" s="248" t="n"/>
      <c r="DXI92" s="248" t="n"/>
      <c r="DXJ92" s="240" t="n"/>
      <c r="DXK92" s="240" t="n"/>
      <c r="DXM92" s="15" t="n"/>
      <c r="DXN92" s="15" t="n"/>
      <c r="DXO92" s="248" t="n"/>
      <c r="DXP92" s="248" t="n"/>
      <c r="DXQ92" s="240" t="n"/>
      <c r="DXR92" s="240" t="n"/>
      <c r="DXT92" s="15" t="n"/>
      <c r="DXU92" s="15" t="n"/>
      <c r="DXV92" s="248" t="n"/>
      <c r="DXW92" s="248" t="n"/>
      <c r="DXX92" s="240" t="n"/>
      <c r="DXY92" s="240" t="n"/>
      <c r="DYA92" s="15" t="n"/>
      <c r="DYB92" s="15" t="n"/>
      <c r="DYC92" s="248" t="n"/>
      <c r="DYD92" s="248" t="n"/>
      <c r="DYE92" s="240" t="n"/>
      <c r="DYF92" s="240" t="n"/>
      <c r="DYH92" s="15" t="n"/>
      <c r="DYI92" s="15" t="n"/>
      <c r="DYJ92" s="248" t="n"/>
      <c r="DYK92" s="248" t="n"/>
      <c r="DYL92" s="240" t="n"/>
      <c r="DYM92" s="240" t="n"/>
      <c r="DYO92" s="15" t="n"/>
      <c r="DYP92" s="15" t="n"/>
      <c r="DYQ92" s="248" t="n"/>
      <c r="DYR92" s="248" t="n"/>
      <c r="DYS92" s="240" t="n"/>
      <c r="DYT92" s="240" t="n"/>
      <c r="DYV92" s="15" t="n"/>
      <c r="DYW92" s="15" t="n"/>
      <c r="DYX92" s="248" t="n"/>
      <c r="DYY92" s="248" t="n"/>
      <c r="DYZ92" s="240" t="n"/>
      <c r="DZA92" s="240" t="n"/>
      <c r="DZC92" s="15" t="n"/>
      <c r="DZD92" s="15" t="n"/>
      <c r="DZE92" s="248" t="n"/>
      <c r="DZF92" s="248" t="n"/>
      <c r="DZG92" s="240" t="n"/>
      <c r="DZH92" s="240" t="n"/>
      <c r="DZJ92" s="15" t="n"/>
      <c r="DZK92" s="15" t="n"/>
      <c r="DZL92" s="248" t="n"/>
      <c r="DZM92" s="248" t="n"/>
      <c r="DZN92" s="240" t="n"/>
      <c r="DZO92" s="240" t="n"/>
      <c r="DZQ92" s="15" t="n"/>
      <c r="DZR92" s="15" t="n"/>
      <c r="DZS92" s="248" t="n"/>
      <c r="DZT92" s="248" t="n"/>
      <c r="DZU92" s="240" t="n"/>
      <c r="DZV92" s="240" t="n"/>
      <c r="DZX92" s="15" t="n"/>
      <c r="DZY92" s="15" t="n"/>
      <c r="DZZ92" s="248" t="n"/>
      <c r="EAA92" s="248" t="n"/>
      <c r="EAB92" s="240" t="n"/>
      <c r="EAC92" s="240" t="n"/>
      <c r="EAE92" s="15" t="n"/>
      <c r="EAF92" s="15" t="n"/>
      <c r="EAG92" s="248" t="n"/>
      <c r="EAH92" s="248" t="n"/>
      <c r="EAI92" s="240" t="n"/>
      <c r="EAJ92" s="240" t="n"/>
      <c r="EAL92" s="15" t="n"/>
      <c r="EAM92" s="15" t="n"/>
      <c r="EAN92" s="248" t="n"/>
      <c r="EAO92" s="248" t="n"/>
      <c r="EAP92" s="240" t="n"/>
      <c r="EAQ92" s="240" t="n"/>
      <c r="EAS92" s="15" t="n"/>
      <c r="EAT92" s="15" t="n"/>
      <c r="EAU92" s="248" t="n"/>
      <c r="EAV92" s="248" t="n"/>
      <c r="EAW92" s="240" t="n"/>
      <c r="EAX92" s="240" t="n"/>
      <c r="EAZ92" s="15" t="n"/>
      <c r="EBA92" s="15" t="n"/>
      <c r="EBB92" s="248" t="n"/>
      <c r="EBC92" s="248" t="n"/>
      <c r="EBD92" s="240" t="n"/>
      <c r="EBE92" s="240" t="n"/>
      <c r="EBG92" s="15" t="n"/>
      <c r="EBH92" s="15" t="n"/>
      <c r="EBI92" s="248" t="n"/>
      <c r="EBJ92" s="248" t="n"/>
      <c r="EBK92" s="240" t="n"/>
      <c r="EBL92" s="240" t="n"/>
      <c r="EBN92" s="15" t="n"/>
      <c r="EBO92" s="15" t="n"/>
      <c r="EBP92" s="248" t="n"/>
      <c r="EBQ92" s="248" t="n"/>
      <c r="EBR92" s="240" t="n"/>
      <c r="EBS92" s="240" t="n"/>
      <c r="EBU92" s="15" t="n"/>
      <c r="EBV92" s="15" t="n"/>
      <c r="EBW92" s="248" t="n"/>
      <c r="EBX92" s="248" t="n"/>
      <c r="EBY92" s="240" t="n"/>
      <c r="EBZ92" s="240" t="n"/>
      <c r="ECB92" s="15" t="n"/>
      <c r="ECC92" s="15" t="n"/>
      <c r="ECD92" s="248" t="n"/>
      <c r="ECE92" s="248" t="n"/>
      <c r="ECF92" s="240" t="n"/>
      <c r="ECG92" s="240" t="n"/>
      <c r="ECI92" s="15" t="n"/>
      <c r="ECJ92" s="15" t="n"/>
      <c r="ECK92" s="248" t="n"/>
      <c r="ECL92" s="248" t="n"/>
      <c r="ECM92" s="240" t="n"/>
      <c r="ECN92" s="240" t="n"/>
      <c r="ECP92" s="15" t="n"/>
      <c r="ECQ92" s="15" t="n"/>
      <c r="ECR92" s="248" t="n"/>
      <c r="ECS92" s="248" t="n"/>
      <c r="ECT92" s="240" t="n"/>
      <c r="ECU92" s="240" t="n"/>
      <c r="ECW92" s="15" t="n"/>
      <c r="ECX92" s="15" t="n"/>
      <c r="ECY92" s="248" t="n"/>
      <c r="ECZ92" s="248" t="n"/>
      <c r="EDA92" s="240" t="n"/>
      <c r="EDB92" s="240" t="n"/>
      <c r="EDD92" s="15" t="n"/>
      <c r="EDE92" s="15" t="n"/>
      <c r="EDF92" s="248" t="n"/>
      <c r="EDG92" s="248" t="n"/>
      <c r="EDH92" s="240" t="n"/>
      <c r="EDI92" s="240" t="n"/>
      <c r="EDK92" s="15" t="n"/>
      <c r="EDL92" s="15" t="n"/>
      <c r="EDM92" s="248" t="n"/>
      <c r="EDN92" s="248" t="n"/>
      <c r="EDO92" s="240" t="n"/>
      <c r="EDP92" s="240" t="n"/>
      <c r="EDR92" s="15" t="n"/>
      <c r="EDS92" s="15" t="n"/>
      <c r="EDT92" s="248" t="n"/>
      <c r="EDU92" s="248" t="n"/>
      <c r="EDV92" s="240" t="n"/>
      <c r="EDW92" s="240" t="n"/>
      <c r="EDY92" s="15" t="n"/>
      <c r="EDZ92" s="15" t="n"/>
      <c r="EEA92" s="248" t="n"/>
      <c r="EEB92" s="248" t="n"/>
      <c r="EEC92" s="240" t="n"/>
      <c r="EED92" s="240" t="n"/>
      <c r="EEF92" s="15" t="n"/>
      <c r="EEG92" s="15" t="n"/>
      <c r="EEH92" s="248" t="n"/>
      <c r="EEI92" s="248" t="n"/>
      <c r="EEJ92" s="240" t="n"/>
      <c r="EEK92" s="240" t="n"/>
      <c r="EEM92" s="15" t="n"/>
      <c r="EEN92" s="15" t="n"/>
      <c r="EEO92" s="248" t="n"/>
      <c r="EEP92" s="248" t="n"/>
      <c r="EEQ92" s="240" t="n"/>
      <c r="EER92" s="240" t="n"/>
      <c r="EET92" s="15" t="n"/>
      <c r="EEU92" s="15" t="n"/>
      <c r="EEV92" s="248" t="n"/>
      <c r="EEW92" s="248" t="n"/>
      <c r="EEX92" s="240" t="n"/>
      <c r="EEY92" s="240" t="n"/>
      <c r="EFA92" s="15" t="n"/>
      <c r="EFB92" s="15" t="n"/>
      <c r="EFC92" s="248" t="n"/>
      <c r="EFD92" s="248" t="n"/>
      <c r="EFE92" s="240" t="n"/>
      <c r="EFF92" s="240" t="n"/>
      <c r="EFH92" s="15" t="n"/>
      <c r="EFI92" s="15" t="n"/>
      <c r="EFJ92" s="248" t="n"/>
      <c r="EFK92" s="248" t="n"/>
      <c r="EFL92" s="240" t="n"/>
      <c r="EFM92" s="240" t="n"/>
      <c r="EFO92" s="15" t="n"/>
      <c r="EFP92" s="15" t="n"/>
      <c r="EFQ92" s="248" t="n"/>
      <c r="EFR92" s="248" t="n"/>
      <c r="EFS92" s="240" t="n"/>
      <c r="EFT92" s="240" t="n"/>
      <c r="EFV92" s="15" t="n"/>
      <c r="EFW92" s="15" t="n"/>
      <c r="EFX92" s="248" t="n"/>
      <c r="EFY92" s="248" t="n"/>
      <c r="EFZ92" s="240" t="n"/>
      <c r="EGA92" s="240" t="n"/>
      <c r="EGC92" s="15" t="n"/>
      <c r="EGD92" s="15" t="n"/>
      <c r="EGE92" s="248" t="n"/>
      <c r="EGF92" s="248" t="n"/>
      <c r="EGG92" s="240" t="n"/>
      <c r="EGH92" s="240" t="n"/>
      <c r="EGJ92" s="15" t="n"/>
      <c r="EGK92" s="15" t="n"/>
      <c r="EGL92" s="248" t="n"/>
      <c r="EGM92" s="248" t="n"/>
      <c r="EGN92" s="240" t="n"/>
      <c r="EGO92" s="240" t="n"/>
      <c r="EGQ92" s="15" t="n"/>
      <c r="EGR92" s="15" t="n"/>
      <c r="EGS92" s="248" t="n"/>
      <c r="EGT92" s="248" t="n"/>
      <c r="EGU92" s="240" t="n"/>
      <c r="EGV92" s="240" t="n"/>
      <c r="EGX92" s="15" t="n"/>
      <c r="EGY92" s="15" t="n"/>
      <c r="EGZ92" s="248" t="n"/>
      <c r="EHA92" s="248" t="n"/>
      <c r="EHB92" s="240" t="n"/>
      <c r="EHC92" s="240" t="n"/>
      <c r="EHE92" s="15" t="n"/>
      <c r="EHF92" s="15" t="n"/>
      <c r="EHG92" s="248" t="n"/>
      <c r="EHH92" s="248" t="n"/>
      <c r="EHI92" s="240" t="n"/>
      <c r="EHJ92" s="240" t="n"/>
      <c r="EHL92" s="15" t="n"/>
      <c r="EHM92" s="15" t="n"/>
      <c r="EHN92" s="248" t="n"/>
      <c r="EHO92" s="248" t="n"/>
      <c r="EHP92" s="240" t="n"/>
      <c r="EHQ92" s="240" t="n"/>
      <c r="EHS92" s="15" t="n"/>
      <c r="EHT92" s="15" t="n"/>
      <c r="EHU92" s="248" t="n"/>
      <c r="EHV92" s="248" t="n"/>
      <c r="EHW92" s="240" t="n"/>
      <c r="EHX92" s="240" t="n"/>
      <c r="EHZ92" s="15" t="n"/>
      <c r="EIA92" s="15" t="n"/>
      <c r="EIB92" s="248" t="n"/>
      <c r="EIC92" s="248" t="n"/>
      <c r="EID92" s="240" t="n"/>
      <c r="EIE92" s="240" t="n"/>
      <c r="EIG92" s="15" t="n"/>
      <c r="EIH92" s="15" t="n"/>
      <c r="EII92" s="248" t="n"/>
      <c r="EIJ92" s="248" t="n"/>
      <c r="EIK92" s="240" t="n"/>
      <c r="EIL92" s="240" t="n"/>
      <c r="EIN92" s="15" t="n"/>
      <c r="EIO92" s="15" t="n"/>
      <c r="EIP92" s="248" t="n"/>
      <c r="EIQ92" s="248" t="n"/>
      <c r="EIR92" s="240" t="n"/>
      <c r="EIS92" s="240" t="n"/>
      <c r="EIU92" s="15" t="n"/>
      <c r="EIV92" s="15" t="n"/>
      <c r="EIW92" s="248" t="n"/>
      <c r="EIX92" s="248" t="n"/>
      <c r="EIY92" s="240" t="n"/>
      <c r="EIZ92" s="240" t="n"/>
      <c r="EJB92" s="15" t="n"/>
      <c r="EJC92" s="15" t="n"/>
      <c r="EJD92" s="248" t="n"/>
      <c r="EJE92" s="248" t="n"/>
      <c r="EJF92" s="240" t="n"/>
      <c r="EJG92" s="240" t="n"/>
      <c r="EJI92" s="15" t="n"/>
      <c r="EJJ92" s="15" t="n"/>
      <c r="EJK92" s="248" t="n"/>
      <c r="EJL92" s="248" t="n"/>
      <c r="EJM92" s="240" t="n"/>
      <c r="EJN92" s="240" t="n"/>
      <c r="EJP92" s="15" t="n"/>
      <c r="EJQ92" s="15" t="n"/>
      <c r="EJR92" s="248" t="n"/>
      <c r="EJS92" s="248" t="n"/>
      <c r="EJT92" s="240" t="n"/>
      <c r="EJU92" s="240" t="n"/>
      <c r="EJW92" s="15" t="n"/>
      <c r="EJX92" s="15" t="n"/>
      <c r="EJY92" s="248" t="n"/>
      <c r="EJZ92" s="248" t="n"/>
      <c r="EKA92" s="240" t="n"/>
      <c r="EKB92" s="240" t="n"/>
      <c r="EKD92" s="15" t="n"/>
      <c r="EKE92" s="15" t="n"/>
      <c r="EKF92" s="248" t="n"/>
      <c r="EKG92" s="248" t="n"/>
      <c r="EKH92" s="240" t="n"/>
      <c r="EKI92" s="240" t="n"/>
      <c r="EKK92" s="15" t="n"/>
      <c r="EKL92" s="15" t="n"/>
      <c r="EKM92" s="248" t="n"/>
      <c r="EKN92" s="248" t="n"/>
      <c r="EKO92" s="240" t="n"/>
      <c r="EKP92" s="240" t="n"/>
      <c r="EKR92" s="15" t="n"/>
      <c r="EKS92" s="15" t="n"/>
      <c r="EKT92" s="248" t="n"/>
      <c r="EKU92" s="248" t="n"/>
      <c r="EKV92" s="240" t="n"/>
      <c r="EKW92" s="240" t="n"/>
      <c r="EKY92" s="15" t="n"/>
      <c r="EKZ92" s="15" t="n"/>
      <c r="ELA92" s="248" t="n"/>
      <c r="ELB92" s="248" t="n"/>
      <c r="ELC92" s="240" t="n"/>
      <c r="ELD92" s="240" t="n"/>
      <c r="ELF92" s="15" t="n"/>
      <c r="ELG92" s="15" t="n"/>
      <c r="ELH92" s="248" t="n"/>
      <c r="ELI92" s="248" t="n"/>
      <c r="ELJ92" s="240" t="n"/>
      <c r="ELK92" s="240" t="n"/>
      <c r="ELM92" s="15" t="n"/>
      <c r="ELN92" s="15" t="n"/>
      <c r="ELO92" s="248" t="n"/>
      <c r="ELP92" s="248" t="n"/>
      <c r="ELQ92" s="240" t="n"/>
      <c r="ELR92" s="240" t="n"/>
      <c r="ELT92" s="15" t="n"/>
      <c r="ELU92" s="15" t="n"/>
      <c r="ELV92" s="248" t="n"/>
      <c r="ELW92" s="248" t="n"/>
      <c r="ELX92" s="240" t="n"/>
      <c r="ELY92" s="240" t="n"/>
      <c r="EMA92" s="15" t="n"/>
      <c r="EMB92" s="15" t="n"/>
      <c r="EMC92" s="248" t="n"/>
      <c r="EMD92" s="248" t="n"/>
      <c r="EME92" s="240" t="n"/>
      <c r="EMF92" s="240" t="n"/>
      <c r="EMH92" s="15" t="n"/>
      <c r="EMI92" s="15" t="n"/>
      <c r="EMJ92" s="248" t="n"/>
      <c r="EMK92" s="248" t="n"/>
      <c r="EML92" s="240" t="n"/>
      <c r="EMM92" s="240" t="n"/>
      <c r="EMO92" s="15" t="n"/>
      <c r="EMP92" s="15" t="n"/>
      <c r="EMQ92" s="248" t="n"/>
      <c r="EMR92" s="248" t="n"/>
      <c r="EMS92" s="240" t="n"/>
      <c r="EMT92" s="240" t="n"/>
      <c r="EMV92" s="15" t="n"/>
      <c r="EMW92" s="15" t="n"/>
      <c r="EMX92" s="248" t="n"/>
      <c r="EMY92" s="248" t="n"/>
      <c r="EMZ92" s="240" t="n"/>
      <c r="ENA92" s="240" t="n"/>
      <c r="ENC92" s="15" t="n"/>
      <c r="END92" s="15" t="n"/>
      <c r="ENE92" s="248" t="n"/>
      <c r="ENF92" s="248" t="n"/>
      <c r="ENG92" s="240" t="n"/>
      <c r="ENH92" s="240" t="n"/>
      <c r="ENJ92" s="15" t="n"/>
      <c r="ENK92" s="15" t="n"/>
      <c r="ENL92" s="248" t="n"/>
      <c r="ENM92" s="248" t="n"/>
      <c r="ENN92" s="240" t="n"/>
      <c r="ENO92" s="240" t="n"/>
      <c r="ENQ92" s="15" t="n"/>
      <c r="ENR92" s="15" t="n"/>
      <c r="ENS92" s="248" t="n"/>
      <c r="ENT92" s="248" t="n"/>
      <c r="ENU92" s="240" t="n"/>
      <c r="ENV92" s="240" t="n"/>
      <c r="ENX92" s="15" t="n"/>
      <c r="ENY92" s="15" t="n"/>
      <c r="ENZ92" s="248" t="n"/>
      <c r="EOA92" s="248" t="n"/>
      <c r="EOB92" s="240" t="n"/>
      <c r="EOC92" s="240" t="n"/>
      <c r="EOE92" s="15" t="n"/>
      <c r="EOF92" s="15" t="n"/>
      <c r="EOG92" s="248" t="n"/>
      <c r="EOH92" s="248" t="n"/>
      <c r="EOI92" s="240" t="n"/>
      <c r="EOJ92" s="240" t="n"/>
      <c r="EOL92" s="15" t="n"/>
      <c r="EOM92" s="15" t="n"/>
      <c r="EON92" s="248" t="n"/>
      <c r="EOO92" s="248" t="n"/>
      <c r="EOP92" s="240" t="n"/>
      <c r="EOQ92" s="240" t="n"/>
      <c r="EOS92" s="15" t="n"/>
      <c r="EOT92" s="15" t="n"/>
      <c r="EOU92" s="248" t="n"/>
      <c r="EOV92" s="248" t="n"/>
      <c r="EOW92" s="240" t="n"/>
      <c r="EOX92" s="240" t="n"/>
      <c r="EOZ92" s="15" t="n"/>
      <c r="EPA92" s="15" t="n"/>
      <c r="EPB92" s="248" t="n"/>
      <c r="EPC92" s="248" t="n"/>
      <c r="EPD92" s="240" t="n"/>
      <c r="EPE92" s="240" t="n"/>
      <c r="EPG92" s="15" t="n"/>
      <c r="EPH92" s="15" t="n"/>
      <c r="EPI92" s="248" t="n"/>
      <c r="EPJ92" s="248" t="n"/>
      <c r="EPK92" s="240" t="n"/>
      <c r="EPL92" s="240" t="n"/>
      <c r="EPN92" s="15" t="n"/>
      <c r="EPO92" s="15" t="n"/>
      <c r="EPP92" s="248" t="n"/>
      <c r="EPQ92" s="248" t="n"/>
      <c r="EPR92" s="240" t="n"/>
      <c r="EPS92" s="240" t="n"/>
      <c r="EPU92" s="15" t="n"/>
      <c r="EPV92" s="15" t="n"/>
      <c r="EPW92" s="248" t="n"/>
      <c r="EPX92" s="248" t="n"/>
      <c r="EPY92" s="240" t="n"/>
      <c r="EPZ92" s="240" t="n"/>
      <c r="EQB92" s="15" t="n"/>
      <c r="EQC92" s="15" t="n"/>
      <c r="EQD92" s="248" t="n"/>
      <c r="EQE92" s="248" t="n"/>
      <c r="EQF92" s="240" t="n"/>
      <c r="EQG92" s="240" t="n"/>
      <c r="EQI92" s="15" t="n"/>
      <c r="EQJ92" s="15" t="n"/>
      <c r="EQK92" s="248" t="n"/>
      <c r="EQL92" s="248" t="n"/>
      <c r="EQM92" s="240" t="n"/>
      <c r="EQN92" s="240" t="n"/>
      <c r="EQP92" s="15" t="n"/>
      <c r="EQQ92" s="15" t="n"/>
      <c r="EQR92" s="248" t="n"/>
      <c r="EQS92" s="248" t="n"/>
      <c r="EQT92" s="240" t="n"/>
      <c r="EQU92" s="240" t="n"/>
      <c r="EQW92" s="15" t="n"/>
      <c r="EQX92" s="15" t="n"/>
      <c r="EQY92" s="248" t="n"/>
      <c r="EQZ92" s="248" t="n"/>
      <c r="ERA92" s="240" t="n"/>
      <c r="ERB92" s="240" t="n"/>
      <c r="ERD92" s="15" t="n"/>
      <c r="ERE92" s="15" t="n"/>
      <c r="ERF92" s="248" t="n"/>
      <c r="ERG92" s="248" t="n"/>
      <c r="ERH92" s="240" t="n"/>
      <c r="ERI92" s="240" t="n"/>
      <c r="ERK92" s="15" t="n"/>
      <c r="ERL92" s="15" t="n"/>
      <c r="ERM92" s="248" t="n"/>
      <c r="ERN92" s="248" t="n"/>
      <c r="ERO92" s="240" t="n"/>
      <c r="ERP92" s="240" t="n"/>
      <c r="ERR92" s="15" t="n"/>
      <c r="ERS92" s="15" t="n"/>
      <c r="ERT92" s="248" t="n"/>
      <c r="ERU92" s="248" t="n"/>
      <c r="ERV92" s="240" t="n"/>
      <c r="ERW92" s="240" t="n"/>
      <c r="ERY92" s="15" t="n"/>
      <c r="ERZ92" s="15" t="n"/>
      <c r="ESA92" s="248" t="n"/>
      <c r="ESB92" s="248" t="n"/>
      <c r="ESC92" s="240" t="n"/>
      <c r="ESD92" s="240" t="n"/>
      <c r="ESF92" s="15" t="n"/>
      <c r="ESG92" s="15" t="n"/>
      <c r="ESH92" s="248" t="n"/>
      <c r="ESI92" s="248" t="n"/>
      <c r="ESJ92" s="240" t="n"/>
      <c r="ESK92" s="240" t="n"/>
      <c r="ESM92" s="15" t="n"/>
      <c r="ESN92" s="15" t="n"/>
      <c r="ESO92" s="248" t="n"/>
      <c r="ESP92" s="248" t="n"/>
      <c r="ESQ92" s="240" t="n"/>
      <c r="ESR92" s="240" t="n"/>
      <c r="EST92" s="15" t="n"/>
      <c r="ESU92" s="15" t="n"/>
      <c r="ESV92" s="248" t="n"/>
      <c r="ESW92" s="248" t="n"/>
      <c r="ESX92" s="240" t="n"/>
      <c r="ESY92" s="240" t="n"/>
      <c r="ETA92" s="15" t="n"/>
      <c r="ETB92" s="15" t="n"/>
      <c r="ETC92" s="248" t="n"/>
      <c r="ETD92" s="248" t="n"/>
      <c r="ETE92" s="240" t="n"/>
      <c r="ETF92" s="240" t="n"/>
      <c r="ETH92" s="15" t="n"/>
      <c r="ETI92" s="15" t="n"/>
      <c r="ETJ92" s="248" t="n"/>
      <c r="ETK92" s="248" t="n"/>
      <c r="ETL92" s="240" t="n"/>
      <c r="ETM92" s="240" t="n"/>
      <c r="ETO92" s="15" t="n"/>
      <c r="ETP92" s="15" t="n"/>
      <c r="ETQ92" s="248" t="n"/>
      <c r="ETR92" s="248" t="n"/>
      <c r="ETS92" s="240" t="n"/>
      <c r="ETT92" s="240" t="n"/>
      <c r="ETV92" s="15" t="n"/>
      <c r="ETW92" s="15" t="n"/>
      <c r="ETX92" s="248" t="n"/>
      <c r="ETY92" s="248" t="n"/>
      <c r="ETZ92" s="240" t="n"/>
      <c r="EUA92" s="240" t="n"/>
      <c r="EUC92" s="15" t="n"/>
      <c r="EUD92" s="15" t="n"/>
      <c r="EUE92" s="248" t="n"/>
      <c r="EUF92" s="248" t="n"/>
      <c r="EUG92" s="240" t="n"/>
      <c r="EUH92" s="240" t="n"/>
      <c r="EUJ92" s="15" t="n"/>
      <c r="EUK92" s="15" t="n"/>
      <c r="EUL92" s="248" t="n"/>
      <c r="EUM92" s="248" t="n"/>
      <c r="EUN92" s="240" t="n"/>
      <c r="EUO92" s="240" t="n"/>
      <c r="EUQ92" s="15" t="n"/>
      <c r="EUR92" s="15" t="n"/>
      <c r="EUS92" s="248" t="n"/>
      <c r="EUT92" s="248" t="n"/>
      <c r="EUU92" s="240" t="n"/>
      <c r="EUV92" s="240" t="n"/>
      <c r="EUX92" s="15" t="n"/>
      <c r="EUY92" s="15" t="n"/>
      <c r="EUZ92" s="248" t="n"/>
      <c r="EVA92" s="248" t="n"/>
      <c r="EVB92" s="240" t="n"/>
      <c r="EVC92" s="240" t="n"/>
      <c r="EVE92" s="15" t="n"/>
      <c r="EVF92" s="15" t="n"/>
      <c r="EVG92" s="248" t="n"/>
      <c r="EVH92" s="248" t="n"/>
      <c r="EVI92" s="240" t="n"/>
      <c r="EVJ92" s="240" t="n"/>
      <c r="EVL92" s="15" t="n"/>
      <c r="EVM92" s="15" t="n"/>
      <c r="EVN92" s="248" t="n"/>
      <c r="EVO92" s="248" t="n"/>
      <c r="EVP92" s="240" t="n"/>
      <c r="EVQ92" s="240" t="n"/>
      <c r="EVS92" s="15" t="n"/>
      <c r="EVT92" s="15" t="n"/>
      <c r="EVU92" s="248" t="n"/>
      <c r="EVV92" s="248" t="n"/>
      <c r="EVW92" s="240" t="n"/>
      <c r="EVX92" s="240" t="n"/>
      <c r="EVZ92" s="15" t="n"/>
      <c r="EWA92" s="15" t="n"/>
      <c r="EWB92" s="248" t="n"/>
      <c r="EWC92" s="248" t="n"/>
      <c r="EWD92" s="240" t="n"/>
      <c r="EWE92" s="240" t="n"/>
      <c r="EWG92" s="15" t="n"/>
      <c r="EWH92" s="15" t="n"/>
      <c r="EWI92" s="248" t="n"/>
      <c r="EWJ92" s="248" t="n"/>
      <c r="EWK92" s="240" t="n"/>
      <c r="EWL92" s="240" t="n"/>
      <c r="EWN92" s="15" t="n"/>
      <c r="EWO92" s="15" t="n"/>
      <c r="EWP92" s="248" t="n"/>
      <c r="EWQ92" s="248" t="n"/>
      <c r="EWR92" s="240" t="n"/>
      <c r="EWS92" s="240" t="n"/>
      <c r="EWU92" s="15" t="n"/>
      <c r="EWV92" s="15" t="n"/>
      <c r="EWW92" s="248" t="n"/>
      <c r="EWX92" s="248" t="n"/>
      <c r="EWY92" s="240" t="n"/>
      <c r="EWZ92" s="240" t="n"/>
      <c r="EXB92" s="15" t="n"/>
      <c r="EXC92" s="15" t="n"/>
      <c r="EXD92" s="248" t="n"/>
      <c r="EXE92" s="248" t="n"/>
      <c r="EXF92" s="240" t="n"/>
      <c r="EXG92" s="240" t="n"/>
      <c r="EXI92" s="15" t="n"/>
      <c r="EXJ92" s="15" t="n"/>
      <c r="EXK92" s="248" t="n"/>
      <c r="EXL92" s="248" t="n"/>
      <c r="EXM92" s="240" t="n"/>
      <c r="EXN92" s="240" t="n"/>
      <c r="EXP92" s="15" t="n"/>
      <c r="EXQ92" s="15" t="n"/>
      <c r="EXR92" s="248" t="n"/>
      <c r="EXS92" s="248" t="n"/>
      <c r="EXT92" s="240" t="n"/>
      <c r="EXU92" s="240" t="n"/>
      <c r="EXW92" s="15" t="n"/>
      <c r="EXX92" s="15" t="n"/>
      <c r="EXY92" s="248" t="n"/>
      <c r="EXZ92" s="248" t="n"/>
      <c r="EYA92" s="240" t="n"/>
      <c r="EYB92" s="240" t="n"/>
      <c r="EYD92" s="15" t="n"/>
      <c r="EYE92" s="15" t="n"/>
      <c r="EYF92" s="248" t="n"/>
      <c r="EYG92" s="248" t="n"/>
      <c r="EYH92" s="240" t="n"/>
      <c r="EYI92" s="240" t="n"/>
      <c r="EYK92" s="15" t="n"/>
      <c r="EYL92" s="15" t="n"/>
      <c r="EYM92" s="248" t="n"/>
      <c r="EYN92" s="248" t="n"/>
      <c r="EYO92" s="240" t="n"/>
      <c r="EYP92" s="240" t="n"/>
      <c r="EYR92" s="15" t="n"/>
      <c r="EYS92" s="15" t="n"/>
      <c r="EYT92" s="248" t="n"/>
      <c r="EYU92" s="248" t="n"/>
      <c r="EYV92" s="240" t="n"/>
      <c r="EYW92" s="240" t="n"/>
      <c r="EYY92" s="15" t="n"/>
      <c r="EYZ92" s="15" t="n"/>
      <c r="EZA92" s="248" t="n"/>
      <c r="EZB92" s="248" t="n"/>
      <c r="EZC92" s="240" t="n"/>
      <c r="EZD92" s="240" t="n"/>
      <c r="EZF92" s="15" t="n"/>
      <c r="EZG92" s="15" t="n"/>
      <c r="EZH92" s="248" t="n"/>
      <c r="EZI92" s="248" t="n"/>
      <c r="EZJ92" s="240" t="n"/>
      <c r="EZK92" s="240" t="n"/>
      <c r="EZM92" s="15" t="n"/>
      <c r="EZN92" s="15" t="n"/>
      <c r="EZO92" s="248" t="n"/>
      <c r="EZP92" s="248" t="n"/>
      <c r="EZQ92" s="240" t="n"/>
      <c r="EZR92" s="240" t="n"/>
      <c r="EZT92" s="15" t="n"/>
      <c r="EZU92" s="15" t="n"/>
      <c r="EZV92" s="248" t="n"/>
      <c r="EZW92" s="248" t="n"/>
      <c r="EZX92" s="240" t="n"/>
      <c r="EZY92" s="240" t="n"/>
      <c r="FAA92" s="15" t="n"/>
      <c r="FAB92" s="15" t="n"/>
      <c r="FAC92" s="248" t="n"/>
      <c r="FAD92" s="248" t="n"/>
      <c r="FAE92" s="240" t="n"/>
      <c r="FAF92" s="240" t="n"/>
      <c r="FAH92" s="15" t="n"/>
      <c r="FAI92" s="15" t="n"/>
      <c r="FAJ92" s="248" t="n"/>
      <c r="FAK92" s="248" t="n"/>
      <c r="FAL92" s="240" t="n"/>
      <c r="FAM92" s="240" t="n"/>
      <c r="FAO92" s="15" t="n"/>
      <c r="FAP92" s="15" t="n"/>
      <c r="FAQ92" s="248" t="n"/>
      <c r="FAR92" s="248" t="n"/>
      <c r="FAS92" s="240" t="n"/>
      <c r="FAT92" s="240" t="n"/>
      <c r="FAV92" s="15" t="n"/>
      <c r="FAW92" s="15" t="n"/>
      <c r="FAX92" s="248" t="n"/>
      <c r="FAY92" s="248" t="n"/>
      <c r="FAZ92" s="240" t="n"/>
      <c r="FBA92" s="240" t="n"/>
      <c r="FBC92" s="15" t="n"/>
      <c r="FBD92" s="15" t="n"/>
      <c r="FBE92" s="248" t="n"/>
      <c r="FBF92" s="248" t="n"/>
      <c r="FBG92" s="240" t="n"/>
      <c r="FBH92" s="240" t="n"/>
      <c r="FBJ92" s="15" t="n"/>
      <c r="FBK92" s="15" t="n"/>
      <c r="FBL92" s="248" t="n"/>
      <c r="FBM92" s="248" t="n"/>
      <c r="FBN92" s="240" t="n"/>
      <c r="FBO92" s="240" t="n"/>
      <c r="FBQ92" s="15" t="n"/>
      <c r="FBR92" s="15" t="n"/>
      <c r="FBS92" s="248" t="n"/>
      <c r="FBT92" s="248" t="n"/>
      <c r="FBU92" s="240" t="n"/>
      <c r="FBV92" s="240" t="n"/>
      <c r="FBX92" s="15" t="n"/>
      <c r="FBY92" s="15" t="n"/>
      <c r="FBZ92" s="248" t="n"/>
      <c r="FCA92" s="248" t="n"/>
      <c r="FCB92" s="240" t="n"/>
      <c r="FCC92" s="240" t="n"/>
      <c r="FCE92" s="15" t="n"/>
      <c r="FCF92" s="15" t="n"/>
      <c r="FCG92" s="248" t="n"/>
      <c r="FCH92" s="248" t="n"/>
      <c r="FCI92" s="240" t="n"/>
      <c r="FCJ92" s="240" t="n"/>
      <c r="FCL92" s="15" t="n"/>
      <c r="FCM92" s="15" t="n"/>
      <c r="FCN92" s="248" t="n"/>
      <c r="FCO92" s="248" t="n"/>
      <c r="FCP92" s="240" t="n"/>
      <c r="FCQ92" s="240" t="n"/>
      <c r="FCS92" s="15" t="n"/>
      <c r="FCT92" s="15" t="n"/>
      <c r="FCU92" s="248" t="n"/>
      <c r="FCV92" s="248" t="n"/>
      <c r="FCW92" s="240" t="n"/>
      <c r="FCX92" s="240" t="n"/>
      <c r="FCZ92" s="15" t="n"/>
      <c r="FDA92" s="15" t="n"/>
      <c r="FDB92" s="248" t="n"/>
      <c r="FDC92" s="248" t="n"/>
      <c r="FDD92" s="240" t="n"/>
      <c r="FDE92" s="240" t="n"/>
      <c r="FDG92" s="15" t="n"/>
      <c r="FDH92" s="15" t="n"/>
      <c r="FDI92" s="248" t="n"/>
      <c r="FDJ92" s="248" t="n"/>
      <c r="FDK92" s="240" t="n"/>
      <c r="FDL92" s="240" t="n"/>
      <c r="FDN92" s="15" t="n"/>
      <c r="FDO92" s="15" t="n"/>
      <c r="FDP92" s="248" t="n"/>
      <c r="FDQ92" s="248" t="n"/>
      <c r="FDR92" s="240" t="n"/>
      <c r="FDS92" s="240" t="n"/>
      <c r="FDU92" s="15" t="n"/>
      <c r="FDV92" s="15" t="n"/>
      <c r="FDW92" s="248" t="n"/>
      <c r="FDX92" s="248" t="n"/>
      <c r="FDY92" s="240" t="n"/>
      <c r="FDZ92" s="240" t="n"/>
      <c r="FEB92" s="15" t="n"/>
      <c r="FEC92" s="15" t="n"/>
      <c r="FED92" s="248" t="n"/>
      <c r="FEE92" s="248" t="n"/>
      <c r="FEF92" s="240" t="n"/>
      <c r="FEG92" s="240" t="n"/>
      <c r="FEI92" s="15" t="n"/>
      <c r="FEJ92" s="15" t="n"/>
      <c r="FEK92" s="248" t="n"/>
      <c r="FEL92" s="248" t="n"/>
      <c r="FEM92" s="240" t="n"/>
      <c r="FEN92" s="240" t="n"/>
      <c r="FEP92" s="15" t="n"/>
      <c r="FEQ92" s="15" t="n"/>
      <c r="FER92" s="248" t="n"/>
      <c r="FES92" s="248" t="n"/>
      <c r="FET92" s="240" t="n"/>
      <c r="FEU92" s="240" t="n"/>
      <c r="FEW92" s="15" t="n"/>
      <c r="FEX92" s="15" t="n"/>
      <c r="FEY92" s="248" t="n"/>
      <c r="FEZ92" s="248" t="n"/>
      <c r="FFA92" s="240" t="n"/>
      <c r="FFB92" s="240" t="n"/>
      <c r="FFD92" s="15" t="n"/>
      <c r="FFE92" s="15" t="n"/>
      <c r="FFF92" s="248" t="n"/>
      <c r="FFG92" s="248" t="n"/>
      <c r="FFH92" s="240" t="n"/>
      <c r="FFI92" s="240" t="n"/>
      <c r="FFK92" s="15" t="n"/>
      <c r="FFL92" s="15" t="n"/>
      <c r="FFM92" s="248" t="n"/>
      <c r="FFN92" s="248" t="n"/>
      <c r="FFO92" s="240" t="n"/>
      <c r="FFP92" s="240" t="n"/>
      <c r="FFR92" s="15" t="n"/>
      <c r="FFS92" s="15" t="n"/>
      <c r="FFT92" s="248" t="n"/>
      <c r="FFU92" s="248" t="n"/>
      <c r="FFV92" s="240" t="n"/>
      <c r="FFW92" s="240" t="n"/>
      <c r="FFY92" s="15" t="n"/>
      <c r="FFZ92" s="15" t="n"/>
      <c r="FGA92" s="248" t="n"/>
      <c r="FGB92" s="248" t="n"/>
      <c r="FGC92" s="240" t="n"/>
      <c r="FGD92" s="240" t="n"/>
      <c r="FGF92" s="15" t="n"/>
      <c r="FGG92" s="15" t="n"/>
      <c r="FGH92" s="248" t="n"/>
      <c r="FGI92" s="248" t="n"/>
      <c r="FGJ92" s="240" t="n"/>
      <c r="FGK92" s="240" t="n"/>
      <c r="FGM92" s="15" t="n"/>
      <c r="FGN92" s="15" t="n"/>
      <c r="FGO92" s="248" t="n"/>
      <c r="FGP92" s="248" t="n"/>
      <c r="FGQ92" s="240" t="n"/>
      <c r="FGR92" s="240" t="n"/>
      <c r="FGT92" s="15" t="n"/>
      <c r="FGU92" s="15" t="n"/>
      <c r="FGV92" s="248" t="n"/>
      <c r="FGW92" s="248" t="n"/>
      <c r="FGX92" s="240" t="n"/>
      <c r="FGY92" s="240" t="n"/>
      <c r="FHA92" s="15" t="n"/>
      <c r="FHB92" s="15" t="n"/>
      <c r="FHC92" s="248" t="n"/>
      <c r="FHD92" s="248" t="n"/>
      <c r="FHE92" s="240" t="n"/>
      <c r="FHF92" s="240" t="n"/>
      <c r="FHH92" s="15" t="n"/>
      <c r="FHI92" s="15" t="n"/>
      <c r="FHJ92" s="248" t="n"/>
      <c r="FHK92" s="248" t="n"/>
      <c r="FHL92" s="240" t="n"/>
      <c r="FHM92" s="240" t="n"/>
      <c r="FHO92" s="15" t="n"/>
      <c r="FHP92" s="15" t="n"/>
      <c r="FHQ92" s="248" t="n"/>
      <c r="FHR92" s="248" t="n"/>
      <c r="FHS92" s="240" t="n"/>
      <c r="FHT92" s="240" t="n"/>
      <c r="FHV92" s="15" t="n"/>
      <c r="FHW92" s="15" t="n"/>
      <c r="FHX92" s="248" t="n"/>
      <c r="FHY92" s="248" t="n"/>
      <c r="FHZ92" s="240" t="n"/>
      <c r="FIA92" s="240" t="n"/>
      <c r="FIC92" s="15" t="n"/>
      <c r="FID92" s="15" t="n"/>
      <c r="FIE92" s="248" t="n"/>
      <c r="FIF92" s="248" t="n"/>
      <c r="FIG92" s="240" t="n"/>
      <c r="FIH92" s="240" t="n"/>
      <c r="FIJ92" s="15" t="n"/>
      <c r="FIK92" s="15" t="n"/>
      <c r="FIL92" s="248" t="n"/>
      <c r="FIM92" s="248" t="n"/>
      <c r="FIN92" s="240" t="n"/>
      <c r="FIO92" s="240" t="n"/>
      <c r="FIQ92" s="15" t="n"/>
      <c r="FIR92" s="15" t="n"/>
      <c r="FIS92" s="248" t="n"/>
      <c r="FIT92" s="248" t="n"/>
      <c r="FIU92" s="240" t="n"/>
      <c r="FIV92" s="240" t="n"/>
      <c r="FIX92" s="15" t="n"/>
      <c r="FIY92" s="15" t="n"/>
      <c r="FIZ92" s="248" t="n"/>
      <c r="FJA92" s="248" t="n"/>
      <c r="FJB92" s="240" t="n"/>
      <c r="FJC92" s="240" t="n"/>
      <c r="FJE92" s="15" t="n"/>
      <c r="FJF92" s="15" t="n"/>
      <c r="FJG92" s="248" t="n"/>
      <c r="FJH92" s="248" t="n"/>
      <c r="FJI92" s="240" t="n"/>
      <c r="FJJ92" s="240" t="n"/>
      <c r="FJL92" s="15" t="n"/>
      <c r="FJM92" s="15" t="n"/>
      <c r="FJN92" s="248" t="n"/>
      <c r="FJO92" s="248" t="n"/>
      <c r="FJP92" s="240" t="n"/>
      <c r="FJQ92" s="240" t="n"/>
      <c r="FJS92" s="15" t="n"/>
      <c r="FJT92" s="15" t="n"/>
      <c r="FJU92" s="248" t="n"/>
      <c r="FJV92" s="248" t="n"/>
      <c r="FJW92" s="240" t="n"/>
      <c r="FJX92" s="240" t="n"/>
      <c r="FJZ92" s="15" t="n"/>
      <c r="FKA92" s="15" t="n"/>
      <c r="FKB92" s="248" t="n"/>
      <c r="FKC92" s="248" t="n"/>
      <c r="FKD92" s="240" t="n"/>
      <c r="FKE92" s="240" t="n"/>
      <c r="FKG92" s="15" t="n"/>
      <c r="FKH92" s="15" t="n"/>
      <c r="FKI92" s="248" t="n"/>
      <c r="FKJ92" s="248" t="n"/>
      <c r="FKK92" s="240" t="n"/>
      <c r="FKL92" s="240" t="n"/>
      <c r="FKN92" s="15" t="n"/>
      <c r="FKO92" s="15" t="n"/>
      <c r="FKP92" s="248" t="n"/>
      <c r="FKQ92" s="248" t="n"/>
      <c r="FKR92" s="240" t="n"/>
      <c r="FKS92" s="240" t="n"/>
      <c r="FKU92" s="15" t="n"/>
      <c r="FKV92" s="15" t="n"/>
      <c r="FKW92" s="248" t="n"/>
      <c r="FKX92" s="248" t="n"/>
      <c r="FKY92" s="240" t="n"/>
      <c r="FKZ92" s="240" t="n"/>
      <c r="FLB92" s="15" t="n"/>
      <c r="FLC92" s="15" t="n"/>
      <c r="FLD92" s="248" t="n"/>
      <c r="FLE92" s="248" t="n"/>
      <c r="FLF92" s="240" t="n"/>
      <c r="FLG92" s="240" t="n"/>
      <c r="FLI92" s="15" t="n"/>
      <c r="FLJ92" s="15" t="n"/>
      <c r="FLK92" s="248" t="n"/>
      <c r="FLL92" s="248" t="n"/>
      <c r="FLM92" s="240" t="n"/>
      <c r="FLN92" s="240" t="n"/>
      <c r="FLP92" s="15" t="n"/>
      <c r="FLQ92" s="15" t="n"/>
      <c r="FLR92" s="248" t="n"/>
      <c r="FLS92" s="248" t="n"/>
      <c r="FLT92" s="240" t="n"/>
      <c r="FLU92" s="240" t="n"/>
      <c r="FLW92" s="15" t="n"/>
      <c r="FLX92" s="15" t="n"/>
      <c r="FLY92" s="248" t="n"/>
      <c r="FLZ92" s="248" t="n"/>
      <c r="FMA92" s="240" t="n"/>
      <c r="FMB92" s="240" t="n"/>
      <c r="FMD92" s="15" t="n"/>
      <c r="FME92" s="15" t="n"/>
      <c r="FMF92" s="248" t="n"/>
      <c r="FMG92" s="248" t="n"/>
      <c r="FMH92" s="240" t="n"/>
      <c r="FMI92" s="240" t="n"/>
      <c r="FMK92" s="15" t="n"/>
      <c r="FML92" s="15" t="n"/>
      <c r="FMM92" s="248" t="n"/>
      <c r="FMN92" s="248" t="n"/>
      <c r="FMO92" s="240" t="n"/>
      <c r="FMP92" s="240" t="n"/>
      <c r="FMR92" s="15" t="n"/>
      <c r="FMS92" s="15" t="n"/>
      <c r="FMT92" s="248" t="n"/>
      <c r="FMU92" s="248" t="n"/>
      <c r="FMV92" s="240" t="n"/>
      <c r="FMW92" s="240" t="n"/>
      <c r="FMY92" s="15" t="n"/>
      <c r="FMZ92" s="15" t="n"/>
      <c r="FNA92" s="248" t="n"/>
      <c r="FNB92" s="248" t="n"/>
      <c r="FNC92" s="240" t="n"/>
      <c r="FND92" s="240" t="n"/>
      <c r="FNF92" s="15" t="n"/>
      <c r="FNG92" s="15" t="n"/>
      <c r="FNH92" s="248" t="n"/>
      <c r="FNI92" s="248" t="n"/>
      <c r="FNJ92" s="240" t="n"/>
      <c r="FNK92" s="240" t="n"/>
      <c r="FNM92" s="15" t="n"/>
      <c r="FNN92" s="15" t="n"/>
      <c r="FNO92" s="248" t="n"/>
      <c r="FNP92" s="248" t="n"/>
      <c r="FNQ92" s="240" t="n"/>
      <c r="FNR92" s="240" t="n"/>
      <c r="FNT92" s="15" t="n"/>
      <c r="FNU92" s="15" t="n"/>
      <c r="FNV92" s="248" t="n"/>
      <c r="FNW92" s="248" t="n"/>
      <c r="FNX92" s="240" t="n"/>
      <c r="FNY92" s="240" t="n"/>
      <c r="FOA92" s="15" t="n"/>
      <c r="FOB92" s="15" t="n"/>
      <c r="FOC92" s="248" t="n"/>
      <c r="FOD92" s="248" t="n"/>
      <c r="FOE92" s="240" t="n"/>
      <c r="FOF92" s="240" t="n"/>
      <c r="FOH92" s="15" t="n"/>
      <c r="FOI92" s="15" t="n"/>
      <c r="FOJ92" s="248" t="n"/>
      <c r="FOK92" s="248" t="n"/>
      <c r="FOL92" s="240" t="n"/>
      <c r="FOM92" s="240" t="n"/>
      <c r="FOO92" s="15" t="n"/>
      <c r="FOP92" s="15" t="n"/>
      <c r="FOQ92" s="248" t="n"/>
      <c r="FOR92" s="248" t="n"/>
      <c r="FOS92" s="240" t="n"/>
      <c r="FOT92" s="240" t="n"/>
      <c r="FOV92" s="15" t="n"/>
      <c r="FOW92" s="15" t="n"/>
      <c r="FOX92" s="248" t="n"/>
      <c r="FOY92" s="248" t="n"/>
      <c r="FOZ92" s="240" t="n"/>
      <c r="FPA92" s="240" t="n"/>
      <c r="FPC92" s="15" t="n"/>
      <c r="FPD92" s="15" t="n"/>
      <c r="FPE92" s="248" t="n"/>
      <c r="FPF92" s="248" t="n"/>
      <c r="FPG92" s="240" t="n"/>
      <c r="FPH92" s="240" t="n"/>
      <c r="FPJ92" s="15" t="n"/>
      <c r="FPK92" s="15" t="n"/>
      <c r="FPL92" s="248" t="n"/>
      <c r="FPM92" s="248" t="n"/>
      <c r="FPN92" s="240" t="n"/>
      <c r="FPO92" s="240" t="n"/>
      <c r="FPQ92" s="15" t="n"/>
      <c r="FPR92" s="15" t="n"/>
      <c r="FPS92" s="248" t="n"/>
      <c r="FPT92" s="248" t="n"/>
      <c r="FPU92" s="240" t="n"/>
      <c r="FPV92" s="240" t="n"/>
      <c r="FPX92" s="15" t="n"/>
      <c r="FPY92" s="15" t="n"/>
      <c r="FPZ92" s="248" t="n"/>
      <c r="FQA92" s="248" t="n"/>
      <c r="FQB92" s="240" t="n"/>
      <c r="FQC92" s="240" t="n"/>
      <c r="FQE92" s="15" t="n"/>
      <c r="FQF92" s="15" t="n"/>
      <c r="FQG92" s="248" t="n"/>
      <c r="FQH92" s="248" t="n"/>
      <c r="FQI92" s="240" t="n"/>
      <c r="FQJ92" s="240" t="n"/>
      <c r="FQL92" s="15" t="n"/>
      <c r="FQM92" s="15" t="n"/>
      <c r="FQN92" s="248" t="n"/>
      <c r="FQO92" s="248" t="n"/>
      <c r="FQP92" s="240" t="n"/>
      <c r="FQQ92" s="240" t="n"/>
      <c r="FQS92" s="15" t="n"/>
      <c r="FQT92" s="15" t="n"/>
      <c r="FQU92" s="248" t="n"/>
      <c r="FQV92" s="248" t="n"/>
      <c r="FQW92" s="240" t="n"/>
      <c r="FQX92" s="240" t="n"/>
      <c r="FQZ92" s="15" t="n"/>
      <c r="FRA92" s="15" t="n"/>
      <c r="FRB92" s="248" t="n"/>
      <c r="FRC92" s="248" t="n"/>
      <c r="FRD92" s="240" t="n"/>
      <c r="FRE92" s="240" t="n"/>
      <c r="FRG92" s="15" t="n"/>
      <c r="FRH92" s="15" t="n"/>
      <c r="FRI92" s="248" t="n"/>
      <c r="FRJ92" s="248" t="n"/>
      <c r="FRK92" s="240" t="n"/>
      <c r="FRL92" s="240" t="n"/>
      <c r="FRN92" s="15" t="n"/>
      <c r="FRO92" s="15" t="n"/>
      <c r="FRP92" s="248" t="n"/>
      <c r="FRQ92" s="248" t="n"/>
      <c r="FRR92" s="240" t="n"/>
      <c r="FRS92" s="240" t="n"/>
      <c r="FRU92" s="15" t="n"/>
      <c r="FRV92" s="15" t="n"/>
      <c r="FRW92" s="248" t="n"/>
      <c r="FRX92" s="248" t="n"/>
      <c r="FRY92" s="240" t="n"/>
      <c r="FRZ92" s="240" t="n"/>
      <c r="FSB92" s="15" t="n"/>
      <c r="FSC92" s="15" t="n"/>
      <c r="FSD92" s="248" t="n"/>
      <c r="FSE92" s="248" t="n"/>
      <c r="FSF92" s="240" t="n"/>
      <c r="FSG92" s="240" t="n"/>
      <c r="FSI92" s="15" t="n"/>
      <c r="FSJ92" s="15" t="n"/>
      <c r="FSK92" s="248" t="n"/>
      <c r="FSL92" s="248" t="n"/>
      <c r="FSM92" s="240" t="n"/>
      <c r="FSN92" s="240" t="n"/>
      <c r="FSP92" s="15" t="n"/>
      <c r="FSQ92" s="15" t="n"/>
      <c r="FSR92" s="248" t="n"/>
      <c r="FSS92" s="248" t="n"/>
      <c r="FST92" s="240" t="n"/>
      <c r="FSU92" s="240" t="n"/>
      <c r="FSW92" s="15" t="n"/>
      <c r="FSX92" s="15" t="n"/>
      <c r="FSY92" s="248" t="n"/>
      <c r="FSZ92" s="248" t="n"/>
      <c r="FTA92" s="240" t="n"/>
      <c r="FTB92" s="240" t="n"/>
      <c r="FTD92" s="15" t="n"/>
      <c r="FTE92" s="15" t="n"/>
      <c r="FTF92" s="248" t="n"/>
      <c r="FTG92" s="248" t="n"/>
      <c r="FTH92" s="240" t="n"/>
      <c r="FTI92" s="240" t="n"/>
      <c r="FTK92" s="15" t="n"/>
      <c r="FTL92" s="15" t="n"/>
      <c r="FTM92" s="248" t="n"/>
      <c r="FTN92" s="248" t="n"/>
      <c r="FTO92" s="240" t="n"/>
      <c r="FTP92" s="240" t="n"/>
      <c r="FTR92" s="15" t="n"/>
      <c r="FTS92" s="15" t="n"/>
      <c r="FTT92" s="248" t="n"/>
      <c r="FTU92" s="248" t="n"/>
      <c r="FTV92" s="240" t="n"/>
      <c r="FTW92" s="240" t="n"/>
      <c r="FTY92" s="15" t="n"/>
      <c r="FTZ92" s="15" t="n"/>
      <c r="FUA92" s="248" t="n"/>
      <c r="FUB92" s="248" t="n"/>
      <c r="FUC92" s="240" t="n"/>
      <c r="FUD92" s="240" t="n"/>
      <c r="FUF92" s="15" t="n"/>
      <c r="FUG92" s="15" t="n"/>
      <c r="FUH92" s="248" t="n"/>
      <c r="FUI92" s="248" t="n"/>
      <c r="FUJ92" s="240" t="n"/>
      <c r="FUK92" s="240" t="n"/>
      <c r="FUM92" s="15" t="n"/>
      <c r="FUN92" s="15" t="n"/>
      <c r="FUO92" s="248" t="n"/>
      <c r="FUP92" s="248" t="n"/>
      <c r="FUQ92" s="240" t="n"/>
      <c r="FUR92" s="240" t="n"/>
      <c r="FUT92" s="15" t="n"/>
      <c r="FUU92" s="15" t="n"/>
      <c r="FUV92" s="248" t="n"/>
      <c r="FUW92" s="248" t="n"/>
      <c r="FUX92" s="240" t="n"/>
      <c r="FUY92" s="240" t="n"/>
      <c r="FVA92" s="15" t="n"/>
      <c r="FVB92" s="15" t="n"/>
      <c r="FVC92" s="248" t="n"/>
      <c r="FVD92" s="248" t="n"/>
      <c r="FVE92" s="240" t="n"/>
      <c r="FVF92" s="240" t="n"/>
      <c r="FVH92" s="15" t="n"/>
      <c r="FVI92" s="15" t="n"/>
      <c r="FVJ92" s="248" t="n"/>
      <c r="FVK92" s="248" t="n"/>
      <c r="FVL92" s="240" t="n"/>
      <c r="FVM92" s="240" t="n"/>
      <c r="FVO92" s="15" t="n"/>
      <c r="FVP92" s="15" t="n"/>
      <c r="FVQ92" s="248" t="n"/>
      <c r="FVR92" s="248" t="n"/>
      <c r="FVS92" s="240" t="n"/>
      <c r="FVT92" s="240" t="n"/>
      <c r="FVV92" s="15" t="n"/>
      <c r="FVW92" s="15" t="n"/>
      <c r="FVX92" s="248" t="n"/>
      <c r="FVY92" s="248" t="n"/>
      <c r="FVZ92" s="240" t="n"/>
      <c r="FWA92" s="240" t="n"/>
      <c r="FWC92" s="15" t="n"/>
      <c r="FWD92" s="15" t="n"/>
      <c r="FWE92" s="248" t="n"/>
      <c r="FWF92" s="248" t="n"/>
      <c r="FWG92" s="240" t="n"/>
      <c r="FWH92" s="240" t="n"/>
      <c r="FWJ92" s="15" t="n"/>
      <c r="FWK92" s="15" t="n"/>
      <c r="FWL92" s="248" t="n"/>
      <c r="FWM92" s="248" t="n"/>
      <c r="FWN92" s="240" t="n"/>
      <c r="FWO92" s="240" t="n"/>
      <c r="FWQ92" s="15" t="n"/>
      <c r="FWR92" s="15" t="n"/>
      <c r="FWS92" s="248" t="n"/>
      <c r="FWT92" s="248" t="n"/>
      <c r="FWU92" s="240" t="n"/>
      <c r="FWV92" s="240" t="n"/>
      <c r="FWX92" s="15" t="n"/>
      <c r="FWY92" s="15" t="n"/>
      <c r="FWZ92" s="248" t="n"/>
      <c r="FXA92" s="248" t="n"/>
      <c r="FXB92" s="240" t="n"/>
      <c r="FXC92" s="240" t="n"/>
      <c r="FXE92" s="15" t="n"/>
      <c r="FXF92" s="15" t="n"/>
      <c r="FXG92" s="248" t="n"/>
      <c r="FXH92" s="248" t="n"/>
      <c r="FXI92" s="240" t="n"/>
      <c r="FXJ92" s="240" t="n"/>
      <c r="FXL92" s="15" t="n"/>
      <c r="FXM92" s="15" t="n"/>
      <c r="FXN92" s="248" t="n"/>
      <c r="FXO92" s="248" t="n"/>
      <c r="FXP92" s="240" t="n"/>
      <c r="FXQ92" s="240" t="n"/>
      <c r="FXS92" s="15" t="n"/>
      <c r="FXT92" s="15" t="n"/>
      <c r="FXU92" s="248" t="n"/>
      <c r="FXV92" s="248" t="n"/>
      <c r="FXW92" s="240" t="n"/>
      <c r="FXX92" s="240" t="n"/>
      <c r="FXZ92" s="15" t="n"/>
      <c r="FYA92" s="15" t="n"/>
      <c r="FYB92" s="248" t="n"/>
      <c r="FYC92" s="248" t="n"/>
      <c r="FYD92" s="240" t="n"/>
      <c r="FYE92" s="240" t="n"/>
      <c r="FYG92" s="15" t="n"/>
      <c r="FYH92" s="15" t="n"/>
      <c r="FYI92" s="248" t="n"/>
      <c r="FYJ92" s="248" t="n"/>
      <c r="FYK92" s="240" t="n"/>
      <c r="FYL92" s="240" t="n"/>
      <c r="FYN92" s="15" t="n"/>
      <c r="FYO92" s="15" t="n"/>
      <c r="FYP92" s="248" t="n"/>
      <c r="FYQ92" s="248" t="n"/>
      <c r="FYR92" s="240" t="n"/>
      <c r="FYS92" s="240" t="n"/>
      <c r="FYU92" s="15" t="n"/>
      <c r="FYV92" s="15" t="n"/>
      <c r="FYW92" s="248" t="n"/>
      <c r="FYX92" s="248" t="n"/>
      <c r="FYY92" s="240" t="n"/>
      <c r="FYZ92" s="240" t="n"/>
      <c r="FZB92" s="15" t="n"/>
      <c r="FZC92" s="15" t="n"/>
      <c r="FZD92" s="248" t="n"/>
      <c r="FZE92" s="248" t="n"/>
      <c r="FZF92" s="240" t="n"/>
      <c r="FZG92" s="240" t="n"/>
      <c r="FZI92" s="15" t="n"/>
      <c r="FZJ92" s="15" t="n"/>
      <c r="FZK92" s="248" t="n"/>
      <c r="FZL92" s="248" t="n"/>
      <c r="FZM92" s="240" t="n"/>
      <c r="FZN92" s="240" t="n"/>
      <c r="FZP92" s="15" t="n"/>
      <c r="FZQ92" s="15" t="n"/>
      <c r="FZR92" s="248" t="n"/>
      <c r="FZS92" s="248" t="n"/>
      <c r="FZT92" s="240" t="n"/>
      <c r="FZU92" s="240" t="n"/>
      <c r="FZW92" s="15" t="n"/>
      <c r="FZX92" s="15" t="n"/>
      <c r="FZY92" s="248" t="n"/>
      <c r="FZZ92" s="248" t="n"/>
      <c r="GAA92" s="240" t="n"/>
      <c r="GAB92" s="240" t="n"/>
      <c r="GAD92" s="15" t="n"/>
      <c r="GAE92" s="15" t="n"/>
      <c r="GAF92" s="248" t="n"/>
      <c r="GAG92" s="248" t="n"/>
      <c r="GAH92" s="240" t="n"/>
      <c r="GAI92" s="240" t="n"/>
      <c r="GAK92" s="15" t="n"/>
      <c r="GAL92" s="15" t="n"/>
      <c r="GAM92" s="248" t="n"/>
      <c r="GAN92" s="248" t="n"/>
      <c r="GAO92" s="240" t="n"/>
      <c r="GAP92" s="240" t="n"/>
      <c r="GAR92" s="15" t="n"/>
      <c r="GAS92" s="15" t="n"/>
      <c r="GAT92" s="248" t="n"/>
      <c r="GAU92" s="248" t="n"/>
      <c r="GAV92" s="240" t="n"/>
      <c r="GAW92" s="240" t="n"/>
      <c r="GAY92" s="15" t="n"/>
      <c r="GAZ92" s="15" t="n"/>
      <c r="GBA92" s="248" t="n"/>
      <c r="GBB92" s="248" t="n"/>
      <c r="GBC92" s="240" t="n"/>
      <c r="GBD92" s="240" t="n"/>
      <c r="GBF92" s="15" t="n"/>
      <c r="GBG92" s="15" t="n"/>
      <c r="GBH92" s="248" t="n"/>
      <c r="GBI92" s="248" t="n"/>
      <c r="GBJ92" s="240" t="n"/>
      <c r="GBK92" s="240" t="n"/>
      <c r="GBM92" s="15" t="n"/>
      <c r="GBN92" s="15" t="n"/>
      <c r="GBO92" s="248" t="n"/>
      <c r="GBP92" s="248" t="n"/>
      <c r="GBQ92" s="240" t="n"/>
      <c r="GBR92" s="240" t="n"/>
      <c r="GBT92" s="15" t="n"/>
      <c r="GBU92" s="15" t="n"/>
      <c r="GBV92" s="248" t="n"/>
      <c r="GBW92" s="248" t="n"/>
      <c r="GBX92" s="240" t="n"/>
      <c r="GBY92" s="240" t="n"/>
      <c r="GCA92" s="15" t="n"/>
      <c r="GCB92" s="15" t="n"/>
      <c r="GCC92" s="248" t="n"/>
      <c r="GCD92" s="248" t="n"/>
      <c r="GCE92" s="240" t="n"/>
      <c r="GCF92" s="240" t="n"/>
      <c r="GCH92" s="15" t="n"/>
      <c r="GCI92" s="15" t="n"/>
      <c r="GCJ92" s="248" t="n"/>
      <c r="GCK92" s="248" t="n"/>
      <c r="GCL92" s="240" t="n"/>
      <c r="GCM92" s="240" t="n"/>
      <c r="GCO92" s="15" t="n"/>
      <c r="GCP92" s="15" t="n"/>
      <c r="GCQ92" s="248" t="n"/>
      <c r="GCR92" s="248" t="n"/>
      <c r="GCS92" s="240" t="n"/>
      <c r="GCT92" s="240" t="n"/>
      <c r="GCV92" s="15" t="n"/>
      <c r="GCW92" s="15" t="n"/>
      <c r="GCX92" s="248" t="n"/>
      <c r="GCY92" s="248" t="n"/>
      <c r="GCZ92" s="240" t="n"/>
      <c r="GDA92" s="240" t="n"/>
      <c r="GDC92" s="15" t="n"/>
      <c r="GDD92" s="15" t="n"/>
      <c r="GDE92" s="248" t="n"/>
      <c r="GDF92" s="248" t="n"/>
      <c r="GDG92" s="240" t="n"/>
      <c r="GDH92" s="240" t="n"/>
      <c r="GDJ92" s="15" t="n"/>
      <c r="GDK92" s="15" t="n"/>
      <c r="GDL92" s="248" t="n"/>
      <c r="GDM92" s="248" t="n"/>
      <c r="GDN92" s="240" t="n"/>
      <c r="GDO92" s="240" t="n"/>
      <c r="GDQ92" s="15" t="n"/>
      <c r="GDR92" s="15" t="n"/>
      <c r="GDS92" s="248" t="n"/>
      <c r="GDT92" s="248" t="n"/>
      <c r="GDU92" s="240" t="n"/>
      <c r="GDV92" s="240" t="n"/>
      <c r="GDX92" s="15" t="n"/>
      <c r="GDY92" s="15" t="n"/>
      <c r="GDZ92" s="248" t="n"/>
      <c r="GEA92" s="248" t="n"/>
      <c r="GEB92" s="240" t="n"/>
      <c r="GEC92" s="240" t="n"/>
      <c r="GEE92" s="15" t="n"/>
      <c r="GEF92" s="15" t="n"/>
      <c r="GEG92" s="248" t="n"/>
      <c r="GEH92" s="248" t="n"/>
      <c r="GEI92" s="240" t="n"/>
      <c r="GEJ92" s="240" t="n"/>
      <c r="GEL92" s="15" t="n"/>
      <c r="GEM92" s="15" t="n"/>
      <c r="GEN92" s="248" t="n"/>
      <c r="GEO92" s="248" t="n"/>
      <c r="GEP92" s="240" t="n"/>
      <c r="GEQ92" s="240" t="n"/>
      <c r="GES92" s="15" t="n"/>
      <c r="GET92" s="15" t="n"/>
      <c r="GEU92" s="248" t="n"/>
      <c r="GEV92" s="248" t="n"/>
      <c r="GEW92" s="240" t="n"/>
      <c r="GEX92" s="240" t="n"/>
      <c r="GEZ92" s="15" t="n"/>
      <c r="GFA92" s="15" t="n"/>
      <c r="GFB92" s="248" t="n"/>
      <c r="GFC92" s="248" t="n"/>
      <c r="GFD92" s="240" t="n"/>
      <c r="GFE92" s="240" t="n"/>
      <c r="GFG92" s="15" t="n"/>
      <c r="GFH92" s="15" t="n"/>
      <c r="GFI92" s="248" t="n"/>
      <c r="GFJ92" s="248" t="n"/>
      <c r="GFK92" s="240" t="n"/>
      <c r="GFL92" s="240" t="n"/>
      <c r="GFN92" s="15" t="n"/>
      <c r="GFO92" s="15" t="n"/>
      <c r="GFP92" s="248" t="n"/>
      <c r="GFQ92" s="248" t="n"/>
      <c r="GFR92" s="240" t="n"/>
      <c r="GFS92" s="240" t="n"/>
      <c r="GFU92" s="15" t="n"/>
      <c r="GFV92" s="15" t="n"/>
      <c r="GFW92" s="248" t="n"/>
      <c r="GFX92" s="248" t="n"/>
      <c r="GFY92" s="240" t="n"/>
      <c r="GFZ92" s="240" t="n"/>
      <c r="GGB92" s="15" t="n"/>
      <c r="GGC92" s="15" t="n"/>
      <c r="GGD92" s="248" t="n"/>
      <c r="GGE92" s="248" t="n"/>
      <c r="GGF92" s="240" t="n"/>
      <c r="GGG92" s="240" t="n"/>
      <c r="GGI92" s="15" t="n"/>
      <c r="GGJ92" s="15" t="n"/>
      <c r="GGK92" s="248" t="n"/>
      <c r="GGL92" s="248" t="n"/>
      <c r="GGM92" s="240" t="n"/>
      <c r="GGN92" s="240" t="n"/>
      <c r="GGP92" s="15" t="n"/>
      <c r="GGQ92" s="15" t="n"/>
      <c r="GGR92" s="248" t="n"/>
      <c r="GGS92" s="248" t="n"/>
      <c r="GGT92" s="240" t="n"/>
      <c r="GGU92" s="240" t="n"/>
      <c r="GGW92" s="15" t="n"/>
      <c r="GGX92" s="15" t="n"/>
      <c r="GGY92" s="248" t="n"/>
      <c r="GGZ92" s="248" t="n"/>
      <c r="GHA92" s="240" t="n"/>
      <c r="GHB92" s="240" t="n"/>
      <c r="GHD92" s="15" t="n"/>
      <c r="GHE92" s="15" t="n"/>
      <c r="GHF92" s="248" t="n"/>
      <c r="GHG92" s="248" t="n"/>
      <c r="GHH92" s="240" t="n"/>
      <c r="GHI92" s="240" t="n"/>
      <c r="GHK92" s="15" t="n"/>
      <c r="GHL92" s="15" t="n"/>
      <c r="GHM92" s="248" t="n"/>
      <c r="GHN92" s="248" t="n"/>
      <c r="GHO92" s="240" t="n"/>
      <c r="GHP92" s="240" t="n"/>
      <c r="GHR92" s="15" t="n"/>
      <c r="GHS92" s="15" t="n"/>
      <c r="GHT92" s="248" t="n"/>
      <c r="GHU92" s="248" t="n"/>
      <c r="GHV92" s="240" t="n"/>
      <c r="GHW92" s="240" t="n"/>
      <c r="GHY92" s="15" t="n"/>
      <c r="GHZ92" s="15" t="n"/>
      <c r="GIA92" s="248" t="n"/>
      <c r="GIB92" s="248" t="n"/>
      <c r="GIC92" s="240" t="n"/>
      <c r="GID92" s="240" t="n"/>
      <c r="GIF92" s="15" t="n"/>
      <c r="GIG92" s="15" t="n"/>
      <c r="GIH92" s="248" t="n"/>
      <c r="GII92" s="248" t="n"/>
      <c r="GIJ92" s="240" t="n"/>
      <c r="GIK92" s="240" t="n"/>
      <c r="GIM92" s="15" t="n"/>
      <c r="GIN92" s="15" t="n"/>
      <c r="GIO92" s="248" t="n"/>
      <c r="GIP92" s="248" t="n"/>
      <c r="GIQ92" s="240" t="n"/>
      <c r="GIR92" s="240" t="n"/>
      <c r="GIT92" s="15" t="n"/>
      <c r="GIU92" s="15" t="n"/>
      <c r="GIV92" s="248" t="n"/>
      <c r="GIW92" s="248" t="n"/>
      <c r="GIX92" s="240" t="n"/>
      <c r="GIY92" s="240" t="n"/>
      <c r="GJA92" s="15" t="n"/>
      <c r="GJB92" s="15" t="n"/>
      <c r="GJC92" s="248" t="n"/>
      <c r="GJD92" s="248" t="n"/>
      <c r="GJE92" s="240" t="n"/>
      <c r="GJF92" s="240" t="n"/>
      <c r="GJH92" s="15" t="n"/>
      <c r="GJI92" s="15" t="n"/>
      <c r="GJJ92" s="248" t="n"/>
      <c r="GJK92" s="248" t="n"/>
      <c r="GJL92" s="240" t="n"/>
      <c r="GJM92" s="240" t="n"/>
      <c r="GJO92" s="15" t="n"/>
      <c r="GJP92" s="15" t="n"/>
      <c r="GJQ92" s="248" t="n"/>
      <c r="GJR92" s="248" t="n"/>
      <c r="GJS92" s="240" t="n"/>
      <c r="GJT92" s="240" t="n"/>
      <c r="GJV92" s="15" t="n"/>
      <c r="GJW92" s="15" t="n"/>
      <c r="GJX92" s="248" t="n"/>
      <c r="GJY92" s="248" t="n"/>
      <c r="GJZ92" s="240" t="n"/>
      <c r="GKA92" s="240" t="n"/>
      <c r="GKC92" s="15" t="n"/>
      <c r="GKD92" s="15" t="n"/>
      <c r="GKE92" s="248" t="n"/>
      <c r="GKF92" s="248" t="n"/>
      <c r="GKG92" s="240" t="n"/>
      <c r="GKH92" s="240" t="n"/>
      <c r="GKJ92" s="15" t="n"/>
      <c r="GKK92" s="15" t="n"/>
      <c r="GKL92" s="248" t="n"/>
      <c r="GKM92" s="248" t="n"/>
      <c r="GKN92" s="240" t="n"/>
      <c r="GKO92" s="240" t="n"/>
      <c r="GKQ92" s="15" t="n"/>
      <c r="GKR92" s="15" t="n"/>
      <c r="GKS92" s="248" t="n"/>
      <c r="GKT92" s="248" t="n"/>
      <c r="GKU92" s="240" t="n"/>
      <c r="GKV92" s="240" t="n"/>
      <c r="GKX92" s="15" t="n"/>
      <c r="GKY92" s="15" t="n"/>
      <c r="GKZ92" s="248" t="n"/>
      <c r="GLA92" s="248" t="n"/>
      <c r="GLB92" s="240" t="n"/>
      <c r="GLC92" s="240" t="n"/>
      <c r="GLE92" s="15" t="n"/>
      <c r="GLF92" s="15" t="n"/>
      <c r="GLG92" s="248" t="n"/>
      <c r="GLH92" s="248" t="n"/>
      <c r="GLI92" s="240" t="n"/>
      <c r="GLJ92" s="240" t="n"/>
      <c r="GLL92" s="15" t="n"/>
      <c r="GLM92" s="15" t="n"/>
      <c r="GLN92" s="248" t="n"/>
      <c r="GLO92" s="248" t="n"/>
      <c r="GLP92" s="240" t="n"/>
      <c r="GLQ92" s="240" t="n"/>
      <c r="GLS92" s="15" t="n"/>
      <c r="GLT92" s="15" t="n"/>
      <c r="GLU92" s="248" t="n"/>
      <c r="GLV92" s="248" t="n"/>
      <c r="GLW92" s="240" t="n"/>
      <c r="GLX92" s="240" t="n"/>
      <c r="GLZ92" s="15" t="n"/>
      <c r="GMA92" s="15" t="n"/>
      <c r="GMB92" s="248" t="n"/>
      <c r="GMC92" s="248" t="n"/>
      <c r="GMD92" s="240" t="n"/>
      <c r="GME92" s="240" t="n"/>
      <c r="GMG92" s="15" t="n"/>
      <c r="GMH92" s="15" t="n"/>
      <c r="GMI92" s="248" t="n"/>
      <c r="GMJ92" s="248" t="n"/>
      <c r="GMK92" s="240" t="n"/>
      <c r="GML92" s="240" t="n"/>
      <c r="GMN92" s="15" t="n"/>
      <c r="GMO92" s="15" t="n"/>
      <c r="GMP92" s="248" t="n"/>
      <c r="GMQ92" s="248" t="n"/>
      <c r="GMR92" s="240" t="n"/>
      <c r="GMS92" s="240" t="n"/>
      <c r="GMU92" s="15" t="n"/>
      <c r="GMV92" s="15" t="n"/>
      <c r="GMW92" s="248" t="n"/>
      <c r="GMX92" s="248" t="n"/>
      <c r="GMY92" s="240" t="n"/>
      <c r="GMZ92" s="240" t="n"/>
      <c r="GNB92" s="15" t="n"/>
      <c r="GNC92" s="15" t="n"/>
      <c r="GND92" s="248" t="n"/>
      <c r="GNE92" s="248" t="n"/>
      <c r="GNF92" s="240" t="n"/>
      <c r="GNG92" s="240" t="n"/>
      <c r="GNI92" s="15" t="n"/>
      <c r="GNJ92" s="15" t="n"/>
      <c r="GNK92" s="248" t="n"/>
      <c r="GNL92" s="248" t="n"/>
      <c r="GNM92" s="240" t="n"/>
      <c r="GNN92" s="240" t="n"/>
      <c r="GNP92" s="15" t="n"/>
      <c r="GNQ92" s="15" t="n"/>
      <c r="GNR92" s="248" t="n"/>
      <c r="GNS92" s="248" t="n"/>
      <c r="GNT92" s="240" t="n"/>
      <c r="GNU92" s="240" t="n"/>
      <c r="GNW92" s="15" t="n"/>
      <c r="GNX92" s="15" t="n"/>
      <c r="GNY92" s="248" t="n"/>
      <c r="GNZ92" s="248" t="n"/>
      <c r="GOA92" s="240" t="n"/>
      <c r="GOB92" s="240" t="n"/>
      <c r="GOD92" s="15" t="n"/>
      <c r="GOE92" s="15" t="n"/>
      <c r="GOF92" s="248" t="n"/>
      <c r="GOG92" s="248" t="n"/>
      <c r="GOH92" s="240" t="n"/>
      <c r="GOI92" s="240" t="n"/>
      <c r="GOK92" s="15" t="n"/>
      <c r="GOL92" s="15" t="n"/>
      <c r="GOM92" s="248" t="n"/>
      <c r="GON92" s="248" t="n"/>
      <c r="GOO92" s="240" t="n"/>
      <c r="GOP92" s="240" t="n"/>
      <c r="GOR92" s="15" t="n"/>
      <c r="GOS92" s="15" t="n"/>
      <c r="GOT92" s="248" t="n"/>
      <c r="GOU92" s="248" t="n"/>
      <c r="GOV92" s="240" t="n"/>
      <c r="GOW92" s="240" t="n"/>
      <c r="GOY92" s="15" t="n"/>
      <c r="GOZ92" s="15" t="n"/>
      <c r="GPA92" s="248" t="n"/>
      <c r="GPB92" s="248" t="n"/>
      <c r="GPC92" s="240" t="n"/>
      <c r="GPD92" s="240" t="n"/>
      <c r="GPF92" s="15" t="n"/>
      <c r="GPG92" s="15" t="n"/>
      <c r="GPH92" s="248" t="n"/>
      <c r="GPI92" s="248" t="n"/>
      <c r="GPJ92" s="240" t="n"/>
      <c r="GPK92" s="240" t="n"/>
      <c r="GPM92" s="15" t="n"/>
      <c r="GPN92" s="15" t="n"/>
      <c r="GPO92" s="248" t="n"/>
      <c r="GPP92" s="248" t="n"/>
      <c r="GPQ92" s="240" t="n"/>
      <c r="GPR92" s="240" t="n"/>
      <c r="GPT92" s="15" t="n"/>
      <c r="GPU92" s="15" t="n"/>
      <c r="GPV92" s="248" t="n"/>
      <c r="GPW92" s="248" t="n"/>
      <c r="GPX92" s="240" t="n"/>
      <c r="GPY92" s="240" t="n"/>
      <c r="GQA92" s="15" t="n"/>
      <c r="GQB92" s="15" t="n"/>
      <c r="GQC92" s="248" t="n"/>
      <c r="GQD92" s="248" t="n"/>
      <c r="GQE92" s="240" t="n"/>
      <c r="GQF92" s="240" t="n"/>
      <c r="GQH92" s="15" t="n"/>
      <c r="GQI92" s="15" t="n"/>
      <c r="GQJ92" s="248" t="n"/>
      <c r="GQK92" s="248" t="n"/>
      <c r="GQL92" s="240" t="n"/>
      <c r="GQM92" s="240" t="n"/>
      <c r="GQO92" s="15" t="n"/>
      <c r="GQP92" s="15" t="n"/>
      <c r="GQQ92" s="248" t="n"/>
      <c r="GQR92" s="248" t="n"/>
      <c r="GQS92" s="240" t="n"/>
      <c r="GQT92" s="240" t="n"/>
      <c r="GQV92" s="15" t="n"/>
      <c r="GQW92" s="15" t="n"/>
      <c r="GQX92" s="248" t="n"/>
      <c r="GQY92" s="248" t="n"/>
      <c r="GQZ92" s="240" t="n"/>
      <c r="GRA92" s="240" t="n"/>
      <c r="GRC92" s="15" t="n"/>
      <c r="GRD92" s="15" t="n"/>
      <c r="GRE92" s="248" t="n"/>
      <c r="GRF92" s="248" t="n"/>
      <c r="GRG92" s="240" t="n"/>
      <c r="GRH92" s="240" t="n"/>
      <c r="GRJ92" s="15" t="n"/>
      <c r="GRK92" s="15" t="n"/>
      <c r="GRL92" s="248" t="n"/>
      <c r="GRM92" s="248" t="n"/>
      <c r="GRN92" s="240" t="n"/>
      <c r="GRO92" s="240" t="n"/>
      <c r="GRQ92" s="15" t="n"/>
      <c r="GRR92" s="15" t="n"/>
      <c r="GRS92" s="248" t="n"/>
      <c r="GRT92" s="248" t="n"/>
      <c r="GRU92" s="240" t="n"/>
      <c r="GRV92" s="240" t="n"/>
      <c r="GRX92" s="15" t="n"/>
      <c r="GRY92" s="15" t="n"/>
      <c r="GRZ92" s="248" t="n"/>
      <c r="GSA92" s="248" t="n"/>
      <c r="GSB92" s="240" t="n"/>
      <c r="GSC92" s="240" t="n"/>
      <c r="GSE92" s="15" t="n"/>
      <c r="GSF92" s="15" t="n"/>
      <c r="GSG92" s="248" t="n"/>
      <c r="GSH92" s="248" t="n"/>
      <c r="GSI92" s="240" t="n"/>
      <c r="GSJ92" s="240" t="n"/>
      <c r="GSL92" s="15" t="n"/>
      <c r="GSM92" s="15" t="n"/>
      <c r="GSN92" s="248" t="n"/>
      <c r="GSO92" s="248" t="n"/>
      <c r="GSP92" s="240" t="n"/>
      <c r="GSQ92" s="240" t="n"/>
      <c r="GSS92" s="15" t="n"/>
      <c r="GST92" s="15" t="n"/>
      <c r="GSU92" s="248" t="n"/>
      <c r="GSV92" s="248" t="n"/>
      <c r="GSW92" s="240" t="n"/>
      <c r="GSX92" s="240" t="n"/>
      <c r="GSZ92" s="15" t="n"/>
      <c r="GTA92" s="15" t="n"/>
      <c r="GTB92" s="248" t="n"/>
      <c r="GTC92" s="248" t="n"/>
      <c r="GTD92" s="240" t="n"/>
      <c r="GTE92" s="240" t="n"/>
      <c r="GTG92" s="15" t="n"/>
      <c r="GTH92" s="15" t="n"/>
      <c r="GTI92" s="248" t="n"/>
      <c r="GTJ92" s="248" t="n"/>
      <c r="GTK92" s="240" t="n"/>
      <c r="GTL92" s="240" t="n"/>
      <c r="GTN92" s="15" t="n"/>
      <c r="GTO92" s="15" t="n"/>
      <c r="GTP92" s="248" t="n"/>
      <c r="GTQ92" s="248" t="n"/>
      <c r="GTR92" s="240" t="n"/>
      <c r="GTS92" s="240" t="n"/>
      <c r="GTU92" s="15" t="n"/>
      <c r="GTV92" s="15" t="n"/>
      <c r="GTW92" s="248" t="n"/>
      <c r="GTX92" s="248" t="n"/>
      <c r="GTY92" s="240" t="n"/>
      <c r="GTZ92" s="240" t="n"/>
      <c r="GUB92" s="15" t="n"/>
      <c r="GUC92" s="15" t="n"/>
      <c r="GUD92" s="248" t="n"/>
      <c r="GUE92" s="248" t="n"/>
      <c r="GUF92" s="240" t="n"/>
      <c r="GUG92" s="240" t="n"/>
      <c r="GUI92" s="15" t="n"/>
      <c r="GUJ92" s="15" t="n"/>
      <c r="GUK92" s="248" t="n"/>
      <c r="GUL92" s="248" t="n"/>
      <c r="GUM92" s="240" t="n"/>
      <c r="GUN92" s="240" t="n"/>
      <c r="GUP92" s="15" t="n"/>
      <c r="GUQ92" s="15" t="n"/>
      <c r="GUR92" s="248" t="n"/>
      <c r="GUS92" s="248" t="n"/>
      <c r="GUT92" s="240" t="n"/>
      <c r="GUU92" s="240" t="n"/>
      <c r="GUW92" s="15" t="n"/>
      <c r="GUX92" s="15" t="n"/>
      <c r="GUY92" s="248" t="n"/>
      <c r="GUZ92" s="248" t="n"/>
      <c r="GVA92" s="240" t="n"/>
      <c r="GVB92" s="240" t="n"/>
      <c r="GVD92" s="15" t="n"/>
      <c r="GVE92" s="15" t="n"/>
      <c r="GVF92" s="248" t="n"/>
      <c r="GVG92" s="248" t="n"/>
      <c r="GVH92" s="240" t="n"/>
      <c r="GVI92" s="240" t="n"/>
      <c r="GVK92" s="15" t="n"/>
      <c r="GVL92" s="15" t="n"/>
      <c r="GVM92" s="248" t="n"/>
      <c r="GVN92" s="248" t="n"/>
      <c r="GVO92" s="240" t="n"/>
      <c r="GVP92" s="240" t="n"/>
      <c r="GVR92" s="15" t="n"/>
      <c r="GVS92" s="15" t="n"/>
      <c r="GVT92" s="248" t="n"/>
      <c r="GVU92" s="248" t="n"/>
      <c r="GVV92" s="240" t="n"/>
      <c r="GVW92" s="240" t="n"/>
      <c r="GVY92" s="15" t="n"/>
      <c r="GVZ92" s="15" t="n"/>
      <c r="GWA92" s="248" t="n"/>
      <c r="GWB92" s="248" t="n"/>
      <c r="GWC92" s="240" t="n"/>
      <c r="GWD92" s="240" t="n"/>
      <c r="GWF92" s="15" t="n"/>
      <c r="GWG92" s="15" t="n"/>
      <c r="GWH92" s="248" t="n"/>
      <c r="GWI92" s="248" t="n"/>
      <c r="GWJ92" s="240" t="n"/>
      <c r="GWK92" s="240" t="n"/>
      <c r="GWM92" s="15" t="n"/>
      <c r="GWN92" s="15" t="n"/>
      <c r="GWO92" s="248" t="n"/>
      <c r="GWP92" s="248" t="n"/>
      <c r="GWQ92" s="240" t="n"/>
      <c r="GWR92" s="240" t="n"/>
      <c r="GWT92" s="15" t="n"/>
      <c r="GWU92" s="15" t="n"/>
      <c r="GWV92" s="248" t="n"/>
      <c r="GWW92" s="248" t="n"/>
      <c r="GWX92" s="240" t="n"/>
      <c r="GWY92" s="240" t="n"/>
      <c r="GXA92" s="15" t="n"/>
      <c r="GXB92" s="15" t="n"/>
      <c r="GXC92" s="248" t="n"/>
      <c r="GXD92" s="248" t="n"/>
      <c r="GXE92" s="240" t="n"/>
      <c r="GXF92" s="240" t="n"/>
      <c r="GXH92" s="15" t="n"/>
      <c r="GXI92" s="15" t="n"/>
      <c r="GXJ92" s="248" t="n"/>
      <c r="GXK92" s="248" t="n"/>
      <c r="GXL92" s="240" t="n"/>
      <c r="GXM92" s="240" t="n"/>
      <c r="GXO92" s="15" t="n"/>
      <c r="GXP92" s="15" t="n"/>
      <c r="GXQ92" s="248" t="n"/>
      <c r="GXR92" s="248" t="n"/>
      <c r="GXS92" s="240" t="n"/>
      <c r="GXT92" s="240" t="n"/>
      <c r="GXV92" s="15" t="n"/>
      <c r="GXW92" s="15" t="n"/>
      <c r="GXX92" s="248" t="n"/>
      <c r="GXY92" s="248" t="n"/>
      <c r="GXZ92" s="240" t="n"/>
      <c r="GYA92" s="240" t="n"/>
      <c r="GYC92" s="15" t="n"/>
      <c r="GYD92" s="15" t="n"/>
      <c r="GYE92" s="248" t="n"/>
      <c r="GYF92" s="248" t="n"/>
      <c r="GYG92" s="240" t="n"/>
      <c r="GYH92" s="240" t="n"/>
      <c r="GYJ92" s="15" t="n"/>
      <c r="GYK92" s="15" t="n"/>
      <c r="GYL92" s="248" t="n"/>
      <c r="GYM92" s="248" t="n"/>
      <c r="GYN92" s="240" t="n"/>
      <c r="GYO92" s="240" t="n"/>
      <c r="GYQ92" s="15" t="n"/>
      <c r="GYR92" s="15" t="n"/>
      <c r="GYS92" s="248" t="n"/>
      <c r="GYT92" s="248" t="n"/>
      <c r="GYU92" s="240" t="n"/>
      <c r="GYV92" s="240" t="n"/>
      <c r="GYX92" s="15" t="n"/>
      <c r="GYY92" s="15" t="n"/>
      <c r="GYZ92" s="248" t="n"/>
      <c r="GZA92" s="248" t="n"/>
      <c r="GZB92" s="240" t="n"/>
      <c r="GZC92" s="240" t="n"/>
      <c r="GZE92" s="15" t="n"/>
      <c r="GZF92" s="15" t="n"/>
      <c r="GZG92" s="248" t="n"/>
      <c r="GZH92" s="248" t="n"/>
      <c r="GZI92" s="240" t="n"/>
      <c r="GZJ92" s="240" t="n"/>
      <c r="GZL92" s="15" t="n"/>
      <c r="GZM92" s="15" t="n"/>
      <c r="GZN92" s="248" t="n"/>
      <c r="GZO92" s="248" t="n"/>
      <c r="GZP92" s="240" t="n"/>
      <c r="GZQ92" s="240" t="n"/>
      <c r="GZS92" s="15" t="n"/>
      <c r="GZT92" s="15" t="n"/>
      <c r="GZU92" s="248" t="n"/>
      <c r="GZV92" s="248" t="n"/>
      <c r="GZW92" s="240" t="n"/>
      <c r="GZX92" s="240" t="n"/>
      <c r="GZZ92" s="15" t="n"/>
      <c r="HAA92" s="15" t="n"/>
      <c r="HAB92" s="248" t="n"/>
      <c r="HAC92" s="248" t="n"/>
      <c r="HAD92" s="240" t="n"/>
      <c r="HAE92" s="240" t="n"/>
      <c r="HAG92" s="15" t="n"/>
      <c r="HAH92" s="15" t="n"/>
      <c r="HAI92" s="248" t="n"/>
      <c r="HAJ92" s="248" t="n"/>
      <c r="HAK92" s="240" t="n"/>
      <c r="HAL92" s="240" t="n"/>
      <c r="HAN92" s="15" t="n"/>
      <c r="HAO92" s="15" t="n"/>
      <c r="HAP92" s="248" t="n"/>
      <c r="HAQ92" s="248" t="n"/>
      <c r="HAR92" s="240" t="n"/>
      <c r="HAS92" s="240" t="n"/>
      <c r="HAU92" s="15" t="n"/>
      <c r="HAV92" s="15" t="n"/>
      <c r="HAW92" s="248" t="n"/>
      <c r="HAX92" s="248" t="n"/>
      <c r="HAY92" s="240" t="n"/>
      <c r="HAZ92" s="240" t="n"/>
      <c r="HBB92" s="15" t="n"/>
      <c r="HBC92" s="15" t="n"/>
      <c r="HBD92" s="248" t="n"/>
      <c r="HBE92" s="248" t="n"/>
      <c r="HBF92" s="240" t="n"/>
      <c r="HBG92" s="240" t="n"/>
      <c r="HBI92" s="15" t="n"/>
      <c r="HBJ92" s="15" t="n"/>
      <c r="HBK92" s="248" t="n"/>
      <c r="HBL92" s="248" t="n"/>
      <c r="HBM92" s="240" t="n"/>
      <c r="HBN92" s="240" t="n"/>
      <c r="HBP92" s="15" t="n"/>
      <c r="HBQ92" s="15" t="n"/>
      <c r="HBR92" s="248" t="n"/>
      <c r="HBS92" s="248" t="n"/>
      <c r="HBT92" s="240" t="n"/>
      <c r="HBU92" s="240" t="n"/>
      <c r="HBW92" s="15" t="n"/>
      <c r="HBX92" s="15" t="n"/>
      <c r="HBY92" s="248" t="n"/>
      <c r="HBZ92" s="248" t="n"/>
      <c r="HCA92" s="240" t="n"/>
      <c r="HCB92" s="240" t="n"/>
      <c r="HCD92" s="15" t="n"/>
      <c r="HCE92" s="15" t="n"/>
      <c r="HCF92" s="248" t="n"/>
      <c r="HCG92" s="248" t="n"/>
      <c r="HCH92" s="240" t="n"/>
      <c r="HCI92" s="240" t="n"/>
      <c r="HCK92" s="15" t="n"/>
      <c r="HCL92" s="15" t="n"/>
      <c r="HCM92" s="248" t="n"/>
      <c r="HCN92" s="248" t="n"/>
      <c r="HCO92" s="240" t="n"/>
      <c r="HCP92" s="240" t="n"/>
      <c r="HCR92" s="15" t="n"/>
      <c r="HCS92" s="15" t="n"/>
      <c r="HCT92" s="248" t="n"/>
      <c r="HCU92" s="248" t="n"/>
      <c r="HCV92" s="240" t="n"/>
      <c r="HCW92" s="240" t="n"/>
      <c r="HCY92" s="15" t="n"/>
      <c r="HCZ92" s="15" t="n"/>
      <c r="HDA92" s="248" t="n"/>
      <c r="HDB92" s="248" t="n"/>
      <c r="HDC92" s="240" t="n"/>
      <c r="HDD92" s="240" t="n"/>
      <c r="HDF92" s="15" t="n"/>
      <c r="HDG92" s="15" t="n"/>
      <c r="HDH92" s="248" t="n"/>
      <c r="HDI92" s="248" t="n"/>
      <c r="HDJ92" s="240" t="n"/>
      <c r="HDK92" s="240" t="n"/>
      <c r="HDM92" s="15" t="n"/>
      <c r="HDN92" s="15" t="n"/>
      <c r="HDO92" s="248" t="n"/>
      <c r="HDP92" s="248" t="n"/>
      <c r="HDQ92" s="240" t="n"/>
      <c r="HDR92" s="240" t="n"/>
      <c r="HDT92" s="15" t="n"/>
      <c r="HDU92" s="15" t="n"/>
      <c r="HDV92" s="248" t="n"/>
      <c r="HDW92" s="248" t="n"/>
      <c r="HDX92" s="240" t="n"/>
      <c r="HDY92" s="240" t="n"/>
      <c r="HEA92" s="15" t="n"/>
      <c r="HEB92" s="15" t="n"/>
      <c r="HEC92" s="248" t="n"/>
      <c r="HED92" s="248" t="n"/>
      <c r="HEE92" s="240" t="n"/>
      <c r="HEF92" s="240" t="n"/>
      <c r="HEH92" s="15" t="n"/>
      <c r="HEI92" s="15" t="n"/>
      <c r="HEJ92" s="248" t="n"/>
      <c r="HEK92" s="248" t="n"/>
      <c r="HEL92" s="240" t="n"/>
      <c r="HEM92" s="240" t="n"/>
      <c r="HEO92" s="15" t="n"/>
      <c r="HEP92" s="15" t="n"/>
      <c r="HEQ92" s="248" t="n"/>
      <c r="HER92" s="248" t="n"/>
      <c r="HES92" s="240" t="n"/>
      <c r="HET92" s="240" t="n"/>
      <c r="HEV92" s="15" t="n"/>
      <c r="HEW92" s="15" t="n"/>
      <c r="HEX92" s="248" t="n"/>
      <c r="HEY92" s="248" t="n"/>
      <c r="HEZ92" s="240" t="n"/>
      <c r="HFA92" s="240" t="n"/>
      <c r="HFC92" s="15" t="n"/>
      <c r="HFD92" s="15" t="n"/>
      <c r="HFE92" s="248" t="n"/>
      <c r="HFF92" s="248" t="n"/>
      <c r="HFG92" s="240" t="n"/>
      <c r="HFH92" s="240" t="n"/>
      <c r="HFJ92" s="15" t="n"/>
      <c r="HFK92" s="15" t="n"/>
      <c r="HFL92" s="248" t="n"/>
      <c r="HFM92" s="248" t="n"/>
      <c r="HFN92" s="240" t="n"/>
      <c r="HFO92" s="240" t="n"/>
      <c r="HFQ92" s="15" t="n"/>
      <c r="HFR92" s="15" t="n"/>
      <c r="HFS92" s="248" t="n"/>
      <c r="HFT92" s="248" t="n"/>
      <c r="HFU92" s="240" t="n"/>
      <c r="HFV92" s="240" t="n"/>
      <c r="HFX92" s="15" t="n"/>
      <c r="HFY92" s="15" t="n"/>
      <c r="HFZ92" s="248" t="n"/>
      <c r="HGA92" s="248" t="n"/>
      <c r="HGB92" s="240" t="n"/>
      <c r="HGC92" s="240" t="n"/>
      <c r="HGE92" s="15" t="n"/>
      <c r="HGF92" s="15" t="n"/>
      <c r="HGG92" s="248" t="n"/>
      <c r="HGH92" s="248" t="n"/>
      <c r="HGI92" s="240" t="n"/>
      <c r="HGJ92" s="240" t="n"/>
      <c r="HGL92" s="15" t="n"/>
      <c r="HGM92" s="15" t="n"/>
      <c r="HGN92" s="248" t="n"/>
      <c r="HGO92" s="248" t="n"/>
      <c r="HGP92" s="240" t="n"/>
      <c r="HGQ92" s="240" t="n"/>
      <c r="HGS92" s="15" t="n"/>
      <c r="HGT92" s="15" t="n"/>
      <c r="HGU92" s="248" t="n"/>
      <c r="HGV92" s="248" t="n"/>
      <c r="HGW92" s="240" t="n"/>
      <c r="HGX92" s="240" t="n"/>
      <c r="HGZ92" s="15" t="n"/>
      <c r="HHA92" s="15" t="n"/>
      <c r="HHB92" s="248" t="n"/>
      <c r="HHC92" s="248" t="n"/>
      <c r="HHD92" s="240" t="n"/>
      <c r="HHE92" s="240" t="n"/>
      <c r="HHG92" s="15" t="n"/>
      <c r="HHH92" s="15" t="n"/>
      <c r="HHI92" s="248" t="n"/>
      <c r="HHJ92" s="248" t="n"/>
      <c r="HHK92" s="240" t="n"/>
      <c r="HHL92" s="240" t="n"/>
      <c r="HHN92" s="15" t="n"/>
      <c r="HHO92" s="15" t="n"/>
      <c r="HHP92" s="248" t="n"/>
      <c r="HHQ92" s="248" t="n"/>
      <c r="HHR92" s="240" t="n"/>
      <c r="HHS92" s="240" t="n"/>
      <c r="HHU92" s="15" t="n"/>
      <c r="HHV92" s="15" t="n"/>
      <c r="HHW92" s="248" t="n"/>
      <c r="HHX92" s="248" t="n"/>
      <c r="HHY92" s="240" t="n"/>
      <c r="HHZ92" s="240" t="n"/>
      <c r="HIB92" s="15" t="n"/>
      <c r="HIC92" s="15" t="n"/>
      <c r="HID92" s="248" t="n"/>
      <c r="HIE92" s="248" t="n"/>
      <c r="HIF92" s="240" t="n"/>
      <c r="HIG92" s="240" t="n"/>
      <c r="HII92" s="15" t="n"/>
      <c r="HIJ92" s="15" t="n"/>
      <c r="HIK92" s="248" t="n"/>
      <c r="HIL92" s="248" t="n"/>
      <c r="HIM92" s="240" t="n"/>
      <c r="HIN92" s="240" t="n"/>
      <c r="HIP92" s="15" t="n"/>
      <c r="HIQ92" s="15" t="n"/>
      <c r="HIR92" s="248" t="n"/>
      <c r="HIS92" s="248" t="n"/>
      <c r="HIT92" s="240" t="n"/>
      <c r="HIU92" s="240" t="n"/>
      <c r="HIW92" s="15" t="n"/>
      <c r="HIX92" s="15" t="n"/>
      <c r="HIY92" s="248" t="n"/>
      <c r="HIZ92" s="248" t="n"/>
      <c r="HJA92" s="240" t="n"/>
      <c r="HJB92" s="240" t="n"/>
      <c r="HJD92" s="15" t="n"/>
      <c r="HJE92" s="15" t="n"/>
      <c r="HJF92" s="248" t="n"/>
      <c r="HJG92" s="248" t="n"/>
      <c r="HJH92" s="240" t="n"/>
      <c r="HJI92" s="240" t="n"/>
      <c r="HJK92" s="15" t="n"/>
      <c r="HJL92" s="15" t="n"/>
      <c r="HJM92" s="248" t="n"/>
      <c r="HJN92" s="248" t="n"/>
      <c r="HJO92" s="240" t="n"/>
      <c r="HJP92" s="240" t="n"/>
      <c r="HJR92" s="15" t="n"/>
      <c r="HJS92" s="15" t="n"/>
      <c r="HJT92" s="248" t="n"/>
      <c r="HJU92" s="248" t="n"/>
      <c r="HJV92" s="240" t="n"/>
      <c r="HJW92" s="240" t="n"/>
      <c r="HJY92" s="15" t="n"/>
      <c r="HJZ92" s="15" t="n"/>
      <c r="HKA92" s="248" t="n"/>
      <c r="HKB92" s="248" t="n"/>
      <c r="HKC92" s="240" t="n"/>
      <c r="HKD92" s="240" t="n"/>
      <c r="HKF92" s="15" t="n"/>
      <c r="HKG92" s="15" t="n"/>
      <c r="HKH92" s="248" t="n"/>
      <c r="HKI92" s="248" t="n"/>
      <c r="HKJ92" s="240" t="n"/>
      <c r="HKK92" s="240" t="n"/>
      <c r="HKM92" s="15" t="n"/>
      <c r="HKN92" s="15" t="n"/>
      <c r="HKO92" s="248" t="n"/>
      <c r="HKP92" s="248" t="n"/>
      <c r="HKQ92" s="240" t="n"/>
      <c r="HKR92" s="240" t="n"/>
      <c r="HKT92" s="15" t="n"/>
      <c r="HKU92" s="15" t="n"/>
      <c r="HKV92" s="248" t="n"/>
      <c r="HKW92" s="248" t="n"/>
      <c r="HKX92" s="240" t="n"/>
      <c r="HKY92" s="240" t="n"/>
      <c r="HLA92" s="15" t="n"/>
      <c r="HLB92" s="15" t="n"/>
      <c r="HLC92" s="248" t="n"/>
      <c r="HLD92" s="248" t="n"/>
      <c r="HLE92" s="240" t="n"/>
      <c r="HLF92" s="240" t="n"/>
      <c r="HLH92" s="15" t="n"/>
      <c r="HLI92" s="15" t="n"/>
      <c r="HLJ92" s="248" t="n"/>
      <c r="HLK92" s="248" t="n"/>
      <c r="HLL92" s="240" t="n"/>
      <c r="HLM92" s="240" t="n"/>
      <c r="HLO92" s="15" t="n"/>
      <c r="HLP92" s="15" t="n"/>
      <c r="HLQ92" s="248" t="n"/>
      <c r="HLR92" s="248" t="n"/>
      <c r="HLS92" s="240" t="n"/>
      <c r="HLT92" s="240" t="n"/>
      <c r="HLV92" s="15" t="n"/>
      <c r="HLW92" s="15" t="n"/>
      <c r="HLX92" s="248" t="n"/>
      <c r="HLY92" s="248" t="n"/>
      <c r="HLZ92" s="240" t="n"/>
      <c r="HMA92" s="240" t="n"/>
      <c r="HMC92" s="15" t="n"/>
      <c r="HMD92" s="15" t="n"/>
      <c r="HME92" s="248" t="n"/>
      <c r="HMF92" s="248" t="n"/>
      <c r="HMG92" s="240" t="n"/>
      <c r="HMH92" s="240" t="n"/>
      <c r="HMJ92" s="15" t="n"/>
      <c r="HMK92" s="15" t="n"/>
      <c r="HML92" s="248" t="n"/>
      <c r="HMM92" s="248" t="n"/>
      <c r="HMN92" s="240" t="n"/>
      <c r="HMO92" s="240" t="n"/>
      <c r="HMQ92" s="15" t="n"/>
      <c r="HMR92" s="15" t="n"/>
      <c r="HMS92" s="248" t="n"/>
      <c r="HMT92" s="248" t="n"/>
      <c r="HMU92" s="240" t="n"/>
      <c r="HMV92" s="240" t="n"/>
      <c r="HMX92" s="15" t="n"/>
      <c r="HMY92" s="15" t="n"/>
      <c r="HMZ92" s="248" t="n"/>
      <c r="HNA92" s="248" t="n"/>
      <c r="HNB92" s="240" t="n"/>
      <c r="HNC92" s="240" t="n"/>
      <c r="HNE92" s="15" t="n"/>
      <c r="HNF92" s="15" t="n"/>
      <c r="HNG92" s="248" t="n"/>
      <c r="HNH92" s="248" t="n"/>
      <c r="HNI92" s="240" t="n"/>
      <c r="HNJ92" s="240" t="n"/>
      <c r="HNL92" s="15" t="n"/>
      <c r="HNM92" s="15" t="n"/>
      <c r="HNN92" s="248" t="n"/>
      <c r="HNO92" s="248" t="n"/>
      <c r="HNP92" s="240" t="n"/>
      <c r="HNQ92" s="240" t="n"/>
      <c r="HNS92" s="15" t="n"/>
      <c r="HNT92" s="15" t="n"/>
      <c r="HNU92" s="248" t="n"/>
      <c r="HNV92" s="248" t="n"/>
      <c r="HNW92" s="240" t="n"/>
      <c r="HNX92" s="240" t="n"/>
      <c r="HNZ92" s="15" t="n"/>
      <c r="HOA92" s="15" t="n"/>
      <c r="HOB92" s="248" t="n"/>
      <c r="HOC92" s="248" t="n"/>
      <c r="HOD92" s="240" t="n"/>
      <c r="HOE92" s="240" t="n"/>
      <c r="HOG92" s="15" t="n"/>
      <c r="HOH92" s="15" t="n"/>
      <c r="HOI92" s="248" t="n"/>
      <c r="HOJ92" s="248" t="n"/>
      <c r="HOK92" s="240" t="n"/>
      <c r="HOL92" s="240" t="n"/>
      <c r="HON92" s="15" t="n"/>
      <c r="HOO92" s="15" t="n"/>
      <c r="HOP92" s="248" t="n"/>
      <c r="HOQ92" s="248" t="n"/>
      <c r="HOR92" s="240" t="n"/>
      <c r="HOS92" s="240" t="n"/>
      <c r="HOU92" s="15" t="n"/>
      <c r="HOV92" s="15" t="n"/>
      <c r="HOW92" s="248" t="n"/>
      <c r="HOX92" s="248" t="n"/>
      <c r="HOY92" s="240" t="n"/>
      <c r="HOZ92" s="240" t="n"/>
      <c r="HPB92" s="15" t="n"/>
      <c r="HPC92" s="15" t="n"/>
      <c r="HPD92" s="248" t="n"/>
      <c r="HPE92" s="248" t="n"/>
      <c r="HPF92" s="240" t="n"/>
      <c r="HPG92" s="240" t="n"/>
      <c r="HPI92" s="15" t="n"/>
      <c r="HPJ92" s="15" t="n"/>
      <c r="HPK92" s="248" t="n"/>
      <c r="HPL92" s="248" t="n"/>
      <c r="HPM92" s="240" t="n"/>
      <c r="HPN92" s="240" t="n"/>
      <c r="HPP92" s="15" t="n"/>
      <c r="HPQ92" s="15" t="n"/>
      <c r="HPR92" s="248" t="n"/>
      <c r="HPS92" s="248" t="n"/>
      <c r="HPT92" s="240" t="n"/>
      <c r="HPU92" s="240" t="n"/>
      <c r="HPW92" s="15" t="n"/>
      <c r="HPX92" s="15" t="n"/>
      <c r="HPY92" s="248" t="n"/>
      <c r="HPZ92" s="248" t="n"/>
      <c r="HQA92" s="240" t="n"/>
      <c r="HQB92" s="240" t="n"/>
      <c r="HQD92" s="15" t="n"/>
      <c r="HQE92" s="15" t="n"/>
      <c r="HQF92" s="248" t="n"/>
      <c r="HQG92" s="248" t="n"/>
      <c r="HQH92" s="240" t="n"/>
      <c r="HQI92" s="240" t="n"/>
      <c r="HQK92" s="15" t="n"/>
      <c r="HQL92" s="15" t="n"/>
      <c r="HQM92" s="248" t="n"/>
      <c r="HQN92" s="248" t="n"/>
      <c r="HQO92" s="240" t="n"/>
      <c r="HQP92" s="240" t="n"/>
      <c r="HQR92" s="15" t="n"/>
      <c r="HQS92" s="15" t="n"/>
      <c r="HQT92" s="248" t="n"/>
      <c r="HQU92" s="248" t="n"/>
      <c r="HQV92" s="240" t="n"/>
      <c r="HQW92" s="240" t="n"/>
      <c r="HQY92" s="15" t="n"/>
      <c r="HQZ92" s="15" t="n"/>
      <c r="HRA92" s="248" t="n"/>
      <c r="HRB92" s="248" t="n"/>
      <c r="HRC92" s="240" t="n"/>
      <c r="HRD92" s="240" t="n"/>
      <c r="HRF92" s="15" t="n"/>
      <c r="HRG92" s="15" t="n"/>
      <c r="HRH92" s="248" t="n"/>
      <c r="HRI92" s="248" t="n"/>
      <c r="HRJ92" s="240" t="n"/>
      <c r="HRK92" s="240" t="n"/>
      <c r="HRM92" s="15" t="n"/>
      <c r="HRN92" s="15" t="n"/>
      <c r="HRO92" s="248" t="n"/>
      <c r="HRP92" s="248" t="n"/>
      <c r="HRQ92" s="240" t="n"/>
      <c r="HRR92" s="240" t="n"/>
      <c r="HRT92" s="15" t="n"/>
      <c r="HRU92" s="15" t="n"/>
      <c r="HRV92" s="248" t="n"/>
      <c r="HRW92" s="248" t="n"/>
      <c r="HRX92" s="240" t="n"/>
      <c r="HRY92" s="240" t="n"/>
      <c r="HSA92" s="15" t="n"/>
      <c r="HSB92" s="15" t="n"/>
      <c r="HSC92" s="248" t="n"/>
      <c r="HSD92" s="248" t="n"/>
      <c r="HSE92" s="240" t="n"/>
      <c r="HSF92" s="240" t="n"/>
      <c r="HSH92" s="15" t="n"/>
      <c r="HSI92" s="15" t="n"/>
      <c r="HSJ92" s="248" t="n"/>
      <c r="HSK92" s="248" t="n"/>
      <c r="HSL92" s="240" t="n"/>
      <c r="HSM92" s="240" t="n"/>
      <c r="HSO92" s="15" t="n"/>
      <c r="HSP92" s="15" t="n"/>
      <c r="HSQ92" s="248" t="n"/>
      <c r="HSR92" s="248" t="n"/>
      <c r="HSS92" s="240" t="n"/>
      <c r="HST92" s="240" t="n"/>
      <c r="HSV92" s="15" t="n"/>
      <c r="HSW92" s="15" t="n"/>
      <c r="HSX92" s="248" t="n"/>
      <c r="HSY92" s="248" t="n"/>
      <c r="HSZ92" s="240" t="n"/>
      <c r="HTA92" s="240" t="n"/>
      <c r="HTC92" s="15" t="n"/>
      <c r="HTD92" s="15" t="n"/>
      <c r="HTE92" s="248" t="n"/>
      <c r="HTF92" s="248" t="n"/>
      <c r="HTG92" s="240" t="n"/>
      <c r="HTH92" s="240" t="n"/>
      <c r="HTJ92" s="15" t="n"/>
      <c r="HTK92" s="15" t="n"/>
      <c r="HTL92" s="248" t="n"/>
      <c r="HTM92" s="248" t="n"/>
      <c r="HTN92" s="240" t="n"/>
      <c r="HTO92" s="240" t="n"/>
      <c r="HTQ92" s="15" t="n"/>
      <c r="HTR92" s="15" t="n"/>
      <c r="HTS92" s="248" t="n"/>
      <c r="HTT92" s="248" t="n"/>
      <c r="HTU92" s="240" t="n"/>
      <c r="HTV92" s="240" t="n"/>
      <c r="HTX92" s="15" t="n"/>
      <c r="HTY92" s="15" t="n"/>
      <c r="HTZ92" s="248" t="n"/>
      <c r="HUA92" s="248" t="n"/>
      <c r="HUB92" s="240" t="n"/>
      <c r="HUC92" s="240" t="n"/>
      <c r="HUE92" s="15" t="n"/>
      <c r="HUF92" s="15" t="n"/>
      <c r="HUG92" s="248" t="n"/>
      <c r="HUH92" s="248" t="n"/>
      <c r="HUI92" s="240" t="n"/>
      <c r="HUJ92" s="240" t="n"/>
      <c r="HUL92" s="15" t="n"/>
      <c r="HUM92" s="15" t="n"/>
      <c r="HUN92" s="248" t="n"/>
      <c r="HUO92" s="248" t="n"/>
      <c r="HUP92" s="240" t="n"/>
      <c r="HUQ92" s="240" t="n"/>
      <c r="HUS92" s="15" t="n"/>
      <c r="HUT92" s="15" t="n"/>
      <c r="HUU92" s="248" t="n"/>
      <c r="HUV92" s="248" t="n"/>
      <c r="HUW92" s="240" t="n"/>
      <c r="HUX92" s="240" t="n"/>
      <c r="HUZ92" s="15" t="n"/>
      <c r="HVA92" s="15" t="n"/>
      <c r="HVB92" s="248" t="n"/>
      <c r="HVC92" s="248" t="n"/>
      <c r="HVD92" s="240" t="n"/>
      <c r="HVE92" s="240" t="n"/>
      <c r="HVG92" s="15" t="n"/>
      <c r="HVH92" s="15" t="n"/>
      <c r="HVI92" s="248" t="n"/>
      <c r="HVJ92" s="248" t="n"/>
      <c r="HVK92" s="240" t="n"/>
      <c r="HVL92" s="240" t="n"/>
      <c r="HVN92" s="15" t="n"/>
      <c r="HVO92" s="15" t="n"/>
      <c r="HVP92" s="248" t="n"/>
      <c r="HVQ92" s="248" t="n"/>
      <c r="HVR92" s="240" t="n"/>
      <c r="HVS92" s="240" t="n"/>
      <c r="HVU92" s="15" t="n"/>
      <c r="HVV92" s="15" t="n"/>
      <c r="HVW92" s="248" t="n"/>
      <c r="HVX92" s="248" t="n"/>
      <c r="HVY92" s="240" t="n"/>
      <c r="HVZ92" s="240" t="n"/>
      <c r="HWB92" s="15" t="n"/>
      <c r="HWC92" s="15" t="n"/>
      <c r="HWD92" s="248" t="n"/>
      <c r="HWE92" s="248" t="n"/>
      <c r="HWF92" s="240" t="n"/>
      <c r="HWG92" s="240" t="n"/>
      <c r="HWI92" s="15" t="n"/>
      <c r="HWJ92" s="15" t="n"/>
      <c r="HWK92" s="248" t="n"/>
      <c r="HWL92" s="248" t="n"/>
      <c r="HWM92" s="240" t="n"/>
      <c r="HWN92" s="240" t="n"/>
      <c r="HWP92" s="15" t="n"/>
      <c r="HWQ92" s="15" t="n"/>
      <c r="HWR92" s="248" t="n"/>
      <c r="HWS92" s="248" t="n"/>
      <c r="HWT92" s="240" t="n"/>
      <c r="HWU92" s="240" t="n"/>
      <c r="HWW92" s="15" t="n"/>
      <c r="HWX92" s="15" t="n"/>
      <c r="HWY92" s="248" t="n"/>
      <c r="HWZ92" s="248" t="n"/>
      <c r="HXA92" s="240" t="n"/>
      <c r="HXB92" s="240" t="n"/>
      <c r="HXD92" s="15" t="n"/>
      <c r="HXE92" s="15" t="n"/>
      <c r="HXF92" s="248" t="n"/>
      <c r="HXG92" s="248" t="n"/>
      <c r="HXH92" s="240" t="n"/>
      <c r="HXI92" s="240" t="n"/>
      <c r="HXK92" s="15" t="n"/>
      <c r="HXL92" s="15" t="n"/>
      <c r="HXM92" s="248" t="n"/>
      <c r="HXN92" s="248" t="n"/>
      <c r="HXO92" s="240" t="n"/>
      <c r="HXP92" s="240" t="n"/>
      <c r="HXR92" s="15" t="n"/>
      <c r="HXS92" s="15" t="n"/>
      <c r="HXT92" s="248" t="n"/>
      <c r="HXU92" s="248" t="n"/>
      <c r="HXV92" s="240" t="n"/>
      <c r="HXW92" s="240" t="n"/>
      <c r="HXY92" s="15" t="n"/>
      <c r="HXZ92" s="15" t="n"/>
      <c r="HYA92" s="248" t="n"/>
      <c r="HYB92" s="248" t="n"/>
      <c r="HYC92" s="240" t="n"/>
      <c r="HYD92" s="240" t="n"/>
      <c r="HYF92" s="15" t="n"/>
      <c r="HYG92" s="15" t="n"/>
      <c r="HYH92" s="248" t="n"/>
      <c r="HYI92" s="248" t="n"/>
      <c r="HYJ92" s="240" t="n"/>
      <c r="HYK92" s="240" t="n"/>
      <c r="HYM92" s="15" t="n"/>
      <c r="HYN92" s="15" t="n"/>
      <c r="HYO92" s="248" t="n"/>
      <c r="HYP92" s="248" t="n"/>
      <c r="HYQ92" s="240" t="n"/>
      <c r="HYR92" s="240" t="n"/>
      <c r="HYT92" s="15" t="n"/>
      <c r="HYU92" s="15" t="n"/>
      <c r="HYV92" s="248" t="n"/>
      <c r="HYW92" s="248" t="n"/>
      <c r="HYX92" s="240" t="n"/>
      <c r="HYY92" s="240" t="n"/>
      <c r="HZA92" s="15" t="n"/>
      <c r="HZB92" s="15" t="n"/>
      <c r="HZC92" s="248" t="n"/>
      <c r="HZD92" s="248" t="n"/>
      <c r="HZE92" s="240" t="n"/>
      <c r="HZF92" s="240" t="n"/>
      <c r="HZH92" s="15" t="n"/>
      <c r="HZI92" s="15" t="n"/>
      <c r="HZJ92" s="248" t="n"/>
      <c r="HZK92" s="248" t="n"/>
      <c r="HZL92" s="240" t="n"/>
      <c r="HZM92" s="240" t="n"/>
      <c r="HZO92" s="15" t="n"/>
      <c r="HZP92" s="15" t="n"/>
      <c r="HZQ92" s="248" t="n"/>
      <c r="HZR92" s="248" t="n"/>
      <c r="HZS92" s="240" t="n"/>
      <c r="HZT92" s="240" t="n"/>
      <c r="HZV92" s="15" t="n"/>
      <c r="HZW92" s="15" t="n"/>
      <c r="HZX92" s="248" t="n"/>
      <c r="HZY92" s="248" t="n"/>
      <c r="HZZ92" s="240" t="n"/>
      <c r="IAA92" s="240" t="n"/>
      <c r="IAC92" s="15" t="n"/>
      <c r="IAD92" s="15" t="n"/>
      <c r="IAE92" s="248" t="n"/>
      <c r="IAF92" s="248" t="n"/>
      <c r="IAG92" s="240" t="n"/>
      <c r="IAH92" s="240" t="n"/>
      <c r="IAJ92" s="15" t="n"/>
      <c r="IAK92" s="15" t="n"/>
      <c r="IAL92" s="248" t="n"/>
      <c r="IAM92" s="248" t="n"/>
      <c r="IAN92" s="240" t="n"/>
      <c r="IAO92" s="240" t="n"/>
      <c r="IAQ92" s="15" t="n"/>
      <c r="IAR92" s="15" t="n"/>
      <c r="IAS92" s="248" t="n"/>
      <c r="IAT92" s="248" t="n"/>
      <c r="IAU92" s="240" t="n"/>
      <c r="IAV92" s="240" t="n"/>
      <c r="IAX92" s="15" t="n"/>
      <c r="IAY92" s="15" t="n"/>
      <c r="IAZ92" s="248" t="n"/>
      <c r="IBA92" s="248" t="n"/>
      <c r="IBB92" s="240" t="n"/>
      <c r="IBC92" s="240" t="n"/>
      <c r="IBE92" s="15" t="n"/>
      <c r="IBF92" s="15" t="n"/>
      <c r="IBG92" s="248" t="n"/>
      <c r="IBH92" s="248" t="n"/>
      <c r="IBI92" s="240" t="n"/>
      <c r="IBJ92" s="240" t="n"/>
      <c r="IBL92" s="15" t="n"/>
      <c r="IBM92" s="15" t="n"/>
      <c r="IBN92" s="248" t="n"/>
      <c r="IBO92" s="248" t="n"/>
      <c r="IBP92" s="240" t="n"/>
      <c r="IBQ92" s="240" t="n"/>
      <c r="IBS92" s="15" t="n"/>
      <c r="IBT92" s="15" t="n"/>
      <c r="IBU92" s="248" t="n"/>
      <c r="IBV92" s="248" t="n"/>
      <c r="IBW92" s="240" t="n"/>
      <c r="IBX92" s="240" t="n"/>
      <c r="IBZ92" s="15" t="n"/>
      <c r="ICA92" s="15" t="n"/>
      <c r="ICB92" s="248" t="n"/>
      <c r="ICC92" s="248" t="n"/>
      <c r="ICD92" s="240" t="n"/>
      <c r="ICE92" s="240" t="n"/>
      <c r="ICG92" s="15" t="n"/>
      <c r="ICH92" s="15" t="n"/>
      <c r="ICI92" s="248" t="n"/>
      <c r="ICJ92" s="248" t="n"/>
      <c r="ICK92" s="240" t="n"/>
      <c r="ICL92" s="240" t="n"/>
      <c r="ICN92" s="15" t="n"/>
      <c r="ICO92" s="15" t="n"/>
      <c r="ICP92" s="248" t="n"/>
      <c r="ICQ92" s="248" t="n"/>
      <c r="ICR92" s="240" t="n"/>
      <c r="ICS92" s="240" t="n"/>
      <c r="ICU92" s="15" t="n"/>
      <c r="ICV92" s="15" t="n"/>
      <c r="ICW92" s="248" t="n"/>
      <c r="ICX92" s="248" t="n"/>
      <c r="ICY92" s="240" t="n"/>
      <c r="ICZ92" s="240" t="n"/>
      <c r="IDB92" s="15" t="n"/>
      <c r="IDC92" s="15" t="n"/>
      <c r="IDD92" s="248" t="n"/>
      <c r="IDE92" s="248" t="n"/>
      <c r="IDF92" s="240" t="n"/>
      <c r="IDG92" s="240" t="n"/>
      <c r="IDI92" s="15" t="n"/>
      <c r="IDJ92" s="15" t="n"/>
      <c r="IDK92" s="248" t="n"/>
      <c r="IDL92" s="248" t="n"/>
      <c r="IDM92" s="240" t="n"/>
      <c r="IDN92" s="240" t="n"/>
      <c r="IDP92" s="15" t="n"/>
      <c r="IDQ92" s="15" t="n"/>
      <c r="IDR92" s="248" t="n"/>
      <c r="IDS92" s="248" t="n"/>
      <c r="IDT92" s="240" t="n"/>
      <c r="IDU92" s="240" t="n"/>
      <c r="IDW92" s="15" t="n"/>
      <c r="IDX92" s="15" t="n"/>
      <c r="IDY92" s="248" t="n"/>
      <c r="IDZ92" s="248" t="n"/>
      <c r="IEA92" s="240" t="n"/>
      <c r="IEB92" s="240" t="n"/>
      <c r="IED92" s="15" t="n"/>
      <c r="IEE92" s="15" t="n"/>
      <c r="IEF92" s="248" t="n"/>
      <c r="IEG92" s="248" t="n"/>
      <c r="IEH92" s="240" t="n"/>
      <c r="IEI92" s="240" t="n"/>
      <c r="IEK92" s="15" t="n"/>
      <c r="IEL92" s="15" t="n"/>
      <c r="IEM92" s="248" t="n"/>
      <c r="IEN92" s="248" t="n"/>
      <c r="IEO92" s="240" t="n"/>
      <c r="IEP92" s="240" t="n"/>
      <c r="IER92" s="15" t="n"/>
      <c r="IES92" s="15" t="n"/>
      <c r="IET92" s="248" t="n"/>
      <c r="IEU92" s="248" t="n"/>
      <c r="IEV92" s="240" t="n"/>
      <c r="IEW92" s="240" t="n"/>
      <c r="IEY92" s="15" t="n"/>
      <c r="IEZ92" s="15" t="n"/>
      <c r="IFA92" s="248" t="n"/>
      <c r="IFB92" s="248" t="n"/>
      <c r="IFC92" s="240" t="n"/>
      <c r="IFD92" s="240" t="n"/>
      <c r="IFF92" s="15" t="n"/>
      <c r="IFG92" s="15" t="n"/>
      <c r="IFH92" s="248" t="n"/>
      <c r="IFI92" s="248" t="n"/>
      <c r="IFJ92" s="240" t="n"/>
      <c r="IFK92" s="240" t="n"/>
      <c r="IFM92" s="15" t="n"/>
      <c r="IFN92" s="15" t="n"/>
      <c r="IFO92" s="248" t="n"/>
      <c r="IFP92" s="248" t="n"/>
      <c r="IFQ92" s="240" t="n"/>
      <c r="IFR92" s="240" t="n"/>
      <c r="IFT92" s="15" t="n"/>
      <c r="IFU92" s="15" t="n"/>
      <c r="IFV92" s="248" t="n"/>
      <c r="IFW92" s="248" t="n"/>
      <c r="IFX92" s="240" t="n"/>
      <c r="IFY92" s="240" t="n"/>
      <c r="IGA92" s="15" t="n"/>
      <c r="IGB92" s="15" t="n"/>
      <c r="IGC92" s="248" t="n"/>
      <c r="IGD92" s="248" t="n"/>
      <c r="IGE92" s="240" t="n"/>
      <c r="IGF92" s="240" t="n"/>
      <c r="IGH92" s="15" t="n"/>
      <c r="IGI92" s="15" t="n"/>
      <c r="IGJ92" s="248" t="n"/>
      <c r="IGK92" s="248" t="n"/>
      <c r="IGL92" s="240" t="n"/>
      <c r="IGM92" s="240" t="n"/>
      <c r="IGO92" s="15" t="n"/>
      <c r="IGP92" s="15" t="n"/>
      <c r="IGQ92" s="248" t="n"/>
      <c r="IGR92" s="248" t="n"/>
      <c r="IGS92" s="240" t="n"/>
      <c r="IGT92" s="240" t="n"/>
      <c r="IGV92" s="15" t="n"/>
      <c r="IGW92" s="15" t="n"/>
      <c r="IGX92" s="248" t="n"/>
      <c r="IGY92" s="248" t="n"/>
      <c r="IGZ92" s="240" t="n"/>
      <c r="IHA92" s="240" t="n"/>
      <c r="IHC92" s="15" t="n"/>
      <c r="IHD92" s="15" t="n"/>
      <c r="IHE92" s="248" t="n"/>
      <c r="IHF92" s="248" t="n"/>
      <c r="IHG92" s="240" t="n"/>
      <c r="IHH92" s="240" t="n"/>
      <c r="IHJ92" s="15" t="n"/>
      <c r="IHK92" s="15" t="n"/>
      <c r="IHL92" s="248" t="n"/>
      <c r="IHM92" s="248" t="n"/>
      <c r="IHN92" s="240" t="n"/>
      <c r="IHO92" s="240" t="n"/>
      <c r="IHQ92" s="15" t="n"/>
      <c r="IHR92" s="15" t="n"/>
      <c r="IHS92" s="248" t="n"/>
      <c r="IHT92" s="248" t="n"/>
      <c r="IHU92" s="240" t="n"/>
      <c r="IHV92" s="240" t="n"/>
      <c r="IHX92" s="15" t="n"/>
      <c r="IHY92" s="15" t="n"/>
      <c r="IHZ92" s="248" t="n"/>
      <c r="IIA92" s="248" t="n"/>
      <c r="IIB92" s="240" t="n"/>
      <c r="IIC92" s="240" t="n"/>
      <c r="IIE92" s="15" t="n"/>
      <c r="IIF92" s="15" t="n"/>
      <c r="IIG92" s="248" t="n"/>
      <c r="IIH92" s="248" t="n"/>
      <c r="III92" s="240" t="n"/>
      <c r="IIJ92" s="240" t="n"/>
      <c r="IIL92" s="15" t="n"/>
      <c r="IIM92" s="15" t="n"/>
      <c r="IIN92" s="248" t="n"/>
      <c r="IIO92" s="248" t="n"/>
      <c r="IIP92" s="240" t="n"/>
      <c r="IIQ92" s="240" t="n"/>
      <c r="IIS92" s="15" t="n"/>
      <c r="IIT92" s="15" t="n"/>
      <c r="IIU92" s="248" t="n"/>
      <c r="IIV92" s="248" t="n"/>
      <c r="IIW92" s="240" t="n"/>
      <c r="IIX92" s="240" t="n"/>
      <c r="IIZ92" s="15" t="n"/>
      <c r="IJA92" s="15" t="n"/>
      <c r="IJB92" s="248" t="n"/>
      <c r="IJC92" s="248" t="n"/>
      <c r="IJD92" s="240" t="n"/>
      <c r="IJE92" s="240" t="n"/>
      <c r="IJG92" s="15" t="n"/>
      <c r="IJH92" s="15" t="n"/>
      <c r="IJI92" s="248" t="n"/>
      <c r="IJJ92" s="248" t="n"/>
      <c r="IJK92" s="240" t="n"/>
      <c r="IJL92" s="240" t="n"/>
      <c r="IJN92" s="15" t="n"/>
      <c r="IJO92" s="15" t="n"/>
      <c r="IJP92" s="248" t="n"/>
      <c r="IJQ92" s="248" t="n"/>
      <c r="IJR92" s="240" t="n"/>
      <c r="IJS92" s="240" t="n"/>
      <c r="IJU92" s="15" t="n"/>
      <c r="IJV92" s="15" t="n"/>
      <c r="IJW92" s="248" t="n"/>
      <c r="IJX92" s="248" t="n"/>
      <c r="IJY92" s="240" t="n"/>
      <c r="IJZ92" s="240" t="n"/>
      <c r="IKB92" s="15" t="n"/>
      <c r="IKC92" s="15" t="n"/>
      <c r="IKD92" s="248" t="n"/>
      <c r="IKE92" s="248" t="n"/>
      <c r="IKF92" s="240" t="n"/>
      <c r="IKG92" s="240" t="n"/>
      <c r="IKI92" s="15" t="n"/>
      <c r="IKJ92" s="15" t="n"/>
      <c r="IKK92" s="248" t="n"/>
      <c r="IKL92" s="248" t="n"/>
      <c r="IKM92" s="240" t="n"/>
      <c r="IKN92" s="240" t="n"/>
      <c r="IKP92" s="15" t="n"/>
      <c r="IKQ92" s="15" t="n"/>
      <c r="IKR92" s="248" t="n"/>
      <c r="IKS92" s="248" t="n"/>
      <c r="IKT92" s="240" t="n"/>
      <c r="IKU92" s="240" t="n"/>
      <c r="IKW92" s="15" t="n"/>
      <c r="IKX92" s="15" t="n"/>
      <c r="IKY92" s="248" t="n"/>
      <c r="IKZ92" s="248" t="n"/>
      <c r="ILA92" s="240" t="n"/>
      <c r="ILB92" s="240" t="n"/>
      <c r="ILD92" s="15" t="n"/>
      <c r="ILE92" s="15" t="n"/>
      <c r="ILF92" s="248" t="n"/>
      <c r="ILG92" s="248" t="n"/>
      <c r="ILH92" s="240" t="n"/>
      <c r="ILI92" s="240" t="n"/>
      <c r="ILK92" s="15" t="n"/>
      <c r="ILL92" s="15" t="n"/>
      <c r="ILM92" s="248" t="n"/>
      <c r="ILN92" s="248" t="n"/>
      <c r="ILO92" s="240" t="n"/>
      <c r="ILP92" s="240" t="n"/>
      <c r="ILR92" s="15" t="n"/>
      <c r="ILS92" s="15" t="n"/>
      <c r="ILT92" s="248" t="n"/>
      <c r="ILU92" s="248" t="n"/>
      <c r="ILV92" s="240" t="n"/>
      <c r="ILW92" s="240" t="n"/>
      <c r="ILY92" s="15" t="n"/>
      <c r="ILZ92" s="15" t="n"/>
      <c r="IMA92" s="248" t="n"/>
      <c r="IMB92" s="248" t="n"/>
      <c r="IMC92" s="240" t="n"/>
      <c r="IMD92" s="240" t="n"/>
      <c r="IMF92" s="15" t="n"/>
      <c r="IMG92" s="15" t="n"/>
      <c r="IMH92" s="248" t="n"/>
      <c r="IMI92" s="248" t="n"/>
      <c r="IMJ92" s="240" t="n"/>
      <c r="IMK92" s="240" t="n"/>
      <c r="IMM92" s="15" t="n"/>
      <c r="IMN92" s="15" t="n"/>
      <c r="IMO92" s="248" t="n"/>
      <c r="IMP92" s="248" t="n"/>
      <c r="IMQ92" s="240" t="n"/>
      <c r="IMR92" s="240" t="n"/>
      <c r="IMT92" s="15" t="n"/>
      <c r="IMU92" s="15" t="n"/>
      <c r="IMV92" s="248" t="n"/>
      <c r="IMW92" s="248" t="n"/>
      <c r="IMX92" s="240" t="n"/>
      <c r="IMY92" s="240" t="n"/>
      <c r="INA92" s="15" t="n"/>
      <c r="INB92" s="15" t="n"/>
      <c r="INC92" s="248" t="n"/>
      <c r="IND92" s="248" t="n"/>
      <c r="INE92" s="240" t="n"/>
      <c r="INF92" s="240" t="n"/>
      <c r="INH92" s="15" t="n"/>
      <c r="INI92" s="15" t="n"/>
      <c r="INJ92" s="248" t="n"/>
      <c r="INK92" s="248" t="n"/>
      <c r="INL92" s="240" t="n"/>
      <c r="INM92" s="240" t="n"/>
      <c r="INO92" s="15" t="n"/>
      <c r="INP92" s="15" t="n"/>
      <c r="INQ92" s="248" t="n"/>
      <c r="INR92" s="248" t="n"/>
      <c r="INS92" s="240" t="n"/>
      <c r="INT92" s="240" t="n"/>
      <c r="INV92" s="15" t="n"/>
      <c r="INW92" s="15" t="n"/>
      <c r="INX92" s="248" t="n"/>
      <c r="INY92" s="248" t="n"/>
      <c r="INZ92" s="240" t="n"/>
      <c r="IOA92" s="240" t="n"/>
      <c r="IOC92" s="15" t="n"/>
      <c r="IOD92" s="15" t="n"/>
      <c r="IOE92" s="248" t="n"/>
      <c r="IOF92" s="248" t="n"/>
      <c r="IOG92" s="240" t="n"/>
      <c r="IOH92" s="240" t="n"/>
      <c r="IOJ92" s="15" t="n"/>
      <c r="IOK92" s="15" t="n"/>
      <c r="IOL92" s="248" t="n"/>
      <c r="IOM92" s="248" t="n"/>
      <c r="ION92" s="240" t="n"/>
      <c r="IOO92" s="240" t="n"/>
      <c r="IOQ92" s="15" t="n"/>
      <c r="IOR92" s="15" t="n"/>
      <c r="IOS92" s="248" t="n"/>
      <c r="IOT92" s="248" t="n"/>
      <c r="IOU92" s="240" t="n"/>
      <c r="IOV92" s="240" t="n"/>
      <c r="IOX92" s="15" t="n"/>
      <c r="IOY92" s="15" t="n"/>
      <c r="IOZ92" s="248" t="n"/>
      <c r="IPA92" s="248" t="n"/>
      <c r="IPB92" s="240" t="n"/>
      <c r="IPC92" s="240" t="n"/>
      <c r="IPE92" s="15" t="n"/>
      <c r="IPF92" s="15" t="n"/>
      <c r="IPG92" s="248" t="n"/>
      <c r="IPH92" s="248" t="n"/>
      <c r="IPI92" s="240" t="n"/>
      <c r="IPJ92" s="240" t="n"/>
      <c r="IPL92" s="15" t="n"/>
      <c r="IPM92" s="15" t="n"/>
      <c r="IPN92" s="248" t="n"/>
      <c r="IPO92" s="248" t="n"/>
      <c r="IPP92" s="240" t="n"/>
      <c r="IPQ92" s="240" t="n"/>
      <c r="IPS92" s="15" t="n"/>
      <c r="IPT92" s="15" t="n"/>
      <c r="IPU92" s="248" t="n"/>
      <c r="IPV92" s="248" t="n"/>
      <c r="IPW92" s="240" t="n"/>
      <c r="IPX92" s="240" t="n"/>
      <c r="IPZ92" s="15" t="n"/>
      <c r="IQA92" s="15" t="n"/>
      <c r="IQB92" s="248" t="n"/>
      <c r="IQC92" s="248" t="n"/>
      <c r="IQD92" s="240" t="n"/>
      <c r="IQE92" s="240" t="n"/>
      <c r="IQG92" s="15" t="n"/>
      <c r="IQH92" s="15" t="n"/>
      <c r="IQI92" s="248" t="n"/>
      <c r="IQJ92" s="248" t="n"/>
      <c r="IQK92" s="240" t="n"/>
      <c r="IQL92" s="240" t="n"/>
      <c r="IQN92" s="15" t="n"/>
      <c r="IQO92" s="15" t="n"/>
      <c r="IQP92" s="248" t="n"/>
      <c r="IQQ92" s="248" t="n"/>
      <c r="IQR92" s="240" t="n"/>
      <c r="IQS92" s="240" t="n"/>
      <c r="IQU92" s="15" t="n"/>
      <c r="IQV92" s="15" t="n"/>
      <c r="IQW92" s="248" t="n"/>
      <c r="IQX92" s="248" t="n"/>
      <c r="IQY92" s="240" t="n"/>
      <c r="IQZ92" s="240" t="n"/>
      <c r="IRB92" s="15" t="n"/>
      <c r="IRC92" s="15" t="n"/>
      <c r="IRD92" s="248" t="n"/>
      <c r="IRE92" s="248" t="n"/>
      <c r="IRF92" s="240" t="n"/>
      <c r="IRG92" s="240" t="n"/>
      <c r="IRI92" s="15" t="n"/>
      <c r="IRJ92" s="15" t="n"/>
      <c r="IRK92" s="248" t="n"/>
      <c r="IRL92" s="248" t="n"/>
      <c r="IRM92" s="240" t="n"/>
      <c r="IRN92" s="240" t="n"/>
      <c r="IRP92" s="15" t="n"/>
      <c r="IRQ92" s="15" t="n"/>
      <c r="IRR92" s="248" t="n"/>
      <c r="IRS92" s="248" t="n"/>
      <c r="IRT92" s="240" t="n"/>
      <c r="IRU92" s="240" t="n"/>
      <c r="IRW92" s="15" t="n"/>
      <c r="IRX92" s="15" t="n"/>
      <c r="IRY92" s="248" t="n"/>
      <c r="IRZ92" s="248" t="n"/>
      <c r="ISA92" s="240" t="n"/>
      <c r="ISB92" s="240" t="n"/>
      <c r="ISD92" s="15" t="n"/>
      <c r="ISE92" s="15" t="n"/>
      <c r="ISF92" s="248" t="n"/>
      <c r="ISG92" s="248" t="n"/>
      <c r="ISH92" s="240" t="n"/>
      <c r="ISI92" s="240" t="n"/>
      <c r="ISK92" s="15" t="n"/>
      <c r="ISL92" s="15" t="n"/>
      <c r="ISM92" s="248" t="n"/>
      <c r="ISN92" s="248" t="n"/>
      <c r="ISO92" s="240" t="n"/>
      <c r="ISP92" s="240" t="n"/>
      <c r="ISR92" s="15" t="n"/>
      <c r="ISS92" s="15" t="n"/>
      <c r="IST92" s="248" t="n"/>
      <c r="ISU92" s="248" t="n"/>
      <c r="ISV92" s="240" t="n"/>
      <c r="ISW92" s="240" t="n"/>
      <c r="ISY92" s="15" t="n"/>
      <c r="ISZ92" s="15" t="n"/>
      <c r="ITA92" s="248" t="n"/>
      <c r="ITB92" s="248" t="n"/>
      <c r="ITC92" s="240" t="n"/>
      <c r="ITD92" s="240" t="n"/>
      <c r="ITF92" s="15" t="n"/>
      <c r="ITG92" s="15" t="n"/>
      <c r="ITH92" s="248" t="n"/>
      <c r="ITI92" s="248" t="n"/>
      <c r="ITJ92" s="240" t="n"/>
      <c r="ITK92" s="240" t="n"/>
      <c r="ITM92" s="15" t="n"/>
      <c r="ITN92" s="15" t="n"/>
      <c r="ITO92" s="248" t="n"/>
      <c r="ITP92" s="248" t="n"/>
      <c r="ITQ92" s="240" t="n"/>
      <c r="ITR92" s="240" t="n"/>
      <c r="ITT92" s="15" t="n"/>
      <c r="ITU92" s="15" t="n"/>
      <c r="ITV92" s="248" t="n"/>
      <c r="ITW92" s="248" t="n"/>
      <c r="ITX92" s="240" t="n"/>
      <c r="ITY92" s="240" t="n"/>
      <c r="IUA92" s="15" t="n"/>
      <c r="IUB92" s="15" t="n"/>
      <c r="IUC92" s="248" t="n"/>
      <c r="IUD92" s="248" t="n"/>
      <c r="IUE92" s="240" t="n"/>
      <c r="IUF92" s="240" t="n"/>
      <c r="IUH92" s="15" t="n"/>
      <c r="IUI92" s="15" t="n"/>
      <c r="IUJ92" s="248" t="n"/>
      <c r="IUK92" s="248" t="n"/>
      <c r="IUL92" s="240" t="n"/>
      <c r="IUM92" s="240" t="n"/>
      <c r="IUO92" s="15" t="n"/>
      <c r="IUP92" s="15" t="n"/>
      <c r="IUQ92" s="248" t="n"/>
      <c r="IUR92" s="248" t="n"/>
      <c r="IUS92" s="240" t="n"/>
      <c r="IUT92" s="240" t="n"/>
      <c r="IUV92" s="15" t="n"/>
      <c r="IUW92" s="15" t="n"/>
      <c r="IUX92" s="248" t="n"/>
      <c r="IUY92" s="248" t="n"/>
      <c r="IUZ92" s="240" t="n"/>
      <c r="IVA92" s="240" t="n"/>
      <c r="IVC92" s="15" t="n"/>
      <c r="IVD92" s="15" t="n"/>
      <c r="IVE92" s="248" t="n"/>
      <c r="IVF92" s="248" t="n"/>
      <c r="IVG92" s="240" t="n"/>
      <c r="IVH92" s="240" t="n"/>
      <c r="IVJ92" s="15" t="n"/>
      <c r="IVK92" s="15" t="n"/>
      <c r="IVL92" s="248" t="n"/>
      <c r="IVM92" s="248" t="n"/>
      <c r="IVN92" s="240" t="n"/>
      <c r="IVO92" s="240" t="n"/>
      <c r="IVQ92" s="15" t="n"/>
      <c r="IVR92" s="15" t="n"/>
      <c r="IVS92" s="248" t="n"/>
      <c r="IVT92" s="248" t="n"/>
      <c r="IVU92" s="240" t="n"/>
      <c r="IVV92" s="240" t="n"/>
      <c r="IVX92" s="15" t="n"/>
      <c r="IVY92" s="15" t="n"/>
      <c r="IVZ92" s="248" t="n"/>
      <c r="IWA92" s="248" t="n"/>
      <c r="IWB92" s="240" t="n"/>
      <c r="IWC92" s="240" t="n"/>
      <c r="IWE92" s="15" t="n"/>
      <c r="IWF92" s="15" t="n"/>
      <c r="IWG92" s="248" t="n"/>
      <c r="IWH92" s="248" t="n"/>
      <c r="IWI92" s="240" t="n"/>
      <c r="IWJ92" s="240" t="n"/>
      <c r="IWL92" s="15" t="n"/>
      <c r="IWM92" s="15" t="n"/>
      <c r="IWN92" s="248" t="n"/>
      <c r="IWO92" s="248" t="n"/>
      <c r="IWP92" s="240" t="n"/>
      <c r="IWQ92" s="240" t="n"/>
      <c r="IWS92" s="15" t="n"/>
      <c r="IWT92" s="15" t="n"/>
      <c r="IWU92" s="248" t="n"/>
      <c r="IWV92" s="248" t="n"/>
      <c r="IWW92" s="240" t="n"/>
      <c r="IWX92" s="240" t="n"/>
      <c r="IWZ92" s="15" t="n"/>
      <c r="IXA92" s="15" t="n"/>
      <c r="IXB92" s="248" t="n"/>
      <c r="IXC92" s="248" t="n"/>
      <c r="IXD92" s="240" t="n"/>
      <c r="IXE92" s="240" t="n"/>
      <c r="IXG92" s="15" t="n"/>
      <c r="IXH92" s="15" t="n"/>
      <c r="IXI92" s="248" t="n"/>
      <c r="IXJ92" s="248" t="n"/>
      <c r="IXK92" s="240" t="n"/>
      <c r="IXL92" s="240" t="n"/>
      <c r="IXN92" s="15" t="n"/>
      <c r="IXO92" s="15" t="n"/>
      <c r="IXP92" s="248" t="n"/>
      <c r="IXQ92" s="248" t="n"/>
      <c r="IXR92" s="240" t="n"/>
      <c r="IXS92" s="240" t="n"/>
      <c r="IXU92" s="15" t="n"/>
      <c r="IXV92" s="15" t="n"/>
      <c r="IXW92" s="248" t="n"/>
      <c r="IXX92" s="248" t="n"/>
      <c r="IXY92" s="240" t="n"/>
      <c r="IXZ92" s="240" t="n"/>
      <c r="IYB92" s="15" t="n"/>
      <c r="IYC92" s="15" t="n"/>
      <c r="IYD92" s="248" t="n"/>
      <c r="IYE92" s="248" t="n"/>
      <c r="IYF92" s="240" t="n"/>
      <c r="IYG92" s="240" t="n"/>
      <c r="IYI92" s="15" t="n"/>
      <c r="IYJ92" s="15" t="n"/>
      <c r="IYK92" s="248" t="n"/>
      <c r="IYL92" s="248" t="n"/>
      <c r="IYM92" s="240" t="n"/>
      <c r="IYN92" s="240" t="n"/>
      <c r="IYP92" s="15" t="n"/>
      <c r="IYQ92" s="15" t="n"/>
      <c r="IYR92" s="248" t="n"/>
      <c r="IYS92" s="248" t="n"/>
      <c r="IYT92" s="240" t="n"/>
      <c r="IYU92" s="240" t="n"/>
      <c r="IYW92" s="15" t="n"/>
      <c r="IYX92" s="15" t="n"/>
      <c r="IYY92" s="248" t="n"/>
      <c r="IYZ92" s="248" t="n"/>
      <c r="IZA92" s="240" t="n"/>
      <c r="IZB92" s="240" t="n"/>
      <c r="IZD92" s="15" t="n"/>
      <c r="IZE92" s="15" t="n"/>
      <c r="IZF92" s="248" t="n"/>
      <c r="IZG92" s="248" t="n"/>
      <c r="IZH92" s="240" t="n"/>
      <c r="IZI92" s="240" t="n"/>
      <c r="IZK92" s="15" t="n"/>
      <c r="IZL92" s="15" t="n"/>
      <c r="IZM92" s="248" t="n"/>
      <c r="IZN92" s="248" t="n"/>
      <c r="IZO92" s="240" t="n"/>
      <c r="IZP92" s="240" t="n"/>
      <c r="IZR92" s="15" t="n"/>
      <c r="IZS92" s="15" t="n"/>
      <c r="IZT92" s="248" t="n"/>
      <c r="IZU92" s="248" t="n"/>
      <c r="IZV92" s="240" t="n"/>
      <c r="IZW92" s="240" t="n"/>
      <c r="IZY92" s="15" t="n"/>
      <c r="IZZ92" s="15" t="n"/>
      <c r="JAA92" s="248" t="n"/>
      <c r="JAB92" s="248" t="n"/>
      <c r="JAC92" s="240" t="n"/>
      <c r="JAD92" s="240" t="n"/>
      <c r="JAF92" s="15" t="n"/>
      <c r="JAG92" s="15" t="n"/>
      <c r="JAH92" s="248" t="n"/>
      <c r="JAI92" s="248" t="n"/>
      <c r="JAJ92" s="240" t="n"/>
      <c r="JAK92" s="240" t="n"/>
      <c r="JAM92" s="15" t="n"/>
      <c r="JAN92" s="15" t="n"/>
      <c r="JAO92" s="248" t="n"/>
      <c r="JAP92" s="248" t="n"/>
      <c r="JAQ92" s="240" t="n"/>
      <c r="JAR92" s="240" t="n"/>
      <c r="JAT92" s="15" t="n"/>
      <c r="JAU92" s="15" t="n"/>
      <c r="JAV92" s="248" t="n"/>
      <c r="JAW92" s="248" t="n"/>
      <c r="JAX92" s="240" t="n"/>
      <c r="JAY92" s="240" t="n"/>
      <c r="JBA92" s="15" t="n"/>
      <c r="JBB92" s="15" t="n"/>
      <c r="JBC92" s="248" t="n"/>
      <c r="JBD92" s="248" t="n"/>
      <c r="JBE92" s="240" t="n"/>
      <c r="JBF92" s="240" t="n"/>
      <c r="JBH92" s="15" t="n"/>
      <c r="JBI92" s="15" t="n"/>
      <c r="JBJ92" s="248" t="n"/>
      <c r="JBK92" s="248" t="n"/>
      <c r="JBL92" s="240" t="n"/>
      <c r="JBM92" s="240" t="n"/>
      <c r="JBO92" s="15" t="n"/>
      <c r="JBP92" s="15" t="n"/>
      <c r="JBQ92" s="248" t="n"/>
      <c r="JBR92" s="248" t="n"/>
      <c r="JBS92" s="240" t="n"/>
      <c r="JBT92" s="240" t="n"/>
      <c r="JBV92" s="15" t="n"/>
      <c r="JBW92" s="15" t="n"/>
      <c r="JBX92" s="248" t="n"/>
      <c r="JBY92" s="248" t="n"/>
      <c r="JBZ92" s="240" t="n"/>
      <c r="JCA92" s="240" t="n"/>
      <c r="JCC92" s="15" t="n"/>
      <c r="JCD92" s="15" t="n"/>
      <c r="JCE92" s="248" t="n"/>
      <c r="JCF92" s="248" t="n"/>
      <c r="JCG92" s="240" t="n"/>
      <c r="JCH92" s="240" t="n"/>
      <c r="JCJ92" s="15" t="n"/>
      <c r="JCK92" s="15" t="n"/>
      <c r="JCL92" s="248" t="n"/>
      <c r="JCM92" s="248" t="n"/>
      <c r="JCN92" s="240" t="n"/>
      <c r="JCO92" s="240" t="n"/>
      <c r="JCQ92" s="15" t="n"/>
      <c r="JCR92" s="15" t="n"/>
      <c r="JCS92" s="248" t="n"/>
      <c r="JCT92" s="248" t="n"/>
      <c r="JCU92" s="240" t="n"/>
      <c r="JCV92" s="240" t="n"/>
      <c r="JCX92" s="15" t="n"/>
      <c r="JCY92" s="15" t="n"/>
      <c r="JCZ92" s="248" t="n"/>
      <c r="JDA92" s="248" t="n"/>
      <c r="JDB92" s="240" t="n"/>
      <c r="JDC92" s="240" t="n"/>
      <c r="JDE92" s="15" t="n"/>
      <c r="JDF92" s="15" t="n"/>
      <c r="JDG92" s="248" t="n"/>
      <c r="JDH92" s="248" t="n"/>
      <c r="JDI92" s="240" t="n"/>
      <c r="JDJ92" s="240" t="n"/>
      <c r="JDL92" s="15" t="n"/>
      <c r="JDM92" s="15" t="n"/>
      <c r="JDN92" s="248" t="n"/>
      <c r="JDO92" s="248" t="n"/>
      <c r="JDP92" s="240" t="n"/>
      <c r="JDQ92" s="240" t="n"/>
      <c r="JDS92" s="15" t="n"/>
      <c r="JDT92" s="15" t="n"/>
      <c r="JDU92" s="248" t="n"/>
      <c r="JDV92" s="248" t="n"/>
      <c r="JDW92" s="240" t="n"/>
      <c r="JDX92" s="240" t="n"/>
      <c r="JDZ92" s="15" t="n"/>
      <c r="JEA92" s="15" t="n"/>
      <c r="JEB92" s="248" t="n"/>
      <c r="JEC92" s="248" t="n"/>
      <c r="JED92" s="240" t="n"/>
      <c r="JEE92" s="240" t="n"/>
      <c r="JEG92" s="15" t="n"/>
      <c r="JEH92" s="15" t="n"/>
      <c r="JEI92" s="248" t="n"/>
      <c r="JEJ92" s="248" t="n"/>
      <c r="JEK92" s="240" t="n"/>
      <c r="JEL92" s="240" t="n"/>
      <c r="JEN92" s="15" t="n"/>
      <c r="JEO92" s="15" t="n"/>
      <c r="JEP92" s="248" t="n"/>
      <c r="JEQ92" s="248" t="n"/>
      <c r="JER92" s="240" t="n"/>
      <c r="JES92" s="240" t="n"/>
      <c r="JEU92" s="15" t="n"/>
      <c r="JEV92" s="15" t="n"/>
      <c r="JEW92" s="248" t="n"/>
      <c r="JEX92" s="248" t="n"/>
      <c r="JEY92" s="240" t="n"/>
      <c r="JEZ92" s="240" t="n"/>
      <c r="JFB92" s="15" t="n"/>
      <c r="JFC92" s="15" t="n"/>
      <c r="JFD92" s="248" t="n"/>
      <c r="JFE92" s="248" t="n"/>
      <c r="JFF92" s="240" t="n"/>
      <c r="JFG92" s="240" t="n"/>
      <c r="JFI92" s="15" t="n"/>
      <c r="JFJ92" s="15" t="n"/>
      <c r="JFK92" s="248" t="n"/>
      <c r="JFL92" s="248" t="n"/>
      <c r="JFM92" s="240" t="n"/>
      <c r="JFN92" s="240" t="n"/>
      <c r="JFP92" s="15" t="n"/>
      <c r="JFQ92" s="15" t="n"/>
      <c r="JFR92" s="248" t="n"/>
      <c r="JFS92" s="248" t="n"/>
      <c r="JFT92" s="240" t="n"/>
      <c r="JFU92" s="240" t="n"/>
      <c r="JFW92" s="15" t="n"/>
      <c r="JFX92" s="15" t="n"/>
      <c r="JFY92" s="248" t="n"/>
      <c r="JFZ92" s="248" t="n"/>
      <c r="JGA92" s="240" t="n"/>
      <c r="JGB92" s="240" t="n"/>
      <c r="JGD92" s="15" t="n"/>
      <c r="JGE92" s="15" t="n"/>
      <c r="JGF92" s="248" t="n"/>
      <c r="JGG92" s="248" t="n"/>
      <c r="JGH92" s="240" t="n"/>
      <c r="JGI92" s="240" t="n"/>
      <c r="JGK92" s="15" t="n"/>
      <c r="JGL92" s="15" t="n"/>
      <c r="JGM92" s="248" t="n"/>
      <c r="JGN92" s="248" t="n"/>
      <c r="JGO92" s="240" t="n"/>
      <c r="JGP92" s="240" t="n"/>
      <c r="JGR92" s="15" t="n"/>
      <c r="JGS92" s="15" t="n"/>
      <c r="JGT92" s="248" t="n"/>
      <c r="JGU92" s="248" t="n"/>
      <c r="JGV92" s="240" t="n"/>
      <c r="JGW92" s="240" t="n"/>
      <c r="JGY92" s="15" t="n"/>
      <c r="JGZ92" s="15" t="n"/>
      <c r="JHA92" s="248" t="n"/>
      <c r="JHB92" s="248" t="n"/>
      <c r="JHC92" s="240" t="n"/>
      <c r="JHD92" s="240" t="n"/>
      <c r="JHF92" s="15" t="n"/>
      <c r="JHG92" s="15" t="n"/>
      <c r="JHH92" s="248" t="n"/>
      <c r="JHI92" s="248" t="n"/>
      <c r="JHJ92" s="240" t="n"/>
      <c r="JHK92" s="240" t="n"/>
      <c r="JHM92" s="15" t="n"/>
      <c r="JHN92" s="15" t="n"/>
      <c r="JHO92" s="248" t="n"/>
      <c r="JHP92" s="248" t="n"/>
      <c r="JHQ92" s="240" t="n"/>
      <c r="JHR92" s="240" t="n"/>
      <c r="JHT92" s="15" t="n"/>
      <c r="JHU92" s="15" t="n"/>
      <c r="JHV92" s="248" t="n"/>
      <c r="JHW92" s="248" t="n"/>
      <c r="JHX92" s="240" t="n"/>
      <c r="JHY92" s="240" t="n"/>
      <c r="JIA92" s="15" t="n"/>
      <c r="JIB92" s="15" t="n"/>
      <c r="JIC92" s="248" t="n"/>
      <c r="JID92" s="248" t="n"/>
      <c r="JIE92" s="240" t="n"/>
      <c r="JIF92" s="240" t="n"/>
      <c r="JIH92" s="15" t="n"/>
      <c r="JII92" s="15" t="n"/>
      <c r="JIJ92" s="248" t="n"/>
      <c r="JIK92" s="248" t="n"/>
      <c r="JIL92" s="240" t="n"/>
      <c r="JIM92" s="240" t="n"/>
      <c r="JIO92" s="15" t="n"/>
      <c r="JIP92" s="15" t="n"/>
      <c r="JIQ92" s="248" t="n"/>
      <c r="JIR92" s="248" t="n"/>
      <c r="JIS92" s="240" t="n"/>
      <c r="JIT92" s="240" t="n"/>
      <c r="JIV92" s="15" t="n"/>
      <c r="JIW92" s="15" t="n"/>
      <c r="JIX92" s="248" t="n"/>
      <c r="JIY92" s="248" t="n"/>
      <c r="JIZ92" s="240" t="n"/>
      <c r="JJA92" s="240" t="n"/>
      <c r="JJC92" s="15" t="n"/>
      <c r="JJD92" s="15" t="n"/>
      <c r="JJE92" s="248" t="n"/>
      <c r="JJF92" s="248" t="n"/>
      <c r="JJG92" s="240" t="n"/>
      <c r="JJH92" s="240" t="n"/>
      <c r="JJJ92" s="15" t="n"/>
      <c r="JJK92" s="15" t="n"/>
      <c r="JJL92" s="248" t="n"/>
      <c r="JJM92" s="248" t="n"/>
      <c r="JJN92" s="240" t="n"/>
      <c r="JJO92" s="240" t="n"/>
      <c r="JJQ92" s="15" t="n"/>
      <c r="JJR92" s="15" t="n"/>
      <c r="JJS92" s="248" t="n"/>
      <c r="JJT92" s="248" t="n"/>
      <c r="JJU92" s="240" t="n"/>
      <c r="JJV92" s="240" t="n"/>
      <c r="JJX92" s="15" t="n"/>
      <c r="JJY92" s="15" t="n"/>
      <c r="JJZ92" s="248" t="n"/>
      <c r="JKA92" s="248" t="n"/>
      <c r="JKB92" s="240" t="n"/>
      <c r="JKC92" s="240" t="n"/>
      <c r="JKE92" s="15" t="n"/>
      <c r="JKF92" s="15" t="n"/>
      <c r="JKG92" s="248" t="n"/>
      <c r="JKH92" s="248" t="n"/>
      <c r="JKI92" s="240" t="n"/>
      <c r="JKJ92" s="240" t="n"/>
      <c r="JKL92" s="15" t="n"/>
      <c r="JKM92" s="15" t="n"/>
      <c r="JKN92" s="248" t="n"/>
      <c r="JKO92" s="248" t="n"/>
      <c r="JKP92" s="240" t="n"/>
      <c r="JKQ92" s="240" t="n"/>
      <c r="JKS92" s="15" t="n"/>
      <c r="JKT92" s="15" t="n"/>
      <c r="JKU92" s="248" t="n"/>
      <c r="JKV92" s="248" t="n"/>
      <c r="JKW92" s="240" t="n"/>
      <c r="JKX92" s="240" t="n"/>
      <c r="JKZ92" s="15" t="n"/>
      <c r="JLA92" s="15" t="n"/>
      <c r="JLB92" s="248" t="n"/>
      <c r="JLC92" s="248" t="n"/>
      <c r="JLD92" s="240" t="n"/>
      <c r="JLE92" s="240" t="n"/>
      <c r="JLG92" s="15" t="n"/>
      <c r="JLH92" s="15" t="n"/>
      <c r="JLI92" s="248" t="n"/>
      <c r="JLJ92" s="248" t="n"/>
      <c r="JLK92" s="240" t="n"/>
      <c r="JLL92" s="240" t="n"/>
      <c r="JLN92" s="15" t="n"/>
      <c r="JLO92" s="15" t="n"/>
      <c r="JLP92" s="248" t="n"/>
      <c r="JLQ92" s="248" t="n"/>
      <c r="JLR92" s="240" t="n"/>
      <c r="JLS92" s="240" t="n"/>
      <c r="JLU92" s="15" t="n"/>
      <c r="JLV92" s="15" t="n"/>
      <c r="JLW92" s="248" t="n"/>
      <c r="JLX92" s="248" t="n"/>
      <c r="JLY92" s="240" t="n"/>
      <c r="JLZ92" s="240" t="n"/>
      <c r="JMB92" s="15" t="n"/>
      <c r="JMC92" s="15" t="n"/>
      <c r="JMD92" s="248" t="n"/>
      <c r="JME92" s="248" t="n"/>
      <c r="JMF92" s="240" t="n"/>
      <c r="JMG92" s="240" t="n"/>
      <c r="JMI92" s="15" t="n"/>
      <c r="JMJ92" s="15" t="n"/>
      <c r="JMK92" s="248" t="n"/>
      <c r="JML92" s="248" t="n"/>
      <c r="JMM92" s="240" t="n"/>
      <c r="JMN92" s="240" t="n"/>
      <c r="JMP92" s="15" t="n"/>
      <c r="JMQ92" s="15" t="n"/>
      <c r="JMR92" s="248" t="n"/>
      <c r="JMS92" s="248" t="n"/>
      <c r="JMT92" s="240" t="n"/>
      <c r="JMU92" s="240" t="n"/>
      <c r="JMW92" s="15" t="n"/>
      <c r="JMX92" s="15" t="n"/>
      <c r="JMY92" s="248" t="n"/>
      <c r="JMZ92" s="248" t="n"/>
      <c r="JNA92" s="240" t="n"/>
      <c r="JNB92" s="240" t="n"/>
      <c r="JND92" s="15" t="n"/>
      <c r="JNE92" s="15" t="n"/>
      <c r="JNF92" s="248" t="n"/>
      <c r="JNG92" s="248" t="n"/>
      <c r="JNH92" s="240" t="n"/>
      <c r="JNI92" s="240" t="n"/>
      <c r="JNK92" s="15" t="n"/>
      <c r="JNL92" s="15" t="n"/>
      <c r="JNM92" s="248" t="n"/>
      <c r="JNN92" s="248" t="n"/>
      <c r="JNO92" s="240" t="n"/>
      <c r="JNP92" s="240" t="n"/>
      <c r="JNR92" s="15" t="n"/>
      <c r="JNS92" s="15" t="n"/>
      <c r="JNT92" s="248" t="n"/>
      <c r="JNU92" s="248" t="n"/>
      <c r="JNV92" s="240" t="n"/>
      <c r="JNW92" s="240" t="n"/>
      <c r="JNY92" s="15" t="n"/>
      <c r="JNZ92" s="15" t="n"/>
      <c r="JOA92" s="248" t="n"/>
      <c r="JOB92" s="248" t="n"/>
      <c r="JOC92" s="240" t="n"/>
      <c r="JOD92" s="240" t="n"/>
      <c r="JOF92" s="15" t="n"/>
      <c r="JOG92" s="15" t="n"/>
      <c r="JOH92" s="248" t="n"/>
      <c r="JOI92" s="248" t="n"/>
      <c r="JOJ92" s="240" t="n"/>
      <c r="JOK92" s="240" t="n"/>
      <c r="JOM92" s="15" t="n"/>
      <c r="JON92" s="15" t="n"/>
      <c r="JOO92" s="248" t="n"/>
      <c r="JOP92" s="248" t="n"/>
      <c r="JOQ92" s="240" t="n"/>
      <c r="JOR92" s="240" t="n"/>
      <c r="JOT92" s="15" t="n"/>
      <c r="JOU92" s="15" t="n"/>
      <c r="JOV92" s="248" t="n"/>
      <c r="JOW92" s="248" t="n"/>
      <c r="JOX92" s="240" t="n"/>
      <c r="JOY92" s="240" t="n"/>
      <c r="JPA92" s="15" t="n"/>
      <c r="JPB92" s="15" t="n"/>
      <c r="JPC92" s="248" t="n"/>
      <c r="JPD92" s="248" t="n"/>
      <c r="JPE92" s="240" t="n"/>
      <c r="JPF92" s="240" t="n"/>
      <c r="JPH92" s="15" t="n"/>
      <c r="JPI92" s="15" t="n"/>
      <c r="JPJ92" s="248" t="n"/>
      <c r="JPK92" s="248" t="n"/>
      <c r="JPL92" s="240" t="n"/>
      <c r="JPM92" s="240" t="n"/>
      <c r="JPO92" s="15" t="n"/>
      <c r="JPP92" s="15" t="n"/>
      <c r="JPQ92" s="248" t="n"/>
      <c r="JPR92" s="248" t="n"/>
      <c r="JPS92" s="240" t="n"/>
      <c r="JPT92" s="240" t="n"/>
      <c r="JPV92" s="15" t="n"/>
      <c r="JPW92" s="15" t="n"/>
      <c r="JPX92" s="248" t="n"/>
      <c r="JPY92" s="248" t="n"/>
      <c r="JPZ92" s="240" t="n"/>
      <c r="JQA92" s="240" t="n"/>
      <c r="JQC92" s="15" t="n"/>
      <c r="JQD92" s="15" t="n"/>
      <c r="JQE92" s="248" t="n"/>
      <c r="JQF92" s="248" t="n"/>
      <c r="JQG92" s="240" t="n"/>
      <c r="JQH92" s="240" t="n"/>
      <c r="JQJ92" s="15" t="n"/>
      <c r="JQK92" s="15" t="n"/>
      <c r="JQL92" s="248" t="n"/>
      <c r="JQM92" s="248" t="n"/>
      <c r="JQN92" s="240" t="n"/>
      <c r="JQO92" s="240" t="n"/>
      <c r="JQQ92" s="15" t="n"/>
      <c r="JQR92" s="15" t="n"/>
      <c r="JQS92" s="248" t="n"/>
      <c r="JQT92" s="248" t="n"/>
      <c r="JQU92" s="240" t="n"/>
      <c r="JQV92" s="240" t="n"/>
      <c r="JQX92" s="15" t="n"/>
      <c r="JQY92" s="15" t="n"/>
      <c r="JQZ92" s="248" t="n"/>
      <c r="JRA92" s="248" t="n"/>
      <c r="JRB92" s="240" t="n"/>
      <c r="JRC92" s="240" t="n"/>
      <c r="JRE92" s="15" t="n"/>
      <c r="JRF92" s="15" t="n"/>
      <c r="JRG92" s="248" t="n"/>
      <c r="JRH92" s="248" t="n"/>
      <c r="JRI92" s="240" t="n"/>
      <c r="JRJ92" s="240" t="n"/>
      <c r="JRL92" s="15" t="n"/>
      <c r="JRM92" s="15" t="n"/>
      <c r="JRN92" s="248" t="n"/>
      <c r="JRO92" s="248" t="n"/>
      <c r="JRP92" s="240" t="n"/>
      <c r="JRQ92" s="240" t="n"/>
      <c r="JRS92" s="15" t="n"/>
      <c r="JRT92" s="15" t="n"/>
      <c r="JRU92" s="248" t="n"/>
      <c r="JRV92" s="248" t="n"/>
      <c r="JRW92" s="240" t="n"/>
      <c r="JRX92" s="240" t="n"/>
      <c r="JRZ92" s="15" t="n"/>
      <c r="JSA92" s="15" t="n"/>
      <c r="JSB92" s="248" t="n"/>
      <c r="JSC92" s="248" t="n"/>
      <c r="JSD92" s="240" t="n"/>
      <c r="JSE92" s="240" t="n"/>
      <c r="JSG92" s="15" t="n"/>
      <c r="JSH92" s="15" t="n"/>
      <c r="JSI92" s="248" t="n"/>
      <c r="JSJ92" s="248" t="n"/>
      <c r="JSK92" s="240" t="n"/>
      <c r="JSL92" s="240" t="n"/>
      <c r="JSN92" s="15" t="n"/>
      <c r="JSO92" s="15" t="n"/>
      <c r="JSP92" s="248" t="n"/>
      <c r="JSQ92" s="248" t="n"/>
      <c r="JSR92" s="240" t="n"/>
      <c r="JSS92" s="240" t="n"/>
      <c r="JSU92" s="15" t="n"/>
      <c r="JSV92" s="15" t="n"/>
      <c r="JSW92" s="248" t="n"/>
      <c r="JSX92" s="248" t="n"/>
      <c r="JSY92" s="240" t="n"/>
      <c r="JSZ92" s="240" t="n"/>
      <c r="JTB92" s="15" t="n"/>
      <c r="JTC92" s="15" t="n"/>
      <c r="JTD92" s="248" t="n"/>
      <c r="JTE92" s="248" t="n"/>
      <c r="JTF92" s="240" t="n"/>
      <c r="JTG92" s="240" t="n"/>
      <c r="JTI92" s="15" t="n"/>
      <c r="JTJ92" s="15" t="n"/>
      <c r="JTK92" s="248" t="n"/>
      <c r="JTL92" s="248" t="n"/>
      <c r="JTM92" s="240" t="n"/>
      <c r="JTN92" s="240" t="n"/>
      <c r="JTP92" s="15" t="n"/>
      <c r="JTQ92" s="15" t="n"/>
      <c r="JTR92" s="248" t="n"/>
      <c r="JTS92" s="248" t="n"/>
      <c r="JTT92" s="240" t="n"/>
      <c r="JTU92" s="240" t="n"/>
      <c r="JTW92" s="15" t="n"/>
      <c r="JTX92" s="15" t="n"/>
      <c r="JTY92" s="248" t="n"/>
      <c r="JTZ92" s="248" t="n"/>
      <c r="JUA92" s="240" t="n"/>
      <c r="JUB92" s="240" t="n"/>
      <c r="JUD92" s="15" t="n"/>
      <c r="JUE92" s="15" t="n"/>
      <c r="JUF92" s="248" t="n"/>
      <c r="JUG92" s="248" t="n"/>
      <c r="JUH92" s="240" t="n"/>
      <c r="JUI92" s="240" t="n"/>
      <c r="JUK92" s="15" t="n"/>
      <c r="JUL92" s="15" t="n"/>
      <c r="JUM92" s="248" t="n"/>
      <c r="JUN92" s="248" t="n"/>
      <c r="JUO92" s="240" t="n"/>
      <c r="JUP92" s="240" t="n"/>
      <c r="JUR92" s="15" t="n"/>
      <c r="JUS92" s="15" t="n"/>
      <c r="JUT92" s="248" t="n"/>
      <c r="JUU92" s="248" t="n"/>
      <c r="JUV92" s="240" t="n"/>
      <c r="JUW92" s="240" t="n"/>
      <c r="JUY92" s="15" t="n"/>
      <c r="JUZ92" s="15" t="n"/>
      <c r="JVA92" s="248" t="n"/>
      <c r="JVB92" s="248" t="n"/>
      <c r="JVC92" s="240" t="n"/>
      <c r="JVD92" s="240" t="n"/>
      <c r="JVF92" s="15" t="n"/>
      <c r="JVG92" s="15" t="n"/>
      <c r="JVH92" s="248" t="n"/>
      <c r="JVI92" s="248" t="n"/>
      <c r="JVJ92" s="240" t="n"/>
      <c r="JVK92" s="240" t="n"/>
      <c r="JVM92" s="15" t="n"/>
      <c r="JVN92" s="15" t="n"/>
      <c r="JVO92" s="248" t="n"/>
      <c r="JVP92" s="248" t="n"/>
      <c r="JVQ92" s="240" t="n"/>
      <c r="JVR92" s="240" t="n"/>
      <c r="JVT92" s="15" t="n"/>
      <c r="JVU92" s="15" t="n"/>
      <c r="JVV92" s="248" t="n"/>
      <c r="JVW92" s="248" t="n"/>
      <c r="JVX92" s="240" t="n"/>
      <c r="JVY92" s="240" t="n"/>
      <c r="JWA92" s="15" t="n"/>
      <c r="JWB92" s="15" t="n"/>
      <c r="JWC92" s="248" t="n"/>
      <c r="JWD92" s="248" t="n"/>
      <c r="JWE92" s="240" t="n"/>
      <c r="JWF92" s="240" t="n"/>
      <c r="JWH92" s="15" t="n"/>
      <c r="JWI92" s="15" t="n"/>
      <c r="JWJ92" s="248" t="n"/>
      <c r="JWK92" s="248" t="n"/>
      <c r="JWL92" s="240" t="n"/>
      <c r="JWM92" s="240" t="n"/>
      <c r="JWO92" s="15" t="n"/>
      <c r="JWP92" s="15" t="n"/>
      <c r="JWQ92" s="248" t="n"/>
      <c r="JWR92" s="248" t="n"/>
      <c r="JWS92" s="240" t="n"/>
      <c r="JWT92" s="240" t="n"/>
      <c r="JWV92" s="15" t="n"/>
      <c r="JWW92" s="15" t="n"/>
      <c r="JWX92" s="248" t="n"/>
      <c r="JWY92" s="248" t="n"/>
      <c r="JWZ92" s="240" t="n"/>
      <c r="JXA92" s="240" t="n"/>
      <c r="JXC92" s="15" t="n"/>
      <c r="JXD92" s="15" t="n"/>
      <c r="JXE92" s="248" t="n"/>
      <c r="JXF92" s="248" t="n"/>
      <c r="JXG92" s="240" t="n"/>
      <c r="JXH92" s="240" t="n"/>
      <c r="JXJ92" s="15" t="n"/>
      <c r="JXK92" s="15" t="n"/>
      <c r="JXL92" s="248" t="n"/>
      <c r="JXM92" s="248" t="n"/>
      <c r="JXN92" s="240" t="n"/>
      <c r="JXO92" s="240" t="n"/>
      <c r="JXQ92" s="15" t="n"/>
      <c r="JXR92" s="15" t="n"/>
      <c r="JXS92" s="248" t="n"/>
      <c r="JXT92" s="248" t="n"/>
      <c r="JXU92" s="240" t="n"/>
      <c r="JXV92" s="240" t="n"/>
      <c r="JXX92" s="15" t="n"/>
      <c r="JXY92" s="15" t="n"/>
      <c r="JXZ92" s="248" t="n"/>
      <c r="JYA92" s="248" t="n"/>
      <c r="JYB92" s="240" t="n"/>
      <c r="JYC92" s="240" t="n"/>
      <c r="JYE92" s="15" t="n"/>
      <c r="JYF92" s="15" t="n"/>
      <c r="JYG92" s="248" t="n"/>
      <c r="JYH92" s="248" t="n"/>
      <c r="JYI92" s="240" t="n"/>
      <c r="JYJ92" s="240" t="n"/>
      <c r="JYL92" s="15" t="n"/>
      <c r="JYM92" s="15" t="n"/>
      <c r="JYN92" s="248" t="n"/>
      <c r="JYO92" s="248" t="n"/>
      <c r="JYP92" s="240" t="n"/>
      <c r="JYQ92" s="240" t="n"/>
      <c r="JYS92" s="15" t="n"/>
      <c r="JYT92" s="15" t="n"/>
      <c r="JYU92" s="248" t="n"/>
      <c r="JYV92" s="248" t="n"/>
      <c r="JYW92" s="240" t="n"/>
      <c r="JYX92" s="240" t="n"/>
      <c r="JYZ92" s="15" t="n"/>
      <c r="JZA92" s="15" t="n"/>
      <c r="JZB92" s="248" t="n"/>
      <c r="JZC92" s="248" t="n"/>
      <c r="JZD92" s="240" t="n"/>
      <c r="JZE92" s="240" t="n"/>
      <c r="JZG92" s="15" t="n"/>
      <c r="JZH92" s="15" t="n"/>
      <c r="JZI92" s="248" t="n"/>
      <c r="JZJ92" s="248" t="n"/>
      <c r="JZK92" s="240" t="n"/>
      <c r="JZL92" s="240" t="n"/>
      <c r="JZN92" s="15" t="n"/>
      <c r="JZO92" s="15" t="n"/>
      <c r="JZP92" s="248" t="n"/>
      <c r="JZQ92" s="248" t="n"/>
      <c r="JZR92" s="240" t="n"/>
      <c r="JZS92" s="240" t="n"/>
      <c r="JZU92" s="15" t="n"/>
      <c r="JZV92" s="15" t="n"/>
      <c r="JZW92" s="248" t="n"/>
      <c r="JZX92" s="248" t="n"/>
      <c r="JZY92" s="240" t="n"/>
      <c r="JZZ92" s="240" t="n"/>
      <c r="KAB92" s="15" t="n"/>
      <c r="KAC92" s="15" t="n"/>
      <c r="KAD92" s="248" t="n"/>
      <c r="KAE92" s="248" t="n"/>
      <c r="KAF92" s="240" t="n"/>
      <c r="KAG92" s="240" t="n"/>
      <c r="KAI92" s="15" t="n"/>
      <c r="KAJ92" s="15" t="n"/>
      <c r="KAK92" s="248" t="n"/>
      <c r="KAL92" s="248" t="n"/>
      <c r="KAM92" s="240" t="n"/>
      <c r="KAN92" s="240" t="n"/>
      <c r="KAP92" s="15" t="n"/>
      <c r="KAQ92" s="15" t="n"/>
      <c r="KAR92" s="248" t="n"/>
      <c r="KAS92" s="248" t="n"/>
      <c r="KAT92" s="240" t="n"/>
      <c r="KAU92" s="240" t="n"/>
      <c r="KAW92" s="15" t="n"/>
      <c r="KAX92" s="15" t="n"/>
      <c r="KAY92" s="248" t="n"/>
      <c r="KAZ92" s="248" t="n"/>
      <c r="KBA92" s="240" t="n"/>
      <c r="KBB92" s="240" t="n"/>
      <c r="KBD92" s="15" t="n"/>
      <c r="KBE92" s="15" t="n"/>
      <c r="KBF92" s="248" t="n"/>
      <c r="KBG92" s="248" t="n"/>
      <c r="KBH92" s="240" t="n"/>
      <c r="KBI92" s="240" t="n"/>
      <c r="KBK92" s="15" t="n"/>
      <c r="KBL92" s="15" t="n"/>
      <c r="KBM92" s="248" t="n"/>
      <c r="KBN92" s="248" t="n"/>
      <c r="KBO92" s="240" t="n"/>
      <c r="KBP92" s="240" t="n"/>
      <c r="KBR92" s="15" t="n"/>
      <c r="KBS92" s="15" t="n"/>
      <c r="KBT92" s="248" t="n"/>
      <c r="KBU92" s="248" t="n"/>
      <c r="KBV92" s="240" t="n"/>
      <c r="KBW92" s="240" t="n"/>
      <c r="KBY92" s="15" t="n"/>
      <c r="KBZ92" s="15" t="n"/>
      <c r="KCA92" s="248" t="n"/>
      <c r="KCB92" s="248" t="n"/>
      <c r="KCC92" s="240" t="n"/>
      <c r="KCD92" s="240" t="n"/>
      <c r="KCF92" s="15" t="n"/>
      <c r="KCG92" s="15" t="n"/>
      <c r="KCH92" s="248" t="n"/>
      <c r="KCI92" s="248" t="n"/>
      <c r="KCJ92" s="240" t="n"/>
      <c r="KCK92" s="240" t="n"/>
      <c r="KCM92" s="15" t="n"/>
      <c r="KCN92" s="15" t="n"/>
      <c r="KCO92" s="248" t="n"/>
      <c r="KCP92" s="248" t="n"/>
      <c r="KCQ92" s="240" t="n"/>
      <c r="KCR92" s="240" t="n"/>
      <c r="KCT92" s="15" t="n"/>
      <c r="KCU92" s="15" t="n"/>
      <c r="KCV92" s="248" t="n"/>
      <c r="KCW92" s="248" t="n"/>
      <c r="KCX92" s="240" t="n"/>
      <c r="KCY92" s="240" t="n"/>
      <c r="KDA92" s="15" t="n"/>
      <c r="KDB92" s="15" t="n"/>
      <c r="KDC92" s="248" t="n"/>
      <c r="KDD92" s="248" t="n"/>
      <c r="KDE92" s="240" t="n"/>
      <c r="KDF92" s="240" t="n"/>
      <c r="KDH92" s="15" t="n"/>
      <c r="KDI92" s="15" t="n"/>
      <c r="KDJ92" s="248" t="n"/>
      <c r="KDK92" s="248" t="n"/>
      <c r="KDL92" s="240" t="n"/>
      <c r="KDM92" s="240" t="n"/>
      <c r="KDO92" s="15" t="n"/>
      <c r="KDP92" s="15" t="n"/>
      <c r="KDQ92" s="248" t="n"/>
      <c r="KDR92" s="248" t="n"/>
      <c r="KDS92" s="240" t="n"/>
      <c r="KDT92" s="240" t="n"/>
      <c r="KDV92" s="15" t="n"/>
      <c r="KDW92" s="15" t="n"/>
      <c r="KDX92" s="248" t="n"/>
      <c r="KDY92" s="248" t="n"/>
      <c r="KDZ92" s="240" t="n"/>
      <c r="KEA92" s="240" t="n"/>
      <c r="KEC92" s="15" t="n"/>
      <c r="KED92" s="15" t="n"/>
      <c r="KEE92" s="248" t="n"/>
      <c r="KEF92" s="248" t="n"/>
      <c r="KEG92" s="240" t="n"/>
      <c r="KEH92" s="240" t="n"/>
      <c r="KEJ92" s="15" t="n"/>
      <c r="KEK92" s="15" t="n"/>
      <c r="KEL92" s="248" t="n"/>
      <c r="KEM92" s="248" t="n"/>
      <c r="KEN92" s="240" t="n"/>
      <c r="KEO92" s="240" t="n"/>
      <c r="KEQ92" s="15" t="n"/>
      <c r="KER92" s="15" t="n"/>
      <c r="KES92" s="248" t="n"/>
      <c r="KET92" s="248" t="n"/>
      <c r="KEU92" s="240" t="n"/>
      <c r="KEV92" s="240" t="n"/>
      <c r="KEX92" s="15" t="n"/>
      <c r="KEY92" s="15" t="n"/>
      <c r="KEZ92" s="248" t="n"/>
      <c r="KFA92" s="248" t="n"/>
      <c r="KFB92" s="240" t="n"/>
      <c r="KFC92" s="240" t="n"/>
      <c r="KFE92" s="15" t="n"/>
      <c r="KFF92" s="15" t="n"/>
      <c r="KFG92" s="248" t="n"/>
      <c r="KFH92" s="248" t="n"/>
      <c r="KFI92" s="240" t="n"/>
      <c r="KFJ92" s="240" t="n"/>
      <c r="KFL92" s="15" t="n"/>
      <c r="KFM92" s="15" t="n"/>
      <c r="KFN92" s="248" t="n"/>
      <c r="KFO92" s="248" t="n"/>
      <c r="KFP92" s="240" t="n"/>
      <c r="KFQ92" s="240" t="n"/>
      <c r="KFS92" s="15" t="n"/>
      <c r="KFT92" s="15" t="n"/>
      <c r="KFU92" s="248" t="n"/>
      <c r="KFV92" s="248" t="n"/>
      <c r="KFW92" s="240" t="n"/>
      <c r="KFX92" s="240" t="n"/>
      <c r="KFZ92" s="15" t="n"/>
      <c r="KGA92" s="15" t="n"/>
      <c r="KGB92" s="248" t="n"/>
      <c r="KGC92" s="248" t="n"/>
      <c r="KGD92" s="240" t="n"/>
      <c r="KGE92" s="240" t="n"/>
      <c r="KGG92" s="15" t="n"/>
      <c r="KGH92" s="15" t="n"/>
      <c r="KGI92" s="248" t="n"/>
      <c r="KGJ92" s="248" t="n"/>
      <c r="KGK92" s="240" t="n"/>
      <c r="KGL92" s="240" t="n"/>
      <c r="KGN92" s="15" t="n"/>
      <c r="KGO92" s="15" t="n"/>
      <c r="KGP92" s="248" t="n"/>
      <c r="KGQ92" s="248" t="n"/>
      <c r="KGR92" s="240" t="n"/>
      <c r="KGS92" s="240" t="n"/>
      <c r="KGU92" s="15" t="n"/>
      <c r="KGV92" s="15" t="n"/>
      <c r="KGW92" s="248" t="n"/>
      <c r="KGX92" s="248" t="n"/>
      <c r="KGY92" s="240" t="n"/>
      <c r="KGZ92" s="240" t="n"/>
      <c r="KHB92" s="15" t="n"/>
      <c r="KHC92" s="15" t="n"/>
      <c r="KHD92" s="248" t="n"/>
      <c r="KHE92" s="248" t="n"/>
      <c r="KHF92" s="240" t="n"/>
      <c r="KHG92" s="240" t="n"/>
      <c r="KHI92" s="15" t="n"/>
      <c r="KHJ92" s="15" t="n"/>
      <c r="KHK92" s="248" t="n"/>
      <c r="KHL92" s="248" t="n"/>
      <c r="KHM92" s="240" t="n"/>
      <c r="KHN92" s="240" t="n"/>
      <c r="KHP92" s="15" t="n"/>
      <c r="KHQ92" s="15" t="n"/>
      <c r="KHR92" s="248" t="n"/>
      <c r="KHS92" s="248" t="n"/>
      <c r="KHT92" s="240" t="n"/>
      <c r="KHU92" s="240" t="n"/>
      <c r="KHW92" s="15" t="n"/>
      <c r="KHX92" s="15" t="n"/>
      <c r="KHY92" s="248" t="n"/>
      <c r="KHZ92" s="248" t="n"/>
      <c r="KIA92" s="240" t="n"/>
      <c r="KIB92" s="240" t="n"/>
      <c r="KID92" s="15" t="n"/>
      <c r="KIE92" s="15" t="n"/>
      <c r="KIF92" s="248" t="n"/>
      <c r="KIG92" s="248" t="n"/>
      <c r="KIH92" s="240" t="n"/>
      <c r="KII92" s="240" t="n"/>
      <c r="KIK92" s="15" t="n"/>
      <c r="KIL92" s="15" t="n"/>
      <c r="KIM92" s="248" t="n"/>
      <c r="KIN92" s="248" t="n"/>
      <c r="KIO92" s="240" t="n"/>
      <c r="KIP92" s="240" t="n"/>
      <c r="KIR92" s="15" t="n"/>
      <c r="KIS92" s="15" t="n"/>
      <c r="KIT92" s="248" t="n"/>
      <c r="KIU92" s="248" t="n"/>
      <c r="KIV92" s="240" t="n"/>
      <c r="KIW92" s="240" t="n"/>
      <c r="KIY92" s="15" t="n"/>
      <c r="KIZ92" s="15" t="n"/>
      <c r="KJA92" s="248" t="n"/>
      <c r="KJB92" s="248" t="n"/>
      <c r="KJC92" s="240" t="n"/>
      <c r="KJD92" s="240" t="n"/>
      <c r="KJF92" s="15" t="n"/>
      <c r="KJG92" s="15" t="n"/>
      <c r="KJH92" s="248" t="n"/>
      <c r="KJI92" s="248" t="n"/>
      <c r="KJJ92" s="240" t="n"/>
      <c r="KJK92" s="240" t="n"/>
      <c r="KJM92" s="15" t="n"/>
      <c r="KJN92" s="15" t="n"/>
      <c r="KJO92" s="248" t="n"/>
      <c r="KJP92" s="248" t="n"/>
      <c r="KJQ92" s="240" t="n"/>
      <c r="KJR92" s="240" t="n"/>
      <c r="KJT92" s="15" t="n"/>
      <c r="KJU92" s="15" t="n"/>
      <c r="KJV92" s="248" t="n"/>
      <c r="KJW92" s="248" t="n"/>
      <c r="KJX92" s="240" t="n"/>
      <c r="KJY92" s="240" t="n"/>
      <c r="KKA92" s="15" t="n"/>
      <c r="KKB92" s="15" t="n"/>
      <c r="KKC92" s="248" t="n"/>
      <c r="KKD92" s="248" t="n"/>
      <c r="KKE92" s="240" t="n"/>
      <c r="KKF92" s="240" t="n"/>
      <c r="KKH92" s="15" t="n"/>
      <c r="KKI92" s="15" t="n"/>
      <c r="KKJ92" s="248" t="n"/>
      <c r="KKK92" s="248" t="n"/>
      <c r="KKL92" s="240" t="n"/>
      <c r="KKM92" s="240" t="n"/>
      <c r="KKO92" s="15" t="n"/>
      <c r="KKP92" s="15" t="n"/>
      <c r="KKQ92" s="248" t="n"/>
      <c r="KKR92" s="248" t="n"/>
      <c r="KKS92" s="240" t="n"/>
      <c r="KKT92" s="240" t="n"/>
      <c r="KKV92" s="15" t="n"/>
      <c r="KKW92" s="15" t="n"/>
      <c r="KKX92" s="248" t="n"/>
      <c r="KKY92" s="248" t="n"/>
      <c r="KKZ92" s="240" t="n"/>
      <c r="KLA92" s="240" t="n"/>
      <c r="KLC92" s="15" t="n"/>
      <c r="KLD92" s="15" t="n"/>
      <c r="KLE92" s="248" t="n"/>
      <c r="KLF92" s="248" t="n"/>
      <c r="KLG92" s="240" t="n"/>
      <c r="KLH92" s="240" t="n"/>
      <c r="KLJ92" s="15" t="n"/>
      <c r="KLK92" s="15" t="n"/>
      <c r="KLL92" s="248" t="n"/>
      <c r="KLM92" s="248" t="n"/>
      <c r="KLN92" s="240" t="n"/>
      <c r="KLO92" s="240" t="n"/>
      <c r="KLQ92" s="15" t="n"/>
      <c r="KLR92" s="15" t="n"/>
      <c r="KLS92" s="248" t="n"/>
      <c r="KLT92" s="248" t="n"/>
      <c r="KLU92" s="240" t="n"/>
      <c r="KLV92" s="240" t="n"/>
      <c r="KLX92" s="15" t="n"/>
      <c r="KLY92" s="15" t="n"/>
      <c r="KLZ92" s="248" t="n"/>
      <c r="KMA92" s="248" t="n"/>
      <c r="KMB92" s="240" t="n"/>
      <c r="KMC92" s="240" t="n"/>
      <c r="KME92" s="15" t="n"/>
      <c r="KMF92" s="15" t="n"/>
      <c r="KMG92" s="248" t="n"/>
      <c r="KMH92" s="248" t="n"/>
      <c r="KMI92" s="240" t="n"/>
      <c r="KMJ92" s="240" t="n"/>
      <c r="KML92" s="15" t="n"/>
      <c r="KMM92" s="15" t="n"/>
      <c r="KMN92" s="248" t="n"/>
      <c r="KMO92" s="248" t="n"/>
      <c r="KMP92" s="240" t="n"/>
      <c r="KMQ92" s="240" t="n"/>
      <c r="KMS92" s="15" t="n"/>
      <c r="KMT92" s="15" t="n"/>
      <c r="KMU92" s="248" t="n"/>
      <c r="KMV92" s="248" t="n"/>
      <c r="KMW92" s="240" t="n"/>
      <c r="KMX92" s="240" t="n"/>
      <c r="KMZ92" s="15" t="n"/>
      <c r="KNA92" s="15" t="n"/>
      <c r="KNB92" s="248" t="n"/>
      <c r="KNC92" s="248" t="n"/>
      <c r="KND92" s="240" t="n"/>
      <c r="KNE92" s="240" t="n"/>
      <c r="KNG92" s="15" t="n"/>
      <c r="KNH92" s="15" t="n"/>
      <c r="KNI92" s="248" t="n"/>
      <c r="KNJ92" s="248" t="n"/>
      <c r="KNK92" s="240" t="n"/>
      <c r="KNL92" s="240" t="n"/>
      <c r="KNN92" s="15" t="n"/>
      <c r="KNO92" s="15" t="n"/>
      <c r="KNP92" s="248" t="n"/>
      <c r="KNQ92" s="248" t="n"/>
      <c r="KNR92" s="240" t="n"/>
      <c r="KNS92" s="240" t="n"/>
      <c r="KNU92" s="15" t="n"/>
      <c r="KNV92" s="15" t="n"/>
      <c r="KNW92" s="248" t="n"/>
      <c r="KNX92" s="248" t="n"/>
      <c r="KNY92" s="240" t="n"/>
      <c r="KNZ92" s="240" t="n"/>
      <c r="KOB92" s="15" t="n"/>
      <c r="KOC92" s="15" t="n"/>
      <c r="KOD92" s="248" t="n"/>
      <c r="KOE92" s="248" t="n"/>
      <c r="KOF92" s="240" t="n"/>
      <c r="KOG92" s="240" t="n"/>
      <c r="KOI92" s="15" t="n"/>
      <c r="KOJ92" s="15" t="n"/>
      <c r="KOK92" s="248" t="n"/>
      <c r="KOL92" s="248" t="n"/>
      <c r="KOM92" s="240" t="n"/>
      <c r="KON92" s="240" t="n"/>
      <c r="KOP92" s="15" t="n"/>
      <c r="KOQ92" s="15" t="n"/>
      <c r="KOR92" s="248" t="n"/>
      <c r="KOS92" s="248" t="n"/>
      <c r="KOT92" s="240" t="n"/>
      <c r="KOU92" s="240" t="n"/>
      <c r="KOW92" s="15" t="n"/>
      <c r="KOX92" s="15" t="n"/>
      <c r="KOY92" s="248" t="n"/>
      <c r="KOZ92" s="248" t="n"/>
      <c r="KPA92" s="240" t="n"/>
      <c r="KPB92" s="240" t="n"/>
      <c r="KPD92" s="15" t="n"/>
      <c r="KPE92" s="15" t="n"/>
      <c r="KPF92" s="248" t="n"/>
      <c r="KPG92" s="248" t="n"/>
      <c r="KPH92" s="240" t="n"/>
      <c r="KPI92" s="240" t="n"/>
      <c r="KPK92" s="15" t="n"/>
      <c r="KPL92" s="15" t="n"/>
      <c r="KPM92" s="248" t="n"/>
      <c r="KPN92" s="248" t="n"/>
      <c r="KPO92" s="240" t="n"/>
      <c r="KPP92" s="240" t="n"/>
      <c r="KPR92" s="15" t="n"/>
      <c r="KPS92" s="15" t="n"/>
      <c r="KPT92" s="248" t="n"/>
      <c r="KPU92" s="248" t="n"/>
      <c r="KPV92" s="240" t="n"/>
      <c r="KPW92" s="240" t="n"/>
      <c r="KPY92" s="15" t="n"/>
      <c r="KPZ92" s="15" t="n"/>
      <c r="KQA92" s="248" t="n"/>
      <c r="KQB92" s="248" t="n"/>
      <c r="KQC92" s="240" t="n"/>
      <c r="KQD92" s="240" t="n"/>
      <c r="KQF92" s="15" t="n"/>
      <c r="KQG92" s="15" t="n"/>
      <c r="KQH92" s="248" t="n"/>
      <c r="KQI92" s="248" t="n"/>
      <c r="KQJ92" s="240" t="n"/>
      <c r="KQK92" s="240" t="n"/>
      <c r="KQM92" s="15" t="n"/>
      <c r="KQN92" s="15" t="n"/>
      <c r="KQO92" s="248" t="n"/>
      <c r="KQP92" s="248" t="n"/>
      <c r="KQQ92" s="240" t="n"/>
      <c r="KQR92" s="240" t="n"/>
      <c r="KQT92" s="15" t="n"/>
      <c r="KQU92" s="15" t="n"/>
      <c r="KQV92" s="248" t="n"/>
      <c r="KQW92" s="248" t="n"/>
      <c r="KQX92" s="240" t="n"/>
      <c r="KQY92" s="240" t="n"/>
      <c r="KRA92" s="15" t="n"/>
      <c r="KRB92" s="15" t="n"/>
      <c r="KRC92" s="248" t="n"/>
      <c r="KRD92" s="248" t="n"/>
      <c r="KRE92" s="240" t="n"/>
      <c r="KRF92" s="240" t="n"/>
      <c r="KRH92" s="15" t="n"/>
      <c r="KRI92" s="15" t="n"/>
      <c r="KRJ92" s="248" t="n"/>
      <c r="KRK92" s="248" t="n"/>
      <c r="KRL92" s="240" t="n"/>
      <c r="KRM92" s="240" t="n"/>
      <c r="KRO92" s="15" t="n"/>
      <c r="KRP92" s="15" t="n"/>
      <c r="KRQ92" s="248" t="n"/>
      <c r="KRR92" s="248" t="n"/>
      <c r="KRS92" s="240" t="n"/>
      <c r="KRT92" s="240" t="n"/>
      <c r="KRV92" s="15" t="n"/>
      <c r="KRW92" s="15" t="n"/>
      <c r="KRX92" s="248" t="n"/>
      <c r="KRY92" s="248" t="n"/>
      <c r="KRZ92" s="240" t="n"/>
      <c r="KSA92" s="240" t="n"/>
      <c r="KSC92" s="15" t="n"/>
      <c r="KSD92" s="15" t="n"/>
      <c r="KSE92" s="248" t="n"/>
      <c r="KSF92" s="248" t="n"/>
      <c r="KSG92" s="240" t="n"/>
      <c r="KSH92" s="240" t="n"/>
      <c r="KSJ92" s="15" t="n"/>
      <c r="KSK92" s="15" t="n"/>
      <c r="KSL92" s="248" t="n"/>
      <c r="KSM92" s="248" t="n"/>
      <c r="KSN92" s="240" t="n"/>
      <c r="KSO92" s="240" t="n"/>
      <c r="KSQ92" s="15" t="n"/>
      <c r="KSR92" s="15" t="n"/>
      <c r="KSS92" s="248" t="n"/>
      <c r="KST92" s="248" t="n"/>
      <c r="KSU92" s="240" t="n"/>
      <c r="KSV92" s="240" t="n"/>
      <c r="KSX92" s="15" t="n"/>
      <c r="KSY92" s="15" t="n"/>
      <c r="KSZ92" s="248" t="n"/>
      <c r="KTA92" s="248" t="n"/>
      <c r="KTB92" s="240" t="n"/>
      <c r="KTC92" s="240" t="n"/>
      <c r="KTE92" s="15" t="n"/>
      <c r="KTF92" s="15" t="n"/>
      <c r="KTG92" s="248" t="n"/>
      <c r="KTH92" s="248" t="n"/>
      <c r="KTI92" s="240" t="n"/>
      <c r="KTJ92" s="240" t="n"/>
      <c r="KTL92" s="15" t="n"/>
      <c r="KTM92" s="15" t="n"/>
      <c r="KTN92" s="248" t="n"/>
      <c r="KTO92" s="248" t="n"/>
      <c r="KTP92" s="240" t="n"/>
      <c r="KTQ92" s="240" t="n"/>
      <c r="KTS92" s="15" t="n"/>
      <c r="KTT92" s="15" t="n"/>
      <c r="KTU92" s="248" t="n"/>
      <c r="KTV92" s="248" t="n"/>
      <c r="KTW92" s="240" t="n"/>
      <c r="KTX92" s="240" t="n"/>
      <c r="KTZ92" s="15" t="n"/>
      <c r="KUA92" s="15" t="n"/>
      <c r="KUB92" s="248" t="n"/>
      <c r="KUC92" s="248" t="n"/>
      <c r="KUD92" s="240" t="n"/>
      <c r="KUE92" s="240" t="n"/>
      <c r="KUG92" s="15" t="n"/>
      <c r="KUH92" s="15" t="n"/>
      <c r="KUI92" s="248" t="n"/>
      <c r="KUJ92" s="248" t="n"/>
      <c r="KUK92" s="240" t="n"/>
      <c r="KUL92" s="240" t="n"/>
      <c r="KUN92" s="15" t="n"/>
      <c r="KUO92" s="15" t="n"/>
      <c r="KUP92" s="248" t="n"/>
      <c r="KUQ92" s="248" t="n"/>
      <c r="KUR92" s="240" t="n"/>
      <c r="KUS92" s="240" t="n"/>
      <c r="KUU92" s="15" t="n"/>
      <c r="KUV92" s="15" t="n"/>
      <c r="KUW92" s="248" t="n"/>
      <c r="KUX92" s="248" t="n"/>
      <c r="KUY92" s="240" t="n"/>
      <c r="KUZ92" s="240" t="n"/>
      <c r="KVB92" s="15" t="n"/>
      <c r="KVC92" s="15" t="n"/>
      <c r="KVD92" s="248" t="n"/>
      <c r="KVE92" s="248" t="n"/>
      <c r="KVF92" s="240" t="n"/>
      <c r="KVG92" s="240" t="n"/>
      <c r="KVI92" s="15" t="n"/>
      <c r="KVJ92" s="15" t="n"/>
      <c r="KVK92" s="248" t="n"/>
      <c r="KVL92" s="248" t="n"/>
      <c r="KVM92" s="240" t="n"/>
      <c r="KVN92" s="240" t="n"/>
      <c r="KVP92" s="15" t="n"/>
      <c r="KVQ92" s="15" t="n"/>
      <c r="KVR92" s="248" t="n"/>
      <c r="KVS92" s="248" t="n"/>
      <c r="KVT92" s="240" t="n"/>
      <c r="KVU92" s="240" t="n"/>
      <c r="KVW92" s="15" t="n"/>
      <c r="KVX92" s="15" t="n"/>
      <c r="KVY92" s="248" t="n"/>
      <c r="KVZ92" s="248" t="n"/>
      <c r="KWA92" s="240" t="n"/>
      <c r="KWB92" s="240" t="n"/>
      <c r="KWD92" s="15" t="n"/>
      <c r="KWE92" s="15" t="n"/>
      <c r="KWF92" s="248" t="n"/>
      <c r="KWG92" s="248" t="n"/>
      <c r="KWH92" s="240" t="n"/>
      <c r="KWI92" s="240" t="n"/>
      <c r="KWK92" s="15" t="n"/>
      <c r="KWL92" s="15" t="n"/>
      <c r="KWM92" s="248" t="n"/>
      <c r="KWN92" s="248" t="n"/>
      <c r="KWO92" s="240" t="n"/>
      <c r="KWP92" s="240" t="n"/>
      <c r="KWR92" s="15" t="n"/>
      <c r="KWS92" s="15" t="n"/>
      <c r="KWT92" s="248" t="n"/>
      <c r="KWU92" s="248" t="n"/>
      <c r="KWV92" s="240" t="n"/>
      <c r="KWW92" s="240" t="n"/>
      <c r="KWY92" s="15" t="n"/>
      <c r="KWZ92" s="15" t="n"/>
      <c r="KXA92" s="248" t="n"/>
      <c r="KXB92" s="248" t="n"/>
      <c r="KXC92" s="240" t="n"/>
      <c r="KXD92" s="240" t="n"/>
      <c r="KXF92" s="15" t="n"/>
      <c r="KXG92" s="15" t="n"/>
      <c r="KXH92" s="248" t="n"/>
      <c r="KXI92" s="248" t="n"/>
      <c r="KXJ92" s="240" t="n"/>
      <c r="KXK92" s="240" t="n"/>
      <c r="KXM92" s="15" t="n"/>
      <c r="KXN92" s="15" t="n"/>
      <c r="KXO92" s="248" t="n"/>
      <c r="KXP92" s="248" t="n"/>
      <c r="KXQ92" s="240" t="n"/>
      <c r="KXR92" s="240" t="n"/>
      <c r="KXT92" s="15" t="n"/>
      <c r="KXU92" s="15" t="n"/>
      <c r="KXV92" s="248" t="n"/>
      <c r="KXW92" s="248" t="n"/>
      <c r="KXX92" s="240" t="n"/>
      <c r="KXY92" s="240" t="n"/>
      <c r="KYA92" s="15" t="n"/>
      <c r="KYB92" s="15" t="n"/>
      <c r="KYC92" s="248" t="n"/>
      <c r="KYD92" s="248" t="n"/>
      <c r="KYE92" s="240" t="n"/>
      <c r="KYF92" s="240" t="n"/>
      <c r="KYH92" s="15" t="n"/>
      <c r="KYI92" s="15" t="n"/>
      <c r="KYJ92" s="248" t="n"/>
      <c r="KYK92" s="248" t="n"/>
      <c r="KYL92" s="240" t="n"/>
      <c r="KYM92" s="240" t="n"/>
      <c r="KYO92" s="15" t="n"/>
      <c r="KYP92" s="15" t="n"/>
      <c r="KYQ92" s="248" t="n"/>
      <c r="KYR92" s="248" t="n"/>
      <c r="KYS92" s="240" t="n"/>
      <c r="KYT92" s="240" t="n"/>
      <c r="KYV92" s="15" t="n"/>
      <c r="KYW92" s="15" t="n"/>
      <c r="KYX92" s="248" t="n"/>
      <c r="KYY92" s="248" t="n"/>
      <c r="KYZ92" s="240" t="n"/>
      <c r="KZA92" s="240" t="n"/>
      <c r="KZC92" s="15" t="n"/>
      <c r="KZD92" s="15" t="n"/>
      <c r="KZE92" s="248" t="n"/>
      <c r="KZF92" s="248" t="n"/>
      <c r="KZG92" s="240" t="n"/>
      <c r="KZH92" s="240" t="n"/>
      <c r="KZJ92" s="15" t="n"/>
      <c r="KZK92" s="15" t="n"/>
      <c r="KZL92" s="248" t="n"/>
      <c r="KZM92" s="248" t="n"/>
      <c r="KZN92" s="240" t="n"/>
      <c r="KZO92" s="240" t="n"/>
      <c r="KZQ92" s="15" t="n"/>
      <c r="KZR92" s="15" t="n"/>
      <c r="KZS92" s="248" t="n"/>
      <c r="KZT92" s="248" t="n"/>
      <c r="KZU92" s="240" t="n"/>
      <c r="KZV92" s="240" t="n"/>
      <c r="KZX92" s="15" t="n"/>
      <c r="KZY92" s="15" t="n"/>
      <c r="KZZ92" s="248" t="n"/>
      <c r="LAA92" s="248" t="n"/>
      <c r="LAB92" s="240" t="n"/>
      <c r="LAC92" s="240" t="n"/>
      <c r="LAE92" s="15" t="n"/>
      <c r="LAF92" s="15" t="n"/>
      <c r="LAG92" s="248" t="n"/>
      <c r="LAH92" s="248" t="n"/>
      <c r="LAI92" s="240" t="n"/>
      <c r="LAJ92" s="240" t="n"/>
      <c r="LAL92" s="15" t="n"/>
      <c r="LAM92" s="15" t="n"/>
      <c r="LAN92" s="248" t="n"/>
      <c r="LAO92" s="248" t="n"/>
      <c r="LAP92" s="240" t="n"/>
      <c r="LAQ92" s="240" t="n"/>
      <c r="LAS92" s="15" t="n"/>
      <c r="LAT92" s="15" t="n"/>
      <c r="LAU92" s="248" t="n"/>
      <c r="LAV92" s="248" t="n"/>
      <c r="LAW92" s="240" t="n"/>
      <c r="LAX92" s="240" t="n"/>
      <c r="LAZ92" s="15" t="n"/>
      <c r="LBA92" s="15" t="n"/>
      <c r="LBB92" s="248" t="n"/>
      <c r="LBC92" s="248" t="n"/>
      <c r="LBD92" s="240" t="n"/>
      <c r="LBE92" s="240" t="n"/>
      <c r="LBG92" s="15" t="n"/>
      <c r="LBH92" s="15" t="n"/>
      <c r="LBI92" s="248" t="n"/>
      <c r="LBJ92" s="248" t="n"/>
      <c r="LBK92" s="240" t="n"/>
      <c r="LBL92" s="240" t="n"/>
      <c r="LBN92" s="15" t="n"/>
      <c r="LBO92" s="15" t="n"/>
      <c r="LBP92" s="248" t="n"/>
      <c r="LBQ92" s="248" t="n"/>
      <c r="LBR92" s="240" t="n"/>
      <c r="LBS92" s="240" t="n"/>
      <c r="LBU92" s="15" t="n"/>
      <c r="LBV92" s="15" t="n"/>
      <c r="LBW92" s="248" t="n"/>
      <c r="LBX92" s="248" t="n"/>
      <c r="LBY92" s="240" t="n"/>
      <c r="LBZ92" s="240" t="n"/>
      <c r="LCB92" s="15" t="n"/>
      <c r="LCC92" s="15" t="n"/>
      <c r="LCD92" s="248" t="n"/>
      <c r="LCE92" s="248" t="n"/>
      <c r="LCF92" s="240" t="n"/>
      <c r="LCG92" s="240" t="n"/>
      <c r="LCI92" s="15" t="n"/>
      <c r="LCJ92" s="15" t="n"/>
      <c r="LCK92" s="248" t="n"/>
      <c r="LCL92" s="248" t="n"/>
      <c r="LCM92" s="240" t="n"/>
      <c r="LCN92" s="240" t="n"/>
      <c r="LCP92" s="15" t="n"/>
      <c r="LCQ92" s="15" t="n"/>
      <c r="LCR92" s="248" t="n"/>
      <c r="LCS92" s="248" t="n"/>
      <c r="LCT92" s="240" t="n"/>
      <c r="LCU92" s="240" t="n"/>
      <c r="LCW92" s="15" t="n"/>
      <c r="LCX92" s="15" t="n"/>
      <c r="LCY92" s="248" t="n"/>
      <c r="LCZ92" s="248" t="n"/>
      <c r="LDA92" s="240" t="n"/>
      <c r="LDB92" s="240" t="n"/>
      <c r="LDD92" s="15" t="n"/>
      <c r="LDE92" s="15" t="n"/>
      <c r="LDF92" s="248" t="n"/>
      <c r="LDG92" s="248" t="n"/>
      <c r="LDH92" s="240" t="n"/>
      <c r="LDI92" s="240" t="n"/>
      <c r="LDK92" s="15" t="n"/>
      <c r="LDL92" s="15" t="n"/>
      <c r="LDM92" s="248" t="n"/>
      <c r="LDN92" s="248" t="n"/>
      <c r="LDO92" s="240" t="n"/>
      <c r="LDP92" s="240" t="n"/>
      <c r="LDR92" s="15" t="n"/>
      <c r="LDS92" s="15" t="n"/>
      <c r="LDT92" s="248" t="n"/>
      <c r="LDU92" s="248" t="n"/>
      <c r="LDV92" s="240" t="n"/>
      <c r="LDW92" s="240" t="n"/>
      <c r="LDY92" s="15" t="n"/>
      <c r="LDZ92" s="15" t="n"/>
      <c r="LEA92" s="248" t="n"/>
      <c r="LEB92" s="248" t="n"/>
      <c r="LEC92" s="240" t="n"/>
      <c r="LED92" s="240" t="n"/>
      <c r="LEF92" s="15" t="n"/>
      <c r="LEG92" s="15" t="n"/>
      <c r="LEH92" s="248" t="n"/>
      <c r="LEI92" s="248" t="n"/>
      <c r="LEJ92" s="240" t="n"/>
      <c r="LEK92" s="240" t="n"/>
      <c r="LEM92" s="15" t="n"/>
      <c r="LEN92" s="15" t="n"/>
      <c r="LEO92" s="248" t="n"/>
      <c r="LEP92" s="248" t="n"/>
      <c r="LEQ92" s="240" t="n"/>
      <c r="LER92" s="240" t="n"/>
      <c r="LET92" s="15" t="n"/>
      <c r="LEU92" s="15" t="n"/>
      <c r="LEV92" s="248" t="n"/>
      <c r="LEW92" s="248" t="n"/>
      <c r="LEX92" s="240" t="n"/>
      <c r="LEY92" s="240" t="n"/>
      <c r="LFA92" s="15" t="n"/>
      <c r="LFB92" s="15" t="n"/>
      <c r="LFC92" s="248" t="n"/>
      <c r="LFD92" s="248" t="n"/>
      <c r="LFE92" s="240" t="n"/>
      <c r="LFF92" s="240" t="n"/>
      <c r="LFH92" s="15" t="n"/>
      <c r="LFI92" s="15" t="n"/>
      <c r="LFJ92" s="248" t="n"/>
      <c r="LFK92" s="248" t="n"/>
      <c r="LFL92" s="240" t="n"/>
      <c r="LFM92" s="240" t="n"/>
      <c r="LFO92" s="15" t="n"/>
      <c r="LFP92" s="15" t="n"/>
      <c r="LFQ92" s="248" t="n"/>
      <c r="LFR92" s="248" t="n"/>
      <c r="LFS92" s="240" t="n"/>
      <c r="LFT92" s="240" t="n"/>
      <c r="LFV92" s="15" t="n"/>
      <c r="LFW92" s="15" t="n"/>
      <c r="LFX92" s="248" t="n"/>
      <c r="LFY92" s="248" t="n"/>
      <c r="LFZ92" s="240" t="n"/>
      <c r="LGA92" s="240" t="n"/>
      <c r="LGC92" s="15" t="n"/>
      <c r="LGD92" s="15" t="n"/>
      <c r="LGE92" s="248" t="n"/>
      <c r="LGF92" s="248" t="n"/>
      <c r="LGG92" s="240" t="n"/>
      <c r="LGH92" s="240" t="n"/>
      <c r="LGJ92" s="15" t="n"/>
      <c r="LGK92" s="15" t="n"/>
      <c r="LGL92" s="248" t="n"/>
      <c r="LGM92" s="248" t="n"/>
      <c r="LGN92" s="240" t="n"/>
      <c r="LGO92" s="240" t="n"/>
      <c r="LGQ92" s="15" t="n"/>
      <c r="LGR92" s="15" t="n"/>
      <c r="LGS92" s="248" t="n"/>
      <c r="LGT92" s="248" t="n"/>
      <c r="LGU92" s="240" t="n"/>
      <c r="LGV92" s="240" t="n"/>
      <c r="LGX92" s="15" t="n"/>
      <c r="LGY92" s="15" t="n"/>
      <c r="LGZ92" s="248" t="n"/>
      <c r="LHA92" s="248" t="n"/>
      <c r="LHB92" s="240" t="n"/>
      <c r="LHC92" s="240" t="n"/>
      <c r="LHE92" s="15" t="n"/>
      <c r="LHF92" s="15" t="n"/>
      <c r="LHG92" s="248" t="n"/>
      <c r="LHH92" s="248" t="n"/>
      <c r="LHI92" s="240" t="n"/>
      <c r="LHJ92" s="240" t="n"/>
      <c r="LHL92" s="15" t="n"/>
      <c r="LHM92" s="15" t="n"/>
      <c r="LHN92" s="248" t="n"/>
      <c r="LHO92" s="248" t="n"/>
      <c r="LHP92" s="240" t="n"/>
      <c r="LHQ92" s="240" t="n"/>
      <c r="LHS92" s="15" t="n"/>
      <c r="LHT92" s="15" t="n"/>
      <c r="LHU92" s="248" t="n"/>
      <c r="LHV92" s="248" t="n"/>
      <c r="LHW92" s="240" t="n"/>
      <c r="LHX92" s="240" t="n"/>
      <c r="LHZ92" s="15" t="n"/>
      <c r="LIA92" s="15" t="n"/>
      <c r="LIB92" s="248" t="n"/>
      <c r="LIC92" s="248" t="n"/>
      <c r="LID92" s="240" t="n"/>
      <c r="LIE92" s="240" t="n"/>
      <c r="LIG92" s="15" t="n"/>
      <c r="LIH92" s="15" t="n"/>
      <c r="LII92" s="248" t="n"/>
      <c r="LIJ92" s="248" t="n"/>
      <c r="LIK92" s="240" t="n"/>
      <c r="LIL92" s="240" t="n"/>
      <c r="LIN92" s="15" t="n"/>
      <c r="LIO92" s="15" t="n"/>
      <c r="LIP92" s="248" t="n"/>
      <c r="LIQ92" s="248" t="n"/>
      <c r="LIR92" s="240" t="n"/>
      <c r="LIS92" s="240" t="n"/>
      <c r="LIU92" s="15" t="n"/>
      <c r="LIV92" s="15" t="n"/>
      <c r="LIW92" s="248" t="n"/>
      <c r="LIX92" s="248" t="n"/>
      <c r="LIY92" s="240" t="n"/>
      <c r="LIZ92" s="240" t="n"/>
      <c r="LJB92" s="15" t="n"/>
      <c r="LJC92" s="15" t="n"/>
      <c r="LJD92" s="248" t="n"/>
      <c r="LJE92" s="248" t="n"/>
      <c r="LJF92" s="240" t="n"/>
      <c r="LJG92" s="240" t="n"/>
      <c r="LJI92" s="15" t="n"/>
      <c r="LJJ92" s="15" t="n"/>
      <c r="LJK92" s="248" t="n"/>
      <c r="LJL92" s="248" t="n"/>
      <c r="LJM92" s="240" t="n"/>
      <c r="LJN92" s="240" t="n"/>
      <c r="LJP92" s="15" t="n"/>
      <c r="LJQ92" s="15" t="n"/>
      <c r="LJR92" s="248" t="n"/>
      <c r="LJS92" s="248" t="n"/>
      <c r="LJT92" s="240" t="n"/>
      <c r="LJU92" s="240" t="n"/>
      <c r="LJW92" s="15" t="n"/>
      <c r="LJX92" s="15" t="n"/>
      <c r="LJY92" s="248" t="n"/>
      <c r="LJZ92" s="248" t="n"/>
      <c r="LKA92" s="240" t="n"/>
      <c r="LKB92" s="240" t="n"/>
      <c r="LKD92" s="15" t="n"/>
      <c r="LKE92" s="15" t="n"/>
      <c r="LKF92" s="248" t="n"/>
      <c r="LKG92" s="248" t="n"/>
      <c r="LKH92" s="240" t="n"/>
      <c r="LKI92" s="240" t="n"/>
      <c r="LKK92" s="15" t="n"/>
      <c r="LKL92" s="15" t="n"/>
      <c r="LKM92" s="248" t="n"/>
      <c r="LKN92" s="248" t="n"/>
      <c r="LKO92" s="240" t="n"/>
      <c r="LKP92" s="240" t="n"/>
      <c r="LKR92" s="15" t="n"/>
      <c r="LKS92" s="15" t="n"/>
      <c r="LKT92" s="248" t="n"/>
      <c r="LKU92" s="248" t="n"/>
      <c r="LKV92" s="240" t="n"/>
      <c r="LKW92" s="240" t="n"/>
      <c r="LKY92" s="15" t="n"/>
      <c r="LKZ92" s="15" t="n"/>
      <c r="LLA92" s="248" t="n"/>
      <c r="LLB92" s="248" t="n"/>
      <c r="LLC92" s="240" t="n"/>
      <c r="LLD92" s="240" t="n"/>
      <c r="LLF92" s="15" t="n"/>
      <c r="LLG92" s="15" t="n"/>
      <c r="LLH92" s="248" t="n"/>
      <c r="LLI92" s="248" t="n"/>
      <c r="LLJ92" s="240" t="n"/>
      <c r="LLK92" s="240" t="n"/>
      <c r="LLM92" s="15" t="n"/>
      <c r="LLN92" s="15" t="n"/>
      <c r="LLO92" s="248" t="n"/>
      <c r="LLP92" s="248" t="n"/>
      <c r="LLQ92" s="240" t="n"/>
      <c r="LLR92" s="240" t="n"/>
      <c r="LLT92" s="15" t="n"/>
      <c r="LLU92" s="15" t="n"/>
      <c r="LLV92" s="248" t="n"/>
      <c r="LLW92" s="248" t="n"/>
      <c r="LLX92" s="240" t="n"/>
      <c r="LLY92" s="240" t="n"/>
      <c r="LMA92" s="15" t="n"/>
      <c r="LMB92" s="15" t="n"/>
      <c r="LMC92" s="248" t="n"/>
      <c r="LMD92" s="248" t="n"/>
      <c r="LME92" s="240" t="n"/>
      <c r="LMF92" s="240" t="n"/>
      <c r="LMH92" s="15" t="n"/>
      <c r="LMI92" s="15" t="n"/>
      <c r="LMJ92" s="248" t="n"/>
      <c r="LMK92" s="248" t="n"/>
      <c r="LML92" s="240" t="n"/>
      <c r="LMM92" s="240" t="n"/>
      <c r="LMO92" s="15" t="n"/>
      <c r="LMP92" s="15" t="n"/>
      <c r="LMQ92" s="248" t="n"/>
      <c r="LMR92" s="248" t="n"/>
      <c r="LMS92" s="240" t="n"/>
      <c r="LMT92" s="240" t="n"/>
      <c r="LMV92" s="15" t="n"/>
      <c r="LMW92" s="15" t="n"/>
      <c r="LMX92" s="248" t="n"/>
      <c r="LMY92" s="248" t="n"/>
      <c r="LMZ92" s="240" t="n"/>
      <c r="LNA92" s="240" t="n"/>
      <c r="LNC92" s="15" t="n"/>
      <c r="LND92" s="15" t="n"/>
      <c r="LNE92" s="248" t="n"/>
      <c r="LNF92" s="248" t="n"/>
      <c r="LNG92" s="240" t="n"/>
      <c r="LNH92" s="240" t="n"/>
      <c r="LNJ92" s="15" t="n"/>
      <c r="LNK92" s="15" t="n"/>
      <c r="LNL92" s="248" t="n"/>
      <c r="LNM92" s="248" t="n"/>
      <c r="LNN92" s="240" t="n"/>
      <c r="LNO92" s="240" t="n"/>
      <c r="LNQ92" s="15" t="n"/>
      <c r="LNR92" s="15" t="n"/>
      <c r="LNS92" s="248" t="n"/>
      <c r="LNT92" s="248" t="n"/>
      <c r="LNU92" s="240" t="n"/>
      <c r="LNV92" s="240" t="n"/>
      <c r="LNX92" s="15" t="n"/>
      <c r="LNY92" s="15" t="n"/>
      <c r="LNZ92" s="248" t="n"/>
      <c r="LOA92" s="248" t="n"/>
      <c r="LOB92" s="240" t="n"/>
      <c r="LOC92" s="240" t="n"/>
      <c r="LOE92" s="15" t="n"/>
      <c r="LOF92" s="15" t="n"/>
      <c r="LOG92" s="248" t="n"/>
      <c r="LOH92" s="248" t="n"/>
      <c r="LOI92" s="240" t="n"/>
      <c r="LOJ92" s="240" t="n"/>
      <c r="LOL92" s="15" t="n"/>
      <c r="LOM92" s="15" t="n"/>
      <c r="LON92" s="248" t="n"/>
      <c r="LOO92" s="248" t="n"/>
      <c r="LOP92" s="240" t="n"/>
      <c r="LOQ92" s="240" t="n"/>
      <c r="LOS92" s="15" t="n"/>
      <c r="LOT92" s="15" t="n"/>
      <c r="LOU92" s="248" t="n"/>
      <c r="LOV92" s="248" t="n"/>
      <c r="LOW92" s="240" t="n"/>
      <c r="LOX92" s="240" t="n"/>
      <c r="LOZ92" s="15" t="n"/>
      <c r="LPA92" s="15" t="n"/>
      <c r="LPB92" s="248" t="n"/>
      <c r="LPC92" s="248" t="n"/>
      <c r="LPD92" s="240" t="n"/>
      <c r="LPE92" s="240" t="n"/>
      <c r="LPG92" s="15" t="n"/>
      <c r="LPH92" s="15" t="n"/>
      <c r="LPI92" s="248" t="n"/>
      <c r="LPJ92" s="248" t="n"/>
      <c r="LPK92" s="240" t="n"/>
      <c r="LPL92" s="240" t="n"/>
      <c r="LPN92" s="15" t="n"/>
      <c r="LPO92" s="15" t="n"/>
      <c r="LPP92" s="248" t="n"/>
      <c r="LPQ92" s="248" t="n"/>
      <c r="LPR92" s="240" t="n"/>
      <c r="LPS92" s="240" t="n"/>
      <c r="LPU92" s="15" t="n"/>
      <c r="LPV92" s="15" t="n"/>
      <c r="LPW92" s="248" t="n"/>
      <c r="LPX92" s="248" t="n"/>
      <c r="LPY92" s="240" t="n"/>
      <c r="LPZ92" s="240" t="n"/>
      <c r="LQB92" s="15" t="n"/>
      <c r="LQC92" s="15" t="n"/>
      <c r="LQD92" s="248" t="n"/>
      <c r="LQE92" s="248" t="n"/>
      <c r="LQF92" s="240" t="n"/>
      <c r="LQG92" s="240" t="n"/>
      <c r="LQI92" s="15" t="n"/>
      <c r="LQJ92" s="15" t="n"/>
      <c r="LQK92" s="248" t="n"/>
      <c r="LQL92" s="248" t="n"/>
      <c r="LQM92" s="240" t="n"/>
      <c r="LQN92" s="240" t="n"/>
      <c r="LQP92" s="15" t="n"/>
      <c r="LQQ92" s="15" t="n"/>
      <c r="LQR92" s="248" t="n"/>
      <c r="LQS92" s="248" t="n"/>
      <c r="LQT92" s="240" t="n"/>
      <c r="LQU92" s="240" t="n"/>
      <c r="LQW92" s="15" t="n"/>
      <c r="LQX92" s="15" t="n"/>
      <c r="LQY92" s="248" t="n"/>
      <c r="LQZ92" s="248" t="n"/>
      <c r="LRA92" s="240" t="n"/>
      <c r="LRB92" s="240" t="n"/>
      <c r="LRD92" s="15" t="n"/>
      <c r="LRE92" s="15" t="n"/>
      <c r="LRF92" s="248" t="n"/>
      <c r="LRG92" s="248" t="n"/>
      <c r="LRH92" s="240" t="n"/>
      <c r="LRI92" s="240" t="n"/>
      <c r="LRK92" s="15" t="n"/>
      <c r="LRL92" s="15" t="n"/>
      <c r="LRM92" s="248" t="n"/>
      <c r="LRN92" s="248" t="n"/>
      <c r="LRO92" s="240" t="n"/>
      <c r="LRP92" s="240" t="n"/>
      <c r="LRR92" s="15" t="n"/>
      <c r="LRS92" s="15" t="n"/>
      <c r="LRT92" s="248" t="n"/>
      <c r="LRU92" s="248" t="n"/>
      <c r="LRV92" s="240" t="n"/>
      <c r="LRW92" s="240" t="n"/>
      <c r="LRY92" s="15" t="n"/>
      <c r="LRZ92" s="15" t="n"/>
      <c r="LSA92" s="248" t="n"/>
      <c r="LSB92" s="248" t="n"/>
      <c r="LSC92" s="240" t="n"/>
      <c r="LSD92" s="240" t="n"/>
      <c r="LSF92" s="15" t="n"/>
      <c r="LSG92" s="15" t="n"/>
      <c r="LSH92" s="248" t="n"/>
      <c r="LSI92" s="248" t="n"/>
      <c r="LSJ92" s="240" t="n"/>
      <c r="LSK92" s="240" t="n"/>
      <c r="LSM92" s="15" t="n"/>
      <c r="LSN92" s="15" t="n"/>
      <c r="LSO92" s="248" t="n"/>
      <c r="LSP92" s="248" t="n"/>
      <c r="LSQ92" s="240" t="n"/>
      <c r="LSR92" s="240" t="n"/>
      <c r="LST92" s="15" t="n"/>
      <c r="LSU92" s="15" t="n"/>
      <c r="LSV92" s="248" t="n"/>
      <c r="LSW92" s="248" t="n"/>
      <c r="LSX92" s="240" t="n"/>
      <c r="LSY92" s="240" t="n"/>
      <c r="LTA92" s="15" t="n"/>
      <c r="LTB92" s="15" t="n"/>
      <c r="LTC92" s="248" t="n"/>
      <c r="LTD92" s="248" t="n"/>
      <c r="LTE92" s="240" t="n"/>
      <c r="LTF92" s="240" t="n"/>
      <c r="LTH92" s="15" t="n"/>
      <c r="LTI92" s="15" t="n"/>
      <c r="LTJ92" s="248" t="n"/>
      <c r="LTK92" s="248" t="n"/>
      <c r="LTL92" s="240" t="n"/>
      <c r="LTM92" s="240" t="n"/>
      <c r="LTO92" s="15" t="n"/>
      <c r="LTP92" s="15" t="n"/>
      <c r="LTQ92" s="248" t="n"/>
      <c r="LTR92" s="248" t="n"/>
      <c r="LTS92" s="240" t="n"/>
      <c r="LTT92" s="240" t="n"/>
      <c r="LTV92" s="15" t="n"/>
      <c r="LTW92" s="15" t="n"/>
      <c r="LTX92" s="248" t="n"/>
      <c r="LTY92" s="248" t="n"/>
      <c r="LTZ92" s="240" t="n"/>
      <c r="LUA92" s="240" t="n"/>
      <c r="LUC92" s="15" t="n"/>
      <c r="LUD92" s="15" t="n"/>
      <c r="LUE92" s="248" t="n"/>
      <c r="LUF92" s="248" t="n"/>
      <c r="LUG92" s="240" t="n"/>
      <c r="LUH92" s="240" t="n"/>
      <c r="LUJ92" s="15" t="n"/>
      <c r="LUK92" s="15" t="n"/>
      <c r="LUL92" s="248" t="n"/>
      <c r="LUM92" s="248" t="n"/>
      <c r="LUN92" s="240" t="n"/>
      <c r="LUO92" s="240" t="n"/>
      <c r="LUQ92" s="15" t="n"/>
      <c r="LUR92" s="15" t="n"/>
      <c r="LUS92" s="248" t="n"/>
      <c r="LUT92" s="248" t="n"/>
      <c r="LUU92" s="240" t="n"/>
      <c r="LUV92" s="240" t="n"/>
      <c r="LUX92" s="15" t="n"/>
      <c r="LUY92" s="15" t="n"/>
      <c r="LUZ92" s="248" t="n"/>
      <c r="LVA92" s="248" t="n"/>
      <c r="LVB92" s="240" t="n"/>
      <c r="LVC92" s="240" t="n"/>
      <c r="LVE92" s="15" t="n"/>
      <c r="LVF92" s="15" t="n"/>
      <c r="LVG92" s="248" t="n"/>
      <c r="LVH92" s="248" t="n"/>
      <c r="LVI92" s="240" t="n"/>
      <c r="LVJ92" s="240" t="n"/>
      <c r="LVL92" s="15" t="n"/>
      <c r="LVM92" s="15" t="n"/>
      <c r="LVN92" s="248" t="n"/>
      <c r="LVO92" s="248" t="n"/>
      <c r="LVP92" s="240" t="n"/>
      <c r="LVQ92" s="240" t="n"/>
      <c r="LVS92" s="15" t="n"/>
      <c r="LVT92" s="15" t="n"/>
      <c r="LVU92" s="248" t="n"/>
      <c r="LVV92" s="248" t="n"/>
      <c r="LVW92" s="240" t="n"/>
      <c r="LVX92" s="240" t="n"/>
      <c r="LVZ92" s="15" t="n"/>
      <c r="LWA92" s="15" t="n"/>
      <c r="LWB92" s="248" t="n"/>
      <c r="LWC92" s="248" t="n"/>
      <c r="LWD92" s="240" t="n"/>
      <c r="LWE92" s="240" t="n"/>
      <c r="LWG92" s="15" t="n"/>
      <c r="LWH92" s="15" t="n"/>
      <c r="LWI92" s="248" t="n"/>
      <c r="LWJ92" s="248" t="n"/>
      <c r="LWK92" s="240" t="n"/>
      <c r="LWL92" s="240" t="n"/>
      <c r="LWN92" s="15" t="n"/>
      <c r="LWO92" s="15" t="n"/>
      <c r="LWP92" s="248" t="n"/>
      <c r="LWQ92" s="248" t="n"/>
      <c r="LWR92" s="240" t="n"/>
      <c r="LWS92" s="240" t="n"/>
      <c r="LWU92" s="15" t="n"/>
      <c r="LWV92" s="15" t="n"/>
      <c r="LWW92" s="248" t="n"/>
      <c r="LWX92" s="248" t="n"/>
      <c r="LWY92" s="240" t="n"/>
      <c r="LWZ92" s="240" t="n"/>
      <c r="LXB92" s="15" t="n"/>
      <c r="LXC92" s="15" t="n"/>
      <c r="LXD92" s="248" t="n"/>
      <c r="LXE92" s="248" t="n"/>
      <c r="LXF92" s="240" t="n"/>
      <c r="LXG92" s="240" t="n"/>
      <c r="LXI92" s="15" t="n"/>
      <c r="LXJ92" s="15" t="n"/>
      <c r="LXK92" s="248" t="n"/>
      <c r="LXL92" s="248" t="n"/>
      <c r="LXM92" s="240" t="n"/>
      <c r="LXN92" s="240" t="n"/>
      <c r="LXP92" s="15" t="n"/>
      <c r="LXQ92" s="15" t="n"/>
      <c r="LXR92" s="248" t="n"/>
      <c r="LXS92" s="248" t="n"/>
      <c r="LXT92" s="240" t="n"/>
      <c r="LXU92" s="240" t="n"/>
      <c r="LXW92" s="15" t="n"/>
      <c r="LXX92" s="15" t="n"/>
      <c r="LXY92" s="248" t="n"/>
      <c r="LXZ92" s="248" t="n"/>
      <c r="LYA92" s="240" t="n"/>
      <c r="LYB92" s="240" t="n"/>
      <c r="LYD92" s="15" t="n"/>
      <c r="LYE92" s="15" t="n"/>
      <c r="LYF92" s="248" t="n"/>
      <c r="LYG92" s="248" t="n"/>
      <c r="LYH92" s="240" t="n"/>
      <c r="LYI92" s="240" t="n"/>
      <c r="LYK92" s="15" t="n"/>
      <c r="LYL92" s="15" t="n"/>
      <c r="LYM92" s="248" t="n"/>
      <c r="LYN92" s="248" t="n"/>
      <c r="LYO92" s="240" t="n"/>
      <c r="LYP92" s="240" t="n"/>
      <c r="LYR92" s="15" t="n"/>
      <c r="LYS92" s="15" t="n"/>
      <c r="LYT92" s="248" t="n"/>
      <c r="LYU92" s="248" t="n"/>
      <c r="LYV92" s="240" t="n"/>
      <c r="LYW92" s="240" t="n"/>
      <c r="LYY92" s="15" t="n"/>
      <c r="LYZ92" s="15" t="n"/>
      <c r="LZA92" s="248" t="n"/>
      <c r="LZB92" s="248" t="n"/>
      <c r="LZC92" s="240" t="n"/>
      <c r="LZD92" s="240" t="n"/>
      <c r="LZF92" s="15" t="n"/>
      <c r="LZG92" s="15" t="n"/>
      <c r="LZH92" s="248" t="n"/>
      <c r="LZI92" s="248" t="n"/>
      <c r="LZJ92" s="240" t="n"/>
      <c r="LZK92" s="240" t="n"/>
      <c r="LZM92" s="15" t="n"/>
      <c r="LZN92" s="15" t="n"/>
      <c r="LZO92" s="248" t="n"/>
      <c r="LZP92" s="248" t="n"/>
      <c r="LZQ92" s="240" t="n"/>
      <c r="LZR92" s="240" t="n"/>
      <c r="LZT92" s="15" t="n"/>
      <c r="LZU92" s="15" t="n"/>
      <c r="LZV92" s="248" t="n"/>
      <c r="LZW92" s="248" t="n"/>
      <c r="LZX92" s="240" t="n"/>
      <c r="LZY92" s="240" t="n"/>
      <c r="MAA92" s="15" t="n"/>
      <c r="MAB92" s="15" t="n"/>
      <c r="MAC92" s="248" t="n"/>
      <c r="MAD92" s="248" t="n"/>
      <c r="MAE92" s="240" t="n"/>
      <c r="MAF92" s="240" t="n"/>
      <c r="MAH92" s="15" t="n"/>
      <c r="MAI92" s="15" t="n"/>
      <c r="MAJ92" s="248" t="n"/>
      <c r="MAK92" s="248" t="n"/>
      <c r="MAL92" s="240" t="n"/>
      <c r="MAM92" s="240" t="n"/>
      <c r="MAO92" s="15" t="n"/>
      <c r="MAP92" s="15" t="n"/>
      <c r="MAQ92" s="248" t="n"/>
      <c r="MAR92" s="248" t="n"/>
      <c r="MAS92" s="240" t="n"/>
      <c r="MAT92" s="240" t="n"/>
      <c r="MAV92" s="15" t="n"/>
      <c r="MAW92" s="15" t="n"/>
      <c r="MAX92" s="248" t="n"/>
      <c r="MAY92" s="248" t="n"/>
      <c r="MAZ92" s="240" t="n"/>
      <c r="MBA92" s="240" t="n"/>
      <c r="MBC92" s="15" t="n"/>
      <c r="MBD92" s="15" t="n"/>
      <c r="MBE92" s="248" t="n"/>
      <c r="MBF92" s="248" t="n"/>
      <c r="MBG92" s="240" t="n"/>
      <c r="MBH92" s="240" t="n"/>
      <c r="MBJ92" s="15" t="n"/>
      <c r="MBK92" s="15" t="n"/>
      <c r="MBL92" s="248" t="n"/>
      <c r="MBM92" s="248" t="n"/>
      <c r="MBN92" s="240" t="n"/>
      <c r="MBO92" s="240" t="n"/>
      <c r="MBQ92" s="15" t="n"/>
      <c r="MBR92" s="15" t="n"/>
      <c r="MBS92" s="248" t="n"/>
      <c r="MBT92" s="248" t="n"/>
      <c r="MBU92" s="240" t="n"/>
      <c r="MBV92" s="240" t="n"/>
      <c r="MBX92" s="15" t="n"/>
      <c r="MBY92" s="15" t="n"/>
      <c r="MBZ92" s="248" t="n"/>
      <c r="MCA92" s="248" t="n"/>
      <c r="MCB92" s="240" t="n"/>
      <c r="MCC92" s="240" t="n"/>
      <c r="MCE92" s="15" t="n"/>
      <c r="MCF92" s="15" t="n"/>
      <c r="MCG92" s="248" t="n"/>
      <c r="MCH92" s="248" t="n"/>
      <c r="MCI92" s="240" t="n"/>
      <c r="MCJ92" s="240" t="n"/>
      <c r="MCL92" s="15" t="n"/>
      <c r="MCM92" s="15" t="n"/>
      <c r="MCN92" s="248" t="n"/>
      <c r="MCO92" s="248" t="n"/>
      <c r="MCP92" s="240" t="n"/>
      <c r="MCQ92" s="240" t="n"/>
      <c r="MCS92" s="15" t="n"/>
      <c r="MCT92" s="15" t="n"/>
      <c r="MCU92" s="248" t="n"/>
      <c r="MCV92" s="248" t="n"/>
      <c r="MCW92" s="240" t="n"/>
      <c r="MCX92" s="240" t="n"/>
      <c r="MCZ92" s="15" t="n"/>
      <c r="MDA92" s="15" t="n"/>
      <c r="MDB92" s="248" t="n"/>
      <c r="MDC92" s="248" t="n"/>
      <c r="MDD92" s="240" t="n"/>
      <c r="MDE92" s="240" t="n"/>
      <c r="MDG92" s="15" t="n"/>
      <c r="MDH92" s="15" t="n"/>
      <c r="MDI92" s="248" t="n"/>
      <c r="MDJ92" s="248" t="n"/>
      <c r="MDK92" s="240" t="n"/>
      <c r="MDL92" s="240" t="n"/>
      <c r="MDN92" s="15" t="n"/>
      <c r="MDO92" s="15" t="n"/>
      <c r="MDP92" s="248" t="n"/>
      <c r="MDQ92" s="248" t="n"/>
      <c r="MDR92" s="240" t="n"/>
      <c r="MDS92" s="240" t="n"/>
      <c r="MDU92" s="15" t="n"/>
      <c r="MDV92" s="15" t="n"/>
      <c r="MDW92" s="248" t="n"/>
      <c r="MDX92" s="248" t="n"/>
      <c r="MDY92" s="240" t="n"/>
      <c r="MDZ92" s="240" t="n"/>
      <c r="MEB92" s="15" t="n"/>
      <c r="MEC92" s="15" t="n"/>
      <c r="MED92" s="248" t="n"/>
      <c r="MEE92" s="248" t="n"/>
      <c r="MEF92" s="240" t="n"/>
      <c r="MEG92" s="240" t="n"/>
      <c r="MEI92" s="15" t="n"/>
      <c r="MEJ92" s="15" t="n"/>
      <c r="MEK92" s="248" t="n"/>
      <c r="MEL92" s="248" t="n"/>
      <c r="MEM92" s="240" t="n"/>
      <c r="MEN92" s="240" t="n"/>
      <c r="MEP92" s="15" t="n"/>
      <c r="MEQ92" s="15" t="n"/>
      <c r="MER92" s="248" t="n"/>
      <c r="MES92" s="248" t="n"/>
      <c r="MET92" s="240" t="n"/>
      <c r="MEU92" s="240" t="n"/>
      <c r="MEW92" s="15" t="n"/>
      <c r="MEX92" s="15" t="n"/>
      <c r="MEY92" s="248" t="n"/>
      <c r="MEZ92" s="248" t="n"/>
      <c r="MFA92" s="240" t="n"/>
      <c r="MFB92" s="240" t="n"/>
      <c r="MFD92" s="15" t="n"/>
      <c r="MFE92" s="15" t="n"/>
      <c r="MFF92" s="248" t="n"/>
      <c r="MFG92" s="248" t="n"/>
      <c r="MFH92" s="240" t="n"/>
      <c r="MFI92" s="240" t="n"/>
      <c r="MFK92" s="15" t="n"/>
      <c r="MFL92" s="15" t="n"/>
      <c r="MFM92" s="248" t="n"/>
      <c r="MFN92" s="248" t="n"/>
      <c r="MFO92" s="240" t="n"/>
      <c r="MFP92" s="240" t="n"/>
      <c r="MFR92" s="15" t="n"/>
      <c r="MFS92" s="15" t="n"/>
      <c r="MFT92" s="248" t="n"/>
      <c r="MFU92" s="248" t="n"/>
      <c r="MFV92" s="240" t="n"/>
      <c r="MFW92" s="240" t="n"/>
      <c r="MFY92" s="15" t="n"/>
      <c r="MFZ92" s="15" t="n"/>
      <c r="MGA92" s="248" t="n"/>
      <c r="MGB92" s="248" t="n"/>
      <c r="MGC92" s="240" t="n"/>
      <c r="MGD92" s="240" t="n"/>
      <c r="MGF92" s="15" t="n"/>
      <c r="MGG92" s="15" t="n"/>
      <c r="MGH92" s="248" t="n"/>
      <c r="MGI92" s="248" t="n"/>
      <c r="MGJ92" s="240" t="n"/>
      <c r="MGK92" s="240" t="n"/>
      <c r="MGM92" s="15" t="n"/>
      <c r="MGN92" s="15" t="n"/>
      <c r="MGO92" s="248" t="n"/>
      <c r="MGP92" s="248" t="n"/>
      <c r="MGQ92" s="240" t="n"/>
      <c r="MGR92" s="240" t="n"/>
      <c r="MGT92" s="15" t="n"/>
      <c r="MGU92" s="15" t="n"/>
      <c r="MGV92" s="248" t="n"/>
      <c r="MGW92" s="248" t="n"/>
      <c r="MGX92" s="240" t="n"/>
      <c r="MGY92" s="240" t="n"/>
      <c r="MHA92" s="15" t="n"/>
      <c r="MHB92" s="15" t="n"/>
      <c r="MHC92" s="248" t="n"/>
      <c r="MHD92" s="248" t="n"/>
      <c r="MHE92" s="240" t="n"/>
      <c r="MHF92" s="240" t="n"/>
      <c r="MHH92" s="15" t="n"/>
      <c r="MHI92" s="15" t="n"/>
      <c r="MHJ92" s="248" t="n"/>
      <c r="MHK92" s="248" t="n"/>
      <c r="MHL92" s="240" t="n"/>
      <c r="MHM92" s="240" t="n"/>
      <c r="MHO92" s="15" t="n"/>
      <c r="MHP92" s="15" t="n"/>
      <c r="MHQ92" s="248" t="n"/>
      <c r="MHR92" s="248" t="n"/>
      <c r="MHS92" s="240" t="n"/>
      <c r="MHT92" s="240" t="n"/>
      <c r="MHV92" s="15" t="n"/>
      <c r="MHW92" s="15" t="n"/>
      <c r="MHX92" s="248" t="n"/>
      <c r="MHY92" s="248" t="n"/>
      <c r="MHZ92" s="240" t="n"/>
      <c r="MIA92" s="240" t="n"/>
      <c r="MIC92" s="15" t="n"/>
      <c r="MID92" s="15" t="n"/>
      <c r="MIE92" s="248" t="n"/>
      <c r="MIF92" s="248" t="n"/>
      <c r="MIG92" s="240" t="n"/>
      <c r="MIH92" s="240" t="n"/>
      <c r="MIJ92" s="15" t="n"/>
      <c r="MIK92" s="15" t="n"/>
      <c r="MIL92" s="248" t="n"/>
      <c r="MIM92" s="248" t="n"/>
      <c r="MIN92" s="240" t="n"/>
      <c r="MIO92" s="240" t="n"/>
      <c r="MIQ92" s="15" t="n"/>
      <c r="MIR92" s="15" t="n"/>
      <c r="MIS92" s="248" t="n"/>
      <c r="MIT92" s="248" t="n"/>
      <c r="MIU92" s="240" t="n"/>
      <c r="MIV92" s="240" t="n"/>
      <c r="MIX92" s="15" t="n"/>
      <c r="MIY92" s="15" t="n"/>
      <c r="MIZ92" s="248" t="n"/>
      <c r="MJA92" s="248" t="n"/>
      <c r="MJB92" s="240" t="n"/>
      <c r="MJC92" s="240" t="n"/>
      <c r="MJE92" s="15" t="n"/>
      <c r="MJF92" s="15" t="n"/>
      <c r="MJG92" s="248" t="n"/>
      <c r="MJH92" s="248" t="n"/>
      <c r="MJI92" s="240" t="n"/>
      <c r="MJJ92" s="240" t="n"/>
      <c r="MJL92" s="15" t="n"/>
      <c r="MJM92" s="15" t="n"/>
      <c r="MJN92" s="248" t="n"/>
      <c r="MJO92" s="248" t="n"/>
      <c r="MJP92" s="240" t="n"/>
      <c r="MJQ92" s="240" t="n"/>
      <c r="MJS92" s="15" t="n"/>
      <c r="MJT92" s="15" t="n"/>
      <c r="MJU92" s="248" t="n"/>
      <c r="MJV92" s="248" t="n"/>
      <c r="MJW92" s="240" t="n"/>
      <c r="MJX92" s="240" t="n"/>
      <c r="MJZ92" s="15" t="n"/>
      <c r="MKA92" s="15" t="n"/>
      <c r="MKB92" s="248" t="n"/>
      <c r="MKC92" s="248" t="n"/>
      <c r="MKD92" s="240" t="n"/>
      <c r="MKE92" s="240" t="n"/>
      <c r="MKG92" s="15" t="n"/>
      <c r="MKH92" s="15" t="n"/>
      <c r="MKI92" s="248" t="n"/>
      <c r="MKJ92" s="248" t="n"/>
      <c r="MKK92" s="240" t="n"/>
      <c r="MKL92" s="240" t="n"/>
      <c r="MKN92" s="15" t="n"/>
      <c r="MKO92" s="15" t="n"/>
      <c r="MKP92" s="248" t="n"/>
      <c r="MKQ92" s="248" t="n"/>
      <c r="MKR92" s="240" t="n"/>
      <c r="MKS92" s="240" t="n"/>
      <c r="MKU92" s="15" t="n"/>
      <c r="MKV92" s="15" t="n"/>
      <c r="MKW92" s="248" t="n"/>
      <c r="MKX92" s="248" t="n"/>
      <c r="MKY92" s="240" t="n"/>
      <c r="MKZ92" s="240" t="n"/>
      <c r="MLB92" s="15" t="n"/>
      <c r="MLC92" s="15" t="n"/>
      <c r="MLD92" s="248" t="n"/>
      <c r="MLE92" s="248" t="n"/>
      <c r="MLF92" s="240" t="n"/>
      <c r="MLG92" s="240" t="n"/>
      <c r="MLI92" s="15" t="n"/>
      <c r="MLJ92" s="15" t="n"/>
      <c r="MLK92" s="248" t="n"/>
      <c r="MLL92" s="248" t="n"/>
      <c r="MLM92" s="240" t="n"/>
      <c r="MLN92" s="240" t="n"/>
      <c r="MLP92" s="15" t="n"/>
      <c r="MLQ92" s="15" t="n"/>
      <c r="MLR92" s="248" t="n"/>
      <c r="MLS92" s="248" t="n"/>
      <c r="MLT92" s="240" t="n"/>
      <c r="MLU92" s="240" t="n"/>
      <c r="MLW92" s="15" t="n"/>
      <c r="MLX92" s="15" t="n"/>
      <c r="MLY92" s="248" t="n"/>
      <c r="MLZ92" s="248" t="n"/>
      <c r="MMA92" s="240" t="n"/>
      <c r="MMB92" s="240" t="n"/>
      <c r="MMD92" s="15" t="n"/>
      <c r="MME92" s="15" t="n"/>
      <c r="MMF92" s="248" t="n"/>
      <c r="MMG92" s="248" t="n"/>
      <c r="MMH92" s="240" t="n"/>
      <c r="MMI92" s="240" t="n"/>
      <c r="MMK92" s="15" t="n"/>
      <c r="MML92" s="15" t="n"/>
      <c r="MMM92" s="248" t="n"/>
      <c r="MMN92" s="248" t="n"/>
      <c r="MMO92" s="240" t="n"/>
      <c r="MMP92" s="240" t="n"/>
      <c r="MMR92" s="15" t="n"/>
      <c r="MMS92" s="15" t="n"/>
      <c r="MMT92" s="248" t="n"/>
      <c r="MMU92" s="248" t="n"/>
      <c r="MMV92" s="240" t="n"/>
      <c r="MMW92" s="240" t="n"/>
      <c r="MMY92" s="15" t="n"/>
      <c r="MMZ92" s="15" t="n"/>
      <c r="MNA92" s="248" t="n"/>
      <c r="MNB92" s="248" t="n"/>
      <c r="MNC92" s="240" t="n"/>
      <c r="MND92" s="240" t="n"/>
      <c r="MNF92" s="15" t="n"/>
      <c r="MNG92" s="15" t="n"/>
      <c r="MNH92" s="248" t="n"/>
      <c r="MNI92" s="248" t="n"/>
      <c r="MNJ92" s="240" t="n"/>
      <c r="MNK92" s="240" t="n"/>
      <c r="MNM92" s="15" t="n"/>
      <c r="MNN92" s="15" t="n"/>
      <c r="MNO92" s="248" t="n"/>
      <c r="MNP92" s="248" t="n"/>
      <c r="MNQ92" s="240" t="n"/>
      <c r="MNR92" s="240" t="n"/>
      <c r="MNT92" s="15" t="n"/>
      <c r="MNU92" s="15" t="n"/>
      <c r="MNV92" s="248" t="n"/>
      <c r="MNW92" s="248" t="n"/>
      <c r="MNX92" s="240" t="n"/>
      <c r="MNY92" s="240" t="n"/>
      <c r="MOA92" s="15" t="n"/>
      <c r="MOB92" s="15" t="n"/>
      <c r="MOC92" s="248" t="n"/>
      <c r="MOD92" s="248" t="n"/>
      <c r="MOE92" s="240" t="n"/>
      <c r="MOF92" s="240" t="n"/>
      <c r="MOH92" s="15" t="n"/>
      <c r="MOI92" s="15" t="n"/>
      <c r="MOJ92" s="248" t="n"/>
      <c r="MOK92" s="248" t="n"/>
      <c r="MOL92" s="240" t="n"/>
      <c r="MOM92" s="240" t="n"/>
      <c r="MOO92" s="15" t="n"/>
      <c r="MOP92" s="15" t="n"/>
      <c r="MOQ92" s="248" t="n"/>
      <c r="MOR92" s="248" t="n"/>
      <c r="MOS92" s="240" t="n"/>
      <c r="MOT92" s="240" t="n"/>
      <c r="MOV92" s="15" t="n"/>
      <c r="MOW92" s="15" t="n"/>
      <c r="MOX92" s="248" t="n"/>
      <c r="MOY92" s="248" t="n"/>
      <c r="MOZ92" s="240" t="n"/>
      <c r="MPA92" s="240" t="n"/>
      <c r="MPC92" s="15" t="n"/>
      <c r="MPD92" s="15" t="n"/>
      <c r="MPE92" s="248" t="n"/>
      <c r="MPF92" s="248" t="n"/>
      <c r="MPG92" s="240" t="n"/>
      <c r="MPH92" s="240" t="n"/>
      <c r="MPJ92" s="15" t="n"/>
      <c r="MPK92" s="15" t="n"/>
      <c r="MPL92" s="248" t="n"/>
      <c r="MPM92" s="248" t="n"/>
      <c r="MPN92" s="240" t="n"/>
      <c r="MPO92" s="240" t="n"/>
      <c r="MPQ92" s="15" t="n"/>
      <c r="MPR92" s="15" t="n"/>
      <c r="MPS92" s="248" t="n"/>
      <c r="MPT92" s="248" t="n"/>
      <c r="MPU92" s="240" t="n"/>
      <c r="MPV92" s="240" t="n"/>
      <c r="MPX92" s="15" t="n"/>
      <c r="MPY92" s="15" t="n"/>
      <c r="MPZ92" s="248" t="n"/>
      <c r="MQA92" s="248" t="n"/>
      <c r="MQB92" s="240" t="n"/>
      <c r="MQC92" s="240" t="n"/>
      <c r="MQE92" s="15" t="n"/>
      <c r="MQF92" s="15" t="n"/>
      <c r="MQG92" s="248" t="n"/>
      <c r="MQH92" s="248" t="n"/>
      <c r="MQI92" s="240" t="n"/>
      <c r="MQJ92" s="240" t="n"/>
      <c r="MQL92" s="15" t="n"/>
      <c r="MQM92" s="15" t="n"/>
      <c r="MQN92" s="248" t="n"/>
      <c r="MQO92" s="248" t="n"/>
      <c r="MQP92" s="240" t="n"/>
      <c r="MQQ92" s="240" t="n"/>
      <c r="MQS92" s="15" t="n"/>
      <c r="MQT92" s="15" t="n"/>
      <c r="MQU92" s="248" t="n"/>
      <c r="MQV92" s="248" t="n"/>
      <c r="MQW92" s="240" t="n"/>
      <c r="MQX92" s="240" t="n"/>
      <c r="MQZ92" s="15" t="n"/>
      <c r="MRA92" s="15" t="n"/>
      <c r="MRB92" s="248" t="n"/>
      <c r="MRC92" s="248" t="n"/>
      <c r="MRD92" s="240" t="n"/>
      <c r="MRE92" s="240" t="n"/>
      <c r="MRG92" s="15" t="n"/>
      <c r="MRH92" s="15" t="n"/>
      <c r="MRI92" s="248" t="n"/>
      <c r="MRJ92" s="248" t="n"/>
      <c r="MRK92" s="240" t="n"/>
      <c r="MRL92" s="240" t="n"/>
      <c r="MRN92" s="15" t="n"/>
      <c r="MRO92" s="15" t="n"/>
      <c r="MRP92" s="248" t="n"/>
      <c r="MRQ92" s="248" t="n"/>
      <c r="MRR92" s="240" t="n"/>
      <c r="MRS92" s="240" t="n"/>
      <c r="MRU92" s="15" t="n"/>
      <c r="MRV92" s="15" t="n"/>
      <c r="MRW92" s="248" t="n"/>
      <c r="MRX92" s="248" t="n"/>
      <c r="MRY92" s="240" t="n"/>
      <c r="MRZ92" s="240" t="n"/>
      <c r="MSB92" s="15" t="n"/>
      <c r="MSC92" s="15" t="n"/>
      <c r="MSD92" s="248" t="n"/>
      <c r="MSE92" s="248" t="n"/>
      <c r="MSF92" s="240" t="n"/>
      <c r="MSG92" s="240" t="n"/>
      <c r="MSI92" s="15" t="n"/>
      <c r="MSJ92" s="15" t="n"/>
      <c r="MSK92" s="248" t="n"/>
      <c r="MSL92" s="248" t="n"/>
      <c r="MSM92" s="240" t="n"/>
      <c r="MSN92" s="240" t="n"/>
      <c r="MSP92" s="15" t="n"/>
      <c r="MSQ92" s="15" t="n"/>
      <c r="MSR92" s="248" t="n"/>
      <c r="MSS92" s="248" t="n"/>
      <c r="MST92" s="240" t="n"/>
      <c r="MSU92" s="240" t="n"/>
      <c r="MSW92" s="15" t="n"/>
      <c r="MSX92" s="15" t="n"/>
      <c r="MSY92" s="248" t="n"/>
      <c r="MSZ92" s="248" t="n"/>
      <c r="MTA92" s="240" t="n"/>
      <c r="MTB92" s="240" t="n"/>
      <c r="MTD92" s="15" t="n"/>
      <c r="MTE92" s="15" t="n"/>
      <c r="MTF92" s="248" t="n"/>
      <c r="MTG92" s="248" t="n"/>
      <c r="MTH92" s="240" t="n"/>
      <c r="MTI92" s="240" t="n"/>
      <c r="MTK92" s="15" t="n"/>
      <c r="MTL92" s="15" t="n"/>
      <c r="MTM92" s="248" t="n"/>
      <c r="MTN92" s="248" t="n"/>
      <c r="MTO92" s="240" t="n"/>
      <c r="MTP92" s="240" t="n"/>
      <c r="MTR92" s="15" t="n"/>
      <c r="MTS92" s="15" t="n"/>
      <c r="MTT92" s="248" t="n"/>
      <c r="MTU92" s="248" t="n"/>
      <c r="MTV92" s="240" t="n"/>
      <c r="MTW92" s="240" t="n"/>
      <c r="MTY92" s="15" t="n"/>
      <c r="MTZ92" s="15" t="n"/>
      <c r="MUA92" s="248" t="n"/>
      <c r="MUB92" s="248" t="n"/>
      <c r="MUC92" s="240" t="n"/>
      <c r="MUD92" s="240" t="n"/>
      <c r="MUF92" s="15" t="n"/>
      <c r="MUG92" s="15" t="n"/>
      <c r="MUH92" s="248" t="n"/>
      <c r="MUI92" s="248" t="n"/>
      <c r="MUJ92" s="240" t="n"/>
      <c r="MUK92" s="240" t="n"/>
      <c r="MUM92" s="15" t="n"/>
      <c r="MUN92" s="15" t="n"/>
      <c r="MUO92" s="248" t="n"/>
      <c r="MUP92" s="248" t="n"/>
      <c r="MUQ92" s="240" t="n"/>
      <c r="MUR92" s="240" t="n"/>
      <c r="MUT92" s="15" t="n"/>
      <c r="MUU92" s="15" t="n"/>
      <c r="MUV92" s="248" t="n"/>
      <c r="MUW92" s="248" t="n"/>
      <c r="MUX92" s="240" t="n"/>
      <c r="MUY92" s="240" t="n"/>
      <c r="MVA92" s="15" t="n"/>
      <c r="MVB92" s="15" t="n"/>
      <c r="MVC92" s="248" t="n"/>
      <c r="MVD92" s="248" t="n"/>
      <c r="MVE92" s="240" t="n"/>
      <c r="MVF92" s="240" t="n"/>
      <c r="MVH92" s="15" t="n"/>
      <c r="MVI92" s="15" t="n"/>
      <c r="MVJ92" s="248" t="n"/>
      <c r="MVK92" s="248" t="n"/>
      <c r="MVL92" s="240" t="n"/>
      <c r="MVM92" s="240" t="n"/>
      <c r="MVO92" s="15" t="n"/>
      <c r="MVP92" s="15" t="n"/>
      <c r="MVQ92" s="248" t="n"/>
      <c r="MVR92" s="248" t="n"/>
      <c r="MVS92" s="240" t="n"/>
      <c r="MVT92" s="240" t="n"/>
      <c r="MVV92" s="15" t="n"/>
      <c r="MVW92" s="15" t="n"/>
      <c r="MVX92" s="248" t="n"/>
      <c r="MVY92" s="248" t="n"/>
      <c r="MVZ92" s="240" t="n"/>
      <c r="MWA92" s="240" t="n"/>
      <c r="MWC92" s="15" t="n"/>
      <c r="MWD92" s="15" t="n"/>
      <c r="MWE92" s="248" t="n"/>
      <c r="MWF92" s="248" t="n"/>
      <c r="MWG92" s="240" t="n"/>
      <c r="MWH92" s="240" t="n"/>
      <c r="MWJ92" s="15" t="n"/>
      <c r="MWK92" s="15" t="n"/>
      <c r="MWL92" s="248" t="n"/>
      <c r="MWM92" s="248" t="n"/>
      <c r="MWN92" s="240" t="n"/>
      <c r="MWO92" s="240" t="n"/>
      <c r="MWQ92" s="15" t="n"/>
      <c r="MWR92" s="15" t="n"/>
      <c r="MWS92" s="248" t="n"/>
      <c r="MWT92" s="248" t="n"/>
      <c r="MWU92" s="240" t="n"/>
      <c r="MWV92" s="240" t="n"/>
      <c r="MWX92" s="15" t="n"/>
      <c r="MWY92" s="15" t="n"/>
      <c r="MWZ92" s="248" t="n"/>
      <c r="MXA92" s="248" t="n"/>
      <c r="MXB92" s="240" t="n"/>
      <c r="MXC92" s="240" t="n"/>
      <c r="MXE92" s="15" t="n"/>
      <c r="MXF92" s="15" t="n"/>
      <c r="MXG92" s="248" t="n"/>
      <c r="MXH92" s="248" t="n"/>
      <c r="MXI92" s="240" t="n"/>
      <c r="MXJ92" s="240" t="n"/>
      <c r="MXL92" s="15" t="n"/>
      <c r="MXM92" s="15" t="n"/>
      <c r="MXN92" s="248" t="n"/>
      <c r="MXO92" s="248" t="n"/>
      <c r="MXP92" s="240" t="n"/>
      <c r="MXQ92" s="240" t="n"/>
      <c r="MXS92" s="15" t="n"/>
      <c r="MXT92" s="15" t="n"/>
      <c r="MXU92" s="248" t="n"/>
      <c r="MXV92" s="248" t="n"/>
      <c r="MXW92" s="240" t="n"/>
      <c r="MXX92" s="240" t="n"/>
      <c r="MXZ92" s="15" t="n"/>
      <c r="MYA92" s="15" t="n"/>
      <c r="MYB92" s="248" t="n"/>
      <c r="MYC92" s="248" t="n"/>
      <c r="MYD92" s="240" t="n"/>
      <c r="MYE92" s="240" t="n"/>
      <c r="MYG92" s="15" t="n"/>
      <c r="MYH92" s="15" t="n"/>
      <c r="MYI92" s="248" t="n"/>
      <c r="MYJ92" s="248" t="n"/>
      <c r="MYK92" s="240" t="n"/>
      <c r="MYL92" s="240" t="n"/>
      <c r="MYN92" s="15" t="n"/>
      <c r="MYO92" s="15" t="n"/>
      <c r="MYP92" s="248" t="n"/>
      <c r="MYQ92" s="248" t="n"/>
      <c r="MYR92" s="240" t="n"/>
      <c r="MYS92" s="240" t="n"/>
      <c r="MYU92" s="15" t="n"/>
      <c r="MYV92" s="15" t="n"/>
      <c r="MYW92" s="248" t="n"/>
      <c r="MYX92" s="248" t="n"/>
      <c r="MYY92" s="240" t="n"/>
      <c r="MYZ92" s="240" t="n"/>
      <c r="MZB92" s="15" t="n"/>
      <c r="MZC92" s="15" t="n"/>
      <c r="MZD92" s="248" t="n"/>
      <c r="MZE92" s="248" t="n"/>
      <c r="MZF92" s="240" t="n"/>
      <c r="MZG92" s="240" t="n"/>
      <c r="MZI92" s="15" t="n"/>
      <c r="MZJ92" s="15" t="n"/>
      <c r="MZK92" s="248" t="n"/>
      <c r="MZL92" s="248" t="n"/>
      <c r="MZM92" s="240" t="n"/>
      <c r="MZN92" s="240" t="n"/>
      <c r="MZP92" s="15" t="n"/>
      <c r="MZQ92" s="15" t="n"/>
      <c r="MZR92" s="248" t="n"/>
      <c r="MZS92" s="248" t="n"/>
      <c r="MZT92" s="240" t="n"/>
      <c r="MZU92" s="240" t="n"/>
      <c r="MZW92" s="15" t="n"/>
      <c r="MZX92" s="15" t="n"/>
      <c r="MZY92" s="248" t="n"/>
      <c r="MZZ92" s="248" t="n"/>
      <c r="NAA92" s="240" t="n"/>
      <c r="NAB92" s="240" t="n"/>
      <c r="NAD92" s="15" t="n"/>
      <c r="NAE92" s="15" t="n"/>
      <c r="NAF92" s="248" t="n"/>
      <c r="NAG92" s="248" t="n"/>
      <c r="NAH92" s="240" t="n"/>
      <c r="NAI92" s="240" t="n"/>
      <c r="NAK92" s="15" t="n"/>
      <c r="NAL92" s="15" t="n"/>
      <c r="NAM92" s="248" t="n"/>
      <c r="NAN92" s="248" t="n"/>
      <c r="NAO92" s="240" t="n"/>
      <c r="NAP92" s="240" t="n"/>
      <c r="NAR92" s="15" t="n"/>
      <c r="NAS92" s="15" t="n"/>
      <c r="NAT92" s="248" t="n"/>
      <c r="NAU92" s="248" t="n"/>
      <c r="NAV92" s="240" t="n"/>
      <c r="NAW92" s="240" t="n"/>
      <c r="NAY92" s="15" t="n"/>
      <c r="NAZ92" s="15" t="n"/>
      <c r="NBA92" s="248" t="n"/>
      <c r="NBB92" s="248" t="n"/>
      <c r="NBC92" s="240" t="n"/>
      <c r="NBD92" s="240" t="n"/>
      <c r="NBF92" s="15" t="n"/>
      <c r="NBG92" s="15" t="n"/>
      <c r="NBH92" s="248" t="n"/>
      <c r="NBI92" s="248" t="n"/>
      <c r="NBJ92" s="240" t="n"/>
      <c r="NBK92" s="240" t="n"/>
      <c r="NBM92" s="15" t="n"/>
      <c r="NBN92" s="15" t="n"/>
      <c r="NBO92" s="248" t="n"/>
      <c r="NBP92" s="248" t="n"/>
      <c r="NBQ92" s="240" t="n"/>
      <c r="NBR92" s="240" t="n"/>
      <c r="NBT92" s="15" t="n"/>
      <c r="NBU92" s="15" t="n"/>
      <c r="NBV92" s="248" t="n"/>
      <c r="NBW92" s="248" t="n"/>
      <c r="NBX92" s="240" t="n"/>
      <c r="NBY92" s="240" t="n"/>
      <c r="NCA92" s="15" t="n"/>
      <c r="NCB92" s="15" t="n"/>
      <c r="NCC92" s="248" t="n"/>
      <c r="NCD92" s="248" t="n"/>
      <c r="NCE92" s="240" t="n"/>
      <c r="NCF92" s="240" t="n"/>
      <c r="NCH92" s="15" t="n"/>
      <c r="NCI92" s="15" t="n"/>
      <c r="NCJ92" s="248" t="n"/>
      <c r="NCK92" s="248" t="n"/>
      <c r="NCL92" s="240" t="n"/>
      <c r="NCM92" s="240" t="n"/>
      <c r="NCO92" s="15" t="n"/>
      <c r="NCP92" s="15" t="n"/>
      <c r="NCQ92" s="248" t="n"/>
      <c r="NCR92" s="248" t="n"/>
      <c r="NCS92" s="240" t="n"/>
      <c r="NCT92" s="240" t="n"/>
      <c r="NCV92" s="15" t="n"/>
      <c r="NCW92" s="15" t="n"/>
      <c r="NCX92" s="248" t="n"/>
      <c r="NCY92" s="248" t="n"/>
      <c r="NCZ92" s="240" t="n"/>
      <c r="NDA92" s="240" t="n"/>
      <c r="NDC92" s="15" t="n"/>
      <c r="NDD92" s="15" t="n"/>
      <c r="NDE92" s="248" t="n"/>
      <c r="NDF92" s="248" t="n"/>
      <c r="NDG92" s="240" t="n"/>
      <c r="NDH92" s="240" t="n"/>
      <c r="NDJ92" s="15" t="n"/>
      <c r="NDK92" s="15" t="n"/>
      <c r="NDL92" s="248" t="n"/>
      <c r="NDM92" s="248" t="n"/>
      <c r="NDN92" s="240" t="n"/>
      <c r="NDO92" s="240" t="n"/>
      <c r="NDQ92" s="15" t="n"/>
      <c r="NDR92" s="15" t="n"/>
      <c r="NDS92" s="248" t="n"/>
      <c r="NDT92" s="248" t="n"/>
      <c r="NDU92" s="240" t="n"/>
      <c r="NDV92" s="240" t="n"/>
      <c r="NDX92" s="15" t="n"/>
      <c r="NDY92" s="15" t="n"/>
      <c r="NDZ92" s="248" t="n"/>
      <c r="NEA92" s="248" t="n"/>
      <c r="NEB92" s="240" t="n"/>
      <c r="NEC92" s="240" t="n"/>
      <c r="NEE92" s="15" t="n"/>
      <c r="NEF92" s="15" t="n"/>
      <c r="NEG92" s="248" t="n"/>
      <c r="NEH92" s="248" t="n"/>
      <c r="NEI92" s="240" t="n"/>
      <c r="NEJ92" s="240" t="n"/>
      <c r="NEL92" s="15" t="n"/>
      <c r="NEM92" s="15" t="n"/>
      <c r="NEN92" s="248" t="n"/>
      <c r="NEO92" s="248" t="n"/>
      <c r="NEP92" s="240" t="n"/>
      <c r="NEQ92" s="240" t="n"/>
      <c r="NES92" s="15" t="n"/>
      <c r="NET92" s="15" t="n"/>
      <c r="NEU92" s="248" t="n"/>
      <c r="NEV92" s="248" t="n"/>
      <c r="NEW92" s="240" t="n"/>
      <c r="NEX92" s="240" t="n"/>
      <c r="NEZ92" s="15" t="n"/>
      <c r="NFA92" s="15" t="n"/>
      <c r="NFB92" s="248" t="n"/>
      <c r="NFC92" s="248" t="n"/>
      <c r="NFD92" s="240" t="n"/>
      <c r="NFE92" s="240" t="n"/>
      <c r="NFG92" s="15" t="n"/>
      <c r="NFH92" s="15" t="n"/>
      <c r="NFI92" s="248" t="n"/>
      <c r="NFJ92" s="248" t="n"/>
      <c r="NFK92" s="240" t="n"/>
      <c r="NFL92" s="240" t="n"/>
      <c r="NFN92" s="15" t="n"/>
      <c r="NFO92" s="15" t="n"/>
      <c r="NFP92" s="248" t="n"/>
      <c r="NFQ92" s="248" t="n"/>
      <c r="NFR92" s="240" t="n"/>
      <c r="NFS92" s="240" t="n"/>
      <c r="NFU92" s="15" t="n"/>
      <c r="NFV92" s="15" t="n"/>
      <c r="NFW92" s="248" t="n"/>
      <c r="NFX92" s="248" t="n"/>
      <c r="NFY92" s="240" t="n"/>
      <c r="NFZ92" s="240" t="n"/>
      <c r="NGB92" s="15" t="n"/>
      <c r="NGC92" s="15" t="n"/>
      <c r="NGD92" s="248" t="n"/>
      <c r="NGE92" s="248" t="n"/>
      <c r="NGF92" s="240" t="n"/>
      <c r="NGG92" s="240" t="n"/>
      <c r="NGI92" s="15" t="n"/>
      <c r="NGJ92" s="15" t="n"/>
      <c r="NGK92" s="248" t="n"/>
      <c r="NGL92" s="248" t="n"/>
      <c r="NGM92" s="240" t="n"/>
      <c r="NGN92" s="240" t="n"/>
      <c r="NGP92" s="15" t="n"/>
      <c r="NGQ92" s="15" t="n"/>
      <c r="NGR92" s="248" t="n"/>
      <c r="NGS92" s="248" t="n"/>
      <c r="NGT92" s="240" t="n"/>
      <c r="NGU92" s="240" t="n"/>
      <c r="NGW92" s="15" t="n"/>
      <c r="NGX92" s="15" t="n"/>
      <c r="NGY92" s="248" t="n"/>
      <c r="NGZ92" s="248" t="n"/>
      <c r="NHA92" s="240" t="n"/>
      <c r="NHB92" s="240" t="n"/>
      <c r="NHD92" s="15" t="n"/>
      <c r="NHE92" s="15" t="n"/>
      <c r="NHF92" s="248" t="n"/>
      <c r="NHG92" s="248" t="n"/>
      <c r="NHH92" s="240" t="n"/>
      <c r="NHI92" s="240" t="n"/>
      <c r="NHK92" s="15" t="n"/>
      <c r="NHL92" s="15" t="n"/>
      <c r="NHM92" s="248" t="n"/>
      <c r="NHN92" s="248" t="n"/>
      <c r="NHO92" s="240" t="n"/>
      <c r="NHP92" s="240" t="n"/>
      <c r="NHR92" s="15" t="n"/>
      <c r="NHS92" s="15" t="n"/>
      <c r="NHT92" s="248" t="n"/>
      <c r="NHU92" s="248" t="n"/>
      <c r="NHV92" s="240" t="n"/>
      <c r="NHW92" s="240" t="n"/>
      <c r="NHY92" s="15" t="n"/>
      <c r="NHZ92" s="15" t="n"/>
      <c r="NIA92" s="248" t="n"/>
      <c r="NIB92" s="248" t="n"/>
      <c r="NIC92" s="240" t="n"/>
      <c r="NID92" s="240" t="n"/>
      <c r="NIF92" s="15" t="n"/>
      <c r="NIG92" s="15" t="n"/>
      <c r="NIH92" s="248" t="n"/>
      <c r="NII92" s="248" t="n"/>
      <c r="NIJ92" s="240" t="n"/>
      <c r="NIK92" s="240" t="n"/>
      <c r="NIM92" s="15" t="n"/>
      <c r="NIN92" s="15" t="n"/>
      <c r="NIO92" s="248" t="n"/>
      <c r="NIP92" s="248" t="n"/>
      <c r="NIQ92" s="240" t="n"/>
      <c r="NIR92" s="240" t="n"/>
      <c r="NIT92" s="15" t="n"/>
      <c r="NIU92" s="15" t="n"/>
      <c r="NIV92" s="248" t="n"/>
      <c r="NIW92" s="248" t="n"/>
      <c r="NIX92" s="240" t="n"/>
      <c r="NIY92" s="240" t="n"/>
      <c r="NJA92" s="15" t="n"/>
      <c r="NJB92" s="15" t="n"/>
      <c r="NJC92" s="248" t="n"/>
      <c r="NJD92" s="248" t="n"/>
      <c r="NJE92" s="240" t="n"/>
      <c r="NJF92" s="240" t="n"/>
      <c r="NJH92" s="15" t="n"/>
      <c r="NJI92" s="15" t="n"/>
      <c r="NJJ92" s="248" t="n"/>
      <c r="NJK92" s="248" t="n"/>
      <c r="NJL92" s="240" t="n"/>
      <c r="NJM92" s="240" t="n"/>
      <c r="NJO92" s="15" t="n"/>
      <c r="NJP92" s="15" t="n"/>
      <c r="NJQ92" s="248" t="n"/>
      <c r="NJR92" s="248" t="n"/>
      <c r="NJS92" s="240" t="n"/>
      <c r="NJT92" s="240" t="n"/>
      <c r="NJV92" s="15" t="n"/>
      <c r="NJW92" s="15" t="n"/>
      <c r="NJX92" s="248" t="n"/>
      <c r="NJY92" s="248" t="n"/>
      <c r="NJZ92" s="240" t="n"/>
      <c r="NKA92" s="240" t="n"/>
      <c r="NKC92" s="15" t="n"/>
      <c r="NKD92" s="15" t="n"/>
      <c r="NKE92" s="248" t="n"/>
      <c r="NKF92" s="248" t="n"/>
      <c r="NKG92" s="240" t="n"/>
      <c r="NKH92" s="240" t="n"/>
      <c r="NKJ92" s="15" t="n"/>
      <c r="NKK92" s="15" t="n"/>
      <c r="NKL92" s="248" t="n"/>
      <c r="NKM92" s="248" t="n"/>
      <c r="NKN92" s="240" t="n"/>
      <c r="NKO92" s="240" t="n"/>
      <c r="NKQ92" s="15" t="n"/>
      <c r="NKR92" s="15" t="n"/>
      <c r="NKS92" s="248" t="n"/>
      <c r="NKT92" s="248" t="n"/>
      <c r="NKU92" s="240" t="n"/>
      <c r="NKV92" s="240" t="n"/>
      <c r="NKX92" s="15" t="n"/>
      <c r="NKY92" s="15" t="n"/>
      <c r="NKZ92" s="248" t="n"/>
      <c r="NLA92" s="248" t="n"/>
      <c r="NLB92" s="240" t="n"/>
      <c r="NLC92" s="240" t="n"/>
      <c r="NLE92" s="15" t="n"/>
      <c r="NLF92" s="15" t="n"/>
      <c r="NLG92" s="248" t="n"/>
      <c r="NLH92" s="248" t="n"/>
      <c r="NLI92" s="240" t="n"/>
      <c r="NLJ92" s="240" t="n"/>
      <c r="NLL92" s="15" t="n"/>
      <c r="NLM92" s="15" t="n"/>
      <c r="NLN92" s="248" t="n"/>
      <c r="NLO92" s="248" t="n"/>
      <c r="NLP92" s="240" t="n"/>
      <c r="NLQ92" s="240" t="n"/>
      <c r="NLS92" s="15" t="n"/>
      <c r="NLT92" s="15" t="n"/>
      <c r="NLU92" s="248" t="n"/>
      <c r="NLV92" s="248" t="n"/>
      <c r="NLW92" s="240" t="n"/>
      <c r="NLX92" s="240" t="n"/>
      <c r="NLZ92" s="15" t="n"/>
      <c r="NMA92" s="15" t="n"/>
      <c r="NMB92" s="248" t="n"/>
      <c r="NMC92" s="248" t="n"/>
      <c r="NMD92" s="240" t="n"/>
      <c r="NME92" s="240" t="n"/>
      <c r="NMG92" s="15" t="n"/>
      <c r="NMH92" s="15" t="n"/>
      <c r="NMI92" s="248" t="n"/>
      <c r="NMJ92" s="248" t="n"/>
      <c r="NMK92" s="240" t="n"/>
      <c r="NML92" s="240" t="n"/>
      <c r="NMN92" s="15" t="n"/>
      <c r="NMO92" s="15" t="n"/>
      <c r="NMP92" s="248" t="n"/>
      <c r="NMQ92" s="248" t="n"/>
      <c r="NMR92" s="240" t="n"/>
      <c r="NMS92" s="240" t="n"/>
      <c r="NMU92" s="15" t="n"/>
      <c r="NMV92" s="15" t="n"/>
      <c r="NMW92" s="248" t="n"/>
      <c r="NMX92" s="248" t="n"/>
      <c r="NMY92" s="240" t="n"/>
      <c r="NMZ92" s="240" t="n"/>
      <c r="NNB92" s="15" t="n"/>
      <c r="NNC92" s="15" t="n"/>
      <c r="NND92" s="248" t="n"/>
      <c r="NNE92" s="248" t="n"/>
      <c r="NNF92" s="240" t="n"/>
      <c r="NNG92" s="240" t="n"/>
      <c r="NNI92" s="15" t="n"/>
      <c r="NNJ92" s="15" t="n"/>
      <c r="NNK92" s="248" t="n"/>
      <c r="NNL92" s="248" t="n"/>
      <c r="NNM92" s="240" t="n"/>
      <c r="NNN92" s="240" t="n"/>
      <c r="NNP92" s="15" t="n"/>
      <c r="NNQ92" s="15" t="n"/>
      <c r="NNR92" s="248" t="n"/>
      <c r="NNS92" s="248" t="n"/>
      <c r="NNT92" s="240" t="n"/>
      <c r="NNU92" s="240" t="n"/>
      <c r="NNW92" s="15" t="n"/>
      <c r="NNX92" s="15" t="n"/>
      <c r="NNY92" s="248" t="n"/>
      <c r="NNZ92" s="248" t="n"/>
      <c r="NOA92" s="240" t="n"/>
      <c r="NOB92" s="240" t="n"/>
      <c r="NOD92" s="15" t="n"/>
      <c r="NOE92" s="15" t="n"/>
      <c r="NOF92" s="248" t="n"/>
      <c r="NOG92" s="248" t="n"/>
      <c r="NOH92" s="240" t="n"/>
      <c r="NOI92" s="240" t="n"/>
      <c r="NOK92" s="15" t="n"/>
      <c r="NOL92" s="15" t="n"/>
      <c r="NOM92" s="248" t="n"/>
      <c r="NON92" s="248" t="n"/>
      <c r="NOO92" s="240" t="n"/>
      <c r="NOP92" s="240" t="n"/>
      <c r="NOR92" s="15" t="n"/>
      <c r="NOS92" s="15" t="n"/>
      <c r="NOT92" s="248" t="n"/>
      <c r="NOU92" s="248" t="n"/>
      <c r="NOV92" s="240" t="n"/>
      <c r="NOW92" s="240" t="n"/>
      <c r="NOY92" s="15" t="n"/>
      <c r="NOZ92" s="15" t="n"/>
      <c r="NPA92" s="248" t="n"/>
      <c r="NPB92" s="248" t="n"/>
      <c r="NPC92" s="240" t="n"/>
      <c r="NPD92" s="240" t="n"/>
      <c r="NPF92" s="15" t="n"/>
      <c r="NPG92" s="15" t="n"/>
      <c r="NPH92" s="248" t="n"/>
      <c r="NPI92" s="248" t="n"/>
      <c r="NPJ92" s="240" t="n"/>
      <c r="NPK92" s="240" t="n"/>
      <c r="NPM92" s="15" t="n"/>
      <c r="NPN92" s="15" t="n"/>
      <c r="NPO92" s="248" t="n"/>
      <c r="NPP92" s="248" t="n"/>
      <c r="NPQ92" s="240" t="n"/>
      <c r="NPR92" s="240" t="n"/>
      <c r="NPT92" s="15" t="n"/>
      <c r="NPU92" s="15" t="n"/>
      <c r="NPV92" s="248" t="n"/>
      <c r="NPW92" s="248" t="n"/>
      <c r="NPX92" s="240" t="n"/>
      <c r="NPY92" s="240" t="n"/>
      <c r="NQA92" s="15" t="n"/>
      <c r="NQB92" s="15" t="n"/>
      <c r="NQC92" s="248" t="n"/>
      <c r="NQD92" s="248" t="n"/>
      <c r="NQE92" s="240" t="n"/>
      <c r="NQF92" s="240" t="n"/>
      <c r="NQH92" s="15" t="n"/>
      <c r="NQI92" s="15" t="n"/>
      <c r="NQJ92" s="248" t="n"/>
      <c r="NQK92" s="248" t="n"/>
      <c r="NQL92" s="240" t="n"/>
      <c r="NQM92" s="240" t="n"/>
      <c r="NQO92" s="15" t="n"/>
      <c r="NQP92" s="15" t="n"/>
      <c r="NQQ92" s="248" t="n"/>
      <c r="NQR92" s="248" t="n"/>
      <c r="NQS92" s="240" t="n"/>
      <c r="NQT92" s="240" t="n"/>
      <c r="NQV92" s="15" t="n"/>
      <c r="NQW92" s="15" t="n"/>
      <c r="NQX92" s="248" t="n"/>
      <c r="NQY92" s="248" t="n"/>
      <c r="NQZ92" s="240" t="n"/>
      <c r="NRA92" s="240" t="n"/>
      <c r="NRC92" s="15" t="n"/>
      <c r="NRD92" s="15" t="n"/>
      <c r="NRE92" s="248" t="n"/>
      <c r="NRF92" s="248" t="n"/>
      <c r="NRG92" s="240" t="n"/>
      <c r="NRH92" s="240" t="n"/>
      <c r="NRJ92" s="15" t="n"/>
      <c r="NRK92" s="15" t="n"/>
      <c r="NRL92" s="248" t="n"/>
      <c r="NRM92" s="248" t="n"/>
      <c r="NRN92" s="240" t="n"/>
      <c r="NRO92" s="240" t="n"/>
      <c r="NRQ92" s="15" t="n"/>
      <c r="NRR92" s="15" t="n"/>
      <c r="NRS92" s="248" t="n"/>
      <c r="NRT92" s="248" t="n"/>
      <c r="NRU92" s="240" t="n"/>
      <c r="NRV92" s="240" t="n"/>
      <c r="NRX92" s="15" t="n"/>
      <c r="NRY92" s="15" t="n"/>
      <c r="NRZ92" s="248" t="n"/>
      <c r="NSA92" s="248" t="n"/>
      <c r="NSB92" s="240" t="n"/>
      <c r="NSC92" s="240" t="n"/>
      <c r="NSE92" s="15" t="n"/>
      <c r="NSF92" s="15" t="n"/>
      <c r="NSG92" s="248" t="n"/>
      <c r="NSH92" s="248" t="n"/>
      <c r="NSI92" s="240" t="n"/>
      <c r="NSJ92" s="240" t="n"/>
      <c r="NSL92" s="15" t="n"/>
      <c r="NSM92" s="15" t="n"/>
      <c r="NSN92" s="248" t="n"/>
      <c r="NSO92" s="248" t="n"/>
      <c r="NSP92" s="240" t="n"/>
      <c r="NSQ92" s="240" t="n"/>
      <c r="NSS92" s="15" t="n"/>
      <c r="NST92" s="15" t="n"/>
      <c r="NSU92" s="248" t="n"/>
      <c r="NSV92" s="248" t="n"/>
      <c r="NSW92" s="240" t="n"/>
      <c r="NSX92" s="240" t="n"/>
      <c r="NSZ92" s="15" t="n"/>
      <c r="NTA92" s="15" t="n"/>
      <c r="NTB92" s="248" t="n"/>
      <c r="NTC92" s="248" t="n"/>
      <c r="NTD92" s="240" t="n"/>
      <c r="NTE92" s="240" t="n"/>
      <c r="NTG92" s="15" t="n"/>
      <c r="NTH92" s="15" t="n"/>
      <c r="NTI92" s="248" t="n"/>
      <c r="NTJ92" s="248" t="n"/>
      <c r="NTK92" s="240" t="n"/>
      <c r="NTL92" s="240" t="n"/>
      <c r="NTN92" s="15" t="n"/>
      <c r="NTO92" s="15" t="n"/>
      <c r="NTP92" s="248" t="n"/>
      <c r="NTQ92" s="248" t="n"/>
      <c r="NTR92" s="240" t="n"/>
      <c r="NTS92" s="240" t="n"/>
      <c r="NTU92" s="15" t="n"/>
      <c r="NTV92" s="15" t="n"/>
      <c r="NTW92" s="248" t="n"/>
      <c r="NTX92" s="248" t="n"/>
      <c r="NTY92" s="240" t="n"/>
      <c r="NTZ92" s="240" t="n"/>
      <c r="NUB92" s="15" t="n"/>
      <c r="NUC92" s="15" t="n"/>
      <c r="NUD92" s="248" t="n"/>
      <c r="NUE92" s="248" t="n"/>
      <c r="NUF92" s="240" t="n"/>
      <c r="NUG92" s="240" t="n"/>
      <c r="NUI92" s="15" t="n"/>
      <c r="NUJ92" s="15" t="n"/>
      <c r="NUK92" s="248" t="n"/>
      <c r="NUL92" s="248" t="n"/>
      <c r="NUM92" s="240" t="n"/>
      <c r="NUN92" s="240" t="n"/>
      <c r="NUP92" s="15" t="n"/>
      <c r="NUQ92" s="15" t="n"/>
      <c r="NUR92" s="248" t="n"/>
      <c r="NUS92" s="248" t="n"/>
      <c r="NUT92" s="240" t="n"/>
      <c r="NUU92" s="240" t="n"/>
      <c r="NUW92" s="15" t="n"/>
      <c r="NUX92" s="15" t="n"/>
      <c r="NUY92" s="248" t="n"/>
      <c r="NUZ92" s="248" t="n"/>
      <c r="NVA92" s="240" t="n"/>
      <c r="NVB92" s="240" t="n"/>
      <c r="NVD92" s="15" t="n"/>
      <c r="NVE92" s="15" t="n"/>
      <c r="NVF92" s="248" t="n"/>
      <c r="NVG92" s="248" t="n"/>
      <c r="NVH92" s="240" t="n"/>
      <c r="NVI92" s="240" t="n"/>
      <c r="NVK92" s="15" t="n"/>
      <c r="NVL92" s="15" t="n"/>
      <c r="NVM92" s="248" t="n"/>
      <c r="NVN92" s="248" t="n"/>
      <c r="NVO92" s="240" t="n"/>
      <c r="NVP92" s="240" t="n"/>
      <c r="NVR92" s="15" t="n"/>
      <c r="NVS92" s="15" t="n"/>
      <c r="NVT92" s="248" t="n"/>
      <c r="NVU92" s="248" t="n"/>
      <c r="NVV92" s="240" t="n"/>
      <c r="NVW92" s="240" t="n"/>
      <c r="NVY92" s="15" t="n"/>
      <c r="NVZ92" s="15" t="n"/>
      <c r="NWA92" s="248" t="n"/>
      <c r="NWB92" s="248" t="n"/>
      <c r="NWC92" s="240" t="n"/>
      <c r="NWD92" s="240" t="n"/>
      <c r="NWF92" s="15" t="n"/>
      <c r="NWG92" s="15" t="n"/>
      <c r="NWH92" s="248" t="n"/>
      <c r="NWI92" s="248" t="n"/>
      <c r="NWJ92" s="240" t="n"/>
      <c r="NWK92" s="240" t="n"/>
      <c r="NWM92" s="15" t="n"/>
      <c r="NWN92" s="15" t="n"/>
      <c r="NWO92" s="248" t="n"/>
      <c r="NWP92" s="248" t="n"/>
      <c r="NWQ92" s="240" t="n"/>
      <c r="NWR92" s="240" t="n"/>
      <c r="NWT92" s="15" t="n"/>
      <c r="NWU92" s="15" t="n"/>
      <c r="NWV92" s="248" t="n"/>
      <c r="NWW92" s="248" t="n"/>
      <c r="NWX92" s="240" t="n"/>
      <c r="NWY92" s="240" t="n"/>
      <c r="NXA92" s="15" t="n"/>
      <c r="NXB92" s="15" t="n"/>
      <c r="NXC92" s="248" t="n"/>
      <c r="NXD92" s="248" t="n"/>
      <c r="NXE92" s="240" t="n"/>
      <c r="NXF92" s="240" t="n"/>
      <c r="NXH92" s="15" t="n"/>
      <c r="NXI92" s="15" t="n"/>
      <c r="NXJ92" s="248" t="n"/>
      <c r="NXK92" s="248" t="n"/>
      <c r="NXL92" s="240" t="n"/>
      <c r="NXM92" s="240" t="n"/>
      <c r="NXO92" s="15" t="n"/>
      <c r="NXP92" s="15" t="n"/>
      <c r="NXQ92" s="248" t="n"/>
      <c r="NXR92" s="248" t="n"/>
      <c r="NXS92" s="240" t="n"/>
      <c r="NXT92" s="240" t="n"/>
      <c r="NXV92" s="15" t="n"/>
      <c r="NXW92" s="15" t="n"/>
      <c r="NXX92" s="248" t="n"/>
      <c r="NXY92" s="248" t="n"/>
      <c r="NXZ92" s="240" t="n"/>
      <c r="NYA92" s="240" t="n"/>
      <c r="NYC92" s="15" t="n"/>
      <c r="NYD92" s="15" t="n"/>
      <c r="NYE92" s="248" t="n"/>
      <c r="NYF92" s="248" t="n"/>
      <c r="NYG92" s="240" t="n"/>
      <c r="NYH92" s="240" t="n"/>
      <c r="NYJ92" s="15" t="n"/>
      <c r="NYK92" s="15" t="n"/>
      <c r="NYL92" s="248" t="n"/>
      <c r="NYM92" s="248" t="n"/>
      <c r="NYN92" s="240" t="n"/>
      <c r="NYO92" s="240" t="n"/>
      <c r="NYQ92" s="15" t="n"/>
      <c r="NYR92" s="15" t="n"/>
      <c r="NYS92" s="248" t="n"/>
      <c r="NYT92" s="248" t="n"/>
      <c r="NYU92" s="240" t="n"/>
      <c r="NYV92" s="240" t="n"/>
      <c r="NYX92" s="15" t="n"/>
      <c r="NYY92" s="15" t="n"/>
      <c r="NYZ92" s="248" t="n"/>
      <c r="NZA92" s="248" t="n"/>
      <c r="NZB92" s="240" t="n"/>
      <c r="NZC92" s="240" t="n"/>
      <c r="NZE92" s="15" t="n"/>
      <c r="NZF92" s="15" t="n"/>
      <c r="NZG92" s="248" t="n"/>
      <c r="NZH92" s="248" t="n"/>
      <c r="NZI92" s="240" t="n"/>
      <c r="NZJ92" s="240" t="n"/>
      <c r="NZL92" s="15" t="n"/>
      <c r="NZM92" s="15" t="n"/>
      <c r="NZN92" s="248" t="n"/>
      <c r="NZO92" s="248" t="n"/>
      <c r="NZP92" s="240" t="n"/>
      <c r="NZQ92" s="240" t="n"/>
      <c r="NZS92" s="15" t="n"/>
      <c r="NZT92" s="15" t="n"/>
      <c r="NZU92" s="248" t="n"/>
      <c r="NZV92" s="248" t="n"/>
      <c r="NZW92" s="240" t="n"/>
      <c r="NZX92" s="240" t="n"/>
      <c r="NZZ92" s="15" t="n"/>
      <c r="OAA92" s="15" t="n"/>
      <c r="OAB92" s="248" t="n"/>
      <c r="OAC92" s="248" t="n"/>
      <c r="OAD92" s="240" t="n"/>
      <c r="OAE92" s="240" t="n"/>
      <c r="OAG92" s="15" t="n"/>
      <c r="OAH92" s="15" t="n"/>
      <c r="OAI92" s="248" t="n"/>
      <c r="OAJ92" s="248" t="n"/>
      <c r="OAK92" s="240" t="n"/>
      <c r="OAL92" s="240" t="n"/>
      <c r="OAN92" s="15" t="n"/>
      <c r="OAO92" s="15" t="n"/>
      <c r="OAP92" s="248" t="n"/>
      <c r="OAQ92" s="248" t="n"/>
      <c r="OAR92" s="240" t="n"/>
      <c r="OAS92" s="240" t="n"/>
      <c r="OAU92" s="15" t="n"/>
      <c r="OAV92" s="15" t="n"/>
      <c r="OAW92" s="248" t="n"/>
      <c r="OAX92" s="248" t="n"/>
      <c r="OAY92" s="240" t="n"/>
      <c r="OAZ92" s="240" t="n"/>
      <c r="OBB92" s="15" t="n"/>
      <c r="OBC92" s="15" t="n"/>
      <c r="OBD92" s="248" t="n"/>
      <c r="OBE92" s="248" t="n"/>
      <c r="OBF92" s="240" t="n"/>
      <c r="OBG92" s="240" t="n"/>
      <c r="OBI92" s="15" t="n"/>
      <c r="OBJ92" s="15" t="n"/>
      <c r="OBK92" s="248" t="n"/>
      <c r="OBL92" s="248" t="n"/>
      <c r="OBM92" s="240" t="n"/>
      <c r="OBN92" s="240" t="n"/>
      <c r="OBP92" s="15" t="n"/>
      <c r="OBQ92" s="15" t="n"/>
      <c r="OBR92" s="248" t="n"/>
      <c r="OBS92" s="248" t="n"/>
      <c r="OBT92" s="240" t="n"/>
      <c r="OBU92" s="240" t="n"/>
      <c r="OBW92" s="15" t="n"/>
      <c r="OBX92" s="15" t="n"/>
      <c r="OBY92" s="248" t="n"/>
      <c r="OBZ92" s="248" t="n"/>
      <c r="OCA92" s="240" t="n"/>
      <c r="OCB92" s="240" t="n"/>
      <c r="OCD92" s="15" t="n"/>
      <c r="OCE92" s="15" t="n"/>
      <c r="OCF92" s="248" t="n"/>
      <c r="OCG92" s="248" t="n"/>
      <c r="OCH92" s="240" t="n"/>
      <c r="OCI92" s="240" t="n"/>
      <c r="OCK92" s="15" t="n"/>
      <c r="OCL92" s="15" t="n"/>
      <c r="OCM92" s="248" t="n"/>
      <c r="OCN92" s="248" t="n"/>
      <c r="OCO92" s="240" t="n"/>
      <c r="OCP92" s="240" t="n"/>
      <c r="OCR92" s="15" t="n"/>
      <c r="OCS92" s="15" t="n"/>
      <c r="OCT92" s="248" t="n"/>
      <c r="OCU92" s="248" t="n"/>
      <c r="OCV92" s="240" t="n"/>
      <c r="OCW92" s="240" t="n"/>
      <c r="OCY92" s="15" t="n"/>
      <c r="OCZ92" s="15" t="n"/>
      <c r="ODA92" s="248" t="n"/>
      <c r="ODB92" s="248" t="n"/>
      <c r="ODC92" s="240" t="n"/>
      <c r="ODD92" s="240" t="n"/>
      <c r="ODF92" s="15" t="n"/>
      <c r="ODG92" s="15" t="n"/>
      <c r="ODH92" s="248" t="n"/>
      <c r="ODI92" s="248" t="n"/>
      <c r="ODJ92" s="240" t="n"/>
      <c r="ODK92" s="240" t="n"/>
      <c r="ODM92" s="15" t="n"/>
      <c r="ODN92" s="15" t="n"/>
      <c r="ODO92" s="248" t="n"/>
      <c r="ODP92" s="248" t="n"/>
      <c r="ODQ92" s="240" t="n"/>
      <c r="ODR92" s="240" t="n"/>
      <c r="ODT92" s="15" t="n"/>
      <c r="ODU92" s="15" t="n"/>
      <c r="ODV92" s="248" t="n"/>
      <c r="ODW92" s="248" t="n"/>
      <c r="ODX92" s="240" t="n"/>
      <c r="ODY92" s="240" t="n"/>
      <c r="OEA92" s="15" t="n"/>
      <c r="OEB92" s="15" t="n"/>
      <c r="OEC92" s="248" t="n"/>
      <c r="OED92" s="248" t="n"/>
      <c r="OEE92" s="240" t="n"/>
      <c r="OEF92" s="240" t="n"/>
      <c r="OEH92" s="15" t="n"/>
      <c r="OEI92" s="15" t="n"/>
      <c r="OEJ92" s="248" t="n"/>
      <c r="OEK92" s="248" t="n"/>
      <c r="OEL92" s="240" t="n"/>
      <c r="OEM92" s="240" t="n"/>
      <c r="OEO92" s="15" t="n"/>
      <c r="OEP92" s="15" t="n"/>
      <c r="OEQ92" s="248" t="n"/>
      <c r="OER92" s="248" t="n"/>
      <c r="OES92" s="240" t="n"/>
      <c r="OET92" s="240" t="n"/>
      <c r="OEV92" s="15" t="n"/>
      <c r="OEW92" s="15" t="n"/>
      <c r="OEX92" s="248" t="n"/>
      <c r="OEY92" s="248" t="n"/>
      <c r="OEZ92" s="240" t="n"/>
      <c r="OFA92" s="240" t="n"/>
      <c r="OFC92" s="15" t="n"/>
      <c r="OFD92" s="15" t="n"/>
      <c r="OFE92" s="248" t="n"/>
      <c r="OFF92" s="248" t="n"/>
      <c r="OFG92" s="240" t="n"/>
      <c r="OFH92" s="240" t="n"/>
      <c r="OFJ92" s="15" t="n"/>
      <c r="OFK92" s="15" t="n"/>
      <c r="OFL92" s="248" t="n"/>
      <c r="OFM92" s="248" t="n"/>
      <c r="OFN92" s="240" t="n"/>
      <c r="OFO92" s="240" t="n"/>
      <c r="OFQ92" s="15" t="n"/>
      <c r="OFR92" s="15" t="n"/>
      <c r="OFS92" s="248" t="n"/>
      <c r="OFT92" s="248" t="n"/>
      <c r="OFU92" s="240" t="n"/>
      <c r="OFV92" s="240" t="n"/>
      <c r="OFX92" s="15" t="n"/>
      <c r="OFY92" s="15" t="n"/>
      <c r="OFZ92" s="248" t="n"/>
      <c r="OGA92" s="248" t="n"/>
      <c r="OGB92" s="240" t="n"/>
      <c r="OGC92" s="240" t="n"/>
      <c r="OGE92" s="15" t="n"/>
      <c r="OGF92" s="15" t="n"/>
      <c r="OGG92" s="248" t="n"/>
      <c r="OGH92" s="248" t="n"/>
      <c r="OGI92" s="240" t="n"/>
      <c r="OGJ92" s="240" t="n"/>
      <c r="OGL92" s="15" t="n"/>
      <c r="OGM92" s="15" t="n"/>
      <c r="OGN92" s="248" t="n"/>
      <c r="OGO92" s="248" t="n"/>
      <c r="OGP92" s="240" t="n"/>
      <c r="OGQ92" s="240" t="n"/>
      <c r="OGS92" s="15" t="n"/>
      <c r="OGT92" s="15" t="n"/>
      <c r="OGU92" s="248" t="n"/>
      <c r="OGV92" s="248" t="n"/>
      <c r="OGW92" s="240" t="n"/>
      <c r="OGX92" s="240" t="n"/>
      <c r="OGZ92" s="15" t="n"/>
      <c r="OHA92" s="15" t="n"/>
      <c r="OHB92" s="248" t="n"/>
      <c r="OHC92" s="248" t="n"/>
      <c r="OHD92" s="240" t="n"/>
      <c r="OHE92" s="240" t="n"/>
      <c r="OHG92" s="15" t="n"/>
      <c r="OHH92" s="15" t="n"/>
      <c r="OHI92" s="248" t="n"/>
      <c r="OHJ92" s="248" t="n"/>
      <c r="OHK92" s="240" t="n"/>
      <c r="OHL92" s="240" t="n"/>
      <c r="OHN92" s="15" t="n"/>
      <c r="OHO92" s="15" t="n"/>
      <c r="OHP92" s="248" t="n"/>
      <c r="OHQ92" s="248" t="n"/>
      <c r="OHR92" s="240" t="n"/>
      <c r="OHS92" s="240" t="n"/>
      <c r="OHU92" s="15" t="n"/>
      <c r="OHV92" s="15" t="n"/>
      <c r="OHW92" s="248" t="n"/>
      <c r="OHX92" s="248" t="n"/>
      <c r="OHY92" s="240" t="n"/>
      <c r="OHZ92" s="240" t="n"/>
      <c r="OIB92" s="15" t="n"/>
      <c r="OIC92" s="15" t="n"/>
      <c r="OID92" s="248" t="n"/>
      <c r="OIE92" s="248" t="n"/>
      <c r="OIF92" s="240" t="n"/>
      <c r="OIG92" s="240" t="n"/>
      <c r="OII92" s="15" t="n"/>
      <c r="OIJ92" s="15" t="n"/>
      <c r="OIK92" s="248" t="n"/>
      <c r="OIL92" s="248" t="n"/>
      <c r="OIM92" s="240" t="n"/>
      <c r="OIN92" s="240" t="n"/>
      <c r="OIP92" s="15" t="n"/>
      <c r="OIQ92" s="15" t="n"/>
      <c r="OIR92" s="248" t="n"/>
      <c r="OIS92" s="248" t="n"/>
      <c r="OIT92" s="240" t="n"/>
      <c r="OIU92" s="240" t="n"/>
      <c r="OIW92" s="15" t="n"/>
      <c r="OIX92" s="15" t="n"/>
      <c r="OIY92" s="248" t="n"/>
      <c r="OIZ92" s="248" t="n"/>
      <c r="OJA92" s="240" t="n"/>
      <c r="OJB92" s="240" t="n"/>
      <c r="OJD92" s="15" t="n"/>
      <c r="OJE92" s="15" t="n"/>
      <c r="OJF92" s="248" t="n"/>
      <c r="OJG92" s="248" t="n"/>
      <c r="OJH92" s="240" t="n"/>
      <c r="OJI92" s="240" t="n"/>
      <c r="OJK92" s="15" t="n"/>
      <c r="OJL92" s="15" t="n"/>
      <c r="OJM92" s="248" t="n"/>
      <c r="OJN92" s="248" t="n"/>
      <c r="OJO92" s="240" t="n"/>
      <c r="OJP92" s="240" t="n"/>
      <c r="OJR92" s="15" t="n"/>
      <c r="OJS92" s="15" t="n"/>
      <c r="OJT92" s="248" t="n"/>
      <c r="OJU92" s="248" t="n"/>
      <c r="OJV92" s="240" t="n"/>
      <c r="OJW92" s="240" t="n"/>
      <c r="OJY92" s="15" t="n"/>
      <c r="OJZ92" s="15" t="n"/>
      <c r="OKA92" s="248" t="n"/>
      <c r="OKB92" s="248" t="n"/>
      <c r="OKC92" s="240" t="n"/>
      <c r="OKD92" s="240" t="n"/>
      <c r="OKF92" s="15" t="n"/>
      <c r="OKG92" s="15" t="n"/>
      <c r="OKH92" s="248" t="n"/>
      <c r="OKI92" s="248" t="n"/>
      <c r="OKJ92" s="240" t="n"/>
      <c r="OKK92" s="240" t="n"/>
      <c r="OKM92" s="15" t="n"/>
      <c r="OKN92" s="15" t="n"/>
      <c r="OKO92" s="248" t="n"/>
      <c r="OKP92" s="248" t="n"/>
      <c r="OKQ92" s="240" t="n"/>
      <c r="OKR92" s="240" t="n"/>
      <c r="OKT92" s="15" t="n"/>
      <c r="OKU92" s="15" t="n"/>
      <c r="OKV92" s="248" t="n"/>
      <c r="OKW92" s="248" t="n"/>
      <c r="OKX92" s="240" t="n"/>
      <c r="OKY92" s="240" t="n"/>
      <c r="OLA92" s="15" t="n"/>
      <c r="OLB92" s="15" t="n"/>
      <c r="OLC92" s="248" t="n"/>
      <c r="OLD92" s="248" t="n"/>
      <c r="OLE92" s="240" t="n"/>
      <c r="OLF92" s="240" t="n"/>
      <c r="OLH92" s="15" t="n"/>
      <c r="OLI92" s="15" t="n"/>
      <c r="OLJ92" s="248" t="n"/>
      <c r="OLK92" s="248" t="n"/>
      <c r="OLL92" s="240" t="n"/>
      <c r="OLM92" s="240" t="n"/>
      <c r="OLO92" s="15" t="n"/>
      <c r="OLP92" s="15" t="n"/>
      <c r="OLQ92" s="248" t="n"/>
      <c r="OLR92" s="248" t="n"/>
      <c r="OLS92" s="240" t="n"/>
      <c r="OLT92" s="240" t="n"/>
      <c r="OLV92" s="15" t="n"/>
      <c r="OLW92" s="15" t="n"/>
      <c r="OLX92" s="248" t="n"/>
      <c r="OLY92" s="248" t="n"/>
      <c r="OLZ92" s="240" t="n"/>
      <c r="OMA92" s="240" t="n"/>
      <c r="OMC92" s="15" t="n"/>
      <c r="OMD92" s="15" t="n"/>
      <c r="OME92" s="248" t="n"/>
      <c r="OMF92" s="248" t="n"/>
      <c r="OMG92" s="240" t="n"/>
      <c r="OMH92" s="240" t="n"/>
      <c r="OMJ92" s="15" t="n"/>
      <c r="OMK92" s="15" t="n"/>
      <c r="OML92" s="248" t="n"/>
      <c r="OMM92" s="248" t="n"/>
      <c r="OMN92" s="240" t="n"/>
      <c r="OMO92" s="240" t="n"/>
      <c r="OMQ92" s="15" t="n"/>
      <c r="OMR92" s="15" t="n"/>
      <c r="OMS92" s="248" t="n"/>
      <c r="OMT92" s="248" t="n"/>
      <c r="OMU92" s="240" t="n"/>
      <c r="OMV92" s="240" t="n"/>
      <c r="OMX92" s="15" t="n"/>
      <c r="OMY92" s="15" t="n"/>
      <c r="OMZ92" s="248" t="n"/>
      <c r="ONA92" s="248" t="n"/>
      <c r="ONB92" s="240" t="n"/>
      <c r="ONC92" s="240" t="n"/>
      <c r="ONE92" s="15" t="n"/>
      <c r="ONF92" s="15" t="n"/>
      <c r="ONG92" s="248" t="n"/>
      <c r="ONH92" s="248" t="n"/>
      <c r="ONI92" s="240" t="n"/>
      <c r="ONJ92" s="240" t="n"/>
      <c r="ONL92" s="15" t="n"/>
      <c r="ONM92" s="15" t="n"/>
      <c r="ONN92" s="248" t="n"/>
      <c r="ONO92" s="248" t="n"/>
      <c r="ONP92" s="240" t="n"/>
      <c r="ONQ92" s="240" t="n"/>
      <c r="ONS92" s="15" t="n"/>
      <c r="ONT92" s="15" t="n"/>
      <c r="ONU92" s="248" t="n"/>
      <c r="ONV92" s="248" t="n"/>
      <c r="ONW92" s="240" t="n"/>
      <c r="ONX92" s="240" t="n"/>
      <c r="ONZ92" s="15" t="n"/>
      <c r="OOA92" s="15" t="n"/>
      <c r="OOB92" s="248" t="n"/>
      <c r="OOC92" s="248" t="n"/>
      <c r="OOD92" s="240" t="n"/>
      <c r="OOE92" s="240" t="n"/>
      <c r="OOG92" s="15" t="n"/>
      <c r="OOH92" s="15" t="n"/>
      <c r="OOI92" s="248" t="n"/>
      <c r="OOJ92" s="248" t="n"/>
      <c r="OOK92" s="240" t="n"/>
      <c r="OOL92" s="240" t="n"/>
      <c r="OON92" s="15" t="n"/>
      <c r="OOO92" s="15" t="n"/>
      <c r="OOP92" s="248" t="n"/>
      <c r="OOQ92" s="248" t="n"/>
      <c r="OOR92" s="240" t="n"/>
      <c r="OOS92" s="240" t="n"/>
      <c r="OOU92" s="15" t="n"/>
      <c r="OOV92" s="15" t="n"/>
      <c r="OOW92" s="248" t="n"/>
      <c r="OOX92" s="248" t="n"/>
      <c r="OOY92" s="240" t="n"/>
      <c r="OOZ92" s="240" t="n"/>
      <c r="OPB92" s="15" t="n"/>
      <c r="OPC92" s="15" t="n"/>
      <c r="OPD92" s="248" t="n"/>
      <c r="OPE92" s="248" t="n"/>
      <c r="OPF92" s="240" t="n"/>
      <c r="OPG92" s="240" t="n"/>
      <c r="OPI92" s="15" t="n"/>
      <c r="OPJ92" s="15" t="n"/>
      <c r="OPK92" s="248" t="n"/>
      <c r="OPL92" s="248" t="n"/>
      <c r="OPM92" s="240" t="n"/>
      <c r="OPN92" s="240" t="n"/>
      <c r="OPP92" s="15" t="n"/>
      <c r="OPQ92" s="15" t="n"/>
      <c r="OPR92" s="248" t="n"/>
      <c r="OPS92" s="248" t="n"/>
      <c r="OPT92" s="240" t="n"/>
      <c r="OPU92" s="240" t="n"/>
      <c r="OPW92" s="15" t="n"/>
      <c r="OPX92" s="15" t="n"/>
      <c r="OPY92" s="248" t="n"/>
      <c r="OPZ92" s="248" t="n"/>
      <c r="OQA92" s="240" t="n"/>
      <c r="OQB92" s="240" t="n"/>
      <c r="OQD92" s="15" t="n"/>
      <c r="OQE92" s="15" t="n"/>
      <c r="OQF92" s="248" t="n"/>
      <c r="OQG92" s="248" t="n"/>
      <c r="OQH92" s="240" t="n"/>
      <c r="OQI92" s="240" t="n"/>
      <c r="OQK92" s="15" t="n"/>
      <c r="OQL92" s="15" t="n"/>
      <c r="OQM92" s="248" t="n"/>
      <c r="OQN92" s="248" t="n"/>
      <c r="OQO92" s="240" t="n"/>
      <c r="OQP92" s="240" t="n"/>
      <c r="OQR92" s="15" t="n"/>
      <c r="OQS92" s="15" t="n"/>
      <c r="OQT92" s="248" t="n"/>
      <c r="OQU92" s="248" t="n"/>
      <c r="OQV92" s="240" t="n"/>
      <c r="OQW92" s="240" t="n"/>
      <c r="OQY92" s="15" t="n"/>
      <c r="OQZ92" s="15" t="n"/>
      <c r="ORA92" s="248" t="n"/>
      <c r="ORB92" s="248" t="n"/>
      <c r="ORC92" s="240" t="n"/>
      <c r="ORD92" s="240" t="n"/>
      <c r="ORF92" s="15" t="n"/>
      <c r="ORG92" s="15" t="n"/>
      <c r="ORH92" s="248" t="n"/>
      <c r="ORI92" s="248" t="n"/>
      <c r="ORJ92" s="240" t="n"/>
      <c r="ORK92" s="240" t="n"/>
      <c r="ORM92" s="15" t="n"/>
      <c r="ORN92" s="15" t="n"/>
      <c r="ORO92" s="248" t="n"/>
      <c r="ORP92" s="248" t="n"/>
      <c r="ORQ92" s="240" t="n"/>
      <c r="ORR92" s="240" t="n"/>
      <c r="ORT92" s="15" t="n"/>
      <c r="ORU92" s="15" t="n"/>
      <c r="ORV92" s="248" t="n"/>
      <c r="ORW92" s="248" t="n"/>
      <c r="ORX92" s="240" t="n"/>
      <c r="ORY92" s="240" t="n"/>
      <c r="OSA92" s="15" t="n"/>
      <c r="OSB92" s="15" t="n"/>
      <c r="OSC92" s="248" t="n"/>
      <c r="OSD92" s="248" t="n"/>
      <c r="OSE92" s="240" t="n"/>
      <c r="OSF92" s="240" t="n"/>
      <c r="OSH92" s="15" t="n"/>
      <c r="OSI92" s="15" t="n"/>
      <c r="OSJ92" s="248" t="n"/>
      <c r="OSK92" s="248" t="n"/>
      <c r="OSL92" s="240" t="n"/>
      <c r="OSM92" s="240" t="n"/>
      <c r="OSO92" s="15" t="n"/>
      <c r="OSP92" s="15" t="n"/>
      <c r="OSQ92" s="248" t="n"/>
      <c r="OSR92" s="248" t="n"/>
      <c r="OSS92" s="240" t="n"/>
      <c r="OST92" s="240" t="n"/>
      <c r="OSV92" s="15" t="n"/>
      <c r="OSW92" s="15" t="n"/>
      <c r="OSX92" s="248" t="n"/>
      <c r="OSY92" s="248" t="n"/>
      <c r="OSZ92" s="240" t="n"/>
      <c r="OTA92" s="240" t="n"/>
      <c r="OTC92" s="15" t="n"/>
      <c r="OTD92" s="15" t="n"/>
      <c r="OTE92" s="248" t="n"/>
      <c r="OTF92" s="248" t="n"/>
      <c r="OTG92" s="240" t="n"/>
      <c r="OTH92" s="240" t="n"/>
      <c r="OTJ92" s="15" t="n"/>
      <c r="OTK92" s="15" t="n"/>
      <c r="OTL92" s="248" t="n"/>
      <c r="OTM92" s="248" t="n"/>
      <c r="OTN92" s="240" t="n"/>
      <c r="OTO92" s="240" t="n"/>
      <c r="OTQ92" s="15" t="n"/>
      <c r="OTR92" s="15" t="n"/>
      <c r="OTS92" s="248" t="n"/>
      <c r="OTT92" s="248" t="n"/>
      <c r="OTU92" s="240" t="n"/>
      <c r="OTV92" s="240" t="n"/>
      <c r="OTX92" s="15" t="n"/>
      <c r="OTY92" s="15" t="n"/>
      <c r="OTZ92" s="248" t="n"/>
      <c r="OUA92" s="248" t="n"/>
      <c r="OUB92" s="240" t="n"/>
      <c r="OUC92" s="240" t="n"/>
      <c r="OUE92" s="15" t="n"/>
      <c r="OUF92" s="15" t="n"/>
      <c r="OUG92" s="248" t="n"/>
      <c r="OUH92" s="248" t="n"/>
      <c r="OUI92" s="240" t="n"/>
      <c r="OUJ92" s="240" t="n"/>
      <c r="OUL92" s="15" t="n"/>
      <c r="OUM92" s="15" t="n"/>
      <c r="OUN92" s="248" t="n"/>
      <c r="OUO92" s="248" t="n"/>
      <c r="OUP92" s="240" t="n"/>
      <c r="OUQ92" s="240" t="n"/>
      <c r="OUS92" s="15" t="n"/>
      <c r="OUT92" s="15" t="n"/>
      <c r="OUU92" s="248" t="n"/>
      <c r="OUV92" s="248" t="n"/>
      <c r="OUW92" s="240" t="n"/>
      <c r="OUX92" s="240" t="n"/>
      <c r="OUZ92" s="15" t="n"/>
      <c r="OVA92" s="15" t="n"/>
      <c r="OVB92" s="248" t="n"/>
      <c r="OVC92" s="248" t="n"/>
      <c r="OVD92" s="240" t="n"/>
      <c r="OVE92" s="240" t="n"/>
      <c r="OVG92" s="15" t="n"/>
      <c r="OVH92" s="15" t="n"/>
      <c r="OVI92" s="248" t="n"/>
      <c r="OVJ92" s="248" t="n"/>
      <c r="OVK92" s="240" t="n"/>
      <c r="OVL92" s="240" t="n"/>
      <c r="OVN92" s="15" t="n"/>
      <c r="OVO92" s="15" t="n"/>
      <c r="OVP92" s="248" t="n"/>
      <c r="OVQ92" s="248" t="n"/>
      <c r="OVR92" s="240" t="n"/>
      <c r="OVS92" s="240" t="n"/>
      <c r="OVU92" s="15" t="n"/>
      <c r="OVV92" s="15" t="n"/>
      <c r="OVW92" s="248" t="n"/>
      <c r="OVX92" s="248" t="n"/>
      <c r="OVY92" s="240" t="n"/>
      <c r="OVZ92" s="240" t="n"/>
      <c r="OWB92" s="15" t="n"/>
      <c r="OWC92" s="15" t="n"/>
      <c r="OWD92" s="248" t="n"/>
      <c r="OWE92" s="248" t="n"/>
      <c r="OWF92" s="240" t="n"/>
      <c r="OWG92" s="240" t="n"/>
      <c r="OWI92" s="15" t="n"/>
      <c r="OWJ92" s="15" t="n"/>
      <c r="OWK92" s="248" t="n"/>
      <c r="OWL92" s="248" t="n"/>
      <c r="OWM92" s="240" t="n"/>
      <c r="OWN92" s="240" t="n"/>
      <c r="OWP92" s="15" t="n"/>
      <c r="OWQ92" s="15" t="n"/>
      <c r="OWR92" s="248" t="n"/>
      <c r="OWS92" s="248" t="n"/>
      <c r="OWT92" s="240" t="n"/>
      <c r="OWU92" s="240" t="n"/>
      <c r="OWW92" s="15" t="n"/>
      <c r="OWX92" s="15" t="n"/>
      <c r="OWY92" s="248" t="n"/>
      <c r="OWZ92" s="248" t="n"/>
      <c r="OXA92" s="240" t="n"/>
      <c r="OXB92" s="240" t="n"/>
      <c r="OXD92" s="15" t="n"/>
      <c r="OXE92" s="15" t="n"/>
      <c r="OXF92" s="248" t="n"/>
      <c r="OXG92" s="248" t="n"/>
      <c r="OXH92" s="240" t="n"/>
      <c r="OXI92" s="240" t="n"/>
      <c r="OXK92" s="15" t="n"/>
      <c r="OXL92" s="15" t="n"/>
      <c r="OXM92" s="248" t="n"/>
      <c r="OXN92" s="248" t="n"/>
      <c r="OXO92" s="240" t="n"/>
      <c r="OXP92" s="240" t="n"/>
      <c r="OXR92" s="15" t="n"/>
      <c r="OXS92" s="15" t="n"/>
      <c r="OXT92" s="248" t="n"/>
      <c r="OXU92" s="248" t="n"/>
      <c r="OXV92" s="240" t="n"/>
      <c r="OXW92" s="240" t="n"/>
      <c r="OXY92" s="15" t="n"/>
      <c r="OXZ92" s="15" t="n"/>
      <c r="OYA92" s="248" t="n"/>
      <c r="OYB92" s="248" t="n"/>
      <c r="OYC92" s="240" t="n"/>
      <c r="OYD92" s="240" t="n"/>
      <c r="OYF92" s="15" t="n"/>
      <c r="OYG92" s="15" t="n"/>
      <c r="OYH92" s="248" t="n"/>
      <c r="OYI92" s="248" t="n"/>
      <c r="OYJ92" s="240" t="n"/>
      <c r="OYK92" s="240" t="n"/>
      <c r="OYM92" s="15" t="n"/>
      <c r="OYN92" s="15" t="n"/>
      <c r="OYO92" s="248" t="n"/>
      <c r="OYP92" s="248" t="n"/>
      <c r="OYQ92" s="240" t="n"/>
      <c r="OYR92" s="240" t="n"/>
      <c r="OYT92" s="15" t="n"/>
      <c r="OYU92" s="15" t="n"/>
      <c r="OYV92" s="248" t="n"/>
      <c r="OYW92" s="248" t="n"/>
      <c r="OYX92" s="240" t="n"/>
      <c r="OYY92" s="240" t="n"/>
      <c r="OZA92" s="15" t="n"/>
      <c r="OZB92" s="15" t="n"/>
      <c r="OZC92" s="248" t="n"/>
      <c r="OZD92" s="248" t="n"/>
      <c r="OZE92" s="240" t="n"/>
      <c r="OZF92" s="240" t="n"/>
      <c r="OZH92" s="15" t="n"/>
      <c r="OZI92" s="15" t="n"/>
      <c r="OZJ92" s="248" t="n"/>
      <c r="OZK92" s="248" t="n"/>
      <c r="OZL92" s="240" t="n"/>
      <c r="OZM92" s="240" t="n"/>
      <c r="OZO92" s="15" t="n"/>
      <c r="OZP92" s="15" t="n"/>
      <c r="OZQ92" s="248" t="n"/>
      <c r="OZR92" s="248" t="n"/>
      <c r="OZS92" s="240" t="n"/>
      <c r="OZT92" s="240" t="n"/>
      <c r="OZV92" s="15" t="n"/>
      <c r="OZW92" s="15" t="n"/>
      <c r="OZX92" s="248" t="n"/>
      <c r="OZY92" s="248" t="n"/>
      <c r="OZZ92" s="240" t="n"/>
      <c r="PAA92" s="240" t="n"/>
      <c r="PAC92" s="15" t="n"/>
      <c r="PAD92" s="15" t="n"/>
      <c r="PAE92" s="248" t="n"/>
      <c r="PAF92" s="248" t="n"/>
      <c r="PAG92" s="240" t="n"/>
      <c r="PAH92" s="240" t="n"/>
      <c r="PAJ92" s="15" t="n"/>
      <c r="PAK92" s="15" t="n"/>
      <c r="PAL92" s="248" t="n"/>
      <c r="PAM92" s="248" t="n"/>
      <c r="PAN92" s="240" t="n"/>
      <c r="PAO92" s="240" t="n"/>
      <c r="PAQ92" s="15" t="n"/>
      <c r="PAR92" s="15" t="n"/>
      <c r="PAS92" s="248" t="n"/>
      <c r="PAT92" s="248" t="n"/>
      <c r="PAU92" s="240" t="n"/>
      <c r="PAV92" s="240" t="n"/>
      <c r="PAX92" s="15" t="n"/>
      <c r="PAY92" s="15" t="n"/>
      <c r="PAZ92" s="248" t="n"/>
      <c r="PBA92" s="248" t="n"/>
      <c r="PBB92" s="240" t="n"/>
      <c r="PBC92" s="240" t="n"/>
      <c r="PBE92" s="15" t="n"/>
      <c r="PBF92" s="15" t="n"/>
      <c r="PBG92" s="248" t="n"/>
      <c r="PBH92" s="248" t="n"/>
      <c r="PBI92" s="240" t="n"/>
      <c r="PBJ92" s="240" t="n"/>
      <c r="PBL92" s="15" t="n"/>
      <c r="PBM92" s="15" t="n"/>
      <c r="PBN92" s="248" t="n"/>
      <c r="PBO92" s="248" t="n"/>
      <c r="PBP92" s="240" t="n"/>
      <c r="PBQ92" s="240" t="n"/>
      <c r="PBS92" s="15" t="n"/>
      <c r="PBT92" s="15" t="n"/>
      <c r="PBU92" s="248" t="n"/>
      <c r="PBV92" s="248" t="n"/>
      <c r="PBW92" s="240" t="n"/>
      <c r="PBX92" s="240" t="n"/>
      <c r="PBZ92" s="15" t="n"/>
      <c r="PCA92" s="15" t="n"/>
      <c r="PCB92" s="248" t="n"/>
      <c r="PCC92" s="248" t="n"/>
      <c r="PCD92" s="240" t="n"/>
      <c r="PCE92" s="240" t="n"/>
      <c r="PCG92" s="15" t="n"/>
      <c r="PCH92" s="15" t="n"/>
      <c r="PCI92" s="248" t="n"/>
      <c r="PCJ92" s="248" t="n"/>
      <c r="PCK92" s="240" t="n"/>
      <c r="PCL92" s="240" t="n"/>
      <c r="PCN92" s="15" t="n"/>
      <c r="PCO92" s="15" t="n"/>
      <c r="PCP92" s="248" t="n"/>
      <c r="PCQ92" s="248" t="n"/>
      <c r="PCR92" s="240" t="n"/>
      <c r="PCS92" s="240" t="n"/>
      <c r="PCU92" s="15" t="n"/>
      <c r="PCV92" s="15" t="n"/>
      <c r="PCW92" s="248" t="n"/>
      <c r="PCX92" s="248" t="n"/>
      <c r="PCY92" s="240" t="n"/>
      <c r="PCZ92" s="240" t="n"/>
      <c r="PDB92" s="15" t="n"/>
      <c r="PDC92" s="15" t="n"/>
      <c r="PDD92" s="248" t="n"/>
      <c r="PDE92" s="248" t="n"/>
      <c r="PDF92" s="240" t="n"/>
      <c r="PDG92" s="240" t="n"/>
      <c r="PDI92" s="15" t="n"/>
      <c r="PDJ92" s="15" t="n"/>
      <c r="PDK92" s="248" t="n"/>
      <c r="PDL92" s="248" t="n"/>
      <c r="PDM92" s="240" t="n"/>
      <c r="PDN92" s="240" t="n"/>
      <c r="PDP92" s="15" t="n"/>
      <c r="PDQ92" s="15" t="n"/>
      <c r="PDR92" s="248" t="n"/>
      <c r="PDS92" s="248" t="n"/>
      <c r="PDT92" s="240" t="n"/>
      <c r="PDU92" s="240" t="n"/>
      <c r="PDW92" s="15" t="n"/>
      <c r="PDX92" s="15" t="n"/>
      <c r="PDY92" s="248" t="n"/>
      <c r="PDZ92" s="248" t="n"/>
      <c r="PEA92" s="240" t="n"/>
      <c r="PEB92" s="240" t="n"/>
      <c r="PED92" s="15" t="n"/>
      <c r="PEE92" s="15" t="n"/>
      <c r="PEF92" s="248" t="n"/>
      <c r="PEG92" s="248" t="n"/>
      <c r="PEH92" s="240" t="n"/>
      <c r="PEI92" s="240" t="n"/>
      <c r="PEK92" s="15" t="n"/>
      <c r="PEL92" s="15" t="n"/>
      <c r="PEM92" s="248" t="n"/>
      <c r="PEN92" s="248" t="n"/>
      <c r="PEO92" s="240" t="n"/>
      <c r="PEP92" s="240" t="n"/>
      <c r="PER92" s="15" t="n"/>
      <c r="PES92" s="15" t="n"/>
      <c r="PET92" s="248" t="n"/>
      <c r="PEU92" s="248" t="n"/>
      <c r="PEV92" s="240" t="n"/>
      <c r="PEW92" s="240" t="n"/>
      <c r="PEY92" s="15" t="n"/>
      <c r="PEZ92" s="15" t="n"/>
      <c r="PFA92" s="248" t="n"/>
      <c r="PFB92" s="248" t="n"/>
      <c r="PFC92" s="240" t="n"/>
      <c r="PFD92" s="240" t="n"/>
      <c r="PFF92" s="15" t="n"/>
      <c r="PFG92" s="15" t="n"/>
      <c r="PFH92" s="248" t="n"/>
      <c r="PFI92" s="248" t="n"/>
      <c r="PFJ92" s="240" t="n"/>
      <c r="PFK92" s="240" t="n"/>
      <c r="PFM92" s="15" t="n"/>
      <c r="PFN92" s="15" t="n"/>
      <c r="PFO92" s="248" t="n"/>
      <c r="PFP92" s="248" t="n"/>
      <c r="PFQ92" s="240" t="n"/>
      <c r="PFR92" s="240" t="n"/>
      <c r="PFT92" s="15" t="n"/>
      <c r="PFU92" s="15" t="n"/>
      <c r="PFV92" s="248" t="n"/>
      <c r="PFW92" s="248" t="n"/>
      <c r="PFX92" s="240" t="n"/>
      <c r="PFY92" s="240" t="n"/>
      <c r="PGA92" s="15" t="n"/>
      <c r="PGB92" s="15" t="n"/>
      <c r="PGC92" s="248" t="n"/>
      <c r="PGD92" s="248" t="n"/>
      <c r="PGE92" s="240" t="n"/>
      <c r="PGF92" s="240" t="n"/>
      <c r="PGH92" s="15" t="n"/>
      <c r="PGI92" s="15" t="n"/>
      <c r="PGJ92" s="248" t="n"/>
      <c r="PGK92" s="248" t="n"/>
      <c r="PGL92" s="240" t="n"/>
      <c r="PGM92" s="240" t="n"/>
      <c r="PGO92" s="15" t="n"/>
      <c r="PGP92" s="15" t="n"/>
      <c r="PGQ92" s="248" t="n"/>
      <c r="PGR92" s="248" t="n"/>
      <c r="PGS92" s="240" t="n"/>
      <c r="PGT92" s="240" t="n"/>
      <c r="PGV92" s="15" t="n"/>
      <c r="PGW92" s="15" t="n"/>
      <c r="PGX92" s="248" t="n"/>
      <c r="PGY92" s="248" t="n"/>
      <c r="PGZ92" s="240" t="n"/>
      <c r="PHA92" s="240" t="n"/>
      <c r="PHC92" s="15" t="n"/>
      <c r="PHD92" s="15" t="n"/>
      <c r="PHE92" s="248" t="n"/>
      <c r="PHF92" s="248" t="n"/>
      <c r="PHG92" s="240" t="n"/>
      <c r="PHH92" s="240" t="n"/>
      <c r="PHJ92" s="15" t="n"/>
      <c r="PHK92" s="15" t="n"/>
      <c r="PHL92" s="248" t="n"/>
      <c r="PHM92" s="248" t="n"/>
      <c r="PHN92" s="240" t="n"/>
      <c r="PHO92" s="240" t="n"/>
      <c r="PHQ92" s="15" t="n"/>
      <c r="PHR92" s="15" t="n"/>
      <c r="PHS92" s="248" t="n"/>
      <c r="PHT92" s="248" t="n"/>
      <c r="PHU92" s="240" t="n"/>
      <c r="PHV92" s="240" t="n"/>
      <c r="PHX92" s="15" t="n"/>
      <c r="PHY92" s="15" t="n"/>
      <c r="PHZ92" s="248" t="n"/>
      <c r="PIA92" s="248" t="n"/>
      <c r="PIB92" s="240" t="n"/>
      <c r="PIC92" s="240" t="n"/>
      <c r="PIE92" s="15" t="n"/>
      <c r="PIF92" s="15" t="n"/>
      <c r="PIG92" s="248" t="n"/>
      <c r="PIH92" s="248" t="n"/>
      <c r="PII92" s="240" t="n"/>
      <c r="PIJ92" s="240" t="n"/>
      <c r="PIL92" s="15" t="n"/>
      <c r="PIM92" s="15" t="n"/>
      <c r="PIN92" s="248" t="n"/>
      <c r="PIO92" s="248" t="n"/>
      <c r="PIP92" s="240" t="n"/>
      <c r="PIQ92" s="240" t="n"/>
      <c r="PIS92" s="15" t="n"/>
      <c r="PIT92" s="15" t="n"/>
      <c r="PIU92" s="248" t="n"/>
      <c r="PIV92" s="248" t="n"/>
      <c r="PIW92" s="240" t="n"/>
      <c r="PIX92" s="240" t="n"/>
      <c r="PIZ92" s="15" t="n"/>
      <c r="PJA92" s="15" t="n"/>
      <c r="PJB92" s="248" t="n"/>
      <c r="PJC92" s="248" t="n"/>
      <c r="PJD92" s="240" t="n"/>
      <c r="PJE92" s="240" t="n"/>
      <c r="PJG92" s="15" t="n"/>
      <c r="PJH92" s="15" t="n"/>
      <c r="PJI92" s="248" t="n"/>
      <c r="PJJ92" s="248" t="n"/>
      <c r="PJK92" s="240" t="n"/>
      <c r="PJL92" s="240" t="n"/>
      <c r="PJN92" s="15" t="n"/>
      <c r="PJO92" s="15" t="n"/>
      <c r="PJP92" s="248" t="n"/>
      <c r="PJQ92" s="248" t="n"/>
      <c r="PJR92" s="240" t="n"/>
      <c r="PJS92" s="240" t="n"/>
      <c r="PJU92" s="15" t="n"/>
      <c r="PJV92" s="15" t="n"/>
      <c r="PJW92" s="248" t="n"/>
      <c r="PJX92" s="248" t="n"/>
      <c r="PJY92" s="240" t="n"/>
      <c r="PJZ92" s="240" t="n"/>
      <c r="PKB92" s="15" t="n"/>
      <c r="PKC92" s="15" t="n"/>
      <c r="PKD92" s="248" t="n"/>
      <c r="PKE92" s="248" t="n"/>
      <c r="PKF92" s="240" t="n"/>
      <c r="PKG92" s="240" t="n"/>
      <c r="PKI92" s="15" t="n"/>
      <c r="PKJ92" s="15" t="n"/>
      <c r="PKK92" s="248" t="n"/>
      <c r="PKL92" s="248" t="n"/>
      <c r="PKM92" s="240" t="n"/>
      <c r="PKN92" s="240" t="n"/>
      <c r="PKP92" s="15" t="n"/>
      <c r="PKQ92" s="15" t="n"/>
      <c r="PKR92" s="248" t="n"/>
      <c r="PKS92" s="248" t="n"/>
      <c r="PKT92" s="240" t="n"/>
      <c r="PKU92" s="240" t="n"/>
      <c r="PKW92" s="15" t="n"/>
      <c r="PKX92" s="15" t="n"/>
      <c r="PKY92" s="248" t="n"/>
      <c r="PKZ92" s="248" t="n"/>
      <c r="PLA92" s="240" t="n"/>
      <c r="PLB92" s="240" t="n"/>
      <c r="PLD92" s="15" t="n"/>
      <c r="PLE92" s="15" t="n"/>
      <c r="PLF92" s="248" t="n"/>
      <c r="PLG92" s="248" t="n"/>
      <c r="PLH92" s="240" t="n"/>
      <c r="PLI92" s="240" t="n"/>
      <c r="PLK92" s="15" t="n"/>
      <c r="PLL92" s="15" t="n"/>
      <c r="PLM92" s="248" t="n"/>
      <c r="PLN92" s="248" t="n"/>
      <c r="PLO92" s="240" t="n"/>
      <c r="PLP92" s="240" t="n"/>
      <c r="PLR92" s="15" t="n"/>
      <c r="PLS92" s="15" t="n"/>
      <c r="PLT92" s="248" t="n"/>
      <c r="PLU92" s="248" t="n"/>
      <c r="PLV92" s="240" t="n"/>
      <c r="PLW92" s="240" t="n"/>
      <c r="PLY92" s="15" t="n"/>
      <c r="PLZ92" s="15" t="n"/>
      <c r="PMA92" s="248" t="n"/>
      <c r="PMB92" s="248" t="n"/>
      <c r="PMC92" s="240" t="n"/>
      <c r="PMD92" s="240" t="n"/>
      <c r="PMF92" s="15" t="n"/>
      <c r="PMG92" s="15" t="n"/>
      <c r="PMH92" s="248" t="n"/>
      <c r="PMI92" s="248" t="n"/>
      <c r="PMJ92" s="240" t="n"/>
      <c r="PMK92" s="240" t="n"/>
      <c r="PMM92" s="15" t="n"/>
      <c r="PMN92" s="15" t="n"/>
      <c r="PMO92" s="248" t="n"/>
      <c r="PMP92" s="248" t="n"/>
      <c r="PMQ92" s="240" t="n"/>
      <c r="PMR92" s="240" t="n"/>
      <c r="PMT92" s="15" t="n"/>
      <c r="PMU92" s="15" t="n"/>
      <c r="PMV92" s="248" t="n"/>
      <c r="PMW92" s="248" t="n"/>
      <c r="PMX92" s="240" t="n"/>
      <c r="PMY92" s="240" t="n"/>
      <c r="PNA92" s="15" t="n"/>
      <c r="PNB92" s="15" t="n"/>
      <c r="PNC92" s="248" t="n"/>
      <c r="PND92" s="248" t="n"/>
      <c r="PNE92" s="240" t="n"/>
      <c r="PNF92" s="240" t="n"/>
      <c r="PNH92" s="15" t="n"/>
      <c r="PNI92" s="15" t="n"/>
      <c r="PNJ92" s="248" t="n"/>
      <c r="PNK92" s="248" t="n"/>
      <c r="PNL92" s="240" t="n"/>
      <c r="PNM92" s="240" t="n"/>
      <c r="PNO92" s="15" t="n"/>
      <c r="PNP92" s="15" t="n"/>
      <c r="PNQ92" s="248" t="n"/>
      <c r="PNR92" s="248" t="n"/>
      <c r="PNS92" s="240" t="n"/>
      <c r="PNT92" s="240" t="n"/>
      <c r="PNV92" s="15" t="n"/>
      <c r="PNW92" s="15" t="n"/>
      <c r="PNX92" s="248" t="n"/>
      <c r="PNY92" s="248" t="n"/>
      <c r="PNZ92" s="240" t="n"/>
      <c r="POA92" s="240" t="n"/>
      <c r="POC92" s="15" t="n"/>
      <c r="POD92" s="15" t="n"/>
      <c r="POE92" s="248" t="n"/>
      <c r="POF92" s="248" t="n"/>
      <c r="POG92" s="240" t="n"/>
      <c r="POH92" s="240" t="n"/>
      <c r="POJ92" s="15" t="n"/>
      <c r="POK92" s="15" t="n"/>
      <c r="POL92" s="248" t="n"/>
      <c r="POM92" s="248" t="n"/>
      <c r="PON92" s="240" t="n"/>
      <c r="POO92" s="240" t="n"/>
      <c r="POQ92" s="15" t="n"/>
      <c r="POR92" s="15" t="n"/>
      <c r="POS92" s="248" t="n"/>
      <c r="POT92" s="248" t="n"/>
      <c r="POU92" s="240" t="n"/>
      <c r="POV92" s="240" t="n"/>
      <c r="POX92" s="15" t="n"/>
      <c r="POY92" s="15" t="n"/>
      <c r="POZ92" s="248" t="n"/>
      <c r="PPA92" s="248" t="n"/>
      <c r="PPB92" s="240" t="n"/>
      <c r="PPC92" s="240" t="n"/>
      <c r="PPE92" s="15" t="n"/>
      <c r="PPF92" s="15" t="n"/>
      <c r="PPG92" s="248" t="n"/>
      <c r="PPH92" s="248" t="n"/>
      <c r="PPI92" s="240" t="n"/>
      <c r="PPJ92" s="240" t="n"/>
      <c r="PPL92" s="15" t="n"/>
      <c r="PPM92" s="15" t="n"/>
      <c r="PPN92" s="248" t="n"/>
      <c r="PPO92" s="248" t="n"/>
      <c r="PPP92" s="240" t="n"/>
      <c r="PPQ92" s="240" t="n"/>
      <c r="PPS92" s="15" t="n"/>
      <c r="PPT92" s="15" t="n"/>
      <c r="PPU92" s="248" t="n"/>
      <c r="PPV92" s="248" t="n"/>
      <c r="PPW92" s="240" t="n"/>
      <c r="PPX92" s="240" t="n"/>
      <c r="PPZ92" s="15" t="n"/>
      <c r="PQA92" s="15" t="n"/>
      <c r="PQB92" s="248" t="n"/>
      <c r="PQC92" s="248" t="n"/>
      <c r="PQD92" s="240" t="n"/>
      <c r="PQE92" s="240" t="n"/>
      <c r="PQG92" s="15" t="n"/>
      <c r="PQH92" s="15" t="n"/>
      <c r="PQI92" s="248" t="n"/>
      <c r="PQJ92" s="248" t="n"/>
      <c r="PQK92" s="240" t="n"/>
      <c r="PQL92" s="240" t="n"/>
      <c r="PQN92" s="15" t="n"/>
      <c r="PQO92" s="15" t="n"/>
      <c r="PQP92" s="248" t="n"/>
      <c r="PQQ92" s="248" t="n"/>
      <c r="PQR92" s="240" t="n"/>
      <c r="PQS92" s="240" t="n"/>
      <c r="PQU92" s="15" t="n"/>
      <c r="PQV92" s="15" t="n"/>
      <c r="PQW92" s="248" t="n"/>
      <c r="PQX92" s="248" t="n"/>
      <c r="PQY92" s="240" t="n"/>
      <c r="PQZ92" s="240" t="n"/>
      <c r="PRB92" s="15" t="n"/>
      <c r="PRC92" s="15" t="n"/>
      <c r="PRD92" s="248" t="n"/>
      <c r="PRE92" s="248" t="n"/>
      <c r="PRF92" s="240" t="n"/>
      <c r="PRG92" s="240" t="n"/>
      <c r="PRI92" s="15" t="n"/>
      <c r="PRJ92" s="15" t="n"/>
      <c r="PRK92" s="248" t="n"/>
      <c r="PRL92" s="248" t="n"/>
      <c r="PRM92" s="240" t="n"/>
      <c r="PRN92" s="240" t="n"/>
      <c r="PRP92" s="15" t="n"/>
      <c r="PRQ92" s="15" t="n"/>
      <c r="PRR92" s="248" t="n"/>
      <c r="PRS92" s="248" t="n"/>
      <c r="PRT92" s="240" t="n"/>
      <c r="PRU92" s="240" t="n"/>
      <c r="PRW92" s="15" t="n"/>
      <c r="PRX92" s="15" t="n"/>
      <c r="PRY92" s="248" t="n"/>
      <c r="PRZ92" s="248" t="n"/>
      <c r="PSA92" s="240" t="n"/>
      <c r="PSB92" s="240" t="n"/>
      <c r="PSD92" s="15" t="n"/>
      <c r="PSE92" s="15" t="n"/>
      <c r="PSF92" s="248" t="n"/>
      <c r="PSG92" s="248" t="n"/>
      <c r="PSH92" s="240" t="n"/>
      <c r="PSI92" s="240" t="n"/>
      <c r="PSK92" s="15" t="n"/>
      <c r="PSL92" s="15" t="n"/>
      <c r="PSM92" s="248" t="n"/>
      <c r="PSN92" s="248" t="n"/>
      <c r="PSO92" s="240" t="n"/>
      <c r="PSP92" s="240" t="n"/>
      <c r="PSR92" s="15" t="n"/>
      <c r="PSS92" s="15" t="n"/>
      <c r="PST92" s="248" t="n"/>
      <c r="PSU92" s="248" t="n"/>
      <c r="PSV92" s="240" t="n"/>
      <c r="PSW92" s="240" t="n"/>
      <c r="PSY92" s="15" t="n"/>
      <c r="PSZ92" s="15" t="n"/>
      <c r="PTA92" s="248" t="n"/>
      <c r="PTB92" s="248" t="n"/>
      <c r="PTC92" s="240" t="n"/>
      <c r="PTD92" s="240" t="n"/>
      <c r="PTF92" s="15" t="n"/>
      <c r="PTG92" s="15" t="n"/>
      <c r="PTH92" s="248" t="n"/>
      <c r="PTI92" s="248" t="n"/>
      <c r="PTJ92" s="240" t="n"/>
      <c r="PTK92" s="240" t="n"/>
      <c r="PTM92" s="15" t="n"/>
      <c r="PTN92" s="15" t="n"/>
      <c r="PTO92" s="248" t="n"/>
      <c r="PTP92" s="248" t="n"/>
      <c r="PTQ92" s="240" t="n"/>
      <c r="PTR92" s="240" t="n"/>
      <c r="PTT92" s="15" t="n"/>
      <c r="PTU92" s="15" t="n"/>
      <c r="PTV92" s="248" t="n"/>
      <c r="PTW92" s="248" t="n"/>
      <c r="PTX92" s="240" t="n"/>
      <c r="PTY92" s="240" t="n"/>
      <c r="PUA92" s="15" t="n"/>
      <c r="PUB92" s="15" t="n"/>
      <c r="PUC92" s="248" t="n"/>
      <c r="PUD92" s="248" t="n"/>
      <c r="PUE92" s="240" t="n"/>
      <c r="PUF92" s="240" t="n"/>
      <c r="PUH92" s="15" t="n"/>
      <c r="PUI92" s="15" t="n"/>
      <c r="PUJ92" s="248" t="n"/>
      <c r="PUK92" s="248" t="n"/>
      <c r="PUL92" s="240" t="n"/>
      <c r="PUM92" s="240" t="n"/>
      <c r="PUO92" s="15" t="n"/>
      <c r="PUP92" s="15" t="n"/>
      <c r="PUQ92" s="248" t="n"/>
      <c r="PUR92" s="248" t="n"/>
      <c r="PUS92" s="240" t="n"/>
      <c r="PUT92" s="240" t="n"/>
      <c r="PUV92" s="15" t="n"/>
      <c r="PUW92" s="15" t="n"/>
      <c r="PUX92" s="248" t="n"/>
      <c r="PUY92" s="248" t="n"/>
      <c r="PUZ92" s="240" t="n"/>
      <c r="PVA92" s="240" t="n"/>
      <c r="PVC92" s="15" t="n"/>
      <c r="PVD92" s="15" t="n"/>
      <c r="PVE92" s="248" t="n"/>
      <c r="PVF92" s="248" t="n"/>
      <c r="PVG92" s="240" t="n"/>
      <c r="PVH92" s="240" t="n"/>
      <c r="PVJ92" s="15" t="n"/>
      <c r="PVK92" s="15" t="n"/>
      <c r="PVL92" s="248" t="n"/>
      <c r="PVM92" s="248" t="n"/>
      <c r="PVN92" s="240" t="n"/>
      <c r="PVO92" s="240" t="n"/>
      <c r="PVQ92" s="15" t="n"/>
      <c r="PVR92" s="15" t="n"/>
      <c r="PVS92" s="248" t="n"/>
      <c r="PVT92" s="248" t="n"/>
      <c r="PVU92" s="240" t="n"/>
      <c r="PVV92" s="240" t="n"/>
      <c r="PVX92" s="15" t="n"/>
      <c r="PVY92" s="15" t="n"/>
      <c r="PVZ92" s="248" t="n"/>
      <c r="PWA92" s="248" t="n"/>
      <c r="PWB92" s="240" t="n"/>
      <c r="PWC92" s="240" t="n"/>
      <c r="PWE92" s="15" t="n"/>
      <c r="PWF92" s="15" t="n"/>
      <c r="PWG92" s="248" t="n"/>
      <c r="PWH92" s="248" t="n"/>
      <c r="PWI92" s="240" t="n"/>
      <c r="PWJ92" s="240" t="n"/>
      <c r="PWL92" s="15" t="n"/>
      <c r="PWM92" s="15" t="n"/>
      <c r="PWN92" s="248" t="n"/>
      <c r="PWO92" s="248" t="n"/>
      <c r="PWP92" s="240" t="n"/>
      <c r="PWQ92" s="240" t="n"/>
      <c r="PWS92" s="15" t="n"/>
      <c r="PWT92" s="15" t="n"/>
      <c r="PWU92" s="248" t="n"/>
      <c r="PWV92" s="248" t="n"/>
      <c r="PWW92" s="240" t="n"/>
      <c r="PWX92" s="240" t="n"/>
      <c r="PWZ92" s="15" t="n"/>
      <c r="PXA92" s="15" t="n"/>
      <c r="PXB92" s="248" t="n"/>
      <c r="PXC92" s="248" t="n"/>
      <c r="PXD92" s="240" t="n"/>
      <c r="PXE92" s="240" t="n"/>
      <c r="PXG92" s="15" t="n"/>
      <c r="PXH92" s="15" t="n"/>
      <c r="PXI92" s="248" t="n"/>
      <c r="PXJ92" s="248" t="n"/>
      <c r="PXK92" s="240" t="n"/>
      <c r="PXL92" s="240" t="n"/>
      <c r="PXN92" s="15" t="n"/>
      <c r="PXO92" s="15" t="n"/>
      <c r="PXP92" s="248" t="n"/>
      <c r="PXQ92" s="248" t="n"/>
      <c r="PXR92" s="240" t="n"/>
      <c r="PXS92" s="240" t="n"/>
      <c r="PXU92" s="15" t="n"/>
      <c r="PXV92" s="15" t="n"/>
      <c r="PXW92" s="248" t="n"/>
      <c r="PXX92" s="248" t="n"/>
      <c r="PXY92" s="240" t="n"/>
      <c r="PXZ92" s="240" t="n"/>
      <c r="PYB92" s="15" t="n"/>
      <c r="PYC92" s="15" t="n"/>
      <c r="PYD92" s="248" t="n"/>
      <c r="PYE92" s="248" t="n"/>
      <c r="PYF92" s="240" t="n"/>
      <c r="PYG92" s="240" t="n"/>
      <c r="PYI92" s="15" t="n"/>
      <c r="PYJ92" s="15" t="n"/>
      <c r="PYK92" s="248" t="n"/>
      <c r="PYL92" s="248" t="n"/>
      <c r="PYM92" s="240" t="n"/>
      <c r="PYN92" s="240" t="n"/>
      <c r="PYP92" s="15" t="n"/>
      <c r="PYQ92" s="15" t="n"/>
      <c r="PYR92" s="248" t="n"/>
      <c r="PYS92" s="248" t="n"/>
      <c r="PYT92" s="240" t="n"/>
      <c r="PYU92" s="240" t="n"/>
      <c r="PYW92" s="15" t="n"/>
      <c r="PYX92" s="15" t="n"/>
      <c r="PYY92" s="248" t="n"/>
      <c r="PYZ92" s="248" t="n"/>
      <c r="PZA92" s="240" t="n"/>
      <c r="PZB92" s="240" t="n"/>
      <c r="PZD92" s="15" t="n"/>
      <c r="PZE92" s="15" t="n"/>
      <c r="PZF92" s="248" t="n"/>
      <c r="PZG92" s="248" t="n"/>
      <c r="PZH92" s="240" t="n"/>
      <c r="PZI92" s="240" t="n"/>
      <c r="PZK92" s="15" t="n"/>
      <c r="PZL92" s="15" t="n"/>
      <c r="PZM92" s="248" t="n"/>
      <c r="PZN92" s="248" t="n"/>
      <c r="PZO92" s="240" t="n"/>
      <c r="PZP92" s="240" t="n"/>
      <c r="PZR92" s="15" t="n"/>
      <c r="PZS92" s="15" t="n"/>
      <c r="PZT92" s="248" t="n"/>
      <c r="PZU92" s="248" t="n"/>
      <c r="PZV92" s="240" t="n"/>
      <c r="PZW92" s="240" t="n"/>
      <c r="PZY92" s="15" t="n"/>
      <c r="PZZ92" s="15" t="n"/>
      <c r="QAA92" s="248" t="n"/>
      <c r="QAB92" s="248" t="n"/>
      <c r="QAC92" s="240" t="n"/>
      <c r="QAD92" s="240" t="n"/>
      <c r="QAF92" s="15" t="n"/>
      <c r="QAG92" s="15" t="n"/>
      <c r="QAH92" s="248" t="n"/>
      <c r="QAI92" s="248" t="n"/>
      <c r="QAJ92" s="240" t="n"/>
      <c r="QAK92" s="240" t="n"/>
      <c r="QAM92" s="15" t="n"/>
      <c r="QAN92" s="15" t="n"/>
      <c r="QAO92" s="248" t="n"/>
      <c r="QAP92" s="248" t="n"/>
      <c r="QAQ92" s="240" t="n"/>
      <c r="QAR92" s="240" t="n"/>
      <c r="QAT92" s="15" t="n"/>
      <c r="QAU92" s="15" t="n"/>
      <c r="QAV92" s="248" t="n"/>
      <c r="QAW92" s="248" t="n"/>
      <c r="QAX92" s="240" t="n"/>
      <c r="QAY92" s="240" t="n"/>
      <c r="QBA92" s="15" t="n"/>
      <c r="QBB92" s="15" t="n"/>
      <c r="QBC92" s="248" t="n"/>
      <c r="QBD92" s="248" t="n"/>
      <c r="QBE92" s="240" t="n"/>
      <c r="QBF92" s="240" t="n"/>
      <c r="QBH92" s="15" t="n"/>
      <c r="QBI92" s="15" t="n"/>
      <c r="QBJ92" s="248" t="n"/>
      <c r="QBK92" s="248" t="n"/>
      <c r="QBL92" s="240" t="n"/>
      <c r="QBM92" s="240" t="n"/>
      <c r="QBO92" s="15" t="n"/>
      <c r="QBP92" s="15" t="n"/>
      <c r="QBQ92" s="248" t="n"/>
      <c r="QBR92" s="248" t="n"/>
      <c r="QBS92" s="240" t="n"/>
      <c r="QBT92" s="240" t="n"/>
      <c r="QBV92" s="15" t="n"/>
      <c r="QBW92" s="15" t="n"/>
      <c r="QBX92" s="248" t="n"/>
      <c r="QBY92" s="248" t="n"/>
      <c r="QBZ92" s="240" t="n"/>
      <c r="QCA92" s="240" t="n"/>
      <c r="QCC92" s="15" t="n"/>
      <c r="QCD92" s="15" t="n"/>
      <c r="QCE92" s="248" t="n"/>
      <c r="QCF92" s="248" t="n"/>
      <c r="QCG92" s="240" t="n"/>
      <c r="QCH92" s="240" t="n"/>
      <c r="QCJ92" s="15" t="n"/>
      <c r="QCK92" s="15" t="n"/>
      <c r="QCL92" s="248" t="n"/>
      <c r="QCM92" s="248" t="n"/>
      <c r="QCN92" s="240" t="n"/>
      <c r="QCO92" s="240" t="n"/>
      <c r="QCQ92" s="15" t="n"/>
      <c r="QCR92" s="15" t="n"/>
      <c r="QCS92" s="248" t="n"/>
      <c r="QCT92" s="248" t="n"/>
      <c r="QCU92" s="240" t="n"/>
      <c r="QCV92" s="240" t="n"/>
      <c r="QCX92" s="15" t="n"/>
      <c r="QCY92" s="15" t="n"/>
      <c r="QCZ92" s="248" t="n"/>
      <c r="QDA92" s="248" t="n"/>
      <c r="QDB92" s="240" t="n"/>
      <c r="QDC92" s="240" t="n"/>
      <c r="QDE92" s="15" t="n"/>
      <c r="QDF92" s="15" t="n"/>
      <c r="QDG92" s="248" t="n"/>
      <c r="QDH92" s="248" t="n"/>
      <c r="QDI92" s="240" t="n"/>
      <c r="QDJ92" s="240" t="n"/>
      <c r="QDL92" s="15" t="n"/>
      <c r="QDM92" s="15" t="n"/>
      <c r="QDN92" s="248" t="n"/>
      <c r="QDO92" s="248" t="n"/>
      <c r="QDP92" s="240" t="n"/>
      <c r="QDQ92" s="240" t="n"/>
      <c r="QDS92" s="15" t="n"/>
      <c r="QDT92" s="15" t="n"/>
      <c r="QDU92" s="248" t="n"/>
      <c r="QDV92" s="248" t="n"/>
      <c r="QDW92" s="240" t="n"/>
      <c r="QDX92" s="240" t="n"/>
      <c r="QDZ92" s="15" t="n"/>
      <c r="QEA92" s="15" t="n"/>
      <c r="QEB92" s="248" t="n"/>
      <c r="QEC92" s="248" t="n"/>
      <c r="QED92" s="240" t="n"/>
      <c r="QEE92" s="240" t="n"/>
      <c r="QEG92" s="15" t="n"/>
      <c r="QEH92" s="15" t="n"/>
      <c r="QEI92" s="248" t="n"/>
      <c r="QEJ92" s="248" t="n"/>
      <c r="QEK92" s="240" t="n"/>
      <c r="QEL92" s="240" t="n"/>
      <c r="QEN92" s="15" t="n"/>
      <c r="QEO92" s="15" t="n"/>
      <c r="QEP92" s="248" t="n"/>
      <c r="QEQ92" s="248" t="n"/>
      <c r="QER92" s="240" t="n"/>
      <c r="QES92" s="240" t="n"/>
      <c r="QEU92" s="15" t="n"/>
      <c r="QEV92" s="15" t="n"/>
      <c r="QEW92" s="248" t="n"/>
      <c r="QEX92" s="248" t="n"/>
      <c r="QEY92" s="240" t="n"/>
      <c r="QEZ92" s="240" t="n"/>
      <c r="QFB92" s="15" t="n"/>
      <c r="QFC92" s="15" t="n"/>
      <c r="QFD92" s="248" t="n"/>
      <c r="QFE92" s="248" t="n"/>
      <c r="QFF92" s="240" t="n"/>
      <c r="QFG92" s="240" t="n"/>
      <c r="QFI92" s="15" t="n"/>
      <c r="QFJ92" s="15" t="n"/>
      <c r="QFK92" s="248" t="n"/>
      <c r="QFL92" s="248" t="n"/>
      <c r="QFM92" s="240" t="n"/>
      <c r="QFN92" s="240" t="n"/>
      <c r="QFP92" s="15" t="n"/>
      <c r="QFQ92" s="15" t="n"/>
      <c r="QFR92" s="248" t="n"/>
      <c r="QFS92" s="248" t="n"/>
      <c r="QFT92" s="240" t="n"/>
      <c r="QFU92" s="240" t="n"/>
      <c r="QFW92" s="15" t="n"/>
      <c r="QFX92" s="15" t="n"/>
      <c r="QFY92" s="248" t="n"/>
      <c r="QFZ92" s="248" t="n"/>
      <c r="QGA92" s="240" t="n"/>
      <c r="QGB92" s="240" t="n"/>
      <c r="QGD92" s="15" t="n"/>
      <c r="QGE92" s="15" t="n"/>
      <c r="QGF92" s="248" t="n"/>
      <c r="QGG92" s="248" t="n"/>
      <c r="QGH92" s="240" t="n"/>
      <c r="QGI92" s="240" t="n"/>
      <c r="QGK92" s="15" t="n"/>
      <c r="QGL92" s="15" t="n"/>
      <c r="QGM92" s="248" t="n"/>
      <c r="QGN92" s="248" t="n"/>
      <c r="QGO92" s="240" t="n"/>
      <c r="QGP92" s="240" t="n"/>
      <c r="QGR92" s="15" t="n"/>
      <c r="QGS92" s="15" t="n"/>
      <c r="QGT92" s="248" t="n"/>
      <c r="QGU92" s="248" t="n"/>
      <c r="QGV92" s="240" t="n"/>
      <c r="QGW92" s="240" t="n"/>
      <c r="QGY92" s="15" t="n"/>
      <c r="QGZ92" s="15" t="n"/>
      <c r="QHA92" s="248" t="n"/>
      <c r="QHB92" s="248" t="n"/>
      <c r="QHC92" s="240" t="n"/>
      <c r="QHD92" s="240" t="n"/>
      <c r="QHF92" s="15" t="n"/>
      <c r="QHG92" s="15" t="n"/>
      <c r="QHH92" s="248" t="n"/>
      <c r="QHI92" s="248" t="n"/>
      <c r="QHJ92" s="240" t="n"/>
      <c r="QHK92" s="240" t="n"/>
      <c r="QHM92" s="15" t="n"/>
      <c r="QHN92" s="15" t="n"/>
      <c r="QHO92" s="248" t="n"/>
      <c r="QHP92" s="248" t="n"/>
      <c r="QHQ92" s="240" t="n"/>
      <c r="QHR92" s="240" t="n"/>
      <c r="QHT92" s="15" t="n"/>
      <c r="QHU92" s="15" t="n"/>
      <c r="QHV92" s="248" t="n"/>
      <c r="QHW92" s="248" t="n"/>
      <c r="QHX92" s="240" t="n"/>
      <c r="QHY92" s="240" t="n"/>
      <c r="QIA92" s="15" t="n"/>
      <c r="QIB92" s="15" t="n"/>
      <c r="QIC92" s="248" t="n"/>
      <c r="QID92" s="248" t="n"/>
      <c r="QIE92" s="240" t="n"/>
      <c r="QIF92" s="240" t="n"/>
      <c r="QIH92" s="15" t="n"/>
      <c r="QII92" s="15" t="n"/>
      <c r="QIJ92" s="248" t="n"/>
      <c r="QIK92" s="248" t="n"/>
      <c r="QIL92" s="240" t="n"/>
      <c r="QIM92" s="240" t="n"/>
      <c r="QIO92" s="15" t="n"/>
      <c r="QIP92" s="15" t="n"/>
      <c r="QIQ92" s="248" t="n"/>
      <c r="QIR92" s="248" t="n"/>
      <c r="QIS92" s="240" t="n"/>
      <c r="QIT92" s="240" t="n"/>
      <c r="QIV92" s="15" t="n"/>
      <c r="QIW92" s="15" t="n"/>
      <c r="QIX92" s="248" t="n"/>
      <c r="QIY92" s="248" t="n"/>
      <c r="QIZ92" s="240" t="n"/>
      <c r="QJA92" s="240" t="n"/>
      <c r="QJC92" s="15" t="n"/>
      <c r="QJD92" s="15" t="n"/>
      <c r="QJE92" s="248" t="n"/>
      <c r="QJF92" s="248" t="n"/>
      <c r="QJG92" s="240" t="n"/>
      <c r="QJH92" s="240" t="n"/>
      <c r="QJJ92" s="15" t="n"/>
      <c r="QJK92" s="15" t="n"/>
      <c r="QJL92" s="248" t="n"/>
      <c r="QJM92" s="248" t="n"/>
      <c r="QJN92" s="240" t="n"/>
      <c r="QJO92" s="240" t="n"/>
      <c r="QJQ92" s="15" t="n"/>
      <c r="QJR92" s="15" t="n"/>
      <c r="QJS92" s="248" t="n"/>
      <c r="QJT92" s="248" t="n"/>
      <c r="QJU92" s="240" t="n"/>
      <c r="QJV92" s="240" t="n"/>
      <c r="QJX92" s="15" t="n"/>
      <c r="QJY92" s="15" t="n"/>
      <c r="QJZ92" s="248" t="n"/>
      <c r="QKA92" s="248" t="n"/>
      <c r="QKB92" s="240" t="n"/>
      <c r="QKC92" s="240" t="n"/>
      <c r="QKE92" s="15" t="n"/>
      <c r="QKF92" s="15" t="n"/>
      <c r="QKG92" s="248" t="n"/>
      <c r="QKH92" s="248" t="n"/>
      <c r="QKI92" s="240" t="n"/>
      <c r="QKJ92" s="240" t="n"/>
      <c r="QKL92" s="15" t="n"/>
      <c r="QKM92" s="15" t="n"/>
      <c r="QKN92" s="248" t="n"/>
      <c r="QKO92" s="248" t="n"/>
      <c r="QKP92" s="240" t="n"/>
      <c r="QKQ92" s="240" t="n"/>
      <c r="QKS92" s="15" t="n"/>
      <c r="QKT92" s="15" t="n"/>
      <c r="QKU92" s="248" t="n"/>
      <c r="QKV92" s="248" t="n"/>
      <c r="QKW92" s="240" t="n"/>
      <c r="QKX92" s="240" t="n"/>
      <c r="QKZ92" s="15" t="n"/>
      <c r="QLA92" s="15" t="n"/>
      <c r="QLB92" s="248" t="n"/>
      <c r="QLC92" s="248" t="n"/>
      <c r="QLD92" s="240" t="n"/>
      <c r="QLE92" s="240" t="n"/>
      <c r="QLG92" s="15" t="n"/>
      <c r="QLH92" s="15" t="n"/>
      <c r="QLI92" s="248" t="n"/>
      <c r="QLJ92" s="248" t="n"/>
      <c r="QLK92" s="240" t="n"/>
      <c r="QLL92" s="240" t="n"/>
      <c r="QLN92" s="15" t="n"/>
      <c r="QLO92" s="15" t="n"/>
      <c r="QLP92" s="248" t="n"/>
      <c r="QLQ92" s="248" t="n"/>
      <c r="QLR92" s="240" t="n"/>
      <c r="QLS92" s="240" t="n"/>
      <c r="QLU92" s="15" t="n"/>
      <c r="QLV92" s="15" t="n"/>
      <c r="QLW92" s="248" t="n"/>
      <c r="QLX92" s="248" t="n"/>
      <c r="QLY92" s="240" t="n"/>
      <c r="QLZ92" s="240" t="n"/>
      <c r="QMB92" s="15" t="n"/>
      <c r="QMC92" s="15" t="n"/>
      <c r="QMD92" s="248" t="n"/>
      <c r="QME92" s="248" t="n"/>
      <c r="QMF92" s="240" t="n"/>
      <c r="QMG92" s="240" t="n"/>
      <c r="QMI92" s="15" t="n"/>
      <c r="QMJ92" s="15" t="n"/>
      <c r="QMK92" s="248" t="n"/>
      <c r="QML92" s="248" t="n"/>
      <c r="QMM92" s="240" t="n"/>
      <c r="QMN92" s="240" t="n"/>
      <c r="QMP92" s="15" t="n"/>
      <c r="QMQ92" s="15" t="n"/>
      <c r="QMR92" s="248" t="n"/>
      <c r="QMS92" s="248" t="n"/>
      <c r="QMT92" s="240" t="n"/>
      <c r="QMU92" s="240" t="n"/>
      <c r="QMW92" s="15" t="n"/>
      <c r="QMX92" s="15" t="n"/>
      <c r="QMY92" s="248" t="n"/>
      <c r="QMZ92" s="248" t="n"/>
      <c r="QNA92" s="240" t="n"/>
      <c r="QNB92" s="240" t="n"/>
      <c r="QND92" s="15" t="n"/>
      <c r="QNE92" s="15" t="n"/>
      <c r="QNF92" s="248" t="n"/>
      <c r="QNG92" s="248" t="n"/>
      <c r="QNH92" s="240" t="n"/>
      <c r="QNI92" s="240" t="n"/>
      <c r="QNK92" s="15" t="n"/>
      <c r="QNL92" s="15" t="n"/>
      <c r="QNM92" s="248" t="n"/>
      <c r="QNN92" s="248" t="n"/>
      <c r="QNO92" s="240" t="n"/>
      <c r="QNP92" s="240" t="n"/>
      <c r="QNR92" s="15" t="n"/>
      <c r="QNS92" s="15" t="n"/>
      <c r="QNT92" s="248" t="n"/>
      <c r="QNU92" s="248" t="n"/>
      <c r="QNV92" s="240" t="n"/>
      <c r="QNW92" s="240" t="n"/>
      <c r="QNY92" s="15" t="n"/>
      <c r="QNZ92" s="15" t="n"/>
      <c r="QOA92" s="248" t="n"/>
      <c r="QOB92" s="248" t="n"/>
      <c r="QOC92" s="240" t="n"/>
      <c r="QOD92" s="240" t="n"/>
      <c r="QOF92" s="15" t="n"/>
      <c r="QOG92" s="15" t="n"/>
      <c r="QOH92" s="248" t="n"/>
      <c r="QOI92" s="248" t="n"/>
      <c r="QOJ92" s="240" t="n"/>
      <c r="QOK92" s="240" t="n"/>
      <c r="QOM92" s="15" t="n"/>
      <c r="QON92" s="15" t="n"/>
      <c r="QOO92" s="248" t="n"/>
      <c r="QOP92" s="248" t="n"/>
      <c r="QOQ92" s="240" t="n"/>
      <c r="QOR92" s="240" t="n"/>
      <c r="QOT92" s="15" t="n"/>
      <c r="QOU92" s="15" t="n"/>
      <c r="QOV92" s="248" t="n"/>
      <c r="QOW92" s="248" t="n"/>
      <c r="QOX92" s="240" t="n"/>
      <c r="QOY92" s="240" t="n"/>
      <c r="QPA92" s="15" t="n"/>
      <c r="QPB92" s="15" t="n"/>
      <c r="QPC92" s="248" t="n"/>
      <c r="QPD92" s="248" t="n"/>
      <c r="QPE92" s="240" t="n"/>
      <c r="QPF92" s="240" t="n"/>
      <c r="QPH92" s="15" t="n"/>
      <c r="QPI92" s="15" t="n"/>
      <c r="QPJ92" s="248" t="n"/>
      <c r="QPK92" s="248" t="n"/>
      <c r="QPL92" s="240" t="n"/>
      <c r="QPM92" s="240" t="n"/>
      <c r="QPO92" s="15" t="n"/>
      <c r="QPP92" s="15" t="n"/>
      <c r="QPQ92" s="248" t="n"/>
      <c r="QPR92" s="248" t="n"/>
      <c r="QPS92" s="240" t="n"/>
      <c r="QPT92" s="240" t="n"/>
      <c r="QPV92" s="15" t="n"/>
      <c r="QPW92" s="15" t="n"/>
      <c r="QPX92" s="248" t="n"/>
      <c r="QPY92" s="248" t="n"/>
      <c r="QPZ92" s="240" t="n"/>
      <c r="QQA92" s="240" t="n"/>
      <c r="QQC92" s="15" t="n"/>
      <c r="QQD92" s="15" t="n"/>
      <c r="QQE92" s="248" t="n"/>
      <c r="QQF92" s="248" t="n"/>
      <c r="QQG92" s="240" t="n"/>
      <c r="QQH92" s="240" t="n"/>
      <c r="QQJ92" s="15" t="n"/>
      <c r="QQK92" s="15" t="n"/>
      <c r="QQL92" s="248" t="n"/>
      <c r="QQM92" s="248" t="n"/>
      <c r="QQN92" s="240" t="n"/>
      <c r="QQO92" s="240" t="n"/>
      <c r="QQQ92" s="15" t="n"/>
      <c r="QQR92" s="15" t="n"/>
      <c r="QQS92" s="248" t="n"/>
      <c r="QQT92" s="248" t="n"/>
      <c r="QQU92" s="240" t="n"/>
      <c r="QQV92" s="240" t="n"/>
      <c r="QQX92" s="15" t="n"/>
      <c r="QQY92" s="15" t="n"/>
      <c r="QQZ92" s="248" t="n"/>
      <c r="QRA92" s="248" t="n"/>
      <c r="QRB92" s="240" t="n"/>
      <c r="QRC92" s="240" t="n"/>
      <c r="QRE92" s="15" t="n"/>
      <c r="QRF92" s="15" t="n"/>
      <c r="QRG92" s="248" t="n"/>
      <c r="QRH92" s="248" t="n"/>
      <c r="QRI92" s="240" t="n"/>
      <c r="QRJ92" s="240" t="n"/>
      <c r="QRL92" s="15" t="n"/>
      <c r="QRM92" s="15" t="n"/>
      <c r="QRN92" s="248" t="n"/>
      <c r="QRO92" s="248" t="n"/>
      <c r="QRP92" s="240" t="n"/>
      <c r="QRQ92" s="240" t="n"/>
      <c r="QRS92" s="15" t="n"/>
      <c r="QRT92" s="15" t="n"/>
      <c r="QRU92" s="248" t="n"/>
      <c r="QRV92" s="248" t="n"/>
      <c r="QRW92" s="240" t="n"/>
      <c r="QRX92" s="240" t="n"/>
      <c r="QRZ92" s="15" t="n"/>
      <c r="QSA92" s="15" t="n"/>
      <c r="QSB92" s="248" t="n"/>
      <c r="QSC92" s="248" t="n"/>
      <c r="QSD92" s="240" t="n"/>
      <c r="QSE92" s="240" t="n"/>
      <c r="QSG92" s="15" t="n"/>
      <c r="QSH92" s="15" t="n"/>
      <c r="QSI92" s="248" t="n"/>
      <c r="QSJ92" s="248" t="n"/>
      <c r="QSK92" s="240" t="n"/>
      <c r="QSL92" s="240" t="n"/>
      <c r="QSN92" s="15" t="n"/>
      <c r="QSO92" s="15" t="n"/>
      <c r="QSP92" s="248" t="n"/>
      <c r="QSQ92" s="248" t="n"/>
      <c r="QSR92" s="240" t="n"/>
      <c r="QSS92" s="240" t="n"/>
      <c r="QSU92" s="15" t="n"/>
      <c r="QSV92" s="15" t="n"/>
      <c r="QSW92" s="248" t="n"/>
      <c r="QSX92" s="248" t="n"/>
      <c r="QSY92" s="240" t="n"/>
      <c r="QSZ92" s="240" t="n"/>
      <c r="QTB92" s="15" t="n"/>
      <c r="QTC92" s="15" t="n"/>
      <c r="QTD92" s="248" t="n"/>
      <c r="QTE92" s="248" t="n"/>
      <c r="QTF92" s="240" t="n"/>
      <c r="QTG92" s="240" t="n"/>
      <c r="QTI92" s="15" t="n"/>
      <c r="QTJ92" s="15" t="n"/>
      <c r="QTK92" s="248" t="n"/>
      <c r="QTL92" s="248" t="n"/>
      <c r="QTM92" s="240" t="n"/>
      <c r="QTN92" s="240" t="n"/>
      <c r="QTP92" s="15" t="n"/>
      <c r="QTQ92" s="15" t="n"/>
      <c r="QTR92" s="248" t="n"/>
      <c r="QTS92" s="248" t="n"/>
      <c r="QTT92" s="240" t="n"/>
      <c r="QTU92" s="240" t="n"/>
      <c r="QTW92" s="15" t="n"/>
      <c r="QTX92" s="15" t="n"/>
      <c r="QTY92" s="248" t="n"/>
      <c r="QTZ92" s="248" t="n"/>
      <c r="QUA92" s="240" t="n"/>
      <c r="QUB92" s="240" t="n"/>
      <c r="QUD92" s="15" t="n"/>
      <c r="QUE92" s="15" t="n"/>
      <c r="QUF92" s="248" t="n"/>
      <c r="QUG92" s="248" t="n"/>
      <c r="QUH92" s="240" t="n"/>
      <c r="QUI92" s="240" t="n"/>
      <c r="QUK92" s="15" t="n"/>
      <c r="QUL92" s="15" t="n"/>
      <c r="QUM92" s="248" t="n"/>
      <c r="QUN92" s="248" t="n"/>
      <c r="QUO92" s="240" t="n"/>
      <c r="QUP92" s="240" t="n"/>
      <c r="QUR92" s="15" t="n"/>
      <c r="QUS92" s="15" t="n"/>
      <c r="QUT92" s="248" t="n"/>
      <c r="QUU92" s="248" t="n"/>
      <c r="QUV92" s="240" t="n"/>
      <c r="QUW92" s="240" t="n"/>
      <c r="QUY92" s="15" t="n"/>
      <c r="QUZ92" s="15" t="n"/>
      <c r="QVA92" s="248" t="n"/>
      <c r="QVB92" s="248" t="n"/>
      <c r="QVC92" s="240" t="n"/>
      <c r="QVD92" s="240" t="n"/>
      <c r="QVF92" s="15" t="n"/>
      <c r="QVG92" s="15" t="n"/>
      <c r="QVH92" s="248" t="n"/>
      <c r="QVI92" s="248" t="n"/>
      <c r="QVJ92" s="240" t="n"/>
      <c r="QVK92" s="240" t="n"/>
      <c r="QVM92" s="15" t="n"/>
      <c r="QVN92" s="15" t="n"/>
      <c r="QVO92" s="248" t="n"/>
      <c r="QVP92" s="248" t="n"/>
      <c r="QVQ92" s="240" t="n"/>
      <c r="QVR92" s="240" t="n"/>
      <c r="QVT92" s="15" t="n"/>
      <c r="QVU92" s="15" t="n"/>
      <c r="QVV92" s="248" t="n"/>
      <c r="QVW92" s="248" t="n"/>
      <c r="QVX92" s="240" t="n"/>
      <c r="QVY92" s="240" t="n"/>
      <c r="QWA92" s="15" t="n"/>
      <c r="QWB92" s="15" t="n"/>
      <c r="QWC92" s="248" t="n"/>
      <c r="QWD92" s="248" t="n"/>
      <c r="QWE92" s="240" t="n"/>
      <c r="QWF92" s="240" t="n"/>
      <c r="QWH92" s="15" t="n"/>
      <c r="QWI92" s="15" t="n"/>
      <c r="QWJ92" s="248" t="n"/>
      <c r="QWK92" s="248" t="n"/>
      <c r="QWL92" s="240" t="n"/>
      <c r="QWM92" s="240" t="n"/>
      <c r="QWO92" s="15" t="n"/>
      <c r="QWP92" s="15" t="n"/>
      <c r="QWQ92" s="248" t="n"/>
      <c r="QWR92" s="248" t="n"/>
      <c r="QWS92" s="240" t="n"/>
      <c r="QWT92" s="240" t="n"/>
      <c r="QWV92" s="15" t="n"/>
      <c r="QWW92" s="15" t="n"/>
      <c r="QWX92" s="248" t="n"/>
      <c r="QWY92" s="248" t="n"/>
      <c r="QWZ92" s="240" t="n"/>
      <c r="QXA92" s="240" t="n"/>
      <c r="QXC92" s="15" t="n"/>
      <c r="QXD92" s="15" t="n"/>
      <c r="QXE92" s="248" t="n"/>
      <c r="QXF92" s="248" t="n"/>
      <c r="QXG92" s="240" t="n"/>
      <c r="QXH92" s="240" t="n"/>
      <c r="QXJ92" s="15" t="n"/>
      <c r="QXK92" s="15" t="n"/>
      <c r="QXL92" s="248" t="n"/>
      <c r="QXM92" s="248" t="n"/>
      <c r="QXN92" s="240" t="n"/>
      <c r="QXO92" s="240" t="n"/>
      <c r="QXQ92" s="15" t="n"/>
      <c r="QXR92" s="15" t="n"/>
      <c r="QXS92" s="248" t="n"/>
      <c r="QXT92" s="248" t="n"/>
      <c r="QXU92" s="240" t="n"/>
      <c r="QXV92" s="240" t="n"/>
      <c r="QXX92" s="15" t="n"/>
      <c r="QXY92" s="15" t="n"/>
      <c r="QXZ92" s="248" t="n"/>
      <c r="QYA92" s="248" t="n"/>
      <c r="QYB92" s="240" t="n"/>
      <c r="QYC92" s="240" t="n"/>
      <c r="QYE92" s="15" t="n"/>
      <c r="QYF92" s="15" t="n"/>
      <c r="QYG92" s="248" t="n"/>
      <c r="QYH92" s="248" t="n"/>
      <c r="QYI92" s="240" t="n"/>
      <c r="QYJ92" s="240" t="n"/>
      <c r="QYL92" s="15" t="n"/>
      <c r="QYM92" s="15" t="n"/>
      <c r="QYN92" s="248" t="n"/>
      <c r="QYO92" s="248" t="n"/>
      <c r="QYP92" s="240" t="n"/>
      <c r="QYQ92" s="240" t="n"/>
      <c r="QYS92" s="15" t="n"/>
      <c r="QYT92" s="15" t="n"/>
      <c r="QYU92" s="248" t="n"/>
      <c r="QYV92" s="248" t="n"/>
      <c r="QYW92" s="240" t="n"/>
      <c r="QYX92" s="240" t="n"/>
      <c r="QYZ92" s="15" t="n"/>
      <c r="QZA92" s="15" t="n"/>
      <c r="QZB92" s="248" t="n"/>
      <c r="QZC92" s="248" t="n"/>
      <c r="QZD92" s="240" t="n"/>
      <c r="QZE92" s="240" t="n"/>
      <c r="QZG92" s="15" t="n"/>
      <c r="QZH92" s="15" t="n"/>
      <c r="QZI92" s="248" t="n"/>
      <c r="QZJ92" s="248" t="n"/>
      <c r="QZK92" s="240" t="n"/>
      <c r="QZL92" s="240" t="n"/>
      <c r="QZN92" s="15" t="n"/>
      <c r="QZO92" s="15" t="n"/>
      <c r="QZP92" s="248" t="n"/>
      <c r="QZQ92" s="248" t="n"/>
      <c r="QZR92" s="240" t="n"/>
      <c r="QZS92" s="240" t="n"/>
      <c r="QZU92" s="15" t="n"/>
      <c r="QZV92" s="15" t="n"/>
      <c r="QZW92" s="248" t="n"/>
      <c r="QZX92" s="248" t="n"/>
      <c r="QZY92" s="240" t="n"/>
      <c r="QZZ92" s="240" t="n"/>
      <c r="RAB92" s="15" t="n"/>
      <c r="RAC92" s="15" t="n"/>
      <c r="RAD92" s="248" t="n"/>
      <c r="RAE92" s="248" t="n"/>
      <c r="RAF92" s="240" t="n"/>
      <c r="RAG92" s="240" t="n"/>
      <c r="RAI92" s="15" t="n"/>
      <c r="RAJ92" s="15" t="n"/>
      <c r="RAK92" s="248" t="n"/>
      <c r="RAL92" s="248" t="n"/>
      <c r="RAM92" s="240" t="n"/>
      <c r="RAN92" s="240" t="n"/>
      <c r="RAP92" s="15" t="n"/>
      <c r="RAQ92" s="15" t="n"/>
      <c r="RAR92" s="248" t="n"/>
      <c r="RAS92" s="248" t="n"/>
      <c r="RAT92" s="240" t="n"/>
      <c r="RAU92" s="240" t="n"/>
      <c r="RAW92" s="15" t="n"/>
      <c r="RAX92" s="15" t="n"/>
      <c r="RAY92" s="248" t="n"/>
      <c r="RAZ92" s="248" t="n"/>
      <c r="RBA92" s="240" t="n"/>
      <c r="RBB92" s="240" t="n"/>
      <c r="RBD92" s="15" t="n"/>
      <c r="RBE92" s="15" t="n"/>
      <c r="RBF92" s="248" t="n"/>
      <c r="RBG92" s="248" t="n"/>
      <c r="RBH92" s="240" t="n"/>
      <c r="RBI92" s="240" t="n"/>
      <c r="RBK92" s="15" t="n"/>
      <c r="RBL92" s="15" t="n"/>
      <c r="RBM92" s="248" t="n"/>
      <c r="RBN92" s="248" t="n"/>
      <c r="RBO92" s="240" t="n"/>
      <c r="RBP92" s="240" t="n"/>
      <c r="RBR92" s="15" t="n"/>
      <c r="RBS92" s="15" t="n"/>
      <c r="RBT92" s="248" t="n"/>
      <c r="RBU92" s="248" t="n"/>
      <c r="RBV92" s="240" t="n"/>
      <c r="RBW92" s="240" t="n"/>
      <c r="RBY92" s="15" t="n"/>
      <c r="RBZ92" s="15" t="n"/>
      <c r="RCA92" s="248" t="n"/>
      <c r="RCB92" s="248" t="n"/>
      <c r="RCC92" s="240" t="n"/>
      <c r="RCD92" s="240" t="n"/>
      <c r="RCF92" s="15" t="n"/>
      <c r="RCG92" s="15" t="n"/>
      <c r="RCH92" s="248" t="n"/>
      <c r="RCI92" s="248" t="n"/>
      <c r="RCJ92" s="240" t="n"/>
      <c r="RCK92" s="240" t="n"/>
      <c r="RCM92" s="15" t="n"/>
      <c r="RCN92" s="15" t="n"/>
      <c r="RCO92" s="248" t="n"/>
      <c r="RCP92" s="248" t="n"/>
      <c r="RCQ92" s="240" t="n"/>
      <c r="RCR92" s="240" t="n"/>
      <c r="RCT92" s="15" t="n"/>
      <c r="RCU92" s="15" t="n"/>
      <c r="RCV92" s="248" t="n"/>
      <c r="RCW92" s="248" t="n"/>
      <c r="RCX92" s="240" t="n"/>
      <c r="RCY92" s="240" t="n"/>
      <c r="RDA92" s="15" t="n"/>
      <c r="RDB92" s="15" t="n"/>
      <c r="RDC92" s="248" t="n"/>
      <c r="RDD92" s="248" t="n"/>
      <c r="RDE92" s="240" t="n"/>
      <c r="RDF92" s="240" t="n"/>
      <c r="RDH92" s="15" t="n"/>
      <c r="RDI92" s="15" t="n"/>
      <c r="RDJ92" s="248" t="n"/>
      <c r="RDK92" s="248" t="n"/>
      <c r="RDL92" s="240" t="n"/>
      <c r="RDM92" s="240" t="n"/>
      <c r="RDO92" s="15" t="n"/>
      <c r="RDP92" s="15" t="n"/>
      <c r="RDQ92" s="248" t="n"/>
      <c r="RDR92" s="248" t="n"/>
      <c r="RDS92" s="240" t="n"/>
      <c r="RDT92" s="240" t="n"/>
      <c r="RDV92" s="15" t="n"/>
      <c r="RDW92" s="15" t="n"/>
      <c r="RDX92" s="248" t="n"/>
      <c r="RDY92" s="248" t="n"/>
      <c r="RDZ92" s="240" t="n"/>
      <c r="REA92" s="240" t="n"/>
      <c r="REC92" s="15" t="n"/>
      <c r="RED92" s="15" t="n"/>
      <c r="REE92" s="248" t="n"/>
      <c r="REF92" s="248" t="n"/>
      <c r="REG92" s="240" t="n"/>
      <c r="REH92" s="240" t="n"/>
      <c r="REJ92" s="15" t="n"/>
      <c r="REK92" s="15" t="n"/>
      <c r="REL92" s="248" t="n"/>
      <c r="REM92" s="248" t="n"/>
      <c r="REN92" s="240" t="n"/>
      <c r="REO92" s="240" t="n"/>
      <c r="REQ92" s="15" t="n"/>
      <c r="RER92" s="15" t="n"/>
      <c r="RES92" s="248" t="n"/>
      <c r="RET92" s="248" t="n"/>
      <c r="REU92" s="240" t="n"/>
      <c r="REV92" s="240" t="n"/>
      <c r="REX92" s="15" t="n"/>
      <c r="REY92" s="15" t="n"/>
      <c r="REZ92" s="248" t="n"/>
      <c r="RFA92" s="248" t="n"/>
      <c r="RFB92" s="240" t="n"/>
      <c r="RFC92" s="240" t="n"/>
      <c r="RFE92" s="15" t="n"/>
      <c r="RFF92" s="15" t="n"/>
      <c r="RFG92" s="248" t="n"/>
      <c r="RFH92" s="248" t="n"/>
      <c r="RFI92" s="240" t="n"/>
      <c r="RFJ92" s="240" t="n"/>
      <c r="RFL92" s="15" t="n"/>
      <c r="RFM92" s="15" t="n"/>
      <c r="RFN92" s="248" t="n"/>
      <c r="RFO92" s="248" t="n"/>
      <c r="RFP92" s="240" t="n"/>
      <c r="RFQ92" s="240" t="n"/>
      <c r="RFS92" s="15" t="n"/>
      <c r="RFT92" s="15" t="n"/>
      <c r="RFU92" s="248" t="n"/>
      <c r="RFV92" s="248" t="n"/>
      <c r="RFW92" s="240" t="n"/>
      <c r="RFX92" s="240" t="n"/>
      <c r="RFZ92" s="15" t="n"/>
      <c r="RGA92" s="15" t="n"/>
      <c r="RGB92" s="248" t="n"/>
      <c r="RGC92" s="248" t="n"/>
      <c r="RGD92" s="240" t="n"/>
      <c r="RGE92" s="240" t="n"/>
      <c r="RGG92" s="15" t="n"/>
      <c r="RGH92" s="15" t="n"/>
      <c r="RGI92" s="248" t="n"/>
      <c r="RGJ92" s="248" t="n"/>
      <c r="RGK92" s="240" t="n"/>
      <c r="RGL92" s="240" t="n"/>
      <c r="RGN92" s="15" t="n"/>
      <c r="RGO92" s="15" t="n"/>
      <c r="RGP92" s="248" t="n"/>
      <c r="RGQ92" s="248" t="n"/>
      <c r="RGR92" s="240" t="n"/>
      <c r="RGS92" s="240" t="n"/>
      <c r="RGU92" s="15" t="n"/>
      <c r="RGV92" s="15" t="n"/>
      <c r="RGW92" s="248" t="n"/>
      <c r="RGX92" s="248" t="n"/>
      <c r="RGY92" s="240" t="n"/>
      <c r="RGZ92" s="240" t="n"/>
      <c r="RHB92" s="15" t="n"/>
      <c r="RHC92" s="15" t="n"/>
      <c r="RHD92" s="248" t="n"/>
      <c r="RHE92" s="248" t="n"/>
      <c r="RHF92" s="240" t="n"/>
      <c r="RHG92" s="240" t="n"/>
      <c r="RHI92" s="15" t="n"/>
      <c r="RHJ92" s="15" t="n"/>
      <c r="RHK92" s="248" t="n"/>
      <c r="RHL92" s="248" t="n"/>
      <c r="RHM92" s="240" t="n"/>
      <c r="RHN92" s="240" t="n"/>
      <c r="RHP92" s="15" t="n"/>
      <c r="RHQ92" s="15" t="n"/>
      <c r="RHR92" s="248" t="n"/>
      <c r="RHS92" s="248" t="n"/>
      <c r="RHT92" s="240" t="n"/>
      <c r="RHU92" s="240" t="n"/>
      <c r="RHW92" s="15" t="n"/>
      <c r="RHX92" s="15" t="n"/>
      <c r="RHY92" s="248" t="n"/>
      <c r="RHZ92" s="248" t="n"/>
      <c r="RIA92" s="240" t="n"/>
      <c r="RIB92" s="240" t="n"/>
      <c r="RID92" s="15" t="n"/>
      <c r="RIE92" s="15" t="n"/>
      <c r="RIF92" s="248" t="n"/>
      <c r="RIG92" s="248" t="n"/>
      <c r="RIH92" s="240" t="n"/>
      <c r="RII92" s="240" t="n"/>
      <c r="RIK92" s="15" t="n"/>
      <c r="RIL92" s="15" t="n"/>
      <c r="RIM92" s="248" t="n"/>
      <c r="RIN92" s="248" t="n"/>
      <c r="RIO92" s="240" t="n"/>
      <c r="RIP92" s="240" t="n"/>
      <c r="RIR92" s="15" t="n"/>
      <c r="RIS92" s="15" t="n"/>
      <c r="RIT92" s="248" t="n"/>
      <c r="RIU92" s="248" t="n"/>
      <c r="RIV92" s="240" t="n"/>
      <c r="RIW92" s="240" t="n"/>
      <c r="RIY92" s="15" t="n"/>
      <c r="RIZ92" s="15" t="n"/>
      <c r="RJA92" s="248" t="n"/>
      <c r="RJB92" s="248" t="n"/>
      <c r="RJC92" s="240" t="n"/>
      <c r="RJD92" s="240" t="n"/>
      <c r="RJF92" s="15" t="n"/>
      <c r="RJG92" s="15" t="n"/>
      <c r="RJH92" s="248" t="n"/>
      <c r="RJI92" s="248" t="n"/>
      <c r="RJJ92" s="240" t="n"/>
      <c r="RJK92" s="240" t="n"/>
      <c r="RJM92" s="15" t="n"/>
      <c r="RJN92" s="15" t="n"/>
      <c r="RJO92" s="248" t="n"/>
      <c r="RJP92" s="248" t="n"/>
      <c r="RJQ92" s="240" t="n"/>
      <c r="RJR92" s="240" t="n"/>
      <c r="RJT92" s="15" t="n"/>
      <c r="RJU92" s="15" t="n"/>
      <c r="RJV92" s="248" t="n"/>
      <c r="RJW92" s="248" t="n"/>
      <c r="RJX92" s="240" t="n"/>
      <c r="RJY92" s="240" t="n"/>
      <c r="RKA92" s="15" t="n"/>
      <c r="RKB92" s="15" t="n"/>
      <c r="RKC92" s="248" t="n"/>
      <c r="RKD92" s="248" t="n"/>
      <c r="RKE92" s="240" t="n"/>
      <c r="RKF92" s="240" t="n"/>
      <c r="RKH92" s="15" t="n"/>
      <c r="RKI92" s="15" t="n"/>
      <c r="RKJ92" s="248" t="n"/>
      <c r="RKK92" s="248" t="n"/>
      <c r="RKL92" s="240" t="n"/>
      <c r="RKM92" s="240" t="n"/>
      <c r="RKO92" s="15" t="n"/>
      <c r="RKP92" s="15" t="n"/>
      <c r="RKQ92" s="248" t="n"/>
      <c r="RKR92" s="248" t="n"/>
      <c r="RKS92" s="240" t="n"/>
      <c r="RKT92" s="240" t="n"/>
      <c r="RKV92" s="15" t="n"/>
      <c r="RKW92" s="15" t="n"/>
      <c r="RKX92" s="248" t="n"/>
      <c r="RKY92" s="248" t="n"/>
      <c r="RKZ92" s="240" t="n"/>
      <c r="RLA92" s="240" t="n"/>
      <c r="RLC92" s="15" t="n"/>
      <c r="RLD92" s="15" t="n"/>
      <c r="RLE92" s="248" t="n"/>
      <c r="RLF92" s="248" t="n"/>
      <c r="RLG92" s="240" t="n"/>
      <c r="RLH92" s="240" t="n"/>
      <c r="RLJ92" s="15" t="n"/>
      <c r="RLK92" s="15" t="n"/>
      <c r="RLL92" s="248" t="n"/>
      <c r="RLM92" s="248" t="n"/>
      <c r="RLN92" s="240" t="n"/>
      <c r="RLO92" s="240" t="n"/>
      <c r="RLQ92" s="15" t="n"/>
      <c r="RLR92" s="15" t="n"/>
      <c r="RLS92" s="248" t="n"/>
      <c r="RLT92" s="248" t="n"/>
      <c r="RLU92" s="240" t="n"/>
      <c r="RLV92" s="240" t="n"/>
      <c r="RLX92" s="15" t="n"/>
      <c r="RLY92" s="15" t="n"/>
      <c r="RLZ92" s="248" t="n"/>
      <c r="RMA92" s="248" t="n"/>
      <c r="RMB92" s="240" t="n"/>
      <c r="RMC92" s="240" t="n"/>
      <c r="RME92" s="15" t="n"/>
      <c r="RMF92" s="15" t="n"/>
      <c r="RMG92" s="248" t="n"/>
      <c r="RMH92" s="248" t="n"/>
      <c r="RMI92" s="240" t="n"/>
      <c r="RMJ92" s="240" t="n"/>
      <c r="RML92" s="15" t="n"/>
      <c r="RMM92" s="15" t="n"/>
      <c r="RMN92" s="248" t="n"/>
      <c r="RMO92" s="248" t="n"/>
      <c r="RMP92" s="240" t="n"/>
      <c r="RMQ92" s="240" t="n"/>
      <c r="RMS92" s="15" t="n"/>
      <c r="RMT92" s="15" t="n"/>
      <c r="RMU92" s="248" t="n"/>
      <c r="RMV92" s="248" t="n"/>
      <c r="RMW92" s="240" t="n"/>
      <c r="RMX92" s="240" t="n"/>
      <c r="RMZ92" s="15" t="n"/>
      <c r="RNA92" s="15" t="n"/>
      <c r="RNB92" s="248" t="n"/>
      <c r="RNC92" s="248" t="n"/>
      <c r="RND92" s="240" t="n"/>
      <c r="RNE92" s="240" t="n"/>
      <c r="RNG92" s="15" t="n"/>
      <c r="RNH92" s="15" t="n"/>
      <c r="RNI92" s="248" t="n"/>
      <c r="RNJ92" s="248" t="n"/>
      <c r="RNK92" s="240" t="n"/>
      <c r="RNL92" s="240" t="n"/>
      <c r="RNN92" s="15" t="n"/>
      <c r="RNO92" s="15" t="n"/>
      <c r="RNP92" s="248" t="n"/>
      <c r="RNQ92" s="248" t="n"/>
      <c r="RNR92" s="240" t="n"/>
      <c r="RNS92" s="240" t="n"/>
      <c r="RNU92" s="15" t="n"/>
      <c r="RNV92" s="15" t="n"/>
      <c r="RNW92" s="248" t="n"/>
      <c r="RNX92" s="248" t="n"/>
      <c r="RNY92" s="240" t="n"/>
      <c r="RNZ92" s="240" t="n"/>
      <c r="ROB92" s="15" t="n"/>
      <c r="ROC92" s="15" t="n"/>
      <c r="ROD92" s="248" t="n"/>
      <c r="ROE92" s="248" t="n"/>
      <c r="ROF92" s="240" t="n"/>
      <c r="ROG92" s="240" t="n"/>
      <c r="ROI92" s="15" t="n"/>
      <c r="ROJ92" s="15" t="n"/>
      <c r="ROK92" s="248" t="n"/>
      <c r="ROL92" s="248" t="n"/>
      <c r="ROM92" s="240" t="n"/>
      <c r="RON92" s="240" t="n"/>
      <c r="ROP92" s="15" t="n"/>
      <c r="ROQ92" s="15" t="n"/>
      <c r="ROR92" s="248" t="n"/>
      <c r="ROS92" s="248" t="n"/>
      <c r="ROT92" s="240" t="n"/>
      <c r="ROU92" s="240" t="n"/>
      <c r="ROW92" s="15" t="n"/>
      <c r="ROX92" s="15" t="n"/>
      <c r="ROY92" s="248" t="n"/>
      <c r="ROZ92" s="248" t="n"/>
      <c r="RPA92" s="240" t="n"/>
      <c r="RPB92" s="240" t="n"/>
      <c r="RPD92" s="15" t="n"/>
      <c r="RPE92" s="15" t="n"/>
      <c r="RPF92" s="248" t="n"/>
      <c r="RPG92" s="248" t="n"/>
      <c r="RPH92" s="240" t="n"/>
      <c r="RPI92" s="240" t="n"/>
      <c r="RPK92" s="15" t="n"/>
      <c r="RPL92" s="15" t="n"/>
      <c r="RPM92" s="248" t="n"/>
      <c r="RPN92" s="248" t="n"/>
      <c r="RPO92" s="240" t="n"/>
      <c r="RPP92" s="240" t="n"/>
      <c r="RPR92" s="15" t="n"/>
      <c r="RPS92" s="15" t="n"/>
      <c r="RPT92" s="248" t="n"/>
      <c r="RPU92" s="248" t="n"/>
      <c r="RPV92" s="240" t="n"/>
      <c r="RPW92" s="240" t="n"/>
      <c r="RPY92" s="15" t="n"/>
      <c r="RPZ92" s="15" t="n"/>
      <c r="RQA92" s="248" t="n"/>
      <c r="RQB92" s="248" t="n"/>
      <c r="RQC92" s="240" t="n"/>
      <c r="RQD92" s="240" t="n"/>
      <c r="RQF92" s="15" t="n"/>
      <c r="RQG92" s="15" t="n"/>
      <c r="RQH92" s="248" t="n"/>
      <c r="RQI92" s="248" t="n"/>
      <c r="RQJ92" s="240" t="n"/>
      <c r="RQK92" s="240" t="n"/>
      <c r="RQM92" s="15" t="n"/>
      <c r="RQN92" s="15" t="n"/>
      <c r="RQO92" s="248" t="n"/>
      <c r="RQP92" s="248" t="n"/>
      <c r="RQQ92" s="240" t="n"/>
      <c r="RQR92" s="240" t="n"/>
      <c r="RQT92" s="15" t="n"/>
      <c r="RQU92" s="15" t="n"/>
      <c r="RQV92" s="248" t="n"/>
      <c r="RQW92" s="248" t="n"/>
      <c r="RQX92" s="240" t="n"/>
      <c r="RQY92" s="240" t="n"/>
      <c r="RRA92" s="15" t="n"/>
      <c r="RRB92" s="15" t="n"/>
      <c r="RRC92" s="248" t="n"/>
      <c r="RRD92" s="248" t="n"/>
      <c r="RRE92" s="240" t="n"/>
      <c r="RRF92" s="240" t="n"/>
      <c r="RRH92" s="15" t="n"/>
      <c r="RRI92" s="15" t="n"/>
      <c r="RRJ92" s="248" t="n"/>
      <c r="RRK92" s="248" t="n"/>
      <c r="RRL92" s="240" t="n"/>
      <c r="RRM92" s="240" t="n"/>
      <c r="RRO92" s="15" t="n"/>
      <c r="RRP92" s="15" t="n"/>
      <c r="RRQ92" s="248" t="n"/>
      <c r="RRR92" s="248" t="n"/>
      <c r="RRS92" s="240" t="n"/>
      <c r="RRT92" s="240" t="n"/>
      <c r="RRV92" s="15" t="n"/>
      <c r="RRW92" s="15" t="n"/>
      <c r="RRX92" s="248" t="n"/>
      <c r="RRY92" s="248" t="n"/>
      <c r="RRZ92" s="240" t="n"/>
      <c r="RSA92" s="240" t="n"/>
      <c r="RSC92" s="15" t="n"/>
      <c r="RSD92" s="15" t="n"/>
      <c r="RSE92" s="248" t="n"/>
      <c r="RSF92" s="248" t="n"/>
      <c r="RSG92" s="240" t="n"/>
      <c r="RSH92" s="240" t="n"/>
      <c r="RSJ92" s="15" t="n"/>
      <c r="RSK92" s="15" t="n"/>
      <c r="RSL92" s="248" t="n"/>
      <c r="RSM92" s="248" t="n"/>
      <c r="RSN92" s="240" t="n"/>
      <c r="RSO92" s="240" t="n"/>
      <c r="RSQ92" s="15" t="n"/>
      <c r="RSR92" s="15" t="n"/>
      <c r="RSS92" s="248" t="n"/>
      <c r="RST92" s="248" t="n"/>
      <c r="RSU92" s="240" t="n"/>
      <c r="RSV92" s="240" t="n"/>
      <c r="RSX92" s="15" t="n"/>
      <c r="RSY92" s="15" t="n"/>
      <c r="RSZ92" s="248" t="n"/>
      <c r="RTA92" s="248" t="n"/>
      <c r="RTB92" s="240" t="n"/>
      <c r="RTC92" s="240" t="n"/>
      <c r="RTE92" s="15" t="n"/>
      <c r="RTF92" s="15" t="n"/>
      <c r="RTG92" s="248" t="n"/>
      <c r="RTH92" s="248" t="n"/>
      <c r="RTI92" s="240" t="n"/>
      <c r="RTJ92" s="240" t="n"/>
      <c r="RTL92" s="15" t="n"/>
      <c r="RTM92" s="15" t="n"/>
      <c r="RTN92" s="248" t="n"/>
      <c r="RTO92" s="248" t="n"/>
      <c r="RTP92" s="240" t="n"/>
      <c r="RTQ92" s="240" t="n"/>
      <c r="RTS92" s="15" t="n"/>
      <c r="RTT92" s="15" t="n"/>
      <c r="RTU92" s="248" t="n"/>
      <c r="RTV92" s="248" t="n"/>
      <c r="RTW92" s="240" t="n"/>
      <c r="RTX92" s="240" t="n"/>
      <c r="RTZ92" s="15" t="n"/>
      <c r="RUA92" s="15" t="n"/>
      <c r="RUB92" s="248" t="n"/>
      <c r="RUC92" s="248" t="n"/>
      <c r="RUD92" s="240" t="n"/>
      <c r="RUE92" s="240" t="n"/>
      <c r="RUG92" s="15" t="n"/>
      <c r="RUH92" s="15" t="n"/>
      <c r="RUI92" s="248" t="n"/>
      <c r="RUJ92" s="248" t="n"/>
      <c r="RUK92" s="240" t="n"/>
      <c r="RUL92" s="240" t="n"/>
      <c r="RUN92" s="15" t="n"/>
      <c r="RUO92" s="15" t="n"/>
      <c r="RUP92" s="248" t="n"/>
      <c r="RUQ92" s="248" t="n"/>
      <c r="RUR92" s="240" t="n"/>
      <c r="RUS92" s="240" t="n"/>
      <c r="RUU92" s="15" t="n"/>
      <c r="RUV92" s="15" t="n"/>
      <c r="RUW92" s="248" t="n"/>
      <c r="RUX92" s="248" t="n"/>
      <c r="RUY92" s="240" t="n"/>
      <c r="RUZ92" s="240" t="n"/>
      <c r="RVB92" s="15" t="n"/>
      <c r="RVC92" s="15" t="n"/>
      <c r="RVD92" s="248" t="n"/>
      <c r="RVE92" s="248" t="n"/>
      <c r="RVF92" s="240" t="n"/>
      <c r="RVG92" s="240" t="n"/>
      <c r="RVI92" s="15" t="n"/>
      <c r="RVJ92" s="15" t="n"/>
      <c r="RVK92" s="248" t="n"/>
      <c r="RVL92" s="248" t="n"/>
      <c r="RVM92" s="240" t="n"/>
      <c r="RVN92" s="240" t="n"/>
      <c r="RVP92" s="15" t="n"/>
      <c r="RVQ92" s="15" t="n"/>
      <c r="RVR92" s="248" t="n"/>
      <c r="RVS92" s="248" t="n"/>
      <c r="RVT92" s="240" t="n"/>
      <c r="RVU92" s="240" t="n"/>
      <c r="RVW92" s="15" t="n"/>
      <c r="RVX92" s="15" t="n"/>
      <c r="RVY92" s="248" t="n"/>
      <c r="RVZ92" s="248" t="n"/>
      <c r="RWA92" s="240" t="n"/>
      <c r="RWB92" s="240" t="n"/>
      <c r="RWD92" s="15" t="n"/>
      <c r="RWE92" s="15" t="n"/>
      <c r="RWF92" s="248" t="n"/>
      <c r="RWG92" s="248" t="n"/>
      <c r="RWH92" s="240" t="n"/>
      <c r="RWI92" s="240" t="n"/>
      <c r="RWK92" s="15" t="n"/>
      <c r="RWL92" s="15" t="n"/>
      <c r="RWM92" s="248" t="n"/>
      <c r="RWN92" s="248" t="n"/>
      <c r="RWO92" s="240" t="n"/>
      <c r="RWP92" s="240" t="n"/>
      <c r="RWR92" s="15" t="n"/>
      <c r="RWS92" s="15" t="n"/>
      <c r="RWT92" s="248" t="n"/>
      <c r="RWU92" s="248" t="n"/>
      <c r="RWV92" s="240" t="n"/>
      <c r="RWW92" s="240" t="n"/>
      <c r="RWY92" s="15" t="n"/>
      <c r="RWZ92" s="15" t="n"/>
      <c r="RXA92" s="248" t="n"/>
      <c r="RXB92" s="248" t="n"/>
      <c r="RXC92" s="240" t="n"/>
      <c r="RXD92" s="240" t="n"/>
      <c r="RXF92" s="15" t="n"/>
      <c r="RXG92" s="15" t="n"/>
      <c r="RXH92" s="248" t="n"/>
      <c r="RXI92" s="248" t="n"/>
      <c r="RXJ92" s="240" t="n"/>
      <c r="RXK92" s="240" t="n"/>
      <c r="RXM92" s="15" t="n"/>
      <c r="RXN92" s="15" t="n"/>
      <c r="RXO92" s="248" t="n"/>
      <c r="RXP92" s="248" t="n"/>
      <c r="RXQ92" s="240" t="n"/>
      <c r="RXR92" s="240" t="n"/>
      <c r="RXT92" s="15" t="n"/>
      <c r="RXU92" s="15" t="n"/>
      <c r="RXV92" s="248" t="n"/>
      <c r="RXW92" s="248" t="n"/>
      <c r="RXX92" s="240" t="n"/>
      <c r="RXY92" s="240" t="n"/>
      <c r="RYA92" s="15" t="n"/>
      <c r="RYB92" s="15" t="n"/>
      <c r="RYC92" s="248" t="n"/>
      <c r="RYD92" s="248" t="n"/>
      <c r="RYE92" s="240" t="n"/>
      <c r="RYF92" s="240" t="n"/>
      <c r="RYH92" s="15" t="n"/>
      <c r="RYI92" s="15" t="n"/>
      <c r="RYJ92" s="248" t="n"/>
      <c r="RYK92" s="248" t="n"/>
      <c r="RYL92" s="240" t="n"/>
      <c r="RYM92" s="240" t="n"/>
      <c r="RYO92" s="15" t="n"/>
      <c r="RYP92" s="15" t="n"/>
      <c r="RYQ92" s="248" t="n"/>
      <c r="RYR92" s="248" t="n"/>
      <c r="RYS92" s="240" t="n"/>
      <c r="RYT92" s="240" t="n"/>
      <c r="RYV92" s="15" t="n"/>
      <c r="RYW92" s="15" t="n"/>
      <c r="RYX92" s="248" t="n"/>
      <c r="RYY92" s="248" t="n"/>
      <c r="RYZ92" s="240" t="n"/>
      <c r="RZA92" s="240" t="n"/>
      <c r="RZC92" s="15" t="n"/>
      <c r="RZD92" s="15" t="n"/>
      <c r="RZE92" s="248" t="n"/>
      <c r="RZF92" s="248" t="n"/>
      <c r="RZG92" s="240" t="n"/>
      <c r="RZH92" s="240" t="n"/>
      <c r="RZJ92" s="15" t="n"/>
      <c r="RZK92" s="15" t="n"/>
      <c r="RZL92" s="248" t="n"/>
      <c r="RZM92" s="248" t="n"/>
      <c r="RZN92" s="240" t="n"/>
      <c r="RZO92" s="240" t="n"/>
      <c r="RZQ92" s="15" t="n"/>
      <c r="RZR92" s="15" t="n"/>
      <c r="RZS92" s="248" t="n"/>
      <c r="RZT92" s="248" t="n"/>
      <c r="RZU92" s="240" t="n"/>
      <c r="RZV92" s="240" t="n"/>
      <c r="RZX92" s="15" t="n"/>
      <c r="RZY92" s="15" t="n"/>
      <c r="RZZ92" s="248" t="n"/>
      <c r="SAA92" s="248" t="n"/>
      <c r="SAB92" s="240" t="n"/>
      <c r="SAC92" s="240" t="n"/>
      <c r="SAE92" s="15" t="n"/>
      <c r="SAF92" s="15" t="n"/>
      <c r="SAG92" s="248" t="n"/>
      <c r="SAH92" s="248" t="n"/>
      <c r="SAI92" s="240" t="n"/>
      <c r="SAJ92" s="240" t="n"/>
      <c r="SAL92" s="15" t="n"/>
      <c r="SAM92" s="15" t="n"/>
      <c r="SAN92" s="248" t="n"/>
      <c r="SAO92" s="248" t="n"/>
      <c r="SAP92" s="240" t="n"/>
      <c r="SAQ92" s="240" t="n"/>
      <c r="SAS92" s="15" t="n"/>
      <c r="SAT92" s="15" t="n"/>
      <c r="SAU92" s="248" t="n"/>
      <c r="SAV92" s="248" t="n"/>
      <c r="SAW92" s="240" t="n"/>
      <c r="SAX92" s="240" t="n"/>
      <c r="SAZ92" s="15" t="n"/>
      <c r="SBA92" s="15" t="n"/>
      <c r="SBB92" s="248" t="n"/>
      <c r="SBC92" s="248" t="n"/>
      <c r="SBD92" s="240" t="n"/>
      <c r="SBE92" s="240" t="n"/>
      <c r="SBG92" s="15" t="n"/>
      <c r="SBH92" s="15" t="n"/>
      <c r="SBI92" s="248" t="n"/>
      <c r="SBJ92" s="248" t="n"/>
      <c r="SBK92" s="240" t="n"/>
      <c r="SBL92" s="240" t="n"/>
      <c r="SBN92" s="15" t="n"/>
      <c r="SBO92" s="15" t="n"/>
      <c r="SBP92" s="248" t="n"/>
      <c r="SBQ92" s="248" t="n"/>
      <c r="SBR92" s="240" t="n"/>
      <c r="SBS92" s="240" t="n"/>
      <c r="SBU92" s="15" t="n"/>
      <c r="SBV92" s="15" t="n"/>
      <c r="SBW92" s="248" t="n"/>
      <c r="SBX92" s="248" t="n"/>
      <c r="SBY92" s="240" t="n"/>
      <c r="SBZ92" s="240" t="n"/>
      <c r="SCB92" s="15" t="n"/>
      <c r="SCC92" s="15" t="n"/>
      <c r="SCD92" s="248" t="n"/>
      <c r="SCE92" s="248" t="n"/>
      <c r="SCF92" s="240" t="n"/>
      <c r="SCG92" s="240" t="n"/>
      <c r="SCI92" s="15" t="n"/>
      <c r="SCJ92" s="15" t="n"/>
      <c r="SCK92" s="248" t="n"/>
      <c r="SCL92" s="248" t="n"/>
      <c r="SCM92" s="240" t="n"/>
      <c r="SCN92" s="240" t="n"/>
      <c r="SCP92" s="15" t="n"/>
      <c r="SCQ92" s="15" t="n"/>
      <c r="SCR92" s="248" t="n"/>
      <c r="SCS92" s="248" t="n"/>
      <c r="SCT92" s="240" t="n"/>
      <c r="SCU92" s="240" t="n"/>
      <c r="SCW92" s="15" t="n"/>
      <c r="SCX92" s="15" t="n"/>
      <c r="SCY92" s="248" t="n"/>
      <c r="SCZ92" s="248" t="n"/>
      <c r="SDA92" s="240" t="n"/>
      <c r="SDB92" s="240" t="n"/>
      <c r="SDD92" s="15" t="n"/>
      <c r="SDE92" s="15" t="n"/>
      <c r="SDF92" s="248" t="n"/>
      <c r="SDG92" s="248" t="n"/>
      <c r="SDH92" s="240" t="n"/>
      <c r="SDI92" s="240" t="n"/>
      <c r="SDK92" s="15" t="n"/>
      <c r="SDL92" s="15" t="n"/>
      <c r="SDM92" s="248" t="n"/>
      <c r="SDN92" s="248" t="n"/>
      <c r="SDO92" s="240" t="n"/>
      <c r="SDP92" s="240" t="n"/>
      <c r="SDR92" s="15" t="n"/>
      <c r="SDS92" s="15" t="n"/>
      <c r="SDT92" s="248" t="n"/>
      <c r="SDU92" s="248" t="n"/>
      <c r="SDV92" s="240" t="n"/>
      <c r="SDW92" s="240" t="n"/>
      <c r="SDY92" s="15" t="n"/>
      <c r="SDZ92" s="15" t="n"/>
      <c r="SEA92" s="248" t="n"/>
      <c r="SEB92" s="248" t="n"/>
      <c r="SEC92" s="240" t="n"/>
      <c r="SED92" s="240" t="n"/>
      <c r="SEF92" s="15" t="n"/>
      <c r="SEG92" s="15" t="n"/>
      <c r="SEH92" s="248" t="n"/>
      <c r="SEI92" s="248" t="n"/>
      <c r="SEJ92" s="240" t="n"/>
      <c r="SEK92" s="240" t="n"/>
      <c r="SEM92" s="15" t="n"/>
      <c r="SEN92" s="15" t="n"/>
      <c r="SEO92" s="248" t="n"/>
      <c r="SEP92" s="248" t="n"/>
      <c r="SEQ92" s="240" t="n"/>
      <c r="SER92" s="240" t="n"/>
      <c r="SET92" s="15" t="n"/>
      <c r="SEU92" s="15" t="n"/>
      <c r="SEV92" s="248" t="n"/>
      <c r="SEW92" s="248" t="n"/>
      <c r="SEX92" s="240" t="n"/>
      <c r="SEY92" s="240" t="n"/>
      <c r="SFA92" s="15" t="n"/>
      <c r="SFB92" s="15" t="n"/>
      <c r="SFC92" s="248" t="n"/>
      <c r="SFD92" s="248" t="n"/>
      <c r="SFE92" s="240" t="n"/>
      <c r="SFF92" s="240" t="n"/>
      <c r="SFH92" s="15" t="n"/>
      <c r="SFI92" s="15" t="n"/>
      <c r="SFJ92" s="248" t="n"/>
      <c r="SFK92" s="248" t="n"/>
      <c r="SFL92" s="240" t="n"/>
      <c r="SFM92" s="240" t="n"/>
      <c r="SFO92" s="15" t="n"/>
      <c r="SFP92" s="15" t="n"/>
      <c r="SFQ92" s="248" t="n"/>
      <c r="SFR92" s="248" t="n"/>
      <c r="SFS92" s="240" t="n"/>
      <c r="SFT92" s="240" t="n"/>
      <c r="SFV92" s="15" t="n"/>
      <c r="SFW92" s="15" t="n"/>
      <c r="SFX92" s="248" t="n"/>
      <c r="SFY92" s="248" t="n"/>
      <c r="SFZ92" s="240" t="n"/>
      <c r="SGA92" s="240" t="n"/>
      <c r="SGC92" s="15" t="n"/>
      <c r="SGD92" s="15" t="n"/>
      <c r="SGE92" s="248" t="n"/>
      <c r="SGF92" s="248" t="n"/>
      <c r="SGG92" s="240" t="n"/>
      <c r="SGH92" s="240" t="n"/>
      <c r="SGJ92" s="15" t="n"/>
      <c r="SGK92" s="15" t="n"/>
      <c r="SGL92" s="248" t="n"/>
      <c r="SGM92" s="248" t="n"/>
      <c r="SGN92" s="240" t="n"/>
      <c r="SGO92" s="240" t="n"/>
      <c r="SGQ92" s="15" t="n"/>
      <c r="SGR92" s="15" t="n"/>
      <c r="SGS92" s="248" t="n"/>
      <c r="SGT92" s="248" t="n"/>
      <c r="SGU92" s="240" t="n"/>
      <c r="SGV92" s="240" t="n"/>
      <c r="SGX92" s="15" t="n"/>
      <c r="SGY92" s="15" t="n"/>
      <c r="SGZ92" s="248" t="n"/>
      <c r="SHA92" s="248" t="n"/>
      <c r="SHB92" s="240" t="n"/>
      <c r="SHC92" s="240" t="n"/>
      <c r="SHE92" s="15" t="n"/>
      <c r="SHF92" s="15" t="n"/>
      <c r="SHG92" s="248" t="n"/>
      <c r="SHH92" s="248" t="n"/>
      <c r="SHI92" s="240" t="n"/>
      <c r="SHJ92" s="240" t="n"/>
      <c r="SHL92" s="15" t="n"/>
      <c r="SHM92" s="15" t="n"/>
      <c r="SHN92" s="248" t="n"/>
      <c r="SHO92" s="248" t="n"/>
      <c r="SHP92" s="240" t="n"/>
      <c r="SHQ92" s="240" t="n"/>
      <c r="SHS92" s="15" t="n"/>
      <c r="SHT92" s="15" t="n"/>
      <c r="SHU92" s="248" t="n"/>
      <c r="SHV92" s="248" t="n"/>
      <c r="SHW92" s="240" t="n"/>
      <c r="SHX92" s="240" t="n"/>
      <c r="SHZ92" s="15" t="n"/>
      <c r="SIA92" s="15" t="n"/>
      <c r="SIB92" s="248" t="n"/>
      <c r="SIC92" s="248" t="n"/>
      <c r="SID92" s="240" t="n"/>
      <c r="SIE92" s="240" t="n"/>
      <c r="SIG92" s="15" t="n"/>
      <c r="SIH92" s="15" t="n"/>
      <c r="SII92" s="248" t="n"/>
      <c r="SIJ92" s="248" t="n"/>
      <c r="SIK92" s="240" t="n"/>
      <c r="SIL92" s="240" t="n"/>
      <c r="SIN92" s="15" t="n"/>
      <c r="SIO92" s="15" t="n"/>
      <c r="SIP92" s="248" t="n"/>
      <c r="SIQ92" s="248" t="n"/>
      <c r="SIR92" s="240" t="n"/>
      <c r="SIS92" s="240" t="n"/>
      <c r="SIU92" s="15" t="n"/>
      <c r="SIV92" s="15" t="n"/>
      <c r="SIW92" s="248" t="n"/>
      <c r="SIX92" s="248" t="n"/>
      <c r="SIY92" s="240" t="n"/>
      <c r="SIZ92" s="240" t="n"/>
      <c r="SJB92" s="15" t="n"/>
      <c r="SJC92" s="15" t="n"/>
      <c r="SJD92" s="248" t="n"/>
      <c r="SJE92" s="248" t="n"/>
      <c r="SJF92" s="240" t="n"/>
      <c r="SJG92" s="240" t="n"/>
      <c r="SJI92" s="15" t="n"/>
      <c r="SJJ92" s="15" t="n"/>
      <c r="SJK92" s="248" t="n"/>
      <c r="SJL92" s="248" t="n"/>
      <c r="SJM92" s="240" t="n"/>
      <c r="SJN92" s="240" t="n"/>
      <c r="SJP92" s="15" t="n"/>
      <c r="SJQ92" s="15" t="n"/>
      <c r="SJR92" s="248" t="n"/>
      <c r="SJS92" s="248" t="n"/>
      <c r="SJT92" s="240" t="n"/>
      <c r="SJU92" s="240" t="n"/>
      <c r="SJW92" s="15" t="n"/>
      <c r="SJX92" s="15" t="n"/>
      <c r="SJY92" s="248" t="n"/>
      <c r="SJZ92" s="248" t="n"/>
      <c r="SKA92" s="240" t="n"/>
      <c r="SKB92" s="240" t="n"/>
      <c r="SKD92" s="15" t="n"/>
      <c r="SKE92" s="15" t="n"/>
      <c r="SKF92" s="248" t="n"/>
      <c r="SKG92" s="248" t="n"/>
      <c r="SKH92" s="240" t="n"/>
      <c r="SKI92" s="240" t="n"/>
      <c r="SKK92" s="15" t="n"/>
      <c r="SKL92" s="15" t="n"/>
      <c r="SKM92" s="248" t="n"/>
      <c r="SKN92" s="248" t="n"/>
      <c r="SKO92" s="240" t="n"/>
      <c r="SKP92" s="240" t="n"/>
      <c r="SKR92" s="15" t="n"/>
      <c r="SKS92" s="15" t="n"/>
      <c r="SKT92" s="248" t="n"/>
      <c r="SKU92" s="248" t="n"/>
      <c r="SKV92" s="240" t="n"/>
      <c r="SKW92" s="240" t="n"/>
      <c r="SKY92" s="15" t="n"/>
      <c r="SKZ92" s="15" t="n"/>
      <c r="SLA92" s="248" t="n"/>
      <c r="SLB92" s="248" t="n"/>
      <c r="SLC92" s="240" t="n"/>
      <c r="SLD92" s="240" t="n"/>
      <c r="SLF92" s="15" t="n"/>
      <c r="SLG92" s="15" t="n"/>
      <c r="SLH92" s="248" t="n"/>
      <c r="SLI92" s="248" t="n"/>
      <c r="SLJ92" s="240" t="n"/>
      <c r="SLK92" s="240" t="n"/>
      <c r="SLM92" s="15" t="n"/>
      <c r="SLN92" s="15" t="n"/>
      <c r="SLO92" s="248" t="n"/>
      <c r="SLP92" s="248" t="n"/>
      <c r="SLQ92" s="240" t="n"/>
      <c r="SLR92" s="240" t="n"/>
      <c r="SLT92" s="15" t="n"/>
      <c r="SLU92" s="15" t="n"/>
      <c r="SLV92" s="248" t="n"/>
      <c r="SLW92" s="248" t="n"/>
      <c r="SLX92" s="240" t="n"/>
      <c r="SLY92" s="240" t="n"/>
      <c r="SMA92" s="15" t="n"/>
      <c r="SMB92" s="15" t="n"/>
      <c r="SMC92" s="248" t="n"/>
      <c r="SMD92" s="248" t="n"/>
      <c r="SME92" s="240" t="n"/>
      <c r="SMF92" s="240" t="n"/>
      <c r="SMH92" s="15" t="n"/>
      <c r="SMI92" s="15" t="n"/>
      <c r="SMJ92" s="248" t="n"/>
      <c r="SMK92" s="248" t="n"/>
      <c r="SML92" s="240" t="n"/>
      <c r="SMM92" s="240" t="n"/>
      <c r="SMO92" s="15" t="n"/>
      <c r="SMP92" s="15" t="n"/>
      <c r="SMQ92" s="248" t="n"/>
      <c r="SMR92" s="248" t="n"/>
      <c r="SMS92" s="240" t="n"/>
      <c r="SMT92" s="240" t="n"/>
      <c r="SMV92" s="15" t="n"/>
      <c r="SMW92" s="15" t="n"/>
      <c r="SMX92" s="248" t="n"/>
      <c r="SMY92" s="248" t="n"/>
      <c r="SMZ92" s="240" t="n"/>
      <c r="SNA92" s="240" t="n"/>
      <c r="SNC92" s="15" t="n"/>
      <c r="SND92" s="15" t="n"/>
      <c r="SNE92" s="248" t="n"/>
      <c r="SNF92" s="248" t="n"/>
      <c r="SNG92" s="240" t="n"/>
      <c r="SNH92" s="240" t="n"/>
      <c r="SNJ92" s="15" t="n"/>
      <c r="SNK92" s="15" t="n"/>
      <c r="SNL92" s="248" t="n"/>
      <c r="SNM92" s="248" t="n"/>
      <c r="SNN92" s="240" t="n"/>
      <c r="SNO92" s="240" t="n"/>
      <c r="SNQ92" s="15" t="n"/>
      <c r="SNR92" s="15" t="n"/>
      <c r="SNS92" s="248" t="n"/>
      <c r="SNT92" s="248" t="n"/>
      <c r="SNU92" s="240" t="n"/>
      <c r="SNV92" s="240" t="n"/>
      <c r="SNX92" s="15" t="n"/>
      <c r="SNY92" s="15" t="n"/>
      <c r="SNZ92" s="248" t="n"/>
      <c r="SOA92" s="248" t="n"/>
      <c r="SOB92" s="240" t="n"/>
      <c r="SOC92" s="240" t="n"/>
      <c r="SOE92" s="15" t="n"/>
      <c r="SOF92" s="15" t="n"/>
      <c r="SOG92" s="248" t="n"/>
      <c r="SOH92" s="248" t="n"/>
      <c r="SOI92" s="240" t="n"/>
      <c r="SOJ92" s="240" t="n"/>
      <c r="SOL92" s="15" t="n"/>
      <c r="SOM92" s="15" t="n"/>
      <c r="SON92" s="248" t="n"/>
      <c r="SOO92" s="248" t="n"/>
      <c r="SOP92" s="240" t="n"/>
      <c r="SOQ92" s="240" t="n"/>
      <c r="SOS92" s="15" t="n"/>
      <c r="SOT92" s="15" t="n"/>
      <c r="SOU92" s="248" t="n"/>
      <c r="SOV92" s="248" t="n"/>
      <c r="SOW92" s="240" t="n"/>
      <c r="SOX92" s="240" t="n"/>
      <c r="SOZ92" s="15" t="n"/>
      <c r="SPA92" s="15" t="n"/>
      <c r="SPB92" s="248" t="n"/>
      <c r="SPC92" s="248" t="n"/>
      <c r="SPD92" s="240" t="n"/>
      <c r="SPE92" s="240" t="n"/>
      <c r="SPG92" s="15" t="n"/>
      <c r="SPH92" s="15" t="n"/>
      <c r="SPI92" s="248" t="n"/>
      <c r="SPJ92" s="248" t="n"/>
      <c r="SPK92" s="240" t="n"/>
      <c r="SPL92" s="240" t="n"/>
      <c r="SPN92" s="15" t="n"/>
      <c r="SPO92" s="15" t="n"/>
      <c r="SPP92" s="248" t="n"/>
      <c r="SPQ92" s="248" t="n"/>
      <c r="SPR92" s="240" t="n"/>
      <c r="SPS92" s="240" t="n"/>
      <c r="SPU92" s="15" t="n"/>
      <c r="SPV92" s="15" t="n"/>
      <c r="SPW92" s="248" t="n"/>
      <c r="SPX92" s="248" t="n"/>
      <c r="SPY92" s="240" t="n"/>
      <c r="SPZ92" s="240" t="n"/>
      <c r="SQB92" s="15" t="n"/>
      <c r="SQC92" s="15" t="n"/>
      <c r="SQD92" s="248" t="n"/>
      <c r="SQE92" s="248" t="n"/>
      <c r="SQF92" s="240" t="n"/>
      <c r="SQG92" s="240" t="n"/>
      <c r="SQI92" s="15" t="n"/>
      <c r="SQJ92" s="15" t="n"/>
      <c r="SQK92" s="248" t="n"/>
      <c r="SQL92" s="248" t="n"/>
      <c r="SQM92" s="240" t="n"/>
      <c r="SQN92" s="240" t="n"/>
      <c r="SQP92" s="15" t="n"/>
      <c r="SQQ92" s="15" t="n"/>
      <c r="SQR92" s="248" t="n"/>
      <c r="SQS92" s="248" t="n"/>
      <c r="SQT92" s="240" t="n"/>
      <c r="SQU92" s="240" t="n"/>
      <c r="SQW92" s="15" t="n"/>
      <c r="SQX92" s="15" t="n"/>
      <c r="SQY92" s="248" t="n"/>
      <c r="SQZ92" s="248" t="n"/>
      <c r="SRA92" s="240" t="n"/>
      <c r="SRB92" s="240" t="n"/>
      <c r="SRD92" s="15" t="n"/>
      <c r="SRE92" s="15" t="n"/>
      <c r="SRF92" s="248" t="n"/>
      <c r="SRG92" s="248" t="n"/>
      <c r="SRH92" s="240" t="n"/>
      <c r="SRI92" s="240" t="n"/>
      <c r="SRK92" s="15" t="n"/>
      <c r="SRL92" s="15" t="n"/>
      <c r="SRM92" s="248" t="n"/>
      <c r="SRN92" s="248" t="n"/>
      <c r="SRO92" s="240" t="n"/>
      <c r="SRP92" s="240" t="n"/>
      <c r="SRR92" s="15" t="n"/>
      <c r="SRS92" s="15" t="n"/>
      <c r="SRT92" s="248" t="n"/>
      <c r="SRU92" s="248" t="n"/>
      <c r="SRV92" s="240" t="n"/>
      <c r="SRW92" s="240" t="n"/>
      <c r="SRY92" s="15" t="n"/>
      <c r="SRZ92" s="15" t="n"/>
      <c r="SSA92" s="248" t="n"/>
      <c r="SSB92" s="248" t="n"/>
      <c r="SSC92" s="240" t="n"/>
      <c r="SSD92" s="240" t="n"/>
      <c r="SSF92" s="15" t="n"/>
      <c r="SSG92" s="15" t="n"/>
      <c r="SSH92" s="248" t="n"/>
      <c r="SSI92" s="248" t="n"/>
      <c r="SSJ92" s="240" t="n"/>
      <c r="SSK92" s="240" t="n"/>
      <c r="SSM92" s="15" t="n"/>
      <c r="SSN92" s="15" t="n"/>
      <c r="SSO92" s="248" t="n"/>
      <c r="SSP92" s="248" t="n"/>
      <c r="SSQ92" s="240" t="n"/>
      <c r="SSR92" s="240" t="n"/>
      <c r="SST92" s="15" t="n"/>
      <c r="SSU92" s="15" t="n"/>
      <c r="SSV92" s="248" t="n"/>
      <c r="SSW92" s="248" t="n"/>
      <c r="SSX92" s="240" t="n"/>
      <c r="SSY92" s="240" t="n"/>
      <c r="STA92" s="15" t="n"/>
      <c r="STB92" s="15" t="n"/>
      <c r="STC92" s="248" t="n"/>
      <c r="STD92" s="248" t="n"/>
      <c r="STE92" s="240" t="n"/>
      <c r="STF92" s="240" t="n"/>
      <c r="STH92" s="15" t="n"/>
      <c r="STI92" s="15" t="n"/>
      <c r="STJ92" s="248" t="n"/>
      <c r="STK92" s="248" t="n"/>
      <c r="STL92" s="240" t="n"/>
      <c r="STM92" s="240" t="n"/>
      <c r="STO92" s="15" t="n"/>
      <c r="STP92" s="15" t="n"/>
      <c r="STQ92" s="248" t="n"/>
      <c r="STR92" s="248" t="n"/>
      <c r="STS92" s="240" t="n"/>
      <c r="STT92" s="240" t="n"/>
      <c r="STV92" s="15" t="n"/>
      <c r="STW92" s="15" t="n"/>
      <c r="STX92" s="248" t="n"/>
      <c r="STY92" s="248" t="n"/>
      <c r="STZ92" s="240" t="n"/>
      <c r="SUA92" s="240" t="n"/>
      <c r="SUC92" s="15" t="n"/>
      <c r="SUD92" s="15" t="n"/>
      <c r="SUE92" s="248" t="n"/>
      <c r="SUF92" s="248" t="n"/>
      <c r="SUG92" s="240" t="n"/>
      <c r="SUH92" s="240" t="n"/>
      <c r="SUJ92" s="15" t="n"/>
      <c r="SUK92" s="15" t="n"/>
      <c r="SUL92" s="248" t="n"/>
      <c r="SUM92" s="248" t="n"/>
      <c r="SUN92" s="240" t="n"/>
      <c r="SUO92" s="240" t="n"/>
      <c r="SUQ92" s="15" t="n"/>
      <c r="SUR92" s="15" t="n"/>
      <c r="SUS92" s="248" t="n"/>
      <c r="SUT92" s="248" t="n"/>
      <c r="SUU92" s="240" t="n"/>
      <c r="SUV92" s="240" t="n"/>
      <c r="SUX92" s="15" t="n"/>
      <c r="SUY92" s="15" t="n"/>
      <c r="SUZ92" s="248" t="n"/>
      <c r="SVA92" s="248" t="n"/>
      <c r="SVB92" s="240" t="n"/>
      <c r="SVC92" s="240" t="n"/>
      <c r="SVE92" s="15" t="n"/>
      <c r="SVF92" s="15" t="n"/>
      <c r="SVG92" s="248" t="n"/>
      <c r="SVH92" s="248" t="n"/>
      <c r="SVI92" s="240" t="n"/>
      <c r="SVJ92" s="240" t="n"/>
      <c r="SVL92" s="15" t="n"/>
      <c r="SVM92" s="15" t="n"/>
      <c r="SVN92" s="248" t="n"/>
      <c r="SVO92" s="248" t="n"/>
      <c r="SVP92" s="240" t="n"/>
      <c r="SVQ92" s="240" t="n"/>
      <c r="SVS92" s="15" t="n"/>
      <c r="SVT92" s="15" t="n"/>
      <c r="SVU92" s="248" t="n"/>
      <c r="SVV92" s="248" t="n"/>
      <c r="SVW92" s="240" t="n"/>
      <c r="SVX92" s="240" t="n"/>
      <c r="SVZ92" s="15" t="n"/>
      <c r="SWA92" s="15" t="n"/>
      <c r="SWB92" s="248" t="n"/>
      <c r="SWC92" s="248" t="n"/>
      <c r="SWD92" s="240" t="n"/>
      <c r="SWE92" s="240" t="n"/>
      <c r="SWG92" s="15" t="n"/>
      <c r="SWH92" s="15" t="n"/>
      <c r="SWI92" s="248" t="n"/>
      <c r="SWJ92" s="248" t="n"/>
      <c r="SWK92" s="240" t="n"/>
      <c r="SWL92" s="240" t="n"/>
      <c r="SWN92" s="15" t="n"/>
      <c r="SWO92" s="15" t="n"/>
      <c r="SWP92" s="248" t="n"/>
      <c r="SWQ92" s="248" t="n"/>
      <c r="SWR92" s="240" t="n"/>
      <c r="SWS92" s="240" t="n"/>
      <c r="SWU92" s="15" t="n"/>
      <c r="SWV92" s="15" t="n"/>
      <c r="SWW92" s="248" t="n"/>
      <c r="SWX92" s="248" t="n"/>
      <c r="SWY92" s="240" t="n"/>
      <c r="SWZ92" s="240" t="n"/>
      <c r="SXB92" s="15" t="n"/>
      <c r="SXC92" s="15" t="n"/>
      <c r="SXD92" s="248" t="n"/>
      <c r="SXE92" s="248" t="n"/>
      <c r="SXF92" s="240" t="n"/>
      <c r="SXG92" s="240" t="n"/>
      <c r="SXI92" s="15" t="n"/>
      <c r="SXJ92" s="15" t="n"/>
      <c r="SXK92" s="248" t="n"/>
      <c r="SXL92" s="248" t="n"/>
      <c r="SXM92" s="240" t="n"/>
      <c r="SXN92" s="240" t="n"/>
      <c r="SXP92" s="15" t="n"/>
      <c r="SXQ92" s="15" t="n"/>
      <c r="SXR92" s="248" t="n"/>
      <c r="SXS92" s="248" t="n"/>
      <c r="SXT92" s="240" t="n"/>
      <c r="SXU92" s="240" t="n"/>
      <c r="SXW92" s="15" t="n"/>
      <c r="SXX92" s="15" t="n"/>
      <c r="SXY92" s="248" t="n"/>
      <c r="SXZ92" s="248" t="n"/>
      <c r="SYA92" s="240" t="n"/>
      <c r="SYB92" s="240" t="n"/>
      <c r="SYD92" s="15" t="n"/>
      <c r="SYE92" s="15" t="n"/>
      <c r="SYF92" s="248" t="n"/>
      <c r="SYG92" s="248" t="n"/>
      <c r="SYH92" s="240" t="n"/>
      <c r="SYI92" s="240" t="n"/>
      <c r="SYK92" s="15" t="n"/>
      <c r="SYL92" s="15" t="n"/>
      <c r="SYM92" s="248" t="n"/>
      <c r="SYN92" s="248" t="n"/>
      <c r="SYO92" s="240" t="n"/>
      <c r="SYP92" s="240" t="n"/>
      <c r="SYR92" s="15" t="n"/>
      <c r="SYS92" s="15" t="n"/>
      <c r="SYT92" s="248" t="n"/>
      <c r="SYU92" s="248" t="n"/>
      <c r="SYV92" s="240" t="n"/>
      <c r="SYW92" s="240" t="n"/>
      <c r="SYY92" s="15" t="n"/>
      <c r="SYZ92" s="15" t="n"/>
      <c r="SZA92" s="248" t="n"/>
      <c r="SZB92" s="248" t="n"/>
      <c r="SZC92" s="240" t="n"/>
      <c r="SZD92" s="240" t="n"/>
      <c r="SZF92" s="15" t="n"/>
      <c r="SZG92" s="15" t="n"/>
      <c r="SZH92" s="248" t="n"/>
      <c r="SZI92" s="248" t="n"/>
      <c r="SZJ92" s="240" t="n"/>
      <c r="SZK92" s="240" t="n"/>
      <c r="SZM92" s="15" t="n"/>
      <c r="SZN92" s="15" t="n"/>
      <c r="SZO92" s="248" t="n"/>
      <c r="SZP92" s="248" t="n"/>
      <c r="SZQ92" s="240" t="n"/>
      <c r="SZR92" s="240" t="n"/>
      <c r="SZT92" s="15" t="n"/>
      <c r="SZU92" s="15" t="n"/>
      <c r="SZV92" s="248" t="n"/>
      <c r="SZW92" s="248" t="n"/>
      <c r="SZX92" s="240" t="n"/>
      <c r="SZY92" s="240" t="n"/>
      <c r="TAA92" s="15" t="n"/>
      <c r="TAB92" s="15" t="n"/>
      <c r="TAC92" s="248" t="n"/>
      <c r="TAD92" s="248" t="n"/>
      <c r="TAE92" s="240" t="n"/>
      <c r="TAF92" s="240" t="n"/>
      <c r="TAH92" s="15" t="n"/>
      <c r="TAI92" s="15" t="n"/>
      <c r="TAJ92" s="248" t="n"/>
      <c r="TAK92" s="248" t="n"/>
      <c r="TAL92" s="240" t="n"/>
      <c r="TAM92" s="240" t="n"/>
      <c r="TAO92" s="15" t="n"/>
      <c r="TAP92" s="15" t="n"/>
      <c r="TAQ92" s="248" t="n"/>
      <c r="TAR92" s="248" t="n"/>
      <c r="TAS92" s="240" t="n"/>
      <c r="TAT92" s="240" t="n"/>
      <c r="TAV92" s="15" t="n"/>
      <c r="TAW92" s="15" t="n"/>
      <c r="TAX92" s="248" t="n"/>
      <c r="TAY92" s="248" t="n"/>
      <c r="TAZ92" s="240" t="n"/>
      <c r="TBA92" s="240" t="n"/>
      <c r="TBC92" s="15" t="n"/>
      <c r="TBD92" s="15" t="n"/>
      <c r="TBE92" s="248" t="n"/>
      <c r="TBF92" s="248" t="n"/>
      <c r="TBG92" s="240" t="n"/>
      <c r="TBH92" s="240" t="n"/>
      <c r="TBJ92" s="15" t="n"/>
      <c r="TBK92" s="15" t="n"/>
      <c r="TBL92" s="248" t="n"/>
      <c r="TBM92" s="248" t="n"/>
      <c r="TBN92" s="240" t="n"/>
      <c r="TBO92" s="240" t="n"/>
      <c r="TBQ92" s="15" t="n"/>
      <c r="TBR92" s="15" t="n"/>
      <c r="TBS92" s="248" t="n"/>
      <c r="TBT92" s="248" t="n"/>
      <c r="TBU92" s="240" t="n"/>
      <c r="TBV92" s="240" t="n"/>
      <c r="TBX92" s="15" t="n"/>
      <c r="TBY92" s="15" t="n"/>
      <c r="TBZ92" s="248" t="n"/>
      <c r="TCA92" s="248" t="n"/>
      <c r="TCB92" s="240" t="n"/>
      <c r="TCC92" s="240" t="n"/>
      <c r="TCE92" s="15" t="n"/>
      <c r="TCF92" s="15" t="n"/>
      <c r="TCG92" s="248" t="n"/>
      <c r="TCH92" s="248" t="n"/>
      <c r="TCI92" s="240" t="n"/>
      <c r="TCJ92" s="240" t="n"/>
      <c r="TCL92" s="15" t="n"/>
      <c r="TCM92" s="15" t="n"/>
      <c r="TCN92" s="248" t="n"/>
      <c r="TCO92" s="248" t="n"/>
      <c r="TCP92" s="240" t="n"/>
      <c r="TCQ92" s="240" t="n"/>
      <c r="TCS92" s="15" t="n"/>
      <c r="TCT92" s="15" t="n"/>
      <c r="TCU92" s="248" t="n"/>
      <c r="TCV92" s="248" t="n"/>
      <c r="TCW92" s="240" t="n"/>
      <c r="TCX92" s="240" t="n"/>
      <c r="TCZ92" s="15" t="n"/>
      <c r="TDA92" s="15" t="n"/>
      <c r="TDB92" s="248" t="n"/>
      <c r="TDC92" s="248" t="n"/>
      <c r="TDD92" s="240" t="n"/>
      <c r="TDE92" s="240" t="n"/>
      <c r="TDG92" s="15" t="n"/>
      <c r="TDH92" s="15" t="n"/>
      <c r="TDI92" s="248" t="n"/>
      <c r="TDJ92" s="248" t="n"/>
      <c r="TDK92" s="240" t="n"/>
      <c r="TDL92" s="240" t="n"/>
      <c r="TDN92" s="15" t="n"/>
      <c r="TDO92" s="15" t="n"/>
      <c r="TDP92" s="248" t="n"/>
      <c r="TDQ92" s="248" t="n"/>
      <c r="TDR92" s="240" t="n"/>
      <c r="TDS92" s="240" t="n"/>
      <c r="TDU92" s="15" t="n"/>
      <c r="TDV92" s="15" t="n"/>
      <c r="TDW92" s="248" t="n"/>
      <c r="TDX92" s="248" t="n"/>
      <c r="TDY92" s="240" t="n"/>
      <c r="TDZ92" s="240" t="n"/>
      <c r="TEB92" s="15" t="n"/>
      <c r="TEC92" s="15" t="n"/>
      <c r="TED92" s="248" t="n"/>
      <c r="TEE92" s="248" t="n"/>
      <c r="TEF92" s="240" t="n"/>
      <c r="TEG92" s="240" t="n"/>
      <c r="TEI92" s="15" t="n"/>
      <c r="TEJ92" s="15" t="n"/>
      <c r="TEK92" s="248" t="n"/>
      <c r="TEL92" s="248" t="n"/>
      <c r="TEM92" s="240" t="n"/>
      <c r="TEN92" s="240" t="n"/>
      <c r="TEP92" s="15" t="n"/>
      <c r="TEQ92" s="15" t="n"/>
      <c r="TER92" s="248" t="n"/>
      <c r="TES92" s="248" t="n"/>
      <c r="TET92" s="240" t="n"/>
      <c r="TEU92" s="240" t="n"/>
      <c r="TEW92" s="15" t="n"/>
      <c r="TEX92" s="15" t="n"/>
      <c r="TEY92" s="248" t="n"/>
      <c r="TEZ92" s="248" t="n"/>
      <c r="TFA92" s="240" t="n"/>
      <c r="TFB92" s="240" t="n"/>
      <c r="TFD92" s="15" t="n"/>
      <c r="TFE92" s="15" t="n"/>
      <c r="TFF92" s="248" t="n"/>
      <c r="TFG92" s="248" t="n"/>
      <c r="TFH92" s="240" t="n"/>
      <c r="TFI92" s="240" t="n"/>
      <c r="TFK92" s="15" t="n"/>
      <c r="TFL92" s="15" t="n"/>
      <c r="TFM92" s="248" t="n"/>
      <c r="TFN92" s="248" t="n"/>
      <c r="TFO92" s="240" t="n"/>
      <c r="TFP92" s="240" t="n"/>
      <c r="TFR92" s="15" t="n"/>
      <c r="TFS92" s="15" t="n"/>
      <c r="TFT92" s="248" t="n"/>
      <c r="TFU92" s="248" t="n"/>
      <c r="TFV92" s="240" t="n"/>
      <c r="TFW92" s="240" t="n"/>
      <c r="TFY92" s="15" t="n"/>
      <c r="TFZ92" s="15" t="n"/>
      <c r="TGA92" s="248" t="n"/>
      <c r="TGB92" s="248" t="n"/>
      <c r="TGC92" s="240" t="n"/>
      <c r="TGD92" s="240" t="n"/>
      <c r="TGF92" s="15" t="n"/>
      <c r="TGG92" s="15" t="n"/>
      <c r="TGH92" s="248" t="n"/>
      <c r="TGI92" s="248" t="n"/>
      <c r="TGJ92" s="240" t="n"/>
      <c r="TGK92" s="240" t="n"/>
      <c r="TGM92" s="15" t="n"/>
      <c r="TGN92" s="15" t="n"/>
      <c r="TGO92" s="248" t="n"/>
      <c r="TGP92" s="248" t="n"/>
      <c r="TGQ92" s="240" t="n"/>
      <c r="TGR92" s="240" t="n"/>
      <c r="TGT92" s="15" t="n"/>
      <c r="TGU92" s="15" t="n"/>
      <c r="TGV92" s="248" t="n"/>
      <c r="TGW92" s="248" t="n"/>
      <c r="TGX92" s="240" t="n"/>
      <c r="TGY92" s="240" t="n"/>
      <c r="THA92" s="15" t="n"/>
      <c r="THB92" s="15" t="n"/>
      <c r="THC92" s="248" t="n"/>
      <c r="THD92" s="248" t="n"/>
      <c r="THE92" s="240" t="n"/>
      <c r="THF92" s="240" t="n"/>
      <c r="THH92" s="15" t="n"/>
      <c r="THI92" s="15" t="n"/>
      <c r="THJ92" s="248" t="n"/>
      <c r="THK92" s="248" t="n"/>
      <c r="THL92" s="240" t="n"/>
      <c r="THM92" s="240" t="n"/>
      <c r="THO92" s="15" t="n"/>
      <c r="THP92" s="15" t="n"/>
      <c r="THQ92" s="248" t="n"/>
      <c r="THR92" s="248" t="n"/>
      <c r="THS92" s="240" t="n"/>
      <c r="THT92" s="240" t="n"/>
      <c r="THV92" s="15" t="n"/>
      <c r="THW92" s="15" t="n"/>
      <c r="THX92" s="248" t="n"/>
      <c r="THY92" s="248" t="n"/>
      <c r="THZ92" s="240" t="n"/>
      <c r="TIA92" s="240" t="n"/>
      <c r="TIC92" s="15" t="n"/>
      <c r="TID92" s="15" t="n"/>
      <c r="TIE92" s="248" t="n"/>
      <c r="TIF92" s="248" t="n"/>
      <c r="TIG92" s="240" t="n"/>
      <c r="TIH92" s="240" t="n"/>
      <c r="TIJ92" s="15" t="n"/>
      <c r="TIK92" s="15" t="n"/>
      <c r="TIL92" s="248" t="n"/>
      <c r="TIM92" s="248" t="n"/>
      <c r="TIN92" s="240" t="n"/>
      <c r="TIO92" s="240" t="n"/>
      <c r="TIQ92" s="15" t="n"/>
      <c r="TIR92" s="15" t="n"/>
      <c r="TIS92" s="248" t="n"/>
      <c r="TIT92" s="248" t="n"/>
      <c r="TIU92" s="240" t="n"/>
      <c r="TIV92" s="240" t="n"/>
      <c r="TIX92" s="15" t="n"/>
      <c r="TIY92" s="15" t="n"/>
      <c r="TIZ92" s="248" t="n"/>
      <c r="TJA92" s="248" t="n"/>
      <c r="TJB92" s="240" t="n"/>
      <c r="TJC92" s="240" t="n"/>
      <c r="TJE92" s="15" t="n"/>
      <c r="TJF92" s="15" t="n"/>
      <c r="TJG92" s="248" t="n"/>
      <c r="TJH92" s="248" t="n"/>
      <c r="TJI92" s="240" t="n"/>
      <c r="TJJ92" s="240" t="n"/>
      <c r="TJL92" s="15" t="n"/>
      <c r="TJM92" s="15" t="n"/>
      <c r="TJN92" s="248" t="n"/>
      <c r="TJO92" s="248" t="n"/>
      <c r="TJP92" s="240" t="n"/>
      <c r="TJQ92" s="240" t="n"/>
      <c r="TJS92" s="15" t="n"/>
      <c r="TJT92" s="15" t="n"/>
      <c r="TJU92" s="248" t="n"/>
      <c r="TJV92" s="248" t="n"/>
      <c r="TJW92" s="240" t="n"/>
      <c r="TJX92" s="240" t="n"/>
      <c r="TJZ92" s="15" t="n"/>
      <c r="TKA92" s="15" t="n"/>
      <c r="TKB92" s="248" t="n"/>
      <c r="TKC92" s="248" t="n"/>
      <c r="TKD92" s="240" t="n"/>
      <c r="TKE92" s="240" t="n"/>
      <c r="TKG92" s="15" t="n"/>
      <c r="TKH92" s="15" t="n"/>
      <c r="TKI92" s="248" t="n"/>
      <c r="TKJ92" s="248" t="n"/>
      <c r="TKK92" s="240" t="n"/>
      <c r="TKL92" s="240" t="n"/>
      <c r="TKN92" s="15" t="n"/>
      <c r="TKO92" s="15" t="n"/>
      <c r="TKP92" s="248" t="n"/>
      <c r="TKQ92" s="248" t="n"/>
      <c r="TKR92" s="240" t="n"/>
      <c r="TKS92" s="240" t="n"/>
      <c r="TKU92" s="15" t="n"/>
      <c r="TKV92" s="15" t="n"/>
      <c r="TKW92" s="248" t="n"/>
      <c r="TKX92" s="248" t="n"/>
      <c r="TKY92" s="240" t="n"/>
      <c r="TKZ92" s="240" t="n"/>
      <c r="TLB92" s="15" t="n"/>
      <c r="TLC92" s="15" t="n"/>
      <c r="TLD92" s="248" t="n"/>
      <c r="TLE92" s="248" t="n"/>
      <c r="TLF92" s="240" t="n"/>
      <c r="TLG92" s="240" t="n"/>
      <c r="TLI92" s="15" t="n"/>
      <c r="TLJ92" s="15" t="n"/>
      <c r="TLK92" s="248" t="n"/>
      <c r="TLL92" s="248" t="n"/>
      <c r="TLM92" s="240" t="n"/>
      <c r="TLN92" s="240" t="n"/>
      <c r="TLP92" s="15" t="n"/>
      <c r="TLQ92" s="15" t="n"/>
      <c r="TLR92" s="248" t="n"/>
      <c r="TLS92" s="248" t="n"/>
      <c r="TLT92" s="240" t="n"/>
      <c r="TLU92" s="240" t="n"/>
      <c r="TLW92" s="15" t="n"/>
      <c r="TLX92" s="15" t="n"/>
      <c r="TLY92" s="248" t="n"/>
      <c r="TLZ92" s="248" t="n"/>
      <c r="TMA92" s="240" t="n"/>
      <c r="TMB92" s="240" t="n"/>
      <c r="TMD92" s="15" t="n"/>
      <c r="TME92" s="15" t="n"/>
      <c r="TMF92" s="248" t="n"/>
      <c r="TMG92" s="248" t="n"/>
      <c r="TMH92" s="240" t="n"/>
      <c r="TMI92" s="240" t="n"/>
      <c r="TMK92" s="15" t="n"/>
      <c r="TML92" s="15" t="n"/>
      <c r="TMM92" s="248" t="n"/>
      <c r="TMN92" s="248" t="n"/>
      <c r="TMO92" s="240" t="n"/>
      <c r="TMP92" s="240" t="n"/>
      <c r="TMR92" s="15" t="n"/>
      <c r="TMS92" s="15" t="n"/>
      <c r="TMT92" s="248" t="n"/>
      <c r="TMU92" s="248" t="n"/>
      <c r="TMV92" s="240" t="n"/>
      <c r="TMW92" s="240" t="n"/>
      <c r="TMY92" s="15" t="n"/>
      <c r="TMZ92" s="15" t="n"/>
      <c r="TNA92" s="248" t="n"/>
      <c r="TNB92" s="248" t="n"/>
      <c r="TNC92" s="240" t="n"/>
      <c r="TND92" s="240" t="n"/>
      <c r="TNF92" s="15" t="n"/>
      <c r="TNG92" s="15" t="n"/>
      <c r="TNH92" s="248" t="n"/>
      <c r="TNI92" s="248" t="n"/>
      <c r="TNJ92" s="240" t="n"/>
      <c r="TNK92" s="240" t="n"/>
      <c r="TNM92" s="15" t="n"/>
      <c r="TNN92" s="15" t="n"/>
      <c r="TNO92" s="248" t="n"/>
      <c r="TNP92" s="248" t="n"/>
      <c r="TNQ92" s="240" t="n"/>
      <c r="TNR92" s="240" t="n"/>
      <c r="TNT92" s="15" t="n"/>
      <c r="TNU92" s="15" t="n"/>
      <c r="TNV92" s="248" t="n"/>
      <c r="TNW92" s="248" t="n"/>
      <c r="TNX92" s="240" t="n"/>
      <c r="TNY92" s="240" t="n"/>
      <c r="TOA92" s="15" t="n"/>
      <c r="TOB92" s="15" t="n"/>
      <c r="TOC92" s="248" t="n"/>
      <c r="TOD92" s="248" t="n"/>
      <c r="TOE92" s="240" t="n"/>
      <c r="TOF92" s="240" t="n"/>
      <c r="TOH92" s="15" t="n"/>
      <c r="TOI92" s="15" t="n"/>
      <c r="TOJ92" s="248" t="n"/>
      <c r="TOK92" s="248" t="n"/>
      <c r="TOL92" s="240" t="n"/>
      <c r="TOM92" s="240" t="n"/>
      <c r="TOO92" s="15" t="n"/>
      <c r="TOP92" s="15" t="n"/>
      <c r="TOQ92" s="248" t="n"/>
      <c r="TOR92" s="248" t="n"/>
      <c r="TOS92" s="240" t="n"/>
      <c r="TOT92" s="240" t="n"/>
      <c r="TOV92" s="15" t="n"/>
      <c r="TOW92" s="15" t="n"/>
      <c r="TOX92" s="248" t="n"/>
      <c r="TOY92" s="248" t="n"/>
      <c r="TOZ92" s="240" t="n"/>
      <c r="TPA92" s="240" t="n"/>
      <c r="TPC92" s="15" t="n"/>
      <c r="TPD92" s="15" t="n"/>
      <c r="TPE92" s="248" t="n"/>
      <c r="TPF92" s="248" t="n"/>
      <c r="TPG92" s="240" t="n"/>
      <c r="TPH92" s="240" t="n"/>
      <c r="TPJ92" s="15" t="n"/>
      <c r="TPK92" s="15" t="n"/>
      <c r="TPL92" s="248" t="n"/>
      <c r="TPM92" s="248" t="n"/>
      <c r="TPN92" s="240" t="n"/>
      <c r="TPO92" s="240" t="n"/>
      <c r="TPQ92" s="15" t="n"/>
      <c r="TPR92" s="15" t="n"/>
      <c r="TPS92" s="248" t="n"/>
      <c r="TPT92" s="248" t="n"/>
      <c r="TPU92" s="240" t="n"/>
      <c r="TPV92" s="240" t="n"/>
      <c r="TPX92" s="15" t="n"/>
      <c r="TPY92" s="15" t="n"/>
      <c r="TPZ92" s="248" t="n"/>
      <c r="TQA92" s="248" t="n"/>
      <c r="TQB92" s="240" t="n"/>
      <c r="TQC92" s="240" t="n"/>
      <c r="TQE92" s="15" t="n"/>
      <c r="TQF92" s="15" t="n"/>
      <c r="TQG92" s="248" t="n"/>
      <c r="TQH92" s="248" t="n"/>
      <c r="TQI92" s="240" t="n"/>
      <c r="TQJ92" s="240" t="n"/>
      <c r="TQL92" s="15" t="n"/>
      <c r="TQM92" s="15" t="n"/>
      <c r="TQN92" s="248" t="n"/>
      <c r="TQO92" s="248" t="n"/>
      <c r="TQP92" s="240" t="n"/>
      <c r="TQQ92" s="240" t="n"/>
      <c r="TQS92" s="15" t="n"/>
      <c r="TQT92" s="15" t="n"/>
      <c r="TQU92" s="248" t="n"/>
      <c r="TQV92" s="248" t="n"/>
      <c r="TQW92" s="240" t="n"/>
      <c r="TQX92" s="240" t="n"/>
      <c r="TQZ92" s="15" t="n"/>
      <c r="TRA92" s="15" t="n"/>
      <c r="TRB92" s="248" t="n"/>
      <c r="TRC92" s="248" t="n"/>
      <c r="TRD92" s="240" t="n"/>
      <c r="TRE92" s="240" t="n"/>
      <c r="TRG92" s="15" t="n"/>
      <c r="TRH92" s="15" t="n"/>
      <c r="TRI92" s="248" t="n"/>
      <c r="TRJ92" s="248" t="n"/>
      <c r="TRK92" s="240" t="n"/>
      <c r="TRL92" s="240" t="n"/>
      <c r="TRN92" s="15" t="n"/>
      <c r="TRO92" s="15" t="n"/>
      <c r="TRP92" s="248" t="n"/>
      <c r="TRQ92" s="248" t="n"/>
      <c r="TRR92" s="240" t="n"/>
      <c r="TRS92" s="240" t="n"/>
      <c r="TRU92" s="15" t="n"/>
      <c r="TRV92" s="15" t="n"/>
      <c r="TRW92" s="248" t="n"/>
      <c r="TRX92" s="248" t="n"/>
      <c r="TRY92" s="240" t="n"/>
      <c r="TRZ92" s="240" t="n"/>
      <c r="TSB92" s="15" t="n"/>
      <c r="TSC92" s="15" t="n"/>
      <c r="TSD92" s="248" t="n"/>
      <c r="TSE92" s="248" t="n"/>
      <c r="TSF92" s="240" t="n"/>
      <c r="TSG92" s="240" t="n"/>
      <c r="TSI92" s="15" t="n"/>
      <c r="TSJ92" s="15" t="n"/>
      <c r="TSK92" s="248" t="n"/>
      <c r="TSL92" s="248" t="n"/>
      <c r="TSM92" s="240" t="n"/>
      <c r="TSN92" s="240" t="n"/>
      <c r="TSP92" s="15" t="n"/>
      <c r="TSQ92" s="15" t="n"/>
      <c r="TSR92" s="248" t="n"/>
      <c r="TSS92" s="248" t="n"/>
      <c r="TST92" s="240" t="n"/>
      <c r="TSU92" s="240" t="n"/>
      <c r="TSW92" s="15" t="n"/>
      <c r="TSX92" s="15" t="n"/>
      <c r="TSY92" s="248" t="n"/>
      <c r="TSZ92" s="248" t="n"/>
      <c r="TTA92" s="240" t="n"/>
      <c r="TTB92" s="240" t="n"/>
      <c r="TTD92" s="15" t="n"/>
      <c r="TTE92" s="15" t="n"/>
      <c r="TTF92" s="248" t="n"/>
      <c r="TTG92" s="248" t="n"/>
      <c r="TTH92" s="240" t="n"/>
      <c r="TTI92" s="240" t="n"/>
      <c r="TTK92" s="15" t="n"/>
      <c r="TTL92" s="15" t="n"/>
      <c r="TTM92" s="248" t="n"/>
      <c r="TTN92" s="248" t="n"/>
      <c r="TTO92" s="240" t="n"/>
      <c r="TTP92" s="240" t="n"/>
      <c r="TTR92" s="15" t="n"/>
      <c r="TTS92" s="15" t="n"/>
      <c r="TTT92" s="248" t="n"/>
      <c r="TTU92" s="248" t="n"/>
      <c r="TTV92" s="240" t="n"/>
      <c r="TTW92" s="240" t="n"/>
      <c r="TTY92" s="15" t="n"/>
      <c r="TTZ92" s="15" t="n"/>
      <c r="TUA92" s="248" t="n"/>
      <c r="TUB92" s="248" t="n"/>
      <c r="TUC92" s="240" t="n"/>
      <c r="TUD92" s="240" t="n"/>
      <c r="TUF92" s="15" t="n"/>
      <c r="TUG92" s="15" t="n"/>
      <c r="TUH92" s="248" t="n"/>
      <c r="TUI92" s="248" t="n"/>
      <c r="TUJ92" s="240" t="n"/>
      <c r="TUK92" s="240" t="n"/>
      <c r="TUM92" s="15" t="n"/>
      <c r="TUN92" s="15" t="n"/>
      <c r="TUO92" s="248" t="n"/>
      <c r="TUP92" s="248" t="n"/>
      <c r="TUQ92" s="240" t="n"/>
      <c r="TUR92" s="240" t="n"/>
      <c r="TUT92" s="15" t="n"/>
      <c r="TUU92" s="15" t="n"/>
      <c r="TUV92" s="248" t="n"/>
      <c r="TUW92" s="248" t="n"/>
      <c r="TUX92" s="240" t="n"/>
      <c r="TUY92" s="240" t="n"/>
      <c r="TVA92" s="15" t="n"/>
      <c r="TVB92" s="15" t="n"/>
      <c r="TVC92" s="248" t="n"/>
      <c r="TVD92" s="248" t="n"/>
      <c r="TVE92" s="240" t="n"/>
      <c r="TVF92" s="240" t="n"/>
      <c r="TVH92" s="15" t="n"/>
      <c r="TVI92" s="15" t="n"/>
      <c r="TVJ92" s="248" t="n"/>
      <c r="TVK92" s="248" t="n"/>
      <c r="TVL92" s="240" t="n"/>
      <c r="TVM92" s="240" t="n"/>
      <c r="TVO92" s="15" t="n"/>
      <c r="TVP92" s="15" t="n"/>
      <c r="TVQ92" s="248" t="n"/>
      <c r="TVR92" s="248" t="n"/>
      <c r="TVS92" s="240" t="n"/>
      <c r="TVT92" s="240" t="n"/>
      <c r="TVV92" s="15" t="n"/>
      <c r="TVW92" s="15" t="n"/>
      <c r="TVX92" s="248" t="n"/>
      <c r="TVY92" s="248" t="n"/>
      <c r="TVZ92" s="240" t="n"/>
      <c r="TWA92" s="240" t="n"/>
      <c r="TWC92" s="15" t="n"/>
      <c r="TWD92" s="15" t="n"/>
      <c r="TWE92" s="248" t="n"/>
      <c r="TWF92" s="248" t="n"/>
      <c r="TWG92" s="240" t="n"/>
      <c r="TWH92" s="240" t="n"/>
      <c r="TWJ92" s="15" t="n"/>
      <c r="TWK92" s="15" t="n"/>
      <c r="TWL92" s="248" t="n"/>
      <c r="TWM92" s="248" t="n"/>
      <c r="TWN92" s="240" t="n"/>
      <c r="TWO92" s="240" t="n"/>
      <c r="TWQ92" s="15" t="n"/>
      <c r="TWR92" s="15" t="n"/>
      <c r="TWS92" s="248" t="n"/>
      <c r="TWT92" s="248" t="n"/>
      <c r="TWU92" s="240" t="n"/>
      <c r="TWV92" s="240" t="n"/>
      <c r="TWX92" s="15" t="n"/>
      <c r="TWY92" s="15" t="n"/>
      <c r="TWZ92" s="248" t="n"/>
      <c r="TXA92" s="248" t="n"/>
      <c r="TXB92" s="240" t="n"/>
      <c r="TXC92" s="240" t="n"/>
      <c r="TXE92" s="15" t="n"/>
      <c r="TXF92" s="15" t="n"/>
      <c r="TXG92" s="248" t="n"/>
      <c r="TXH92" s="248" t="n"/>
      <c r="TXI92" s="240" t="n"/>
      <c r="TXJ92" s="240" t="n"/>
      <c r="TXL92" s="15" t="n"/>
      <c r="TXM92" s="15" t="n"/>
      <c r="TXN92" s="248" t="n"/>
      <c r="TXO92" s="248" t="n"/>
      <c r="TXP92" s="240" t="n"/>
      <c r="TXQ92" s="240" t="n"/>
      <c r="TXS92" s="15" t="n"/>
      <c r="TXT92" s="15" t="n"/>
      <c r="TXU92" s="248" t="n"/>
      <c r="TXV92" s="248" t="n"/>
      <c r="TXW92" s="240" t="n"/>
      <c r="TXX92" s="240" t="n"/>
      <c r="TXZ92" s="15" t="n"/>
      <c r="TYA92" s="15" t="n"/>
      <c r="TYB92" s="248" t="n"/>
      <c r="TYC92" s="248" t="n"/>
      <c r="TYD92" s="240" t="n"/>
      <c r="TYE92" s="240" t="n"/>
      <c r="TYG92" s="15" t="n"/>
      <c r="TYH92" s="15" t="n"/>
      <c r="TYI92" s="248" t="n"/>
      <c r="TYJ92" s="248" t="n"/>
      <c r="TYK92" s="240" t="n"/>
      <c r="TYL92" s="240" t="n"/>
      <c r="TYN92" s="15" t="n"/>
      <c r="TYO92" s="15" t="n"/>
      <c r="TYP92" s="248" t="n"/>
      <c r="TYQ92" s="248" t="n"/>
      <c r="TYR92" s="240" t="n"/>
      <c r="TYS92" s="240" t="n"/>
      <c r="TYU92" s="15" t="n"/>
      <c r="TYV92" s="15" t="n"/>
      <c r="TYW92" s="248" t="n"/>
      <c r="TYX92" s="248" t="n"/>
      <c r="TYY92" s="240" t="n"/>
      <c r="TYZ92" s="240" t="n"/>
      <c r="TZB92" s="15" t="n"/>
      <c r="TZC92" s="15" t="n"/>
      <c r="TZD92" s="248" t="n"/>
      <c r="TZE92" s="248" t="n"/>
      <c r="TZF92" s="240" t="n"/>
      <c r="TZG92" s="240" t="n"/>
      <c r="TZI92" s="15" t="n"/>
      <c r="TZJ92" s="15" t="n"/>
      <c r="TZK92" s="248" t="n"/>
      <c r="TZL92" s="248" t="n"/>
      <c r="TZM92" s="240" t="n"/>
      <c r="TZN92" s="240" t="n"/>
      <c r="TZP92" s="15" t="n"/>
      <c r="TZQ92" s="15" t="n"/>
      <c r="TZR92" s="248" t="n"/>
      <c r="TZS92" s="248" t="n"/>
      <c r="TZT92" s="240" t="n"/>
      <c r="TZU92" s="240" t="n"/>
      <c r="TZW92" s="15" t="n"/>
      <c r="TZX92" s="15" t="n"/>
      <c r="TZY92" s="248" t="n"/>
      <c r="TZZ92" s="248" t="n"/>
      <c r="UAA92" s="240" t="n"/>
      <c r="UAB92" s="240" t="n"/>
      <c r="UAD92" s="15" t="n"/>
      <c r="UAE92" s="15" t="n"/>
      <c r="UAF92" s="248" t="n"/>
      <c r="UAG92" s="248" t="n"/>
      <c r="UAH92" s="240" t="n"/>
      <c r="UAI92" s="240" t="n"/>
      <c r="UAK92" s="15" t="n"/>
      <c r="UAL92" s="15" t="n"/>
      <c r="UAM92" s="248" t="n"/>
      <c r="UAN92" s="248" t="n"/>
      <c r="UAO92" s="240" t="n"/>
      <c r="UAP92" s="240" t="n"/>
      <c r="UAR92" s="15" t="n"/>
      <c r="UAS92" s="15" t="n"/>
      <c r="UAT92" s="248" t="n"/>
      <c r="UAU92" s="248" t="n"/>
      <c r="UAV92" s="240" t="n"/>
      <c r="UAW92" s="240" t="n"/>
      <c r="UAY92" s="15" t="n"/>
      <c r="UAZ92" s="15" t="n"/>
      <c r="UBA92" s="248" t="n"/>
      <c r="UBB92" s="248" t="n"/>
      <c r="UBC92" s="240" t="n"/>
      <c r="UBD92" s="240" t="n"/>
      <c r="UBF92" s="15" t="n"/>
      <c r="UBG92" s="15" t="n"/>
      <c r="UBH92" s="248" t="n"/>
      <c r="UBI92" s="248" t="n"/>
      <c r="UBJ92" s="240" t="n"/>
      <c r="UBK92" s="240" t="n"/>
      <c r="UBM92" s="15" t="n"/>
      <c r="UBN92" s="15" t="n"/>
      <c r="UBO92" s="248" t="n"/>
      <c r="UBP92" s="248" t="n"/>
      <c r="UBQ92" s="240" t="n"/>
      <c r="UBR92" s="240" t="n"/>
      <c r="UBT92" s="15" t="n"/>
      <c r="UBU92" s="15" t="n"/>
      <c r="UBV92" s="248" t="n"/>
      <c r="UBW92" s="248" t="n"/>
      <c r="UBX92" s="240" t="n"/>
      <c r="UBY92" s="240" t="n"/>
      <c r="UCA92" s="15" t="n"/>
      <c r="UCB92" s="15" t="n"/>
      <c r="UCC92" s="248" t="n"/>
      <c r="UCD92" s="248" t="n"/>
      <c r="UCE92" s="240" t="n"/>
      <c r="UCF92" s="240" t="n"/>
      <c r="UCH92" s="15" t="n"/>
      <c r="UCI92" s="15" t="n"/>
      <c r="UCJ92" s="248" t="n"/>
      <c r="UCK92" s="248" t="n"/>
      <c r="UCL92" s="240" t="n"/>
      <c r="UCM92" s="240" t="n"/>
      <c r="UCO92" s="15" t="n"/>
      <c r="UCP92" s="15" t="n"/>
      <c r="UCQ92" s="248" t="n"/>
      <c r="UCR92" s="248" t="n"/>
      <c r="UCS92" s="240" t="n"/>
      <c r="UCT92" s="240" t="n"/>
      <c r="UCV92" s="15" t="n"/>
      <c r="UCW92" s="15" t="n"/>
      <c r="UCX92" s="248" t="n"/>
      <c r="UCY92" s="248" t="n"/>
      <c r="UCZ92" s="240" t="n"/>
      <c r="UDA92" s="240" t="n"/>
      <c r="UDC92" s="15" t="n"/>
      <c r="UDD92" s="15" t="n"/>
      <c r="UDE92" s="248" t="n"/>
      <c r="UDF92" s="248" t="n"/>
      <c r="UDG92" s="240" t="n"/>
      <c r="UDH92" s="240" t="n"/>
      <c r="UDJ92" s="15" t="n"/>
      <c r="UDK92" s="15" t="n"/>
      <c r="UDL92" s="248" t="n"/>
      <c r="UDM92" s="248" t="n"/>
      <c r="UDN92" s="240" t="n"/>
      <c r="UDO92" s="240" t="n"/>
      <c r="UDQ92" s="15" t="n"/>
      <c r="UDR92" s="15" t="n"/>
      <c r="UDS92" s="248" t="n"/>
      <c r="UDT92" s="248" t="n"/>
      <c r="UDU92" s="240" t="n"/>
      <c r="UDV92" s="240" t="n"/>
      <c r="UDX92" s="15" t="n"/>
      <c r="UDY92" s="15" t="n"/>
      <c r="UDZ92" s="248" t="n"/>
      <c r="UEA92" s="248" t="n"/>
      <c r="UEB92" s="240" t="n"/>
      <c r="UEC92" s="240" t="n"/>
      <c r="UEE92" s="15" t="n"/>
      <c r="UEF92" s="15" t="n"/>
      <c r="UEG92" s="248" t="n"/>
      <c r="UEH92" s="248" t="n"/>
      <c r="UEI92" s="240" t="n"/>
      <c r="UEJ92" s="240" t="n"/>
      <c r="UEL92" s="15" t="n"/>
      <c r="UEM92" s="15" t="n"/>
      <c r="UEN92" s="248" t="n"/>
      <c r="UEO92" s="248" t="n"/>
      <c r="UEP92" s="240" t="n"/>
      <c r="UEQ92" s="240" t="n"/>
      <c r="UES92" s="15" t="n"/>
      <c r="UET92" s="15" t="n"/>
      <c r="UEU92" s="248" t="n"/>
      <c r="UEV92" s="248" t="n"/>
      <c r="UEW92" s="240" t="n"/>
      <c r="UEX92" s="240" t="n"/>
      <c r="UEZ92" s="15" t="n"/>
      <c r="UFA92" s="15" t="n"/>
      <c r="UFB92" s="248" t="n"/>
      <c r="UFC92" s="248" t="n"/>
      <c r="UFD92" s="240" t="n"/>
      <c r="UFE92" s="240" t="n"/>
      <c r="UFG92" s="15" t="n"/>
      <c r="UFH92" s="15" t="n"/>
      <c r="UFI92" s="248" t="n"/>
      <c r="UFJ92" s="248" t="n"/>
      <c r="UFK92" s="240" t="n"/>
      <c r="UFL92" s="240" t="n"/>
      <c r="UFN92" s="15" t="n"/>
      <c r="UFO92" s="15" t="n"/>
      <c r="UFP92" s="248" t="n"/>
      <c r="UFQ92" s="248" t="n"/>
      <c r="UFR92" s="240" t="n"/>
      <c r="UFS92" s="240" t="n"/>
      <c r="UFU92" s="15" t="n"/>
      <c r="UFV92" s="15" t="n"/>
      <c r="UFW92" s="248" t="n"/>
      <c r="UFX92" s="248" t="n"/>
      <c r="UFY92" s="240" t="n"/>
      <c r="UFZ92" s="240" t="n"/>
      <c r="UGB92" s="15" t="n"/>
      <c r="UGC92" s="15" t="n"/>
      <c r="UGD92" s="248" t="n"/>
      <c r="UGE92" s="248" t="n"/>
      <c r="UGF92" s="240" t="n"/>
      <c r="UGG92" s="240" t="n"/>
      <c r="UGI92" s="15" t="n"/>
      <c r="UGJ92" s="15" t="n"/>
      <c r="UGK92" s="248" t="n"/>
      <c r="UGL92" s="248" t="n"/>
      <c r="UGM92" s="240" t="n"/>
      <c r="UGN92" s="240" t="n"/>
      <c r="UGP92" s="15" t="n"/>
      <c r="UGQ92" s="15" t="n"/>
      <c r="UGR92" s="248" t="n"/>
      <c r="UGS92" s="248" t="n"/>
      <c r="UGT92" s="240" t="n"/>
      <c r="UGU92" s="240" t="n"/>
      <c r="UGW92" s="15" t="n"/>
      <c r="UGX92" s="15" t="n"/>
      <c r="UGY92" s="248" t="n"/>
      <c r="UGZ92" s="248" t="n"/>
      <c r="UHA92" s="240" t="n"/>
      <c r="UHB92" s="240" t="n"/>
      <c r="UHD92" s="15" t="n"/>
      <c r="UHE92" s="15" t="n"/>
      <c r="UHF92" s="248" t="n"/>
      <c r="UHG92" s="248" t="n"/>
      <c r="UHH92" s="240" t="n"/>
      <c r="UHI92" s="240" t="n"/>
      <c r="UHK92" s="15" t="n"/>
      <c r="UHL92" s="15" t="n"/>
      <c r="UHM92" s="248" t="n"/>
      <c r="UHN92" s="248" t="n"/>
      <c r="UHO92" s="240" t="n"/>
      <c r="UHP92" s="240" t="n"/>
      <c r="UHR92" s="15" t="n"/>
      <c r="UHS92" s="15" t="n"/>
      <c r="UHT92" s="248" t="n"/>
      <c r="UHU92" s="248" t="n"/>
      <c r="UHV92" s="240" t="n"/>
      <c r="UHW92" s="240" t="n"/>
      <c r="UHY92" s="15" t="n"/>
      <c r="UHZ92" s="15" t="n"/>
      <c r="UIA92" s="248" t="n"/>
      <c r="UIB92" s="248" t="n"/>
      <c r="UIC92" s="240" t="n"/>
      <c r="UID92" s="240" t="n"/>
      <c r="UIF92" s="15" t="n"/>
      <c r="UIG92" s="15" t="n"/>
      <c r="UIH92" s="248" t="n"/>
      <c r="UII92" s="248" t="n"/>
      <c r="UIJ92" s="240" t="n"/>
      <c r="UIK92" s="240" t="n"/>
      <c r="UIM92" s="15" t="n"/>
      <c r="UIN92" s="15" t="n"/>
      <c r="UIO92" s="248" t="n"/>
      <c r="UIP92" s="248" t="n"/>
      <c r="UIQ92" s="240" t="n"/>
      <c r="UIR92" s="240" t="n"/>
      <c r="UIT92" s="15" t="n"/>
      <c r="UIU92" s="15" t="n"/>
      <c r="UIV92" s="248" t="n"/>
      <c r="UIW92" s="248" t="n"/>
      <c r="UIX92" s="240" t="n"/>
      <c r="UIY92" s="240" t="n"/>
      <c r="UJA92" s="15" t="n"/>
      <c r="UJB92" s="15" t="n"/>
      <c r="UJC92" s="248" t="n"/>
      <c r="UJD92" s="248" t="n"/>
      <c r="UJE92" s="240" t="n"/>
      <c r="UJF92" s="240" t="n"/>
      <c r="UJH92" s="15" t="n"/>
      <c r="UJI92" s="15" t="n"/>
      <c r="UJJ92" s="248" t="n"/>
      <c r="UJK92" s="248" t="n"/>
      <c r="UJL92" s="240" t="n"/>
      <c r="UJM92" s="240" t="n"/>
      <c r="UJO92" s="15" t="n"/>
      <c r="UJP92" s="15" t="n"/>
      <c r="UJQ92" s="248" t="n"/>
      <c r="UJR92" s="248" t="n"/>
      <c r="UJS92" s="240" t="n"/>
      <c r="UJT92" s="240" t="n"/>
      <c r="UJV92" s="15" t="n"/>
      <c r="UJW92" s="15" t="n"/>
      <c r="UJX92" s="248" t="n"/>
      <c r="UJY92" s="248" t="n"/>
      <c r="UJZ92" s="240" t="n"/>
      <c r="UKA92" s="240" t="n"/>
      <c r="UKC92" s="15" t="n"/>
      <c r="UKD92" s="15" t="n"/>
      <c r="UKE92" s="248" t="n"/>
      <c r="UKF92" s="248" t="n"/>
      <c r="UKG92" s="240" t="n"/>
      <c r="UKH92" s="240" t="n"/>
      <c r="UKJ92" s="15" t="n"/>
      <c r="UKK92" s="15" t="n"/>
      <c r="UKL92" s="248" t="n"/>
      <c r="UKM92" s="248" t="n"/>
      <c r="UKN92" s="240" t="n"/>
      <c r="UKO92" s="240" t="n"/>
      <c r="UKQ92" s="15" t="n"/>
      <c r="UKR92" s="15" t="n"/>
      <c r="UKS92" s="248" t="n"/>
      <c r="UKT92" s="248" t="n"/>
      <c r="UKU92" s="240" t="n"/>
      <c r="UKV92" s="240" t="n"/>
      <c r="UKX92" s="15" t="n"/>
      <c r="UKY92" s="15" t="n"/>
      <c r="UKZ92" s="248" t="n"/>
      <c r="ULA92" s="248" t="n"/>
      <c r="ULB92" s="240" t="n"/>
      <c r="ULC92" s="240" t="n"/>
      <c r="ULE92" s="15" t="n"/>
      <c r="ULF92" s="15" t="n"/>
      <c r="ULG92" s="248" t="n"/>
      <c r="ULH92" s="248" t="n"/>
      <c r="ULI92" s="240" t="n"/>
      <c r="ULJ92" s="240" t="n"/>
      <c r="ULL92" s="15" t="n"/>
      <c r="ULM92" s="15" t="n"/>
      <c r="ULN92" s="248" t="n"/>
      <c r="ULO92" s="248" t="n"/>
      <c r="ULP92" s="240" t="n"/>
      <c r="ULQ92" s="240" t="n"/>
      <c r="ULS92" s="15" t="n"/>
      <c r="ULT92" s="15" t="n"/>
      <c r="ULU92" s="248" t="n"/>
      <c r="ULV92" s="248" t="n"/>
      <c r="ULW92" s="240" t="n"/>
      <c r="ULX92" s="240" t="n"/>
      <c r="ULZ92" s="15" t="n"/>
      <c r="UMA92" s="15" t="n"/>
      <c r="UMB92" s="248" t="n"/>
      <c r="UMC92" s="248" t="n"/>
      <c r="UMD92" s="240" t="n"/>
      <c r="UME92" s="240" t="n"/>
      <c r="UMG92" s="15" t="n"/>
      <c r="UMH92" s="15" t="n"/>
      <c r="UMI92" s="248" t="n"/>
      <c r="UMJ92" s="248" t="n"/>
      <c r="UMK92" s="240" t="n"/>
      <c r="UML92" s="240" t="n"/>
      <c r="UMN92" s="15" t="n"/>
      <c r="UMO92" s="15" t="n"/>
      <c r="UMP92" s="248" t="n"/>
      <c r="UMQ92" s="248" t="n"/>
      <c r="UMR92" s="240" t="n"/>
      <c r="UMS92" s="240" t="n"/>
      <c r="UMU92" s="15" t="n"/>
      <c r="UMV92" s="15" t="n"/>
      <c r="UMW92" s="248" t="n"/>
      <c r="UMX92" s="248" t="n"/>
      <c r="UMY92" s="240" t="n"/>
      <c r="UMZ92" s="240" t="n"/>
      <c r="UNB92" s="15" t="n"/>
      <c r="UNC92" s="15" t="n"/>
      <c r="UND92" s="248" t="n"/>
      <c r="UNE92" s="248" t="n"/>
      <c r="UNF92" s="240" t="n"/>
      <c r="UNG92" s="240" t="n"/>
      <c r="UNI92" s="15" t="n"/>
      <c r="UNJ92" s="15" t="n"/>
      <c r="UNK92" s="248" t="n"/>
      <c r="UNL92" s="248" t="n"/>
      <c r="UNM92" s="240" t="n"/>
      <c r="UNN92" s="240" t="n"/>
      <c r="UNP92" s="15" t="n"/>
      <c r="UNQ92" s="15" t="n"/>
      <c r="UNR92" s="248" t="n"/>
      <c r="UNS92" s="248" t="n"/>
      <c r="UNT92" s="240" t="n"/>
      <c r="UNU92" s="240" t="n"/>
      <c r="UNW92" s="15" t="n"/>
      <c r="UNX92" s="15" t="n"/>
      <c r="UNY92" s="248" t="n"/>
      <c r="UNZ92" s="248" t="n"/>
      <c r="UOA92" s="240" t="n"/>
      <c r="UOB92" s="240" t="n"/>
      <c r="UOD92" s="15" t="n"/>
      <c r="UOE92" s="15" t="n"/>
      <c r="UOF92" s="248" t="n"/>
      <c r="UOG92" s="248" t="n"/>
      <c r="UOH92" s="240" t="n"/>
      <c r="UOI92" s="240" t="n"/>
      <c r="UOK92" s="15" t="n"/>
      <c r="UOL92" s="15" t="n"/>
      <c r="UOM92" s="248" t="n"/>
      <c r="UON92" s="248" t="n"/>
      <c r="UOO92" s="240" t="n"/>
      <c r="UOP92" s="240" t="n"/>
      <c r="UOR92" s="15" t="n"/>
      <c r="UOS92" s="15" t="n"/>
      <c r="UOT92" s="248" t="n"/>
      <c r="UOU92" s="248" t="n"/>
      <c r="UOV92" s="240" t="n"/>
      <c r="UOW92" s="240" t="n"/>
      <c r="UOY92" s="15" t="n"/>
      <c r="UOZ92" s="15" t="n"/>
      <c r="UPA92" s="248" t="n"/>
      <c r="UPB92" s="248" t="n"/>
      <c r="UPC92" s="240" t="n"/>
      <c r="UPD92" s="240" t="n"/>
      <c r="UPF92" s="15" t="n"/>
      <c r="UPG92" s="15" t="n"/>
      <c r="UPH92" s="248" t="n"/>
      <c r="UPI92" s="248" t="n"/>
      <c r="UPJ92" s="240" t="n"/>
      <c r="UPK92" s="240" t="n"/>
      <c r="UPM92" s="15" t="n"/>
      <c r="UPN92" s="15" t="n"/>
      <c r="UPO92" s="248" t="n"/>
      <c r="UPP92" s="248" t="n"/>
      <c r="UPQ92" s="240" t="n"/>
      <c r="UPR92" s="240" t="n"/>
      <c r="UPT92" s="15" t="n"/>
      <c r="UPU92" s="15" t="n"/>
      <c r="UPV92" s="248" t="n"/>
      <c r="UPW92" s="248" t="n"/>
      <c r="UPX92" s="240" t="n"/>
      <c r="UPY92" s="240" t="n"/>
      <c r="UQA92" s="15" t="n"/>
      <c r="UQB92" s="15" t="n"/>
      <c r="UQC92" s="248" t="n"/>
      <c r="UQD92" s="248" t="n"/>
      <c r="UQE92" s="240" t="n"/>
      <c r="UQF92" s="240" t="n"/>
      <c r="UQH92" s="15" t="n"/>
      <c r="UQI92" s="15" t="n"/>
      <c r="UQJ92" s="248" t="n"/>
      <c r="UQK92" s="248" t="n"/>
      <c r="UQL92" s="240" t="n"/>
      <c r="UQM92" s="240" t="n"/>
      <c r="UQO92" s="15" t="n"/>
      <c r="UQP92" s="15" t="n"/>
      <c r="UQQ92" s="248" t="n"/>
      <c r="UQR92" s="248" t="n"/>
      <c r="UQS92" s="240" t="n"/>
      <c r="UQT92" s="240" t="n"/>
      <c r="UQV92" s="15" t="n"/>
      <c r="UQW92" s="15" t="n"/>
      <c r="UQX92" s="248" t="n"/>
      <c r="UQY92" s="248" t="n"/>
      <c r="UQZ92" s="240" t="n"/>
      <c r="URA92" s="240" t="n"/>
      <c r="URC92" s="15" t="n"/>
      <c r="URD92" s="15" t="n"/>
      <c r="URE92" s="248" t="n"/>
      <c r="URF92" s="248" t="n"/>
      <c r="URG92" s="240" t="n"/>
      <c r="URH92" s="240" t="n"/>
      <c r="URJ92" s="15" t="n"/>
      <c r="URK92" s="15" t="n"/>
      <c r="URL92" s="248" t="n"/>
      <c r="URM92" s="248" t="n"/>
      <c r="URN92" s="240" t="n"/>
      <c r="URO92" s="240" t="n"/>
      <c r="URQ92" s="15" t="n"/>
      <c r="URR92" s="15" t="n"/>
      <c r="URS92" s="248" t="n"/>
      <c r="URT92" s="248" t="n"/>
      <c r="URU92" s="240" t="n"/>
      <c r="URV92" s="240" t="n"/>
      <c r="URX92" s="15" t="n"/>
      <c r="URY92" s="15" t="n"/>
      <c r="URZ92" s="248" t="n"/>
      <c r="USA92" s="248" t="n"/>
      <c r="USB92" s="240" t="n"/>
      <c r="USC92" s="240" t="n"/>
      <c r="USE92" s="15" t="n"/>
      <c r="USF92" s="15" t="n"/>
      <c r="USG92" s="248" t="n"/>
      <c r="USH92" s="248" t="n"/>
      <c r="USI92" s="240" t="n"/>
      <c r="USJ92" s="240" t="n"/>
      <c r="USL92" s="15" t="n"/>
      <c r="USM92" s="15" t="n"/>
      <c r="USN92" s="248" t="n"/>
      <c r="USO92" s="248" t="n"/>
      <c r="USP92" s="240" t="n"/>
      <c r="USQ92" s="240" t="n"/>
      <c r="USS92" s="15" t="n"/>
      <c r="UST92" s="15" t="n"/>
      <c r="USU92" s="248" t="n"/>
      <c r="USV92" s="248" t="n"/>
      <c r="USW92" s="240" t="n"/>
      <c r="USX92" s="240" t="n"/>
      <c r="USZ92" s="15" t="n"/>
      <c r="UTA92" s="15" t="n"/>
      <c r="UTB92" s="248" t="n"/>
      <c r="UTC92" s="248" t="n"/>
      <c r="UTD92" s="240" t="n"/>
      <c r="UTE92" s="240" t="n"/>
      <c r="UTG92" s="15" t="n"/>
      <c r="UTH92" s="15" t="n"/>
      <c r="UTI92" s="248" t="n"/>
      <c r="UTJ92" s="248" t="n"/>
      <c r="UTK92" s="240" t="n"/>
      <c r="UTL92" s="240" t="n"/>
      <c r="UTN92" s="15" t="n"/>
      <c r="UTO92" s="15" t="n"/>
      <c r="UTP92" s="248" t="n"/>
      <c r="UTQ92" s="248" t="n"/>
      <c r="UTR92" s="240" t="n"/>
      <c r="UTS92" s="240" t="n"/>
      <c r="UTU92" s="15" t="n"/>
      <c r="UTV92" s="15" t="n"/>
      <c r="UTW92" s="248" t="n"/>
      <c r="UTX92" s="248" t="n"/>
      <c r="UTY92" s="240" t="n"/>
      <c r="UTZ92" s="240" t="n"/>
      <c r="UUB92" s="15" t="n"/>
      <c r="UUC92" s="15" t="n"/>
      <c r="UUD92" s="248" t="n"/>
      <c r="UUE92" s="248" t="n"/>
      <c r="UUF92" s="240" t="n"/>
      <c r="UUG92" s="240" t="n"/>
      <c r="UUI92" s="15" t="n"/>
      <c r="UUJ92" s="15" t="n"/>
      <c r="UUK92" s="248" t="n"/>
      <c r="UUL92" s="248" t="n"/>
      <c r="UUM92" s="240" t="n"/>
      <c r="UUN92" s="240" t="n"/>
      <c r="UUP92" s="15" t="n"/>
      <c r="UUQ92" s="15" t="n"/>
      <c r="UUR92" s="248" t="n"/>
      <c r="UUS92" s="248" t="n"/>
      <c r="UUT92" s="240" t="n"/>
      <c r="UUU92" s="240" t="n"/>
      <c r="UUW92" s="15" t="n"/>
      <c r="UUX92" s="15" t="n"/>
      <c r="UUY92" s="248" t="n"/>
      <c r="UUZ92" s="248" t="n"/>
      <c r="UVA92" s="240" t="n"/>
      <c r="UVB92" s="240" t="n"/>
      <c r="UVD92" s="15" t="n"/>
      <c r="UVE92" s="15" t="n"/>
      <c r="UVF92" s="248" t="n"/>
      <c r="UVG92" s="248" t="n"/>
      <c r="UVH92" s="240" t="n"/>
      <c r="UVI92" s="240" t="n"/>
      <c r="UVK92" s="15" t="n"/>
      <c r="UVL92" s="15" t="n"/>
      <c r="UVM92" s="248" t="n"/>
      <c r="UVN92" s="248" t="n"/>
      <c r="UVO92" s="240" t="n"/>
      <c r="UVP92" s="240" t="n"/>
      <c r="UVR92" s="15" t="n"/>
      <c r="UVS92" s="15" t="n"/>
      <c r="UVT92" s="248" t="n"/>
      <c r="UVU92" s="248" t="n"/>
      <c r="UVV92" s="240" t="n"/>
      <c r="UVW92" s="240" t="n"/>
      <c r="UVY92" s="15" t="n"/>
      <c r="UVZ92" s="15" t="n"/>
      <c r="UWA92" s="248" t="n"/>
      <c r="UWB92" s="248" t="n"/>
      <c r="UWC92" s="240" t="n"/>
      <c r="UWD92" s="240" t="n"/>
      <c r="UWF92" s="15" t="n"/>
      <c r="UWG92" s="15" t="n"/>
      <c r="UWH92" s="248" t="n"/>
      <c r="UWI92" s="248" t="n"/>
      <c r="UWJ92" s="240" t="n"/>
      <c r="UWK92" s="240" t="n"/>
      <c r="UWM92" s="15" t="n"/>
      <c r="UWN92" s="15" t="n"/>
      <c r="UWO92" s="248" t="n"/>
      <c r="UWP92" s="248" t="n"/>
      <c r="UWQ92" s="240" t="n"/>
      <c r="UWR92" s="240" t="n"/>
      <c r="UWT92" s="15" t="n"/>
      <c r="UWU92" s="15" t="n"/>
      <c r="UWV92" s="248" t="n"/>
      <c r="UWW92" s="248" t="n"/>
      <c r="UWX92" s="240" t="n"/>
      <c r="UWY92" s="240" t="n"/>
      <c r="UXA92" s="15" t="n"/>
      <c r="UXB92" s="15" t="n"/>
      <c r="UXC92" s="248" t="n"/>
      <c r="UXD92" s="248" t="n"/>
      <c r="UXE92" s="240" t="n"/>
      <c r="UXF92" s="240" t="n"/>
      <c r="UXH92" s="15" t="n"/>
      <c r="UXI92" s="15" t="n"/>
      <c r="UXJ92" s="248" t="n"/>
      <c r="UXK92" s="248" t="n"/>
      <c r="UXL92" s="240" t="n"/>
      <c r="UXM92" s="240" t="n"/>
      <c r="UXO92" s="15" t="n"/>
      <c r="UXP92" s="15" t="n"/>
      <c r="UXQ92" s="248" t="n"/>
      <c r="UXR92" s="248" t="n"/>
      <c r="UXS92" s="240" t="n"/>
      <c r="UXT92" s="240" t="n"/>
      <c r="UXV92" s="15" t="n"/>
      <c r="UXW92" s="15" t="n"/>
      <c r="UXX92" s="248" t="n"/>
      <c r="UXY92" s="248" t="n"/>
      <c r="UXZ92" s="240" t="n"/>
      <c r="UYA92" s="240" t="n"/>
      <c r="UYC92" s="15" t="n"/>
      <c r="UYD92" s="15" t="n"/>
      <c r="UYE92" s="248" t="n"/>
      <c r="UYF92" s="248" t="n"/>
      <c r="UYG92" s="240" t="n"/>
      <c r="UYH92" s="240" t="n"/>
      <c r="UYJ92" s="15" t="n"/>
      <c r="UYK92" s="15" t="n"/>
      <c r="UYL92" s="248" t="n"/>
      <c r="UYM92" s="248" t="n"/>
      <c r="UYN92" s="240" t="n"/>
      <c r="UYO92" s="240" t="n"/>
      <c r="UYQ92" s="15" t="n"/>
      <c r="UYR92" s="15" t="n"/>
      <c r="UYS92" s="248" t="n"/>
      <c r="UYT92" s="248" t="n"/>
      <c r="UYU92" s="240" t="n"/>
      <c r="UYV92" s="240" t="n"/>
      <c r="UYX92" s="15" t="n"/>
      <c r="UYY92" s="15" t="n"/>
      <c r="UYZ92" s="248" t="n"/>
      <c r="UZA92" s="248" t="n"/>
      <c r="UZB92" s="240" t="n"/>
      <c r="UZC92" s="240" t="n"/>
      <c r="UZE92" s="15" t="n"/>
      <c r="UZF92" s="15" t="n"/>
      <c r="UZG92" s="248" t="n"/>
      <c r="UZH92" s="248" t="n"/>
      <c r="UZI92" s="240" t="n"/>
      <c r="UZJ92" s="240" t="n"/>
      <c r="UZL92" s="15" t="n"/>
      <c r="UZM92" s="15" t="n"/>
      <c r="UZN92" s="248" t="n"/>
      <c r="UZO92" s="248" t="n"/>
      <c r="UZP92" s="240" t="n"/>
      <c r="UZQ92" s="240" t="n"/>
      <c r="UZS92" s="15" t="n"/>
      <c r="UZT92" s="15" t="n"/>
      <c r="UZU92" s="248" t="n"/>
      <c r="UZV92" s="248" t="n"/>
      <c r="UZW92" s="240" t="n"/>
      <c r="UZX92" s="240" t="n"/>
      <c r="UZZ92" s="15" t="n"/>
      <c r="VAA92" s="15" t="n"/>
      <c r="VAB92" s="248" t="n"/>
      <c r="VAC92" s="248" t="n"/>
      <c r="VAD92" s="240" t="n"/>
      <c r="VAE92" s="240" t="n"/>
      <c r="VAG92" s="15" t="n"/>
      <c r="VAH92" s="15" t="n"/>
      <c r="VAI92" s="248" t="n"/>
      <c r="VAJ92" s="248" t="n"/>
      <c r="VAK92" s="240" t="n"/>
      <c r="VAL92" s="240" t="n"/>
      <c r="VAN92" s="15" t="n"/>
      <c r="VAO92" s="15" t="n"/>
      <c r="VAP92" s="248" t="n"/>
      <c r="VAQ92" s="248" t="n"/>
      <c r="VAR92" s="240" t="n"/>
      <c r="VAS92" s="240" t="n"/>
      <c r="VAU92" s="15" t="n"/>
      <c r="VAV92" s="15" t="n"/>
      <c r="VAW92" s="248" t="n"/>
      <c r="VAX92" s="248" t="n"/>
      <c r="VAY92" s="240" t="n"/>
      <c r="VAZ92" s="240" t="n"/>
      <c r="VBB92" s="15" t="n"/>
      <c r="VBC92" s="15" t="n"/>
      <c r="VBD92" s="248" t="n"/>
      <c r="VBE92" s="248" t="n"/>
      <c r="VBF92" s="240" t="n"/>
      <c r="VBG92" s="240" t="n"/>
      <c r="VBI92" s="15" t="n"/>
      <c r="VBJ92" s="15" t="n"/>
      <c r="VBK92" s="248" t="n"/>
      <c r="VBL92" s="248" t="n"/>
      <c r="VBM92" s="240" t="n"/>
      <c r="VBN92" s="240" t="n"/>
      <c r="VBP92" s="15" t="n"/>
      <c r="VBQ92" s="15" t="n"/>
      <c r="VBR92" s="248" t="n"/>
      <c r="VBS92" s="248" t="n"/>
      <c r="VBT92" s="240" t="n"/>
      <c r="VBU92" s="240" t="n"/>
      <c r="VBW92" s="15" t="n"/>
      <c r="VBX92" s="15" t="n"/>
      <c r="VBY92" s="248" t="n"/>
      <c r="VBZ92" s="248" t="n"/>
      <c r="VCA92" s="240" t="n"/>
      <c r="VCB92" s="240" t="n"/>
      <c r="VCD92" s="15" t="n"/>
      <c r="VCE92" s="15" t="n"/>
      <c r="VCF92" s="248" t="n"/>
      <c r="VCG92" s="248" t="n"/>
      <c r="VCH92" s="240" t="n"/>
      <c r="VCI92" s="240" t="n"/>
      <c r="VCK92" s="15" t="n"/>
      <c r="VCL92" s="15" t="n"/>
      <c r="VCM92" s="248" t="n"/>
      <c r="VCN92" s="248" t="n"/>
      <c r="VCO92" s="240" t="n"/>
      <c r="VCP92" s="240" t="n"/>
      <c r="VCR92" s="15" t="n"/>
      <c r="VCS92" s="15" t="n"/>
      <c r="VCT92" s="248" t="n"/>
      <c r="VCU92" s="248" t="n"/>
      <c r="VCV92" s="240" t="n"/>
      <c r="VCW92" s="240" t="n"/>
      <c r="VCY92" s="15" t="n"/>
      <c r="VCZ92" s="15" t="n"/>
      <c r="VDA92" s="248" t="n"/>
      <c r="VDB92" s="248" t="n"/>
      <c r="VDC92" s="240" t="n"/>
      <c r="VDD92" s="240" t="n"/>
      <c r="VDF92" s="15" t="n"/>
      <c r="VDG92" s="15" t="n"/>
      <c r="VDH92" s="248" t="n"/>
      <c r="VDI92" s="248" t="n"/>
      <c r="VDJ92" s="240" t="n"/>
      <c r="VDK92" s="240" t="n"/>
      <c r="VDM92" s="15" t="n"/>
      <c r="VDN92" s="15" t="n"/>
      <c r="VDO92" s="248" t="n"/>
      <c r="VDP92" s="248" t="n"/>
      <c r="VDQ92" s="240" t="n"/>
      <c r="VDR92" s="240" t="n"/>
      <c r="VDT92" s="15" t="n"/>
      <c r="VDU92" s="15" t="n"/>
      <c r="VDV92" s="248" t="n"/>
      <c r="VDW92" s="248" t="n"/>
      <c r="VDX92" s="240" t="n"/>
      <c r="VDY92" s="240" t="n"/>
      <c r="VEA92" s="15" t="n"/>
      <c r="VEB92" s="15" t="n"/>
      <c r="VEC92" s="248" t="n"/>
      <c r="VED92" s="248" t="n"/>
      <c r="VEE92" s="240" t="n"/>
      <c r="VEF92" s="240" t="n"/>
      <c r="VEH92" s="15" t="n"/>
      <c r="VEI92" s="15" t="n"/>
      <c r="VEJ92" s="248" t="n"/>
      <c r="VEK92" s="248" t="n"/>
      <c r="VEL92" s="240" t="n"/>
      <c r="VEM92" s="240" t="n"/>
      <c r="VEO92" s="15" t="n"/>
      <c r="VEP92" s="15" t="n"/>
      <c r="VEQ92" s="248" t="n"/>
      <c r="VER92" s="248" t="n"/>
      <c r="VES92" s="240" t="n"/>
      <c r="VET92" s="240" t="n"/>
      <c r="VEV92" s="15" t="n"/>
      <c r="VEW92" s="15" t="n"/>
      <c r="VEX92" s="248" t="n"/>
      <c r="VEY92" s="248" t="n"/>
      <c r="VEZ92" s="240" t="n"/>
      <c r="VFA92" s="240" t="n"/>
      <c r="VFC92" s="15" t="n"/>
      <c r="VFD92" s="15" t="n"/>
      <c r="VFE92" s="248" t="n"/>
      <c r="VFF92" s="248" t="n"/>
      <c r="VFG92" s="240" t="n"/>
      <c r="VFH92" s="240" t="n"/>
      <c r="VFJ92" s="15" t="n"/>
      <c r="VFK92" s="15" t="n"/>
      <c r="VFL92" s="248" t="n"/>
      <c r="VFM92" s="248" t="n"/>
      <c r="VFN92" s="240" t="n"/>
      <c r="VFO92" s="240" t="n"/>
      <c r="VFQ92" s="15" t="n"/>
      <c r="VFR92" s="15" t="n"/>
      <c r="VFS92" s="248" t="n"/>
      <c r="VFT92" s="248" t="n"/>
      <c r="VFU92" s="240" t="n"/>
      <c r="VFV92" s="240" t="n"/>
      <c r="VFX92" s="15" t="n"/>
      <c r="VFY92" s="15" t="n"/>
      <c r="VFZ92" s="248" t="n"/>
      <c r="VGA92" s="248" t="n"/>
      <c r="VGB92" s="240" t="n"/>
      <c r="VGC92" s="240" t="n"/>
      <c r="VGE92" s="15" t="n"/>
      <c r="VGF92" s="15" t="n"/>
      <c r="VGG92" s="248" t="n"/>
      <c r="VGH92" s="248" t="n"/>
      <c r="VGI92" s="240" t="n"/>
      <c r="VGJ92" s="240" t="n"/>
      <c r="VGL92" s="15" t="n"/>
      <c r="VGM92" s="15" t="n"/>
      <c r="VGN92" s="248" t="n"/>
      <c r="VGO92" s="248" t="n"/>
      <c r="VGP92" s="240" t="n"/>
      <c r="VGQ92" s="240" t="n"/>
      <c r="VGS92" s="15" t="n"/>
      <c r="VGT92" s="15" t="n"/>
      <c r="VGU92" s="248" t="n"/>
      <c r="VGV92" s="248" t="n"/>
      <c r="VGW92" s="240" t="n"/>
      <c r="VGX92" s="240" t="n"/>
      <c r="VGZ92" s="15" t="n"/>
      <c r="VHA92" s="15" t="n"/>
      <c r="VHB92" s="248" t="n"/>
      <c r="VHC92" s="248" t="n"/>
      <c r="VHD92" s="240" t="n"/>
      <c r="VHE92" s="240" t="n"/>
      <c r="VHG92" s="15" t="n"/>
      <c r="VHH92" s="15" t="n"/>
      <c r="VHI92" s="248" t="n"/>
      <c r="VHJ92" s="248" t="n"/>
      <c r="VHK92" s="240" t="n"/>
      <c r="VHL92" s="240" t="n"/>
      <c r="VHN92" s="15" t="n"/>
      <c r="VHO92" s="15" t="n"/>
      <c r="VHP92" s="248" t="n"/>
      <c r="VHQ92" s="248" t="n"/>
      <c r="VHR92" s="240" t="n"/>
      <c r="VHS92" s="240" t="n"/>
      <c r="VHU92" s="15" t="n"/>
      <c r="VHV92" s="15" t="n"/>
      <c r="VHW92" s="248" t="n"/>
      <c r="VHX92" s="248" t="n"/>
      <c r="VHY92" s="240" t="n"/>
      <c r="VHZ92" s="240" t="n"/>
      <c r="VIB92" s="15" t="n"/>
      <c r="VIC92" s="15" t="n"/>
      <c r="VID92" s="248" t="n"/>
      <c r="VIE92" s="248" t="n"/>
      <c r="VIF92" s="240" t="n"/>
      <c r="VIG92" s="240" t="n"/>
      <c r="VII92" s="15" t="n"/>
      <c r="VIJ92" s="15" t="n"/>
      <c r="VIK92" s="248" t="n"/>
      <c r="VIL92" s="248" t="n"/>
      <c r="VIM92" s="240" t="n"/>
      <c r="VIN92" s="240" t="n"/>
      <c r="VIP92" s="15" t="n"/>
      <c r="VIQ92" s="15" t="n"/>
      <c r="VIR92" s="248" t="n"/>
      <c r="VIS92" s="248" t="n"/>
      <c r="VIT92" s="240" t="n"/>
      <c r="VIU92" s="240" t="n"/>
      <c r="VIW92" s="15" t="n"/>
      <c r="VIX92" s="15" t="n"/>
      <c r="VIY92" s="248" t="n"/>
      <c r="VIZ92" s="248" t="n"/>
      <c r="VJA92" s="240" t="n"/>
      <c r="VJB92" s="240" t="n"/>
      <c r="VJD92" s="15" t="n"/>
      <c r="VJE92" s="15" t="n"/>
      <c r="VJF92" s="248" t="n"/>
      <c r="VJG92" s="248" t="n"/>
      <c r="VJH92" s="240" t="n"/>
      <c r="VJI92" s="240" t="n"/>
      <c r="VJK92" s="15" t="n"/>
      <c r="VJL92" s="15" t="n"/>
      <c r="VJM92" s="248" t="n"/>
      <c r="VJN92" s="248" t="n"/>
      <c r="VJO92" s="240" t="n"/>
      <c r="VJP92" s="240" t="n"/>
      <c r="VJR92" s="15" t="n"/>
      <c r="VJS92" s="15" t="n"/>
      <c r="VJT92" s="248" t="n"/>
      <c r="VJU92" s="248" t="n"/>
      <c r="VJV92" s="240" t="n"/>
      <c r="VJW92" s="240" t="n"/>
      <c r="VJY92" s="15" t="n"/>
      <c r="VJZ92" s="15" t="n"/>
      <c r="VKA92" s="248" t="n"/>
      <c r="VKB92" s="248" t="n"/>
      <c r="VKC92" s="240" t="n"/>
      <c r="VKD92" s="240" t="n"/>
      <c r="VKF92" s="15" t="n"/>
      <c r="VKG92" s="15" t="n"/>
      <c r="VKH92" s="248" t="n"/>
      <c r="VKI92" s="248" t="n"/>
      <c r="VKJ92" s="240" t="n"/>
      <c r="VKK92" s="240" t="n"/>
      <c r="VKM92" s="15" t="n"/>
      <c r="VKN92" s="15" t="n"/>
      <c r="VKO92" s="248" t="n"/>
      <c r="VKP92" s="248" t="n"/>
      <c r="VKQ92" s="240" t="n"/>
      <c r="VKR92" s="240" t="n"/>
      <c r="VKT92" s="15" t="n"/>
      <c r="VKU92" s="15" t="n"/>
      <c r="VKV92" s="248" t="n"/>
      <c r="VKW92" s="248" t="n"/>
      <c r="VKX92" s="240" t="n"/>
      <c r="VKY92" s="240" t="n"/>
      <c r="VLA92" s="15" t="n"/>
      <c r="VLB92" s="15" t="n"/>
      <c r="VLC92" s="248" t="n"/>
      <c r="VLD92" s="248" t="n"/>
      <c r="VLE92" s="240" t="n"/>
      <c r="VLF92" s="240" t="n"/>
      <c r="VLH92" s="15" t="n"/>
      <c r="VLI92" s="15" t="n"/>
      <c r="VLJ92" s="248" t="n"/>
      <c r="VLK92" s="248" t="n"/>
      <c r="VLL92" s="240" t="n"/>
      <c r="VLM92" s="240" t="n"/>
      <c r="VLO92" s="15" t="n"/>
      <c r="VLP92" s="15" t="n"/>
      <c r="VLQ92" s="248" t="n"/>
      <c r="VLR92" s="248" t="n"/>
      <c r="VLS92" s="240" t="n"/>
      <c r="VLT92" s="240" t="n"/>
      <c r="VLV92" s="15" t="n"/>
      <c r="VLW92" s="15" t="n"/>
      <c r="VLX92" s="248" t="n"/>
      <c r="VLY92" s="248" t="n"/>
      <c r="VLZ92" s="240" t="n"/>
      <c r="VMA92" s="240" t="n"/>
      <c r="VMC92" s="15" t="n"/>
      <c r="VMD92" s="15" t="n"/>
      <c r="VME92" s="248" t="n"/>
      <c r="VMF92" s="248" t="n"/>
      <c r="VMG92" s="240" t="n"/>
      <c r="VMH92" s="240" t="n"/>
      <c r="VMJ92" s="15" t="n"/>
      <c r="VMK92" s="15" t="n"/>
      <c r="VML92" s="248" t="n"/>
      <c r="VMM92" s="248" t="n"/>
      <c r="VMN92" s="240" t="n"/>
      <c r="VMO92" s="240" t="n"/>
      <c r="VMQ92" s="15" t="n"/>
      <c r="VMR92" s="15" t="n"/>
      <c r="VMS92" s="248" t="n"/>
      <c r="VMT92" s="248" t="n"/>
      <c r="VMU92" s="240" t="n"/>
      <c r="VMV92" s="240" t="n"/>
      <c r="VMX92" s="15" t="n"/>
      <c r="VMY92" s="15" t="n"/>
      <c r="VMZ92" s="248" t="n"/>
      <c r="VNA92" s="248" t="n"/>
      <c r="VNB92" s="240" t="n"/>
      <c r="VNC92" s="240" t="n"/>
      <c r="VNE92" s="15" t="n"/>
      <c r="VNF92" s="15" t="n"/>
      <c r="VNG92" s="248" t="n"/>
      <c r="VNH92" s="248" t="n"/>
      <c r="VNI92" s="240" t="n"/>
      <c r="VNJ92" s="240" t="n"/>
      <c r="VNL92" s="15" t="n"/>
      <c r="VNM92" s="15" t="n"/>
      <c r="VNN92" s="248" t="n"/>
      <c r="VNO92" s="248" t="n"/>
      <c r="VNP92" s="240" t="n"/>
      <c r="VNQ92" s="240" t="n"/>
      <c r="VNS92" s="15" t="n"/>
      <c r="VNT92" s="15" t="n"/>
      <c r="VNU92" s="248" t="n"/>
      <c r="VNV92" s="248" t="n"/>
      <c r="VNW92" s="240" t="n"/>
      <c r="VNX92" s="240" t="n"/>
      <c r="VNZ92" s="15" t="n"/>
      <c r="VOA92" s="15" t="n"/>
      <c r="VOB92" s="248" t="n"/>
      <c r="VOC92" s="248" t="n"/>
      <c r="VOD92" s="240" t="n"/>
      <c r="VOE92" s="240" t="n"/>
      <c r="VOG92" s="15" t="n"/>
      <c r="VOH92" s="15" t="n"/>
      <c r="VOI92" s="248" t="n"/>
      <c r="VOJ92" s="248" t="n"/>
      <c r="VOK92" s="240" t="n"/>
      <c r="VOL92" s="240" t="n"/>
      <c r="VON92" s="15" t="n"/>
      <c r="VOO92" s="15" t="n"/>
      <c r="VOP92" s="248" t="n"/>
      <c r="VOQ92" s="248" t="n"/>
      <c r="VOR92" s="240" t="n"/>
      <c r="VOS92" s="240" t="n"/>
      <c r="VOU92" s="15" t="n"/>
      <c r="VOV92" s="15" t="n"/>
      <c r="VOW92" s="248" t="n"/>
      <c r="VOX92" s="248" t="n"/>
      <c r="VOY92" s="240" t="n"/>
      <c r="VOZ92" s="240" t="n"/>
      <c r="VPB92" s="15" t="n"/>
      <c r="VPC92" s="15" t="n"/>
      <c r="VPD92" s="248" t="n"/>
      <c r="VPE92" s="248" t="n"/>
      <c r="VPF92" s="240" t="n"/>
      <c r="VPG92" s="240" t="n"/>
      <c r="VPI92" s="15" t="n"/>
      <c r="VPJ92" s="15" t="n"/>
      <c r="VPK92" s="248" t="n"/>
      <c r="VPL92" s="248" t="n"/>
      <c r="VPM92" s="240" t="n"/>
      <c r="VPN92" s="240" t="n"/>
      <c r="VPP92" s="15" t="n"/>
      <c r="VPQ92" s="15" t="n"/>
      <c r="VPR92" s="248" t="n"/>
      <c r="VPS92" s="248" t="n"/>
      <c r="VPT92" s="240" t="n"/>
      <c r="VPU92" s="240" t="n"/>
      <c r="VPW92" s="15" t="n"/>
      <c r="VPX92" s="15" t="n"/>
      <c r="VPY92" s="248" t="n"/>
      <c r="VPZ92" s="248" t="n"/>
      <c r="VQA92" s="240" t="n"/>
      <c r="VQB92" s="240" t="n"/>
      <c r="VQD92" s="15" t="n"/>
      <c r="VQE92" s="15" t="n"/>
      <c r="VQF92" s="248" t="n"/>
      <c r="VQG92" s="248" t="n"/>
      <c r="VQH92" s="240" t="n"/>
      <c r="VQI92" s="240" t="n"/>
      <c r="VQK92" s="15" t="n"/>
      <c r="VQL92" s="15" t="n"/>
      <c r="VQM92" s="248" t="n"/>
      <c r="VQN92" s="248" t="n"/>
      <c r="VQO92" s="240" t="n"/>
      <c r="VQP92" s="240" t="n"/>
      <c r="VQR92" s="15" t="n"/>
      <c r="VQS92" s="15" t="n"/>
      <c r="VQT92" s="248" t="n"/>
      <c r="VQU92" s="248" t="n"/>
      <c r="VQV92" s="240" t="n"/>
      <c r="VQW92" s="240" t="n"/>
      <c r="VQY92" s="15" t="n"/>
      <c r="VQZ92" s="15" t="n"/>
      <c r="VRA92" s="248" t="n"/>
      <c r="VRB92" s="248" t="n"/>
      <c r="VRC92" s="240" t="n"/>
      <c r="VRD92" s="240" t="n"/>
      <c r="VRF92" s="15" t="n"/>
      <c r="VRG92" s="15" t="n"/>
      <c r="VRH92" s="248" t="n"/>
      <c r="VRI92" s="248" t="n"/>
      <c r="VRJ92" s="240" t="n"/>
      <c r="VRK92" s="240" t="n"/>
      <c r="VRM92" s="15" t="n"/>
      <c r="VRN92" s="15" t="n"/>
      <c r="VRO92" s="248" t="n"/>
      <c r="VRP92" s="248" t="n"/>
      <c r="VRQ92" s="240" t="n"/>
      <c r="VRR92" s="240" t="n"/>
      <c r="VRT92" s="15" t="n"/>
      <c r="VRU92" s="15" t="n"/>
      <c r="VRV92" s="248" t="n"/>
      <c r="VRW92" s="248" t="n"/>
      <c r="VRX92" s="240" t="n"/>
      <c r="VRY92" s="240" t="n"/>
      <c r="VSA92" s="15" t="n"/>
      <c r="VSB92" s="15" t="n"/>
      <c r="VSC92" s="248" t="n"/>
      <c r="VSD92" s="248" t="n"/>
      <c r="VSE92" s="240" t="n"/>
      <c r="VSF92" s="240" t="n"/>
      <c r="VSH92" s="15" t="n"/>
      <c r="VSI92" s="15" t="n"/>
      <c r="VSJ92" s="248" t="n"/>
      <c r="VSK92" s="248" t="n"/>
      <c r="VSL92" s="240" t="n"/>
      <c r="VSM92" s="240" t="n"/>
      <c r="VSO92" s="15" t="n"/>
      <c r="VSP92" s="15" t="n"/>
      <c r="VSQ92" s="248" t="n"/>
      <c r="VSR92" s="248" t="n"/>
      <c r="VSS92" s="240" t="n"/>
      <c r="VST92" s="240" t="n"/>
      <c r="VSV92" s="15" t="n"/>
      <c r="VSW92" s="15" t="n"/>
      <c r="VSX92" s="248" t="n"/>
      <c r="VSY92" s="248" t="n"/>
      <c r="VSZ92" s="240" t="n"/>
      <c r="VTA92" s="240" t="n"/>
      <c r="VTC92" s="15" t="n"/>
      <c r="VTD92" s="15" t="n"/>
      <c r="VTE92" s="248" t="n"/>
      <c r="VTF92" s="248" t="n"/>
      <c r="VTG92" s="240" t="n"/>
      <c r="VTH92" s="240" t="n"/>
      <c r="VTJ92" s="15" t="n"/>
      <c r="VTK92" s="15" t="n"/>
      <c r="VTL92" s="248" t="n"/>
      <c r="VTM92" s="248" t="n"/>
      <c r="VTN92" s="240" t="n"/>
      <c r="VTO92" s="240" t="n"/>
      <c r="VTQ92" s="15" t="n"/>
      <c r="VTR92" s="15" t="n"/>
      <c r="VTS92" s="248" t="n"/>
      <c r="VTT92" s="248" t="n"/>
      <c r="VTU92" s="240" t="n"/>
      <c r="VTV92" s="240" t="n"/>
      <c r="VTX92" s="15" t="n"/>
      <c r="VTY92" s="15" t="n"/>
      <c r="VTZ92" s="248" t="n"/>
      <c r="VUA92" s="248" t="n"/>
      <c r="VUB92" s="240" t="n"/>
      <c r="VUC92" s="240" t="n"/>
      <c r="VUE92" s="15" t="n"/>
      <c r="VUF92" s="15" t="n"/>
      <c r="VUG92" s="248" t="n"/>
      <c r="VUH92" s="248" t="n"/>
      <c r="VUI92" s="240" t="n"/>
      <c r="VUJ92" s="240" t="n"/>
      <c r="VUL92" s="15" t="n"/>
      <c r="VUM92" s="15" t="n"/>
      <c r="VUN92" s="248" t="n"/>
      <c r="VUO92" s="248" t="n"/>
      <c r="VUP92" s="240" t="n"/>
      <c r="VUQ92" s="240" t="n"/>
      <c r="VUS92" s="15" t="n"/>
      <c r="VUT92" s="15" t="n"/>
      <c r="VUU92" s="248" t="n"/>
      <c r="VUV92" s="248" t="n"/>
      <c r="VUW92" s="240" t="n"/>
      <c r="VUX92" s="240" t="n"/>
      <c r="VUZ92" s="15" t="n"/>
      <c r="VVA92" s="15" t="n"/>
      <c r="VVB92" s="248" t="n"/>
      <c r="VVC92" s="248" t="n"/>
      <c r="VVD92" s="240" t="n"/>
      <c r="VVE92" s="240" t="n"/>
      <c r="VVG92" s="15" t="n"/>
      <c r="VVH92" s="15" t="n"/>
      <c r="VVI92" s="248" t="n"/>
      <c r="VVJ92" s="248" t="n"/>
      <c r="VVK92" s="240" t="n"/>
      <c r="VVL92" s="240" t="n"/>
      <c r="VVN92" s="15" t="n"/>
      <c r="VVO92" s="15" t="n"/>
      <c r="VVP92" s="248" t="n"/>
      <c r="VVQ92" s="248" t="n"/>
      <c r="VVR92" s="240" t="n"/>
      <c r="VVS92" s="240" t="n"/>
      <c r="VVU92" s="15" t="n"/>
      <c r="VVV92" s="15" t="n"/>
      <c r="VVW92" s="248" t="n"/>
      <c r="VVX92" s="248" t="n"/>
      <c r="VVY92" s="240" t="n"/>
      <c r="VVZ92" s="240" t="n"/>
      <c r="VWB92" s="15" t="n"/>
      <c r="VWC92" s="15" t="n"/>
      <c r="VWD92" s="248" t="n"/>
      <c r="VWE92" s="248" t="n"/>
      <c r="VWF92" s="240" t="n"/>
      <c r="VWG92" s="240" t="n"/>
      <c r="VWI92" s="15" t="n"/>
      <c r="VWJ92" s="15" t="n"/>
      <c r="VWK92" s="248" t="n"/>
      <c r="VWL92" s="248" t="n"/>
      <c r="VWM92" s="240" t="n"/>
      <c r="VWN92" s="240" t="n"/>
      <c r="VWP92" s="15" t="n"/>
      <c r="VWQ92" s="15" t="n"/>
      <c r="VWR92" s="248" t="n"/>
      <c r="VWS92" s="248" t="n"/>
      <c r="VWT92" s="240" t="n"/>
      <c r="VWU92" s="240" t="n"/>
      <c r="VWW92" s="15" t="n"/>
      <c r="VWX92" s="15" t="n"/>
      <c r="VWY92" s="248" t="n"/>
      <c r="VWZ92" s="248" t="n"/>
      <c r="VXA92" s="240" t="n"/>
      <c r="VXB92" s="240" t="n"/>
      <c r="VXD92" s="15" t="n"/>
      <c r="VXE92" s="15" t="n"/>
      <c r="VXF92" s="248" t="n"/>
      <c r="VXG92" s="248" t="n"/>
      <c r="VXH92" s="240" t="n"/>
      <c r="VXI92" s="240" t="n"/>
      <c r="VXK92" s="15" t="n"/>
      <c r="VXL92" s="15" t="n"/>
      <c r="VXM92" s="248" t="n"/>
      <c r="VXN92" s="248" t="n"/>
      <c r="VXO92" s="240" t="n"/>
      <c r="VXP92" s="240" t="n"/>
      <c r="VXR92" s="15" t="n"/>
      <c r="VXS92" s="15" t="n"/>
      <c r="VXT92" s="248" t="n"/>
      <c r="VXU92" s="248" t="n"/>
      <c r="VXV92" s="240" t="n"/>
      <c r="VXW92" s="240" t="n"/>
      <c r="VXY92" s="15" t="n"/>
      <c r="VXZ92" s="15" t="n"/>
      <c r="VYA92" s="248" t="n"/>
      <c r="VYB92" s="248" t="n"/>
      <c r="VYC92" s="240" t="n"/>
      <c r="VYD92" s="240" t="n"/>
      <c r="VYF92" s="15" t="n"/>
      <c r="VYG92" s="15" t="n"/>
      <c r="VYH92" s="248" t="n"/>
      <c r="VYI92" s="248" t="n"/>
      <c r="VYJ92" s="240" t="n"/>
      <c r="VYK92" s="240" t="n"/>
      <c r="VYM92" s="15" t="n"/>
      <c r="VYN92" s="15" t="n"/>
      <c r="VYO92" s="248" t="n"/>
      <c r="VYP92" s="248" t="n"/>
      <c r="VYQ92" s="240" t="n"/>
      <c r="VYR92" s="240" t="n"/>
      <c r="VYT92" s="15" t="n"/>
      <c r="VYU92" s="15" t="n"/>
      <c r="VYV92" s="248" t="n"/>
      <c r="VYW92" s="248" t="n"/>
      <c r="VYX92" s="240" t="n"/>
      <c r="VYY92" s="240" t="n"/>
      <c r="VZA92" s="15" t="n"/>
      <c r="VZB92" s="15" t="n"/>
      <c r="VZC92" s="248" t="n"/>
      <c r="VZD92" s="248" t="n"/>
      <c r="VZE92" s="240" t="n"/>
      <c r="VZF92" s="240" t="n"/>
      <c r="VZH92" s="15" t="n"/>
      <c r="VZI92" s="15" t="n"/>
      <c r="VZJ92" s="248" t="n"/>
      <c r="VZK92" s="248" t="n"/>
      <c r="VZL92" s="240" t="n"/>
      <c r="VZM92" s="240" t="n"/>
      <c r="VZO92" s="15" t="n"/>
      <c r="VZP92" s="15" t="n"/>
      <c r="VZQ92" s="248" t="n"/>
      <c r="VZR92" s="248" t="n"/>
      <c r="VZS92" s="240" t="n"/>
      <c r="VZT92" s="240" t="n"/>
      <c r="VZV92" s="15" t="n"/>
      <c r="VZW92" s="15" t="n"/>
      <c r="VZX92" s="248" t="n"/>
      <c r="VZY92" s="248" t="n"/>
      <c r="VZZ92" s="240" t="n"/>
      <c r="WAA92" s="240" t="n"/>
      <c r="WAC92" s="15" t="n"/>
      <c r="WAD92" s="15" t="n"/>
      <c r="WAE92" s="248" t="n"/>
      <c r="WAF92" s="248" t="n"/>
      <c r="WAG92" s="240" t="n"/>
      <c r="WAH92" s="240" t="n"/>
      <c r="WAJ92" s="15" t="n"/>
      <c r="WAK92" s="15" t="n"/>
      <c r="WAL92" s="248" t="n"/>
      <c r="WAM92" s="248" t="n"/>
      <c r="WAN92" s="240" t="n"/>
      <c r="WAO92" s="240" t="n"/>
      <c r="WAQ92" s="15" t="n"/>
      <c r="WAR92" s="15" t="n"/>
      <c r="WAS92" s="248" t="n"/>
      <c r="WAT92" s="248" t="n"/>
      <c r="WAU92" s="240" t="n"/>
      <c r="WAV92" s="240" t="n"/>
      <c r="WAX92" s="15" t="n"/>
      <c r="WAY92" s="15" t="n"/>
      <c r="WAZ92" s="248" t="n"/>
      <c r="WBA92" s="248" t="n"/>
      <c r="WBB92" s="240" t="n"/>
      <c r="WBC92" s="240" t="n"/>
      <c r="WBE92" s="15" t="n"/>
      <c r="WBF92" s="15" t="n"/>
      <c r="WBG92" s="248" t="n"/>
      <c r="WBH92" s="248" t="n"/>
      <c r="WBI92" s="240" t="n"/>
      <c r="WBJ92" s="240" t="n"/>
      <c r="WBL92" s="15" t="n"/>
      <c r="WBM92" s="15" t="n"/>
      <c r="WBN92" s="248" t="n"/>
      <c r="WBO92" s="248" t="n"/>
      <c r="WBP92" s="240" t="n"/>
      <c r="WBQ92" s="240" t="n"/>
      <c r="WBS92" s="15" t="n"/>
      <c r="WBT92" s="15" t="n"/>
      <c r="WBU92" s="248" t="n"/>
      <c r="WBV92" s="248" t="n"/>
      <c r="WBW92" s="240" t="n"/>
      <c r="WBX92" s="240" t="n"/>
      <c r="WBZ92" s="15" t="n"/>
      <c r="WCA92" s="15" t="n"/>
      <c r="WCB92" s="248" t="n"/>
      <c r="WCC92" s="248" t="n"/>
      <c r="WCD92" s="240" t="n"/>
      <c r="WCE92" s="240" t="n"/>
      <c r="WCG92" s="15" t="n"/>
      <c r="WCH92" s="15" t="n"/>
      <c r="WCI92" s="248" t="n"/>
      <c r="WCJ92" s="248" t="n"/>
      <c r="WCK92" s="240" t="n"/>
      <c r="WCL92" s="240" t="n"/>
      <c r="WCN92" s="15" t="n"/>
      <c r="WCO92" s="15" t="n"/>
      <c r="WCP92" s="248" t="n"/>
      <c r="WCQ92" s="248" t="n"/>
      <c r="WCR92" s="240" t="n"/>
      <c r="WCS92" s="240" t="n"/>
      <c r="WCU92" s="15" t="n"/>
      <c r="WCV92" s="15" t="n"/>
      <c r="WCW92" s="248" t="n"/>
      <c r="WCX92" s="248" t="n"/>
      <c r="WCY92" s="240" t="n"/>
      <c r="WCZ92" s="240" t="n"/>
      <c r="WDB92" s="15" t="n"/>
      <c r="WDC92" s="15" t="n"/>
      <c r="WDD92" s="248" t="n"/>
      <c r="WDE92" s="248" t="n"/>
      <c r="WDF92" s="240" t="n"/>
      <c r="WDG92" s="240" t="n"/>
      <c r="WDI92" s="15" t="n"/>
      <c r="WDJ92" s="15" t="n"/>
      <c r="WDK92" s="248" t="n"/>
      <c r="WDL92" s="248" t="n"/>
      <c r="WDM92" s="240" t="n"/>
      <c r="WDN92" s="240" t="n"/>
      <c r="WDP92" s="15" t="n"/>
      <c r="WDQ92" s="15" t="n"/>
      <c r="WDR92" s="248" t="n"/>
      <c r="WDS92" s="248" t="n"/>
      <c r="WDT92" s="240" t="n"/>
      <c r="WDU92" s="240" t="n"/>
      <c r="WDW92" s="15" t="n"/>
      <c r="WDX92" s="15" t="n"/>
      <c r="WDY92" s="248" t="n"/>
      <c r="WDZ92" s="248" t="n"/>
      <c r="WEA92" s="240" t="n"/>
      <c r="WEB92" s="240" t="n"/>
      <c r="WED92" s="15" t="n"/>
      <c r="WEE92" s="15" t="n"/>
      <c r="WEF92" s="248" t="n"/>
      <c r="WEG92" s="248" t="n"/>
      <c r="WEH92" s="240" t="n"/>
      <c r="WEI92" s="240" t="n"/>
      <c r="WEK92" s="15" t="n"/>
      <c r="WEL92" s="15" t="n"/>
      <c r="WEM92" s="248" t="n"/>
      <c r="WEN92" s="248" t="n"/>
      <c r="WEO92" s="240" t="n"/>
      <c r="WEP92" s="240" t="n"/>
      <c r="WER92" s="15" t="n"/>
      <c r="WES92" s="15" t="n"/>
      <c r="WET92" s="248" t="n"/>
      <c r="WEU92" s="248" t="n"/>
      <c r="WEV92" s="240" t="n"/>
      <c r="WEW92" s="240" t="n"/>
      <c r="WEY92" s="15" t="n"/>
      <c r="WEZ92" s="15" t="n"/>
      <c r="WFA92" s="248" t="n"/>
      <c r="WFB92" s="248" t="n"/>
      <c r="WFC92" s="240" t="n"/>
      <c r="WFD92" s="240" t="n"/>
      <c r="WFF92" s="15" t="n"/>
      <c r="WFG92" s="15" t="n"/>
      <c r="WFH92" s="248" t="n"/>
      <c r="WFI92" s="248" t="n"/>
      <c r="WFJ92" s="240" t="n"/>
      <c r="WFK92" s="240" t="n"/>
      <c r="WFM92" s="15" t="n"/>
      <c r="WFN92" s="15" t="n"/>
      <c r="WFO92" s="248" t="n"/>
      <c r="WFP92" s="248" t="n"/>
      <c r="WFQ92" s="240" t="n"/>
      <c r="WFR92" s="240" t="n"/>
      <c r="WFT92" s="15" t="n"/>
      <c r="WFU92" s="15" t="n"/>
      <c r="WFV92" s="248" t="n"/>
      <c r="WFW92" s="248" t="n"/>
      <c r="WFX92" s="240" t="n"/>
      <c r="WFY92" s="240" t="n"/>
      <c r="WGA92" s="15" t="n"/>
      <c r="WGB92" s="15" t="n"/>
      <c r="WGC92" s="248" t="n"/>
      <c r="WGD92" s="248" t="n"/>
      <c r="WGE92" s="240" t="n"/>
      <c r="WGF92" s="240" t="n"/>
      <c r="WGH92" s="15" t="n"/>
      <c r="WGI92" s="15" t="n"/>
      <c r="WGJ92" s="248" t="n"/>
      <c r="WGK92" s="248" t="n"/>
      <c r="WGL92" s="240" t="n"/>
      <c r="WGM92" s="240" t="n"/>
      <c r="WGO92" s="15" t="n"/>
      <c r="WGP92" s="15" t="n"/>
      <c r="WGQ92" s="248" t="n"/>
      <c r="WGR92" s="248" t="n"/>
      <c r="WGS92" s="240" t="n"/>
      <c r="WGT92" s="240" t="n"/>
      <c r="WGV92" s="15" t="n"/>
      <c r="WGW92" s="15" t="n"/>
      <c r="WGX92" s="248" t="n"/>
      <c r="WGY92" s="248" t="n"/>
      <c r="WGZ92" s="240" t="n"/>
      <c r="WHA92" s="240" t="n"/>
      <c r="WHC92" s="15" t="n"/>
      <c r="WHD92" s="15" t="n"/>
      <c r="WHE92" s="248" t="n"/>
      <c r="WHF92" s="248" t="n"/>
      <c r="WHG92" s="240" t="n"/>
      <c r="WHH92" s="240" t="n"/>
      <c r="WHJ92" s="15" t="n"/>
      <c r="WHK92" s="15" t="n"/>
      <c r="WHL92" s="248" t="n"/>
      <c r="WHM92" s="248" t="n"/>
      <c r="WHN92" s="240" t="n"/>
      <c r="WHO92" s="240" t="n"/>
      <c r="WHQ92" s="15" t="n"/>
      <c r="WHR92" s="15" t="n"/>
      <c r="WHS92" s="248" t="n"/>
      <c r="WHT92" s="248" t="n"/>
      <c r="WHU92" s="240" t="n"/>
      <c r="WHV92" s="240" t="n"/>
      <c r="WHX92" s="15" t="n"/>
      <c r="WHY92" s="15" t="n"/>
      <c r="WHZ92" s="248" t="n"/>
      <c r="WIA92" s="248" t="n"/>
      <c r="WIB92" s="240" t="n"/>
      <c r="WIC92" s="240" t="n"/>
      <c r="WIE92" s="15" t="n"/>
      <c r="WIF92" s="15" t="n"/>
      <c r="WIG92" s="248" t="n"/>
      <c r="WIH92" s="248" t="n"/>
      <c r="WII92" s="240" t="n"/>
      <c r="WIJ92" s="240" t="n"/>
      <c r="WIL92" s="15" t="n"/>
      <c r="WIM92" s="15" t="n"/>
      <c r="WIN92" s="248" t="n"/>
      <c r="WIO92" s="248" t="n"/>
      <c r="WIP92" s="240" t="n"/>
      <c r="WIQ92" s="240" t="n"/>
      <c r="WIS92" s="15" t="n"/>
      <c r="WIT92" s="15" t="n"/>
      <c r="WIU92" s="248" t="n"/>
      <c r="WIV92" s="248" t="n"/>
      <c r="WIW92" s="240" t="n"/>
      <c r="WIX92" s="240" t="n"/>
      <c r="WIZ92" s="15" t="n"/>
      <c r="WJA92" s="15" t="n"/>
      <c r="WJB92" s="248" t="n"/>
      <c r="WJC92" s="248" t="n"/>
      <c r="WJD92" s="240" t="n"/>
      <c r="WJE92" s="240" t="n"/>
      <c r="WJG92" s="15" t="n"/>
      <c r="WJH92" s="15" t="n"/>
      <c r="WJI92" s="248" t="n"/>
      <c r="WJJ92" s="248" t="n"/>
      <c r="WJK92" s="240" t="n"/>
      <c r="WJL92" s="240" t="n"/>
      <c r="WJN92" s="15" t="n"/>
      <c r="WJO92" s="15" t="n"/>
      <c r="WJP92" s="248" t="n"/>
      <c r="WJQ92" s="248" t="n"/>
      <c r="WJR92" s="240" t="n"/>
      <c r="WJS92" s="240" t="n"/>
      <c r="WJU92" s="15" t="n"/>
      <c r="WJV92" s="15" t="n"/>
      <c r="WJW92" s="248" t="n"/>
      <c r="WJX92" s="248" t="n"/>
      <c r="WJY92" s="240" t="n"/>
      <c r="WJZ92" s="240" t="n"/>
      <c r="WKB92" s="15" t="n"/>
      <c r="WKC92" s="15" t="n"/>
      <c r="WKD92" s="248" t="n"/>
      <c r="WKE92" s="248" t="n"/>
      <c r="WKF92" s="240" t="n"/>
      <c r="WKG92" s="240" t="n"/>
      <c r="WKI92" s="15" t="n"/>
      <c r="WKJ92" s="15" t="n"/>
      <c r="WKK92" s="248" t="n"/>
      <c r="WKL92" s="248" t="n"/>
      <c r="WKM92" s="240" t="n"/>
      <c r="WKN92" s="240" t="n"/>
      <c r="WKP92" s="15" t="n"/>
      <c r="WKQ92" s="15" t="n"/>
      <c r="WKR92" s="248" t="n"/>
      <c r="WKS92" s="248" t="n"/>
      <c r="WKT92" s="240" t="n"/>
      <c r="WKU92" s="240" t="n"/>
      <c r="WKW92" s="15" t="n"/>
      <c r="WKX92" s="15" t="n"/>
      <c r="WKY92" s="248" t="n"/>
      <c r="WKZ92" s="248" t="n"/>
      <c r="WLA92" s="240" t="n"/>
      <c r="WLB92" s="240" t="n"/>
      <c r="WLD92" s="15" t="n"/>
      <c r="WLE92" s="15" t="n"/>
      <c r="WLF92" s="248" t="n"/>
      <c r="WLG92" s="248" t="n"/>
      <c r="WLH92" s="240" t="n"/>
      <c r="WLI92" s="240" t="n"/>
      <c r="WLK92" s="15" t="n"/>
      <c r="WLL92" s="15" t="n"/>
      <c r="WLM92" s="248" t="n"/>
      <c r="WLN92" s="248" t="n"/>
      <c r="WLO92" s="240" t="n"/>
      <c r="WLP92" s="240" t="n"/>
      <c r="WLR92" s="15" t="n"/>
      <c r="WLS92" s="15" t="n"/>
      <c r="WLT92" s="248" t="n"/>
      <c r="WLU92" s="248" t="n"/>
      <c r="WLV92" s="240" t="n"/>
      <c r="WLW92" s="240" t="n"/>
      <c r="WLY92" s="15" t="n"/>
      <c r="WLZ92" s="15" t="n"/>
      <c r="WMA92" s="248" t="n"/>
      <c r="WMB92" s="248" t="n"/>
      <c r="WMC92" s="240" t="n"/>
      <c r="WMD92" s="240" t="n"/>
      <c r="WMF92" s="15" t="n"/>
      <c r="WMG92" s="15" t="n"/>
      <c r="WMH92" s="248" t="n"/>
      <c r="WMI92" s="248" t="n"/>
      <c r="WMJ92" s="240" t="n"/>
      <c r="WMK92" s="240" t="n"/>
      <c r="WMM92" s="15" t="n"/>
      <c r="WMN92" s="15" t="n"/>
      <c r="WMO92" s="248" t="n"/>
      <c r="WMP92" s="248" t="n"/>
      <c r="WMQ92" s="240" t="n"/>
      <c r="WMR92" s="240" t="n"/>
      <c r="WMT92" s="15" t="n"/>
      <c r="WMU92" s="15" t="n"/>
      <c r="WMV92" s="248" t="n"/>
      <c r="WMW92" s="248" t="n"/>
      <c r="WMX92" s="240" t="n"/>
      <c r="WMY92" s="240" t="n"/>
      <c r="WNA92" s="15" t="n"/>
      <c r="WNB92" s="15" t="n"/>
      <c r="WNC92" s="248" t="n"/>
      <c r="WND92" s="248" t="n"/>
      <c r="WNE92" s="240" t="n"/>
      <c r="WNF92" s="240" t="n"/>
      <c r="WNH92" s="15" t="n"/>
      <c r="WNI92" s="15" t="n"/>
      <c r="WNJ92" s="248" t="n"/>
      <c r="WNK92" s="248" t="n"/>
      <c r="WNL92" s="240" t="n"/>
      <c r="WNM92" s="240" t="n"/>
      <c r="WNO92" s="15" t="n"/>
      <c r="WNP92" s="15" t="n"/>
      <c r="WNQ92" s="248" t="n"/>
      <c r="WNR92" s="248" t="n"/>
      <c r="WNS92" s="240" t="n"/>
      <c r="WNT92" s="240" t="n"/>
      <c r="WNV92" s="15" t="n"/>
      <c r="WNW92" s="15" t="n"/>
      <c r="WNX92" s="248" t="n"/>
      <c r="WNY92" s="248" t="n"/>
      <c r="WNZ92" s="240" t="n"/>
      <c r="WOA92" s="240" t="n"/>
      <c r="WOC92" s="15" t="n"/>
      <c r="WOD92" s="15" t="n"/>
      <c r="WOE92" s="248" t="n"/>
      <c r="WOF92" s="248" t="n"/>
      <c r="WOG92" s="240" t="n"/>
      <c r="WOH92" s="240" t="n"/>
      <c r="WOJ92" s="15" t="n"/>
      <c r="WOK92" s="15" t="n"/>
      <c r="WOL92" s="248" t="n"/>
      <c r="WOM92" s="248" t="n"/>
      <c r="WON92" s="240" t="n"/>
      <c r="WOO92" s="240" t="n"/>
      <c r="WOQ92" s="15" t="n"/>
      <c r="WOR92" s="15" t="n"/>
      <c r="WOS92" s="248" t="n"/>
      <c r="WOT92" s="248" t="n"/>
      <c r="WOU92" s="240" t="n"/>
      <c r="WOV92" s="240" t="n"/>
      <c r="WOX92" s="15" t="n"/>
      <c r="WOY92" s="15" t="n"/>
      <c r="WOZ92" s="248" t="n"/>
      <c r="WPA92" s="248" t="n"/>
      <c r="WPB92" s="240" t="n"/>
      <c r="WPC92" s="240" t="n"/>
      <c r="WPE92" s="15" t="n"/>
      <c r="WPF92" s="15" t="n"/>
      <c r="WPG92" s="248" t="n"/>
      <c r="WPH92" s="248" t="n"/>
      <c r="WPI92" s="240" t="n"/>
      <c r="WPJ92" s="240" t="n"/>
      <c r="WPL92" s="15" t="n"/>
      <c r="WPM92" s="15" t="n"/>
      <c r="WPN92" s="248" t="n"/>
      <c r="WPO92" s="248" t="n"/>
      <c r="WPP92" s="240" t="n"/>
      <c r="WPQ92" s="240" t="n"/>
      <c r="WPS92" s="15" t="n"/>
      <c r="WPT92" s="15" t="n"/>
      <c r="WPU92" s="248" t="n"/>
      <c r="WPV92" s="248" t="n"/>
      <c r="WPW92" s="240" t="n"/>
      <c r="WPX92" s="240" t="n"/>
      <c r="WPZ92" s="15" t="n"/>
      <c r="WQA92" s="15" t="n"/>
      <c r="WQB92" s="248" t="n"/>
      <c r="WQC92" s="248" t="n"/>
      <c r="WQD92" s="240" t="n"/>
      <c r="WQE92" s="240" t="n"/>
      <c r="WQG92" s="15" t="n"/>
      <c r="WQH92" s="15" t="n"/>
      <c r="WQI92" s="248" t="n"/>
      <c r="WQJ92" s="248" t="n"/>
      <c r="WQK92" s="240" t="n"/>
      <c r="WQL92" s="240" t="n"/>
      <c r="WQN92" s="15" t="n"/>
      <c r="WQO92" s="15" t="n"/>
      <c r="WQP92" s="248" t="n"/>
      <c r="WQQ92" s="248" t="n"/>
      <c r="WQR92" s="240" t="n"/>
      <c r="WQS92" s="240" t="n"/>
      <c r="WQU92" s="15" t="n"/>
      <c r="WQV92" s="15" t="n"/>
      <c r="WQW92" s="248" t="n"/>
      <c r="WQX92" s="248" t="n"/>
      <c r="WQY92" s="240" t="n"/>
      <c r="WQZ92" s="240" t="n"/>
      <c r="WRB92" s="15" t="n"/>
      <c r="WRC92" s="15" t="n"/>
      <c r="WRD92" s="248" t="n"/>
      <c r="WRE92" s="248" t="n"/>
      <c r="WRF92" s="240" t="n"/>
      <c r="WRG92" s="240" t="n"/>
      <c r="WRI92" s="15" t="n"/>
      <c r="WRJ92" s="15" t="n"/>
      <c r="WRK92" s="248" t="n"/>
      <c r="WRL92" s="248" t="n"/>
      <c r="WRM92" s="240" t="n"/>
      <c r="WRN92" s="240" t="n"/>
      <c r="WRP92" s="15" t="n"/>
      <c r="WRQ92" s="15" t="n"/>
      <c r="WRR92" s="248" t="n"/>
      <c r="WRS92" s="248" t="n"/>
      <c r="WRT92" s="240" t="n"/>
      <c r="WRU92" s="240" t="n"/>
      <c r="WRW92" s="15" t="n"/>
      <c r="WRX92" s="15" t="n"/>
      <c r="WRY92" s="248" t="n"/>
      <c r="WRZ92" s="248" t="n"/>
      <c r="WSA92" s="240" t="n"/>
      <c r="WSB92" s="240" t="n"/>
      <c r="WSD92" s="15" t="n"/>
      <c r="WSE92" s="15" t="n"/>
      <c r="WSF92" s="248" t="n"/>
      <c r="WSG92" s="248" t="n"/>
      <c r="WSH92" s="240" t="n"/>
      <c r="WSI92" s="240" t="n"/>
      <c r="WSK92" s="15" t="n"/>
      <c r="WSL92" s="15" t="n"/>
      <c r="WSM92" s="248" t="n"/>
      <c r="WSN92" s="248" t="n"/>
      <c r="WSO92" s="240" t="n"/>
      <c r="WSP92" s="240" t="n"/>
      <c r="WSR92" s="15" t="n"/>
      <c r="WSS92" s="15" t="n"/>
      <c r="WST92" s="248" t="n"/>
      <c r="WSU92" s="248" t="n"/>
      <c r="WSV92" s="240" t="n"/>
      <c r="WSW92" s="240" t="n"/>
      <c r="WSY92" s="15" t="n"/>
      <c r="WSZ92" s="15" t="n"/>
      <c r="WTA92" s="248" t="n"/>
      <c r="WTB92" s="248" t="n"/>
      <c r="WTC92" s="240" t="n"/>
      <c r="WTD92" s="240" t="n"/>
      <c r="WTF92" s="15" t="n"/>
      <c r="WTG92" s="15" t="n"/>
      <c r="WTH92" s="248" t="n"/>
      <c r="WTI92" s="248" t="n"/>
      <c r="WTJ92" s="240" t="n"/>
      <c r="WTK92" s="240" t="n"/>
      <c r="WTM92" s="15" t="n"/>
      <c r="WTN92" s="15" t="n"/>
      <c r="WTO92" s="248" t="n"/>
      <c r="WTP92" s="248" t="n"/>
      <c r="WTQ92" s="240" t="n"/>
      <c r="WTR92" s="240" t="n"/>
      <c r="WTT92" s="15" t="n"/>
      <c r="WTU92" s="15" t="n"/>
      <c r="WTV92" s="248" t="n"/>
      <c r="WTW92" s="248" t="n"/>
      <c r="WTX92" s="240" t="n"/>
      <c r="WTY92" s="240" t="n"/>
      <c r="WUA92" s="15" t="n"/>
      <c r="WUB92" s="15" t="n"/>
      <c r="WUC92" s="248" t="n"/>
      <c r="WUD92" s="248" t="n"/>
      <c r="WUE92" s="240" t="n"/>
      <c r="WUF92" s="240" t="n"/>
      <c r="WUH92" s="15" t="n"/>
      <c r="WUI92" s="15" t="n"/>
      <c r="WUJ92" s="248" t="n"/>
      <c r="WUK92" s="248" t="n"/>
      <c r="WUL92" s="240" t="n"/>
      <c r="WUM92" s="240" t="n"/>
      <c r="WUO92" s="15" t="n"/>
      <c r="WUP92" s="15" t="n"/>
      <c r="WUQ92" s="248" t="n"/>
      <c r="WUR92" s="248" t="n"/>
      <c r="WUS92" s="240" t="n"/>
      <c r="WUT92" s="240" t="n"/>
      <c r="WUV92" s="15" t="n"/>
      <c r="WUW92" s="15" t="n"/>
      <c r="WUX92" s="248" t="n"/>
      <c r="WUY92" s="248" t="n"/>
      <c r="WUZ92" s="240" t="n"/>
      <c r="WVA92" s="240" t="n"/>
      <c r="WVC92" s="15" t="n"/>
      <c r="WVD92" s="15" t="n"/>
      <c r="WVE92" s="248" t="n"/>
      <c r="WVF92" s="248" t="n"/>
      <c r="WVG92" s="240" t="n"/>
      <c r="WVH92" s="240" t="n"/>
      <c r="WVJ92" s="15" t="n"/>
      <c r="WVK92" s="15" t="n"/>
      <c r="WVL92" s="248" t="n"/>
      <c r="WVM92" s="248" t="n"/>
      <c r="WVN92" s="240" t="n"/>
      <c r="WVO92" s="240" t="n"/>
      <c r="WVQ92" s="15" t="n"/>
      <c r="WVR92" s="15" t="n"/>
      <c r="WVS92" s="248" t="n"/>
      <c r="WVT92" s="248" t="n"/>
      <c r="WVU92" s="240" t="n"/>
      <c r="WVV92" s="240" t="n"/>
      <c r="WVX92" s="15" t="n"/>
      <c r="WVY92" s="15" t="n"/>
      <c r="WVZ92" s="248" t="n"/>
      <c r="WWA92" s="248" t="n"/>
      <c r="WWB92" s="240" t="n"/>
      <c r="WWC92" s="240" t="n"/>
      <c r="WWE92" s="15" t="n"/>
      <c r="WWF92" s="15" t="n"/>
      <c r="WWG92" s="248" t="n"/>
      <c r="WWH92" s="248" t="n"/>
      <c r="WWI92" s="240" t="n"/>
      <c r="WWJ92" s="240" t="n"/>
      <c r="WWL92" s="15" t="n"/>
      <c r="WWM92" s="15" t="n"/>
      <c r="WWN92" s="248" t="n"/>
      <c r="WWO92" s="248" t="n"/>
      <c r="WWP92" s="240" t="n"/>
      <c r="WWQ92" s="240" t="n"/>
      <c r="WWS92" s="15" t="n"/>
      <c r="WWT92" s="15" t="n"/>
      <c r="WWU92" s="248" t="n"/>
      <c r="WWV92" s="248" t="n"/>
      <c r="WWW92" s="240" t="n"/>
      <c r="WWX92" s="240" t="n"/>
      <c r="WWZ92" s="15" t="n"/>
      <c r="WXA92" s="15" t="n"/>
      <c r="WXB92" s="248" t="n"/>
      <c r="WXC92" s="248" t="n"/>
      <c r="WXD92" s="240" t="n"/>
      <c r="WXE92" s="240" t="n"/>
      <c r="WXG92" s="15" t="n"/>
      <c r="WXH92" s="15" t="n"/>
      <c r="WXI92" s="248" t="n"/>
      <c r="WXJ92" s="248" t="n"/>
      <c r="WXK92" s="240" t="n"/>
      <c r="WXL92" s="240" t="n"/>
      <c r="WXN92" s="15" t="n"/>
      <c r="WXO92" s="15" t="n"/>
      <c r="WXP92" s="248" t="n"/>
      <c r="WXQ92" s="248" t="n"/>
      <c r="WXR92" s="240" t="n"/>
      <c r="WXS92" s="240" t="n"/>
      <c r="WXU92" s="15" t="n"/>
      <c r="WXV92" s="15" t="n"/>
      <c r="WXW92" s="248" t="n"/>
      <c r="WXX92" s="248" t="n"/>
      <c r="WXY92" s="240" t="n"/>
      <c r="WXZ92" s="240" t="n"/>
      <c r="WYB92" s="15" t="n"/>
      <c r="WYC92" s="15" t="n"/>
      <c r="WYD92" s="248" t="n"/>
      <c r="WYE92" s="248" t="n"/>
      <c r="WYF92" s="240" t="n"/>
      <c r="WYG92" s="240" t="n"/>
      <c r="WYI92" s="15" t="n"/>
      <c r="WYJ92" s="15" t="n"/>
      <c r="WYK92" s="248" t="n"/>
      <c r="WYL92" s="248" t="n"/>
      <c r="WYM92" s="240" t="n"/>
      <c r="WYN92" s="240" t="n"/>
      <c r="WYP92" s="15" t="n"/>
      <c r="WYQ92" s="15" t="n"/>
      <c r="WYR92" s="248" t="n"/>
      <c r="WYS92" s="248" t="n"/>
      <c r="WYT92" s="240" t="n"/>
      <c r="WYU92" s="240" t="n"/>
      <c r="WYW92" s="15" t="n"/>
      <c r="WYX92" s="15" t="n"/>
      <c r="WYY92" s="248" t="n"/>
      <c r="WYZ92" s="248" t="n"/>
      <c r="WZA92" s="240" t="n"/>
      <c r="WZB92" s="240" t="n"/>
      <c r="WZD92" s="15" t="n"/>
      <c r="WZE92" s="15" t="n"/>
      <c r="WZF92" s="248" t="n"/>
      <c r="WZG92" s="248" t="n"/>
      <c r="WZH92" s="240" t="n"/>
      <c r="WZI92" s="240" t="n"/>
      <c r="WZK92" s="15" t="n"/>
      <c r="WZL92" s="15" t="n"/>
      <c r="WZM92" s="248" t="n"/>
      <c r="WZN92" s="248" t="n"/>
      <c r="WZO92" s="240" t="n"/>
      <c r="WZP92" s="240" t="n"/>
      <c r="WZR92" s="15" t="n"/>
      <c r="WZS92" s="15" t="n"/>
      <c r="WZT92" s="248" t="n"/>
      <c r="WZU92" s="248" t="n"/>
      <c r="WZV92" s="240" t="n"/>
      <c r="WZW92" s="240" t="n"/>
      <c r="WZY92" s="15" t="n"/>
      <c r="WZZ92" s="15" t="n"/>
      <c r="XAA92" s="248" t="n"/>
      <c r="XAB92" s="248" t="n"/>
      <c r="XAC92" s="240" t="n"/>
      <c r="XAD92" s="240" t="n"/>
      <c r="XAF92" s="15" t="n"/>
      <c r="XAG92" s="15" t="n"/>
      <c r="XAH92" s="248" t="n"/>
      <c r="XAI92" s="248" t="n"/>
      <c r="XAJ92" s="240" t="n"/>
      <c r="XAK92" s="240" t="n"/>
      <c r="XAM92" s="15" t="n"/>
      <c r="XAN92" s="15" t="n"/>
      <c r="XAO92" s="248" t="n"/>
      <c r="XAP92" s="248" t="n"/>
      <c r="XAQ92" s="240" t="n"/>
      <c r="XAR92" s="240" t="n"/>
      <c r="XAT92" s="15" t="n"/>
      <c r="XAU92" s="15" t="n"/>
      <c r="XAV92" s="248" t="n"/>
      <c r="XAW92" s="248" t="n"/>
      <c r="XAX92" s="240" t="n"/>
      <c r="XAY92" s="240" t="n"/>
      <c r="XBA92" s="15" t="n"/>
      <c r="XBB92" s="15" t="n"/>
      <c r="XBC92" s="248" t="n"/>
      <c r="XBD92" s="248" t="n"/>
      <c r="XBE92" s="240" t="n"/>
      <c r="XBF92" s="240" t="n"/>
      <c r="XBH92" s="15" t="n"/>
      <c r="XBI92" s="15" t="n"/>
      <c r="XBJ92" s="248" t="n"/>
      <c r="XBK92" s="248" t="n"/>
      <c r="XBL92" s="240" t="n"/>
      <c r="XBM92" s="240" t="n"/>
      <c r="XBO92" s="15" t="n"/>
      <c r="XBP92" s="15" t="n"/>
      <c r="XBQ92" s="248" t="n"/>
      <c r="XBR92" s="248" t="n"/>
      <c r="XBS92" s="240" t="n"/>
      <c r="XBT92" s="240" t="n"/>
      <c r="XBV92" s="15" t="n"/>
      <c r="XBW92" s="15" t="n"/>
      <c r="XBX92" s="248" t="n"/>
      <c r="XBY92" s="248" t="n"/>
      <c r="XBZ92" s="240" t="n"/>
      <c r="XCA92" s="240" t="n"/>
      <c r="XCC92" s="15" t="n"/>
      <c r="XCD92" s="15" t="n"/>
      <c r="XCE92" s="248" t="n"/>
      <c r="XCF92" s="248" t="n"/>
      <c r="XCG92" s="240" t="n"/>
      <c r="XCH92" s="240" t="n"/>
      <c r="XCJ92" s="15" t="n"/>
      <c r="XCK92" s="15" t="n"/>
      <c r="XCL92" s="248" t="n"/>
      <c r="XCM92" s="248" t="n"/>
      <c r="XCN92" s="240" t="n"/>
      <c r="XCO92" s="240" t="n"/>
      <c r="XCQ92" s="15" t="n"/>
      <c r="XCR92" s="15" t="n"/>
      <c r="XCS92" s="248" t="n"/>
      <c r="XCT92" s="248" t="n"/>
      <c r="XCU92" s="240" t="n"/>
      <c r="XCV92" s="240" t="n"/>
      <c r="XCX92" s="15" t="n"/>
      <c r="XCY92" s="15" t="n"/>
      <c r="XCZ92" s="248" t="n"/>
      <c r="XDA92" s="248" t="n"/>
      <c r="XDB92" s="240" t="n"/>
      <c r="XDC92" s="240" t="n"/>
      <c r="XDE92" s="15" t="n"/>
      <c r="XDF92" s="15" t="n"/>
      <c r="XDG92" s="248" t="n"/>
      <c r="XDH92" s="248" t="n"/>
      <c r="XDI92" s="240" t="n"/>
      <c r="XDJ92" s="240" t="n"/>
      <c r="XDL92" s="15" t="n"/>
      <c r="XDM92" s="15" t="n"/>
      <c r="XDN92" s="248" t="n"/>
      <c r="XDO92" s="248" t="n"/>
      <c r="XDP92" s="240" t="n"/>
      <c r="XDQ92" s="240" t="n"/>
      <c r="XDS92" s="15" t="n"/>
      <c r="XDT92" s="15" t="n"/>
      <c r="XDU92" s="248" t="n"/>
      <c r="XDV92" s="248" t="n"/>
      <c r="XDW92" s="240" t="n"/>
      <c r="XDX92" s="240" t="n"/>
      <c r="XDZ92" s="15" t="n"/>
      <c r="XEA92" s="15" t="n"/>
      <c r="XEB92" s="248" t="n"/>
      <c r="XEC92" s="248" t="n"/>
      <c r="XED92" s="240" t="n"/>
      <c r="XEE92" s="240" t="n"/>
      <c r="XEG92" s="15" t="n"/>
      <c r="XEH92" s="15" t="n"/>
      <c r="XEI92" s="248" t="n"/>
      <c r="XEJ92" s="248" t="n"/>
      <c r="XEK92" s="240" t="n"/>
      <c r="XEL92" s="240" t="n"/>
      <c r="XEN92" s="15" t="n"/>
      <c r="XEO92" s="15" t="n"/>
      <c r="XEP92" s="248" t="n"/>
      <c r="XEQ92" s="248" t="n"/>
      <c r="XER92" s="240" t="n"/>
      <c r="XES92" s="240" t="n"/>
      <c r="XEU92" s="15" t="n"/>
      <c r="XEV92" s="15" t="n"/>
      <c r="XEW92" s="248" t="n"/>
      <c r="XEX92" s="248" t="n"/>
      <c r="XEY92" s="240" t="n"/>
      <c r="XEZ92" s="240" t="n"/>
      <c r="XFB92" s="15" t="n"/>
      <c r="XFC92" s="15" t="n"/>
      <c r="XFD92" s="248" t="n"/>
    </row>
    <row r="93">
      <c r="A93" s="41" t="inlineStr">
        <is>
          <t>Coverage K</t>
        </is>
      </c>
      <c r="B93" s="42" t="inlineStr">
        <is>
          <t>Farm Employees Medical Payment</t>
        </is>
      </c>
      <c r="C93" s="42" t="n"/>
      <c r="D93" s="42" t="n"/>
      <c r="E93" s="253" t="n">
        <v>10000</v>
      </c>
      <c r="F93" s="251">
        <f>E93</f>
        <v/>
      </c>
      <c r="G93" s="253" t="n"/>
      <c r="H93" s="253" t="n"/>
      <c r="I93" s="253" t="n"/>
      <c r="J93" s="253" t="n"/>
      <c r="K93" s="253" t="n"/>
      <c r="L93" s="154" t="inlineStr">
        <is>
          <t>Included</t>
        </is>
      </c>
      <c r="M93" s="142" t="inlineStr">
        <is>
          <t>Included</t>
        </is>
      </c>
      <c r="N93" s="254" t="n"/>
      <c r="O93" s="93" t="n"/>
      <c r="P93" s="15" t="n"/>
      <c r="Q93" s="15" t="n"/>
      <c r="R93" s="248" t="n"/>
      <c r="S93" s="248" t="n"/>
      <c r="T93" s="240" t="n"/>
      <c r="U93" s="240" t="n"/>
      <c r="W93" s="15" t="n"/>
      <c r="X93" s="15" t="n"/>
      <c r="Y93" s="248" t="n"/>
      <c r="Z93" s="248" t="n"/>
      <c r="AA93" s="240" t="n"/>
      <c r="AB93" s="240" t="n"/>
      <c r="AD93" s="15" t="n"/>
      <c r="AE93" s="15" t="n"/>
      <c r="AF93" s="248" t="n"/>
      <c r="AG93" s="248" t="n"/>
      <c r="AH93" s="240" t="n"/>
      <c r="AI93" s="240" t="n"/>
      <c r="AK93" s="15" t="n"/>
      <c r="AL93" s="15" t="n"/>
      <c r="AM93" s="248" t="n"/>
      <c r="AN93" s="248" t="n"/>
      <c r="AO93" s="240" t="n"/>
      <c r="AP93" s="240" t="n"/>
      <c r="AR93" s="15" t="n"/>
      <c r="AS93" s="15" t="n"/>
      <c r="AT93" s="248" t="n"/>
      <c r="AU93" s="248" t="n"/>
      <c r="AV93" s="240" t="n"/>
      <c r="AW93" s="240" t="n"/>
      <c r="AY93" s="15" t="n"/>
      <c r="AZ93" s="15" t="n"/>
      <c r="BA93" s="248" t="n"/>
      <c r="BB93" s="248" t="n"/>
      <c r="BC93" s="240" t="n"/>
      <c r="BD93" s="240" t="n"/>
      <c r="BF93" s="15" t="n"/>
      <c r="BG93" s="15" t="n"/>
      <c r="BH93" s="248" t="n"/>
      <c r="BI93" s="248" t="n"/>
      <c r="BJ93" s="240" t="n"/>
      <c r="BK93" s="240" t="n"/>
      <c r="BM93" s="15" t="n"/>
      <c r="BN93" s="15" t="n"/>
      <c r="BO93" s="248" t="n"/>
      <c r="BP93" s="248" t="n"/>
      <c r="BQ93" s="240" t="n"/>
      <c r="BR93" s="240" t="n"/>
      <c r="BT93" s="15" t="n"/>
      <c r="BU93" s="15" t="n"/>
      <c r="BV93" s="248" t="n"/>
      <c r="BW93" s="248" t="n"/>
      <c r="BX93" s="240" t="n"/>
      <c r="BY93" s="240" t="n"/>
      <c r="CA93" s="15" t="n"/>
      <c r="CB93" s="15" t="n"/>
      <c r="CC93" s="248" t="n"/>
      <c r="CD93" s="248" t="n"/>
      <c r="CE93" s="240" t="n"/>
      <c r="CF93" s="240" t="n"/>
      <c r="CH93" s="15" t="n"/>
      <c r="CI93" s="15" t="n"/>
      <c r="CJ93" s="248" t="n"/>
      <c r="CK93" s="248" t="n"/>
      <c r="CL93" s="240" t="n"/>
      <c r="CM93" s="240" t="n"/>
      <c r="CO93" s="15" t="n"/>
      <c r="CP93" s="15" t="n"/>
      <c r="CQ93" s="248" t="n"/>
      <c r="CR93" s="248" t="n"/>
      <c r="CS93" s="240" t="n"/>
      <c r="CT93" s="240" t="n"/>
      <c r="CV93" s="15" t="n"/>
      <c r="CW93" s="15" t="n"/>
      <c r="CX93" s="248" t="n"/>
      <c r="CY93" s="248" t="n"/>
      <c r="CZ93" s="240" t="n"/>
      <c r="DA93" s="240" t="n"/>
      <c r="DC93" s="15" t="n"/>
      <c r="DD93" s="15" t="n"/>
      <c r="DE93" s="248" t="n"/>
      <c r="DF93" s="248" t="n"/>
      <c r="DG93" s="240" t="n"/>
      <c r="DH93" s="240" t="n"/>
      <c r="DJ93" s="15" t="n"/>
      <c r="DK93" s="15" t="n"/>
      <c r="DL93" s="248" t="n"/>
      <c r="DM93" s="248" t="n"/>
      <c r="DN93" s="240" t="n"/>
      <c r="DO93" s="240" t="n"/>
      <c r="DQ93" s="15" t="n"/>
      <c r="DR93" s="15" t="n"/>
      <c r="DS93" s="248" t="n"/>
      <c r="DT93" s="248" t="n"/>
      <c r="DU93" s="240" t="n"/>
      <c r="DV93" s="240" t="n"/>
      <c r="DX93" s="15" t="n"/>
      <c r="DY93" s="15" t="n"/>
      <c r="DZ93" s="248" t="n"/>
      <c r="EA93" s="248" t="n"/>
      <c r="EB93" s="240" t="n"/>
      <c r="EC93" s="240" t="n"/>
      <c r="EE93" s="15" t="n"/>
      <c r="EF93" s="15" t="n"/>
      <c r="EG93" s="248" t="n"/>
      <c r="EH93" s="248" t="n"/>
      <c r="EI93" s="240" t="n"/>
      <c r="EJ93" s="240" t="n"/>
      <c r="EL93" s="15" t="n"/>
      <c r="EM93" s="15" t="n"/>
      <c r="EN93" s="248" t="n"/>
      <c r="EO93" s="248" t="n"/>
      <c r="EP93" s="240" t="n"/>
      <c r="EQ93" s="240" t="n"/>
      <c r="ES93" s="15" t="n"/>
      <c r="ET93" s="15" t="n"/>
      <c r="EU93" s="248" t="n"/>
      <c r="EV93" s="248" t="n"/>
      <c r="EW93" s="240" t="n"/>
      <c r="EX93" s="240" t="n"/>
      <c r="EZ93" s="15" t="n"/>
      <c r="FA93" s="15" t="n"/>
      <c r="FB93" s="248" t="n"/>
      <c r="FC93" s="248" t="n"/>
      <c r="FD93" s="240" t="n"/>
      <c r="FE93" s="240" t="n"/>
      <c r="FG93" s="15" t="n"/>
      <c r="FH93" s="15" t="n"/>
      <c r="FI93" s="248" t="n"/>
      <c r="FJ93" s="248" t="n"/>
      <c r="FK93" s="240" t="n"/>
      <c r="FL93" s="240" t="n"/>
      <c r="FN93" s="15" t="n"/>
      <c r="FO93" s="15" t="n"/>
      <c r="FP93" s="248" t="n"/>
      <c r="FQ93" s="248" t="n"/>
      <c r="FR93" s="240" t="n"/>
      <c r="FS93" s="240" t="n"/>
      <c r="FU93" s="15" t="n"/>
      <c r="FV93" s="15" t="n"/>
      <c r="FW93" s="248" t="n"/>
      <c r="FX93" s="248" t="n"/>
      <c r="FY93" s="240" t="n"/>
      <c r="FZ93" s="240" t="n"/>
      <c r="GB93" s="15" t="n"/>
      <c r="GC93" s="15" t="n"/>
      <c r="GD93" s="248" t="n"/>
      <c r="GE93" s="248" t="n"/>
      <c r="GF93" s="240" t="n"/>
      <c r="GG93" s="240" t="n"/>
      <c r="GI93" s="15" t="n"/>
      <c r="GJ93" s="15" t="n"/>
      <c r="GK93" s="248" t="n"/>
      <c r="GL93" s="248" t="n"/>
      <c r="GM93" s="240" t="n"/>
      <c r="GN93" s="240" t="n"/>
      <c r="GP93" s="15" t="n"/>
      <c r="GQ93" s="15" t="n"/>
      <c r="GR93" s="248" t="n"/>
      <c r="GS93" s="248" t="n"/>
      <c r="GT93" s="240" t="n"/>
      <c r="GU93" s="240" t="n"/>
      <c r="GW93" s="15" t="n"/>
      <c r="GX93" s="15" t="n"/>
      <c r="GY93" s="248" t="n"/>
      <c r="GZ93" s="248" t="n"/>
      <c r="HA93" s="240" t="n"/>
      <c r="HB93" s="240" t="n"/>
      <c r="HD93" s="15" t="n"/>
      <c r="HE93" s="15" t="n"/>
      <c r="HF93" s="248" t="n"/>
      <c r="HG93" s="248" t="n"/>
      <c r="HH93" s="240" t="n"/>
      <c r="HI93" s="240" t="n"/>
      <c r="HK93" s="15" t="n"/>
      <c r="HL93" s="15" t="n"/>
      <c r="HM93" s="248" t="n"/>
      <c r="HN93" s="248" t="n"/>
      <c r="HO93" s="240" t="n"/>
      <c r="HP93" s="240" t="n"/>
      <c r="HR93" s="15" t="n"/>
      <c r="HS93" s="15" t="n"/>
      <c r="HT93" s="248" t="n"/>
      <c r="HU93" s="248" t="n"/>
      <c r="HV93" s="240" t="n"/>
      <c r="HW93" s="240" t="n"/>
      <c r="HY93" s="15" t="n"/>
      <c r="HZ93" s="15" t="n"/>
      <c r="IA93" s="248" t="n"/>
      <c r="IB93" s="248" t="n"/>
      <c r="IC93" s="240" t="n"/>
      <c r="ID93" s="240" t="n"/>
      <c r="IF93" s="15" t="n"/>
      <c r="IG93" s="15" t="n"/>
      <c r="IH93" s="248" t="n"/>
      <c r="II93" s="248" t="n"/>
      <c r="IJ93" s="240" t="n"/>
      <c r="IK93" s="240" t="n"/>
      <c r="IM93" s="15" t="n"/>
      <c r="IN93" s="15" t="n"/>
      <c r="IO93" s="248" t="n"/>
      <c r="IP93" s="248" t="n"/>
      <c r="IQ93" s="240" t="n"/>
      <c r="IR93" s="240" t="n"/>
      <c r="IT93" s="15" t="n"/>
      <c r="IU93" s="15" t="n"/>
      <c r="IV93" s="248" t="n"/>
      <c r="IW93" s="248" t="n"/>
      <c r="IX93" s="240" t="n"/>
      <c r="IY93" s="240" t="n"/>
      <c r="JA93" s="15" t="n"/>
      <c r="JB93" s="15" t="n"/>
      <c r="JC93" s="248" t="n"/>
      <c r="JD93" s="248" t="n"/>
      <c r="JE93" s="240" t="n"/>
      <c r="JF93" s="240" t="n"/>
      <c r="JH93" s="15" t="n"/>
      <c r="JI93" s="15" t="n"/>
      <c r="JJ93" s="248" t="n"/>
      <c r="JK93" s="248" t="n"/>
      <c r="JL93" s="240" t="n"/>
      <c r="JM93" s="240" t="n"/>
      <c r="JO93" s="15" t="n"/>
      <c r="JP93" s="15" t="n"/>
      <c r="JQ93" s="248" t="n"/>
      <c r="JR93" s="248" t="n"/>
      <c r="JS93" s="240" t="n"/>
      <c r="JT93" s="240" t="n"/>
      <c r="JV93" s="15" t="n"/>
      <c r="JW93" s="15" t="n"/>
      <c r="JX93" s="248" t="n"/>
      <c r="JY93" s="248" t="n"/>
      <c r="JZ93" s="240" t="n"/>
      <c r="KA93" s="240" t="n"/>
      <c r="KC93" s="15" t="n"/>
      <c r="KD93" s="15" t="n"/>
      <c r="KE93" s="248" t="n"/>
      <c r="KF93" s="248" t="n"/>
      <c r="KG93" s="240" t="n"/>
      <c r="KH93" s="240" t="n"/>
      <c r="KJ93" s="15" t="n"/>
      <c r="KK93" s="15" t="n"/>
      <c r="KL93" s="248" t="n"/>
      <c r="KM93" s="248" t="n"/>
      <c r="KN93" s="240" t="n"/>
      <c r="KO93" s="240" t="n"/>
      <c r="KQ93" s="15" t="n"/>
      <c r="KR93" s="15" t="n"/>
      <c r="KS93" s="248" t="n"/>
      <c r="KT93" s="248" t="n"/>
      <c r="KU93" s="240" t="n"/>
      <c r="KV93" s="240" t="n"/>
      <c r="KX93" s="15" t="n"/>
      <c r="KY93" s="15" t="n"/>
      <c r="KZ93" s="248" t="n"/>
      <c r="LA93" s="248" t="n"/>
      <c r="LB93" s="240" t="n"/>
      <c r="LC93" s="240" t="n"/>
      <c r="LE93" s="15" t="n"/>
      <c r="LF93" s="15" t="n"/>
      <c r="LG93" s="248" t="n"/>
      <c r="LH93" s="248" t="n"/>
      <c r="LI93" s="240" t="n"/>
      <c r="LJ93" s="240" t="n"/>
      <c r="LL93" s="15" t="n"/>
      <c r="LM93" s="15" t="n"/>
      <c r="LN93" s="248" t="n"/>
      <c r="LO93" s="248" t="n"/>
      <c r="LP93" s="240" t="n"/>
      <c r="LQ93" s="240" t="n"/>
      <c r="LS93" s="15" t="n"/>
      <c r="LT93" s="15" t="n"/>
      <c r="LU93" s="248" t="n"/>
      <c r="LV93" s="248" t="n"/>
      <c r="LW93" s="240" t="n"/>
      <c r="LX93" s="240" t="n"/>
      <c r="LZ93" s="15" t="n"/>
      <c r="MA93" s="15" t="n"/>
      <c r="MB93" s="248" t="n"/>
      <c r="MC93" s="248" t="n"/>
      <c r="MD93" s="240" t="n"/>
      <c r="ME93" s="240" t="n"/>
      <c r="MG93" s="15" t="n"/>
      <c r="MH93" s="15" t="n"/>
      <c r="MI93" s="248" t="n"/>
      <c r="MJ93" s="248" t="n"/>
      <c r="MK93" s="240" t="n"/>
      <c r="ML93" s="240" t="n"/>
      <c r="MN93" s="15" t="n"/>
      <c r="MO93" s="15" t="n"/>
      <c r="MP93" s="248" t="n"/>
      <c r="MQ93" s="248" t="n"/>
      <c r="MR93" s="240" t="n"/>
      <c r="MS93" s="240" t="n"/>
      <c r="MU93" s="15" t="n"/>
      <c r="MV93" s="15" t="n"/>
      <c r="MW93" s="248" t="n"/>
      <c r="MX93" s="248" t="n"/>
      <c r="MY93" s="240" t="n"/>
      <c r="MZ93" s="240" t="n"/>
      <c r="NB93" s="15" t="n"/>
      <c r="NC93" s="15" t="n"/>
      <c r="ND93" s="248" t="n"/>
      <c r="NE93" s="248" t="n"/>
      <c r="NF93" s="240" t="n"/>
      <c r="NG93" s="240" t="n"/>
      <c r="NI93" s="15" t="n"/>
      <c r="NJ93" s="15" t="n"/>
      <c r="NK93" s="248" t="n"/>
      <c r="NL93" s="248" t="n"/>
      <c r="NM93" s="240" t="n"/>
      <c r="NN93" s="240" t="n"/>
      <c r="NP93" s="15" t="n"/>
      <c r="NQ93" s="15" t="n"/>
      <c r="NR93" s="248" t="n"/>
      <c r="NS93" s="248" t="n"/>
      <c r="NT93" s="240" t="n"/>
      <c r="NU93" s="240" t="n"/>
      <c r="NW93" s="15" t="n"/>
      <c r="NX93" s="15" t="n"/>
      <c r="NY93" s="248" t="n"/>
      <c r="NZ93" s="248" t="n"/>
      <c r="OA93" s="240" t="n"/>
      <c r="OB93" s="240" t="n"/>
      <c r="OD93" s="15" t="n"/>
      <c r="OE93" s="15" t="n"/>
      <c r="OF93" s="248" t="n"/>
      <c r="OG93" s="248" t="n"/>
      <c r="OH93" s="240" t="n"/>
      <c r="OI93" s="240" t="n"/>
      <c r="OK93" s="15" t="n"/>
      <c r="OL93" s="15" t="n"/>
      <c r="OM93" s="248" t="n"/>
      <c r="ON93" s="248" t="n"/>
      <c r="OO93" s="240" t="n"/>
      <c r="OP93" s="240" t="n"/>
      <c r="OR93" s="15" t="n"/>
      <c r="OS93" s="15" t="n"/>
      <c r="OT93" s="248" t="n"/>
      <c r="OU93" s="248" t="n"/>
      <c r="OV93" s="240" t="n"/>
      <c r="OW93" s="240" t="n"/>
      <c r="OY93" s="15" t="n"/>
      <c r="OZ93" s="15" t="n"/>
      <c r="PA93" s="248" t="n"/>
      <c r="PB93" s="248" t="n"/>
      <c r="PC93" s="240" t="n"/>
      <c r="PD93" s="240" t="n"/>
      <c r="PF93" s="15" t="n"/>
      <c r="PG93" s="15" t="n"/>
      <c r="PH93" s="248" t="n"/>
      <c r="PI93" s="248" t="n"/>
      <c r="PJ93" s="240" t="n"/>
      <c r="PK93" s="240" t="n"/>
      <c r="PM93" s="15" t="n"/>
      <c r="PN93" s="15" t="n"/>
      <c r="PO93" s="248" t="n"/>
      <c r="PP93" s="248" t="n"/>
      <c r="PQ93" s="240" t="n"/>
      <c r="PR93" s="240" t="n"/>
      <c r="PT93" s="15" t="n"/>
      <c r="PU93" s="15" t="n"/>
      <c r="PV93" s="248" t="n"/>
      <c r="PW93" s="248" t="n"/>
      <c r="PX93" s="240" t="n"/>
      <c r="PY93" s="240" t="n"/>
      <c r="QA93" s="15" t="n"/>
      <c r="QB93" s="15" t="n"/>
      <c r="QC93" s="248" t="n"/>
      <c r="QD93" s="248" t="n"/>
      <c r="QE93" s="240" t="n"/>
      <c r="QF93" s="240" t="n"/>
      <c r="QH93" s="15" t="n"/>
      <c r="QI93" s="15" t="n"/>
      <c r="QJ93" s="248" t="n"/>
      <c r="QK93" s="248" t="n"/>
      <c r="QL93" s="240" t="n"/>
      <c r="QM93" s="240" t="n"/>
      <c r="QO93" s="15" t="n"/>
      <c r="QP93" s="15" t="n"/>
      <c r="QQ93" s="248" t="n"/>
      <c r="QR93" s="248" t="n"/>
      <c r="QS93" s="240" t="n"/>
      <c r="QT93" s="240" t="n"/>
      <c r="QV93" s="15" t="n"/>
      <c r="QW93" s="15" t="n"/>
      <c r="QX93" s="248" t="n"/>
      <c r="QY93" s="248" t="n"/>
      <c r="QZ93" s="240" t="n"/>
      <c r="RA93" s="240" t="n"/>
      <c r="RC93" s="15" t="n"/>
      <c r="RD93" s="15" t="n"/>
      <c r="RE93" s="248" t="n"/>
      <c r="RF93" s="248" t="n"/>
      <c r="RG93" s="240" t="n"/>
      <c r="RH93" s="240" t="n"/>
      <c r="RJ93" s="15" t="n"/>
      <c r="RK93" s="15" t="n"/>
      <c r="RL93" s="248" t="n"/>
      <c r="RM93" s="248" t="n"/>
      <c r="RN93" s="240" t="n"/>
      <c r="RO93" s="240" t="n"/>
      <c r="RQ93" s="15" t="n"/>
      <c r="RR93" s="15" t="n"/>
      <c r="RS93" s="248" t="n"/>
      <c r="RT93" s="248" t="n"/>
      <c r="RU93" s="240" t="n"/>
      <c r="RV93" s="240" t="n"/>
      <c r="RX93" s="15" t="n"/>
      <c r="RY93" s="15" t="n"/>
      <c r="RZ93" s="248" t="n"/>
      <c r="SA93" s="248" t="n"/>
      <c r="SB93" s="240" t="n"/>
      <c r="SC93" s="240" t="n"/>
      <c r="SE93" s="15" t="n"/>
      <c r="SF93" s="15" t="n"/>
      <c r="SG93" s="248" t="n"/>
      <c r="SH93" s="248" t="n"/>
      <c r="SI93" s="240" t="n"/>
      <c r="SJ93" s="240" t="n"/>
      <c r="SL93" s="15" t="n"/>
      <c r="SM93" s="15" t="n"/>
      <c r="SN93" s="248" t="n"/>
      <c r="SO93" s="248" t="n"/>
      <c r="SP93" s="240" t="n"/>
      <c r="SQ93" s="240" t="n"/>
      <c r="SS93" s="15" t="n"/>
      <c r="ST93" s="15" t="n"/>
      <c r="SU93" s="248" t="n"/>
      <c r="SV93" s="248" t="n"/>
      <c r="SW93" s="240" t="n"/>
      <c r="SX93" s="240" t="n"/>
      <c r="SZ93" s="15" t="n"/>
      <c r="TA93" s="15" t="n"/>
      <c r="TB93" s="248" t="n"/>
      <c r="TC93" s="248" t="n"/>
      <c r="TD93" s="240" t="n"/>
      <c r="TE93" s="240" t="n"/>
      <c r="TG93" s="15" t="n"/>
      <c r="TH93" s="15" t="n"/>
      <c r="TI93" s="248" t="n"/>
      <c r="TJ93" s="248" t="n"/>
      <c r="TK93" s="240" t="n"/>
      <c r="TL93" s="240" t="n"/>
      <c r="TN93" s="15" t="n"/>
      <c r="TO93" s="15" t="n"/>
      <c r="TP93" s="248" t="n"/>
      <c r="TQ93" s="248" t="n"/>
      <c r="TR93" s="240" t="n"/>
      <c r="TS93" s="240" t="n"/>
      <c r="TU93" s="15" t="n"/>
      <c r="TV93" s="15" t="n"/>
      <c r="TW93" s="248" t="n"/>
      <c r="TX93" s="248" t="n"/>
      <c r="TY93" s="240" t="n"/>
      <c r="TZ93" s="240" t="n"/>
      <c r="UB93" s="15" t="n"/>
      <c r="UC93" s="15" t="n"/>
      <c r="UD93" s="248" t="n"/>
      <c r="UE93" s="248" t="n"/>
      <c r="UF93" s="240" t="n"/>
      <c r="UG93" s="240" t="n"/>
      <c r="UI93" s="15" t="n"/>
      <c r="UJ93" s="15" t="n"/>
      <c r="UK93" s="248" t="n"/>
      <c r="UL93" s="248" t="n"/>
      <c r="UM93" s="240" t="n"/>
      <c r="UN93" s="240" t="n"/>
      <c r="UP93" s="15" t="n"/>
      <c r="UQ93" s="15" t="n"/>
      <c r="UR93" s="248" t="n"/>
      <c r="US93" s="248" t="n"/>
      <c r="UT93" s="240" t="n"/>
      <c r="UU93" s="240" t="n"/>
      <c r="UW93" s="15" t="n"/>
      <c r="UX93" s="15" t="n"/>
      <c r="UY93" s="248" t="n"/>
      <c r="UZ93" s="248" t="n"/>
      <c r="VA93" s="240" t="n"/>
      <c r="VB93" s="240" t="n"/>
      <c r="VD93" s="15" t="n"/>
      <c r="VE93" s="15" t="n"/>
      <c r="VF93" s="248" t="n"/>
      <c r="VG93" s="248" t="n"/>
      <c r="VH93" s="240" t="n"/>
      <c r="VI93" s="240" t="n"/>
      <c r="VK93" s="15" t="n"/>
      <c r="VL93" s="15" t="n"/>
      <c r="VM93" s="248" t="n"/>
      <c r="VN93" s="248" t="n"/>
      <c r="VO93" s="240" t="n"/>
      <c r="VP93" s="240" t="n"/>
      <c r="VR93" s="15" t="n"/>
      <c r="VS93" s="15" t="n"/>
      <c r="VT93" s="248" t="n"/>
      <c r="VU93" s="248" t="n"/>
      <c r="VV93" s="240" t="n"/>
      <c r="VW93" s="240" t="n"/>
      <c r="VY93" s="15" t="n"/>
      <c r="VZ93" s="15" t="n"/>
      <c r="WA93" s="248" t="n"/>
      <c r="WB93" s="248" t="n"/>
      <c r="WC93" s="240" t="n"/>
      <c r="WD93" s="240" t="n"/>
      <c r="WF93" s="15" t="n"/>
      <c r="WG93" s="15" t="n"/>
      <c r="WH93" s="248" t="n"/>
      <c r="WI93" s="248" t="n"/>
      <c r="WJ93" s="240" t="n"/>
      <c r="WK93" s="240" t="n"/>
      <c r="WM93" s="15" t="n"/>
      <c r="WN93" s="15" t="n"/>
      <c r="WO93" s="248" t="n"/>
      <c r="WP93" s="248" t="n"/>
      <c r="WQ93" s="240" t="n"/>
      <c r="WR93" s="240" t="n"/>
      <c r="WT93" s="15" t="n"/>
      <c r="WU93" s="15" t="n"/>
      <c r="WV93" s="248" t="n"/>
      <c r="WW93" s="248" t="n"/>
      <c r="WX93" s="240" t="n"/>
      <c r="WY93" s="240" t="n"/>
      <c r="XA93" s="15" t="n"/>
      <c r="XB93" s="15" t="n"/>
      <c r="XC93" s="248" t="n"/>
      <c r="XD93" s="248" t="n"/>
      <c r="XE93" s="240" t="n"/>
      <c r="XF93" s="240" t="n"/>
      <c r="XH93" s="15" t="n"/>
      <c r="XI93" s="15" t="n"/>
      <c r="XJ93" s="248" t="n"/>
      <c r="XK93" s="248" t="n"/>
      <c r="XL93" s="240" t="n"/>
      <c r="XM93" s="240" t="n"/>
      <c r="XO93" s="15" t="n"/>
      <c r="XP93" s="15" t="n"/>
      <c r="XQ93" s="248" t="n"/>
      <c r="XR93" s="248" t="n"/>
      <c r="XS93" s="240" t="n"/>
      <c r="XT93" s="240" t="n"/>
      <c r="XV93" s="15" t="n"/>
      <c r="XW93" s="15" t="n"/>
      <c r="XX93" s="248" t="n"/>
      <c r="XY93" s="248" t="n"/>
      <c r="XZ93" s="240" t="n"/>
      <c r="YA93" s="240" t="n"/>
      <c r="YC93" s="15" t="n"/>
      <c r="YD93" s="15" t="n"/>
      <c r="YE93" s="248" t="n"/>
      <c r="YF93" s="248" t="n"/>
      <c r="YG93" s="240" t="n"/>
      <c r="YH93" s="240" t="n"/>
      <c r="YJ93" s="15" t="n"/>
      <c r="YK93" s="15" t="n"/>
      <c r="YL93" s="248" t="n"/>
      <c r="YM93" s="248" t="n"/>
      <c r="YN93" s="240" t="n"/>
      <c r="YO93" s="240" t="n"/>
      <c r="YQ93" s="15" t="n"/>
      <c r="YR93" s="15" t="n"/>
      <c r="YS93" s="248" t="n"/>
      <c r="YT93" s="248" t="n"/>
      <c r="YU93" s="240" t="n"/>
      <c r="YV93" s="240" t="n"/>
      <c r="YX93" s="15" t="n"/>
      <c r="YY93" s="15" t="n"/>
      <c r="YZ93" s="248" t="n"/>
      <c r="ZA93" s="248" t="n"/>
      <c r="ZB93" s="240" t="n"/>
      <c r="ZC93" s="240" t="n"/>
      <c r="ZE93" s="15" t="n"/>
      <c r="ZF93" s="15" t="n"/>
      <c r="ZG93" s="248" t="n"/>
      <c r="ZH93" s="248" t="n"/>
      <c r="ZI93" s="240" t="n"/>
      <c r="ZJ93" s="240" t="n"/>
      <c r="ZL93" s="15" t="n"/>
      <c r="ZM93" s="15" t="n"/>
      <c r="ZN93" s="248" t="n"/>
      <c r="ZO93" s="248" t="n"/>
      <c r="ZP93" s="240" t="n"/>
      <c r="ZQ93" s="240" t="n"/>
      <c r="ZS93" s="15" t="n"/>
      <c r="ZT93" s="15" t="n"/>
      <c r="ZU93" s="248" t="n"/>
      <c r="ZV93" s="248" t="n"/>
      <c r="ZW93" s="240" t="n"/>
      <c r="ZX93" s="240" t="n"/>
      <c r="ZZ93" s="15" t="n"/>
      <c r="AAA93" s="15" t="n"/>
      <c r="AAB93" s="248" t="n"/>
      <c r="AAC93" s="248" t="n"/>
      <c r="AAD93" s="240" t="n"/>
      <c r="AAE93" s="240" t="n"/>
      <c r="AAG93" s="15" t="n"/>
      <c r="AAH93" s="15" t="n"/>
      <c r="AAI93" s="248" t="n"/>
      <c r="AAJ93" s="248" t="n"/>
      <c r="AAK93" s="240" t="n"/>
      <c r="AAL93" s="240" t="n"/>
      <c r="AAN93" s="15" t="n"/>
      <c r="AAO93" s="15" t="n"/>
      <c r="AAP93" s="248" t="n"/>
      <c r="AAQ93" s="248" t="n"/>
      <c r="AAR93" s="240" t="n"/>
      <c r="AAS93" s="240" t="n"/>
      <c r="AAU93" s="15" t="n"/>
      <c r="AAV93" s="15" t="n"/>
      <c r="AAW93" s="248" t="n"/>
      <c r="AAX93" s="248" t="n"/>
      <c r="AAY93" s="240" t="n"/>
      <c r="AAZ93" s="240" t="n"/>
      <c r="ABB93" s="15" t="n"/>
      <c r="ABC93" s="15" t="n"/>
      <c r="ABD93" s="248" t="n"/>
      <c r="ABE93" s="248" t="n"/>
      <c r="ABF93" s="240" t="n"/>
      <c r="ABG93" s="240" t="n"/>
      <c r="ABI93" s="15" t="n"/>
      <c r="ABJ93" s="15" t="n"/>
      <c r="ABK93" s="248" t="n"/>
      <c r="ABL93" s="248" t="n"/>
      <c r="ABM93" s="240" t="n"/>
      <c r="ABN93" s="240" t="n"/>
      <c r="ABP93" s="15" t="n"/>
      <c r="ABQ93" s="15" t="n"/>
      <c r="ABR93" s="248" t="n"/>
      <c r="ABS93" s="248" t="n"/>
      <c r="ABT93" s="240" t="n"/>
      <c r="ABU93" s="240" t="n"/>
      <c r="ABW93" s="15" t="n"/>
      <c r="ABX93" s="15" t="n"/>
      <c r="ABY93" s="248" t="n"/>
      <c r="ABZ93" s="248" t="n"/>
      <c r="ACA93" s="240" t="n"/>
      <c r="ACB93" s="240" t="n"/>
      <c r="ACD93" s="15" t="n"/>
      <c r="ACE93" s="15" t="n"/>
      <c r="ACF93" s="248" t="n"/>
      <c r="ACG93" s="248" t="n"/>
      <c r="ACH93" s="240" t="n"/>
      <c r="ACI93" s="240" t="n"/>
      <c r="ACK93" s="15" t="n"/>
      <c r="ACL93" s="15" t="n"/>
      <c r="ACM93" s="248" t="n"/>
      <c r="ACN93" s="248" t="n"/>
      <c r="ACO93" s="240" t="n"/>
      <c r="ACP93" s="240" t="n"/>
      <c r="ACR93" s="15" t="n"/>
      <c r="ACS93" s="15" t="n"/>
      <c r="ACT93" s="248" t="n"/>
      <c r="ACU93" s="248" t="n"/>
      <c r="ACV93" s="240" t="n"/>
      <c r="ACW93" s="240" t="n"/>
      <c r="ACY93" s="15" t="n"/>
      <c r="ACZ93" s="15" t="n"/>
      <c r="ADA93" s="248" t="n"/>
      <c r="ADB93" s="248" t="n"/>
      <c r="ADC93" s="240" t="n"/>
      <c r="ADD93" s="240" t="n"/>
      <c r="ADF93" s="15" t="n"/>
      <c r="ADG93" s="15" t="n"/>
      <c r="ADH93" s="248" t="n"/>
      <c r="ADI93" s="248" t="n"/>
      <c r="ADJ93" s="240" t="n"/>
      <c r="ADK93" s="240" t="n"/>
      <c r="ADM93" s="15" t="n"/>
      <c r="ADN93" s="15" t="n"/>
      <c r="ADO93" s="248" t="n"/>
      <c r="ADP93" s="248" t="n"/>
      <c r="ADQ93" s="240" t="n"/>
      <c r="ADR93" s="240" t="n"/>
      <c r="ADT93" s="15" t="n"/>
      <c r="ADU93" s="15" t="n"/>
      <c r="ADV93" s="248" t="n"/>
      <c r="ADW93" s="248" t="n"/>
      <c r="ADX93" s="240" t="n"/>
      <c r="ADY93" s="240" t="n"/>
      <c r="AEA93" s="15" t="n"/>
      <c r="AEB93" s="15" t="n"/>
      <c r="AEC93" s="248" t="n"/>
      <c r="AED93" s="248" t="n"/>
      <c r="AEE93" s="240" t="n"/>
      <c r="AEF93" s="240" t="n"/>
      <c r="AEH93" s="15" t="n"/>
      <c r="AEI93" s="15" t="n"/>
      <c r="AEJ93" s="248" t="n"/>
      <c r="AEK93" s="248" t="n"/>
      <c r="AEL93" s="240" t="n"/>
      <c r="AEM93" s="240" t="n"/>
      <c r="AEO93" s="15" t="n"/>
      <c r="AEP93" s="15" t="n"/>
      <c r="AEQ93" s="248" t="n"/>
      <c r="AER93" s="248" t="n"/>
      <c r="AES93" s="240" t="n"/>
      <c r="AET93" s="240" t="n"/>
      <c r="AEV93" s="15" t="n"/>
      <c r="AEW93" s="15" t="n"/>
      <c r="AEX93" s="248" t="n"/>
      <c r="AEY93" s="248" t="n"/>
      <c r="AEZ93" s="240" t="n"/>
      <c r="AFA93" s="240" t="n"/>
      <c r="AFC93" s="15" t="n"/>
      <c r="AFD93" s="15" t="n"/>
      <c r="AFE93" s="248" t="n"/>
      <c r="AFF93" s="248" t="n"/>
      <c r="AFG93" s="240" t="n"/>
      <c r="AFH93" s="240" t="n"/>
      <c r="AFJ93" s="15" t="n"/>
      <c r="AFK93" s="15" t="n"/>
      <c r="AFL93" s="248" t="n"/>
      <c r="AFM93" s="248" t="n"/>
      <c r="AFN93" s="240" t="n"/>
      <c r="AFO93" s="240" t="n"/>
      <c r="AFQ93" s="15" t="n"/>
      <c r="AFR93" s="15" t="n"/>
      <c r="AFS93" s="248" t="n"/>
      <c r="AFT93" s="248" t="n"/>
      <c r="AFU93" s="240" t="n"/>
      <c r="AFV93" s="240" t="n"/>
      <c r="AFX93" s="15" t="n"/>
      <c r="AFY93" s="15" t="n"/>
      <c r="AFZ93" s="248" t="n"/>
      <c r="AGA93" s="248" t="n"/>
      <c r="AGB93" s="240" t="n"/>
      <c r="AGC93" s="240" t="n"/>
      <c r="AGE93" s="15" t="n"/>
      <c r="AGF93" s="15" t="n"/>
      <c r="AGG93" s="248" t="n"/>
      <c r="AGH93" s="248" t="n"/>
      <c r="AGI93" s="240" t="n"/>
      <c r="AGJ93" s="240" t="n"/>
      <c r="AGL93" s="15" t="n"/>
      <c r="AGM93" s="15" t="n"/>
      <c r="AGN93" s="248" t="n"/>
      <c r="AGO93" s="248" t="n"/>
      <c r="AGP93" s="240" t="n"/>
      <c r="AGQ93" s="240" t="n"/>
      <c r="AGS93" s="15" t="n"/>
      <c r="AGT93" s="15" t="n"/>
      <c r="AGU93" s="248" t="n"/>
      <c r="AGV93" s="248" t="n"/>
      <c r="AGW93" s="240" t="n"/>
      <c r="AGX93" s="240" t="n"/>
      <c r="AGZ93" s="15" t="n"/>
      <c r="AHA93" s="15" t="n"/>
      <c r="AHB93" s="248" t="n"/>
      <c r="AHC93" s="248" t="n"/>
      <c r="AHD93" s="240" t="n"/>
      <c r="AHE93" s="240" t="n"/>
      <c r="AHG93" s="15" t="n"/>
      <c r="AHH93" s="15" t="n"/>
      <c r="AHI93" s="248" t="n"/>
      <c r="AHJ93" s="248" t="n"/>
      <c r="AHK93" s="240" t="n"/>
      <c r="AHL93" s="240" t="n"/>
      <c r="AHN93" s="15" t="n"/>
      <c r="AHO93" s="15" t="n"/>
      <c r="AHP93" s="248" t="n"/>
      <c r="AHQ93" s="248" t="n"/>
      <c r="AHR93" s="240" t="n"/>
      <c r="AHS93" s="240" t="n"/>
      <c r="AHU93" s="15" t="n"/>
      <c r="AHV93" s="15" t="n"/>
      <c r="AHW93" s="248" t="n"/>
      <c r="AHX93" s="248" t="n"/>
      <c r="AHY93" s="240" t="n"/>
      <c r="AHZ93" s="240" t="n"/>
      <c r="AIB93" s="15" t="n"/>
      <c r="AIC93" s="15" t="n"/>
      <c r="AID93" s="248" t="n"/>
      <c r="AIE93" s="248" t="n"/>
      <c r="AIF93" s="240" t="n"/>
      <c r="AIG93" s="240" t="n"/>
      <c r="AII93" s="15" t="n"/>
      <c r="AIJ93" s="15" t="n"/>
      <c r="AIK93" s="248" t="n"/>
      <c r="AIL93" s="248" t="n"/>
      <c r="AIM93" s="240" t="n"/>
      <c r="AIN93" s="240" t="n"/>
      <c r="AIP93" s="15" t="n"/>
      <c r="AIQ93" s="15" t="n"/>
      <c r="AIR93" s="248" t="n"/>
      <c r="AIS93" s="248" t="n"/>
      <c r="AIT93" s="240" t="n"/>
      <c r="AIU93" s="240" t="n"/>
      <c r="AIW93" s="15" t="n"/>
      <c r="AIX93" s="15" t="n"/>
      <c r="AIY93" s="248" t="n"/>
      <c r="AIZ93" s="248" t="n"/>
      <c r="AJA93" s="240" t="n"/>
      <c r="AJB93" s="240" t="n"/>
      <c r="AJD93" s="15" t="n"/>
      <c r="AJE93" s="15" t="n"/>
      <c r="AJF93" s="248" t="n"/>
      <c r="AJG93" s="248" t="n"/>
      <c r="AJH93" s="240" t="n"/>
      <c r="AJI93" s="240" t="n"/>
      <c r="AJK93" s="15" t="n"/>
      <c r="AJL93" s="15" t="n"/>
      <c r="AJM93" s="248" t="n"/>
      <c r="AJN93" s="248" t="n"/>
      <c r="AJO93" s="240" t="n"/>
      <c r="AJP93" s="240" t="n"/>
      <c r="AJR93" s="15" t="n"/>
      <c r="AJS93" s="15" t="n"/>
      <c r="AJT93" s="248" t="n"/>
      <c r="AJU93" s="248" t="n"/>
      <c r="AJV93" s="240" t="n"/>
      <c r="AJW93" s="240" t="n"/>
      <c r="AJY93" s="15" t="n"/>
      <c r="AJZ93" s="15" t="n"/>
      <c r="AKA93" s="248" t="n"/>
      <c r="AKB93" s="248" t="n"/>
      <c r="AKC93" s="240" t="n"/>
      <c r="AKD93" s="240" t="n"/>
      <c r="AKF93" s="15" t="n"/>
      <c r="AKG93" s="15" t="n"/>
      <c r="AKH93" s="248" t="n"/>
      <c r="AKI93" s="248" t="n"/>
      <c r="AKJ93" s="240" t="n"/>
      <c r="AKK93" s="240" t="n"/>
      <c r="AKM93" s="15" t="n"/>
      <c r="AKN93" s="15" t="n"/>
      <c r="AKO93" s="248" t="n"/>
      <c r="AKP93" s="248" t="n"/>
      <c r="AKQ93" s="240" t="n"/>
      <c r="AKR93" s="240" t="n"/>
      <c r="AKT93" s="15" t="n"/>
      <c r="AKU93" s="15" t="n"/>
      <c r="AKV93" s="248" t="n"/>
      <c r="AKW93" s="248" t="n"/>
      <c r="AKX93" s="240" t="n"/>
      <c r="AKY93" s="240" t="n"/>
      <c r="ALA93" s="15" t="n"/>
      <c r="ALB93" s="15" t="n"/>
      <c r="ALC93" s="248" t="n"/>
      <c r="ALD93" s="248" t="n"/>
      <c r="ALE93" s="240" t="n"/>
      <c r="ALF93" s="240" t="n"/>
      <c r="ALH93" s="15" t="n"/>
      <c r="ALI93" s="15" t="n"/>
      <c r="ALJ93" s="248" t="n"/>
      <c r="ALK93" s="248" t="n"/>
      <c r="ALL93" s="240" t="n"/>
      <c r="ALM93" s="240" t="n"/>
      <c r="ALO93" s="15" t="n"/>
      <c r="ALP93" s="15" t="n"/>
      <c r="ALQ93" s="248" t="n"/>
      <c r="ALR93" s="248" t="n"/>
      <c r="ALS93" s="240" t="n"/>
      <c r="ALT93" s="240" t="n"/>
      <c r="ALV93" s="15" t="n"/>
      <c r="ALW93" s="15" t="n"/>
      <c r="ALX93" s="248" t="n"/>
      <c r="ALY93" s="248" t="n"/>
      <c r="ALZ93" s="240" t="n"/>
      <c r="AMA93" s="240" t="n"/>
      <c r="AMC93" s="15" t="n"/>
      <c r="AMD93" s="15" t="n"/>
      <c r="AME93" s="248" t="n"/>
      <c r="AMF93" s="248" t="n"/>
      <c r="AMG93" s="240" t="n"/>
      <c r="AMH93" s="240" t="n"/>
      <c r="AMJ93" s="15" t="n"/>
      <c r="AMK93" s="15" t="n"/>
      <c r="AML93" s="248" t="n"/>
      <c r="AMM93" s="248" t="n"/>
      <c r="AMN93" s="240" t="n"/>
      <c r="AMO93" s="240" t="n"/>
      <c r="AMQ93" s="15" t="n"/>
      <c r="AMR93" s="15" t="n"/>
      <c r="AMS93" s="248" t="n"/>
      <c r="AMT93" s="248" t="n"/>
      <c r="AMU93" s="240" t="n"/>
      <c r="AMV93" s="240" t="n"/>
      <c r="AMX93" s="15" t="n"/>
      <c r="AMY93" s="15" t="n"/>
      <c r="AMZ93" s="248" t="n"/>
      <c r="ANA93" s="248" t="n"/>
      <c r="ANB93" s="240" t="n"/>
      <c r="ANC93" s="240" t="n"/>
      <c r="ANE93" s="15" t="n"/>
      <c r="ANF93" s="15" t="n"/>
      <c r="ANG93" s="248" t="n"/>
      <c r="ANH93" s="248" t="n"/>
      <c r="ANI93" s="240" t="n"/>
      <c r="ANJ93" s="240" t="n"/>
      <c r="ANL93" s="15" t="n"/>
      <c r="ANM93" s="15" t="n"/>
      <c r="ANN93" s="248" t="n"/>
      <c r="ANO93" s="248" t="n"/>
      <c r="ANP93" s="240" t="n"/>
      <c r="ANQ93" s="240" t="n"/>
      <c r="ANS93" s="15" t="n"/>
      <c r="ANT93" s="15" t="n"/>
      <c r="ANU93" s="248" t="n"/>
      <c r="ANV93" s="248" t="n"/>
      <c r="ANW93" s="240" t="n"/>
      <c r="ANX93" s="240" t="n"/>
      <c r="ANZ93" s="15" t="n"/>
      <c r="AOA93" s="15" t="n"/>
      <c r="AOB93" s="248" t="n"/>
      <c r="AOC93" s="248" t="n"/>
      <c r="AOD93" s="240" t="n"/>
      <c r="AOE93" s="240" t="n"/>
      <c r="AOG93" s="15" t="n"/>
      <c r="AOH93" s="15" t="n"/>
      <c r="AOI93" s="248" t="n"/>
      <c r="AOJ93" s="248" t="n"/>
      <c r="AOK93" s="240" t="n"/>
      <c r="AOL93" s="240" t="n"/>
      <c r="AON93" s="15" t="n"/>
      <c r="AOO93" s="15" t="n"/>
      <c r="AOP93" s="248" t="n"/>
      <c r="AOQ93" s="248" t="n"/>
      <c r="AOR93" s="240" t="n"/>
      <c r="AOS93" s="240" t="n"/>
      <c r="AOU93" s="15" t="n"/>
      <c r="AOV93" s="15" t="n"/>
      <c r="AOW93" s="248" t="n"/>
      <c r="AOX93" s="248" t="n"/>
      <c r="AOY93" s="240" t="n"/>
      <c r="AOZ93" s="240" t="n"/>
      <c r="APB93" s="15" t="n"/>
      <c r="APC93" s="15" t="n"/>
      <c r="APD93" s="248" t="n"/>
      <c r="APE93" s="248" t="n"/>
      <c r="APF93" s="240" t="n"/>
      <c r="APG93" s="240" t="n"/>
      <c r="API93" s="15" t="n"/>
      <c r="APJ93" s="15" t="n"/>
      <c r="APK93" s="248" t="n"/>
      <c r="APL93" s="248" t="n"/>
      <c r="APM93" s="240" t="n"/>
      <c r="APN93" s="240" t="n"/>
      <c r="APP93" s="15" t="n"/>
      <c r="APQ93" s="15" t="n"/>
      <c r="APR93" s="248" t="n"/>
      <c r="APS93" s="248" t="n"/>
      <c r="APT93" s="240" t="n"/>
      <c r="APU93" s="240" t="n"/>
      <c r="APW93" s="15" t="n"/>
      <c r="APX93" s="15" t="n"/>
      <c r="APY93" s="248" t="n"/>
      <c r="APZ93" s="248" t="n"/>
      <c r="AQA93" s="240" t="n"/>
      <c r="AQB93" s="240" t="n"/>
      <c r="AQD93" s="15" t="n"/>
      <c r="AQE93" s="15" t="n"/>
      <c r="AQF93" s="248" t="n"/>
      <c r="AQG93" s="248" t="n"/>
      <c r="AQH93" s="240" t="n"/>
      <c r="AQI93" s="240" t="n"/>
      <c r="AQK93" s="15" t="n"/>
      <c r="AQL93" s="15" t="n"/>
      <c r="AQM93" s="248" t="n"/>
      <c r="AQN93" s="248" t="n"/>
      <c r="AQO93" s="240" t="n"/>
      <c r="AQP93" s="240" t="n"/>
      <c r="AQR93" s="15" t="n"/>
      <c r="AQS93" s="15" t="n"/>
      <c r="AQT93" s="248" t="n"/>
      <c r="AQU93" s="248" t="n"/>
      <c r="AQV93" s="240" t="n"/>
      <c r="AQW93" s="240" t="n"/>
      <c r="AQY93" s="15" t="n"/>
      <c r="AQZ93" s="15" t="n"/>
      <c r="ARA93" s="248" t="n"/>
      <c r="ARB93" s="248" t="n"/>
      <c r="ARC93" s="240" t="n"/>
      <c r="ARD93" s="240" t="n"/>
      <c r="ARF93" s="15" t="n"/>
      <c r="ARG93" s="15" t="n"/>
      <c r="ARH93" s="248" t="n"/>
      <c r="ARI93" s="248" t="n"/>
      <c r="ARJ93" s="240" t="n"/>
      <c r="ARK93" s="240" t="n"/>
      <c r="ARM93" s="15" t="n"/>
      <c r="ARN93" s="15" t="n"/>
      <c r="ARO93" s="248" t="n"/>
      <c r="ARP93" s="248" t="n"/>
      <c r="ARQ93" s="240" t="n"/>
      <c r="ARR93" s="240" t="n"/>
      <c r="ART93" s="15" t="n"/>
      <c r="ARU93" s="15" t="n"/>
      <c r="ARV93" s="248" t="n"/>
      <c r="ARW93" s="248" t="n"/>
      <c r="ARX93" s="240" t="n"/>
      <c r="ARY93" s="240" t="n"/>
      <c r="ASA93" s="15" t="n"/>
      <c r="ASB93" s="15" t="n"/>
      <c r="ASC93" s="248" t="n"/>
      <c r="ASD93" s="248" t="n"/>
      <c r="ASE93" s="240" t="n"/>
      <c r="ASF93" s="240" t="n"/>
      <c r="ASH93" s="15" t="n"/>
      <c r="ASI93" s="15" t="n"/>
      <c r="ASJ93" s="248" t="n"/>
      <c r="ASK93" s="248" t="n"/>
      <c r="ASL93" s="240" t="n"/>
      <c r="ASM93" s="240" t="n"/>
      <c r="ASO93" s="15" t="n"/>
      <c r="ASP93" s="15" t="n"/>
      <c r="ASQ93" s="248" t="n"/>
      <c r="ASR93" s="248" t="n"/>
      <c r="ASS93" s="240" t="n"/>
      <c r="AST93" s="240" t="n"/>
      <c r="ASV93" s="15" t="n"/>
      <c r="ASW93" s="15" t="n"/>
      <c r="ASX93" s="248" t="n"/>
      <c r="ASY93" s="248" t="n"/>
      <c r="ASZ93" s="240" t="n"/>
      <c r="ATA93" s="240" t="n"/>
      <c r="ATC93" s="15" t="n"/>
      <c r="ATD93" s="15" t="n"/>
      <c r="ATE93" s="248" t="n"/>
      <c r="ATF93" s="248" t="n"/>
      <c r="ATG93" s="240" t="n"/>
      <c r="ATH93" s="240" t="n"/>
      <c r="ATJ93" s="15" t="n"/>
      <c r="ATK93" s="15" t="n"/>
      <c r="ATL93" s="248" t="n"/>
      <c r="ATM93" s="248" t="n"/>
      <c r="ATN93" s="240" t="n"/>
      <c r="ATO93" s="240" t="n"/>
      <c r="ATQ93" s="15" t="n"/>
      <c r="ATR93" s="15" t="n"/>
      <c r="ATS93" s="248" t="n"/>
      <c r="ATT93" s="248" t="n"/>
      <c r="ATU93" s="240" t="n"/>
      <c r="ATV93" s="240" t="n"/>
      <c r="ATX93" s="15" t="n"/>
      <c r="ATY93" s="15" t="n"/>
      <c r="ATZ93" s="248" t="n"/>
      <c r="AUA93" s="248" t="n"/>
      <c r="AUB93" s="240" t="n"/>
      <c r="AUC93" s="240" t="n"/>
      <c r="AUE93" s="15" t="n"/>
      <c r="AUF93" s="15" t="n"/>
      <c r="AUG93" s="248" t="n"/>
      <c r="AUH93" s="248" t="n"/>
      <c r="AUI93" s="240" t="n"/>
      <c r="AUJ93" s="240" t="n"/>
      <c r="AUL93" s="15" t="n"/>
      <c r="AUM93" s="15" t="n"/>
      <c r="AUN93" s="248" t="n"/>
      <c r="AUO93" s="248" t="n"/>
      <c r="AUP93" s="240" t="n"/>
      <c r="AUQ93" s="240" t="n"/>
      <c r="AUS93" s="15" t="n"/>
      <c r="AUT93" s="15" t="n"/>
      <c r="AUU93" s="248" t="n"/>
      <c r="AUV93" s="248" t="n"/>
      <c r="AUW93" s="240" t="n"/>
      <c r="AUX93" s="240" t="n"/>
      <c r="AUZ93" s="15" t="n"/>
      <c r="AVA93" s="15" t="n"/>
      <c r="AVB93" s="248" t="n"/>
      <c r="AVC93" s="248" t="n"/>
      <c r="AVD93" s="240" t="n"/>
      <c r="AVE93" s="240" t="n"/>
      <c r="AVG93" s="15" t="n"/>
      <c r="AVH93" s="15" t="n"/>
      <c r="AVI93" s="248" t="n"/>
      <c r="AVJ93" s="248" t="n"/>
      <c r="AVK93" s="240" t="n"/>
      <c r="AVL93" s="240" t="n"/>
      <c r="AVN93" s="15" t="n"/>
      <c r="AVO93" s="15" t="n"/>
      <c r="AVP93" s="248" t="n"/>
      <c r="AVQ93" s="248" t="n"/>
      <c r="AVR93" s="240" t="n"/>
      <c r="AVS93" s="240" t="n"/>
      <c r="AVU93" s="15" t="n"/>
      <c r="AVV93" s="15" t="n"/>
      <c r="AVW93" s="248" t="n"/>
      <c r="AVX93" s="248" t="n"/>
      <c r="AVY93" s="240" t="n"/>
      <c r="AVZ93" s="240" t="n"/>
      <c r="AWB93" s="15" t="n"/>
      <c r="AWC93" s="15" t="n"/>
      <c r="AWD93" s="248" t="n"/>
      <c r="AWE93" s="248" t="n"/>
      <c r="AWF93" s="240" t="n"/>
      <c r="AWG93" s="240" t="n"/>
      <c r="AWI93" s="15" t="n"/>
      <c r="AWJ93" s="15" t="n"/>
      <c r="AWK93" s="248" t="n"/>
      <c r="AWL93" s="248" t="n"/>
      <c r="AWM93" s="240" t="n"/>
      <c r="AWN93" s="240" t="n"/>
      <c r="AWP93" s="15" t="n"/>
      <c r="AWQ93" s="15" t="n"/>
      <c r="AWR93" s="248" t="n"/>
      <c r="AWS93" s="248" t="n"/>
      <c r="AWT93" s="240" t="n"/>
      <c r="AWU93" s="240" t="n"/>
      <c r="AWW93" s="15" t="n"/>
      <c r="AWX93" s="15" t="n"/>
      <c r="AWY93" s="248" t="n"/>
      <c r="AWZ93" s="248" t="n"/>
      <c r="AXA93" s="240" t="n"/>
      <c r="AXB93" s="240" t="n"/>
      <c r="AXD93" s="15" t="n"/>
      <c r="AXE93" s="15" t="n"/>
      <c r="AXF93" s="248" t="n"/>
      <c r="AXG93" s="248" t="n"/>
      <c r="AXH93" s="240" t="n"/>
      <c r="AXI93" s="240" t="n"/>
      <c r="AXK93" s="15" t="n"/>
      <c r="AXL93" s="15" t="n"/>
      <c r="AXM93" s="248" t="n"/>
      <c r="AXN93" s="248" t="n"/>
      <c r="AXO93" s="240" t="n"/>
      <c r="AXP93" s="240" t="n"/>
      <c r="AXR93" s="15" t="n"/>
      <c r="AXS93" s="15" t="n"/>
      <c r="AXT93" s="248" t="n"/>
      <c r="AXU93" s="248" t="n"/>
      <c r="AXV93" s="240" t="n"/>
      <c r="AXW93" s="240" t="n"/>
      <c r="AXY93" s="15" t="n"/>
      <c r="AXZ93" s="15" t="n"/>
      <c r="AYA93" s="248" t="n"/>
      <c r="AYB93" s="248" t="n"/>
      <c r="AYC93" s="240" t="n"/>
      <c r="AYD93" s="240" t="n"/>
      <c r="AYF93" s="15" t="n"/>
      <c r="AYG93" s="15" t="n"/>
      <c r="AYH93" s="248" t="n"/>
      <c r="AYI93" s="248" t="n"/>
      <c r="AYJ93" s="240" t="n"/>
      <c r="AYK93" s="240" t="n"/>
      <c r="AYM93" s="15" t="n"/>
      <c r="AYN93" s="15" t="n"/>
      <c r="AYO93" s="248" t="n"/>
      <c r="AYP93" s="248" t="n"/>
      <c r="AYQ93" s="240" t="n"/>
      <c r="AYR93" s="240" t="n"/>
      <c r="AYT93" s="15" t="n"/>
      <c r="AYU93" s="15" t="n"/>
      <c r="AYV93" s="248" t="n"/>
      <c r="AYW93" s="248" t="n"/>
      <c r="AYX93" s="240" t="n"/>
      <c r="AYY93" s="240" t="n"/>
      <c r="AZA93" s="15" t="n"/>
      <c r="AZB93" s="15" t="n"/>
      <c r="AZC93" s="248" t="n"/>
      <c r="AZD93" s="248" t="n"/>
      <c r="AZE93" s="240" t="n"/>
      <c r="AZF93" s="240" t="n"/>
      <c r="AZH93" s="15" t="n"/>
      <c r="AZI93" s="15" t="n"/>
      <c r="AZJ93" s="248" t="n"/>
      <c r="AZK93" s="248" t="n"/>
      <c r="AZL93" s="240" t="n"/>
      <c r="AZM93" s="240" t="n"/>
      <c r="AZO93" s="15" t="n"/>
      <c r="AZP93" s="15" t="n"/>
      <c r="AZQ93" s="248" t="n"/>
      <c r="AZR93" s="248" t="n"/>
      <c r="AZS93" s="240" t="n"/>
      <c r="AZT93" s="240" t="n"/>
      <c r="AZV93" s="15" t="n"/>
      <c r="AZW93" s="15" t="n"/>
      <c r="AZX93" s="248" t="n"/>
      <c r="AZY93" s="248" t="n"/>
      <c r="AZZ93" s="240" t="n"/>
      <c r="BAA93" s="240" t="n"/>
      <c r="BAC93" s="15" t="n"/>
      <c r="BAD93" s="15" t="n"/>
      <c r="BAE93" s="248" t="n"/>
      <c r="BAF93" s="248" t="n"/>
      <c r="BAG93" s="240" t="n"/>
      <c r="BAH93" s="240" t="n"/>
      <c r="BAJ93" s="15" t="n"/>
      <c r="BAK93" s="15" t="n"/>
      <c r="BAL93" s="248" t="n"/>
      <c r="BAM93" s="248" t="n"/>
      <c r="BAN93" s="240" t="n"/>
      <c r="BAO93" s="240" t="n"/>
      <c r="BAQ93" s="15" t="n"/>
      <c r="BAR93" s="15" t="n"/>
      <c r="BAS93" s="248" t="n"/>
      <c r="BAT93" s="248" t="n"/>
      <c r="BAU93" s="240" t="n"/>
      <c r="BAV93" s="240" t="n"/>
      <c r="BAX93" s="15" t="n"/>
      <c r="BAY93" s="15" t="n"/>
      <c r="BAZ93" s="248" t="n"/>
      <c r="BBA93" s="248" t="n"/>
      <c r="BBB93" s="240" t="n"/>
      <c r="BBC93" s="240" t="n"/>
      <c r="BBE93" s="15" t="n"/>
      <c r="BBF93" s="15" t="n"/>
      <c r="BBG93" s="248" t="n"/>
      <c r="BBH93" s="248" t="n"/>
      <c r="BBI93" s="240" t="n"/>
      <c r="BBJ93" s="240" t="n"/>
      <c r="BBL93" s="15" t="n"/>
      <c r="BBM93" s="15" t="n"/>
      <c r="BBN93" s="248" t="n"/>
      <c r="BBO93" s="248" t="n"/>
      <c r="BBP93" s="240" t="n"/>
      <c r="BBQ93" s="240" t="n"/>
      <c r="BBS93" s="15" t="n"/>
      <c r="BBT93" s="15" t="n"/>
      <c r="BBU93" s="248" t="n"/>
      <c r="BBV93" s="248" t="n"/>
      <c r="BBW93" s="240" t="n"/>
      <c r="BBX93" s="240" t="n"/>
      <c r="BBZ93" s="15" t="n"/>
      <c r="BCA93" s="15" t="n"/>
      <c r="BCB93" s="248" t="n"/>
      <c r="BCC93" s="248" t="n"/>
      <c r="BCD93" s="240" t="n"/>
      <c r="BCE93" s="240" t="n"/>
      <c r="BCG93" s="15" t="n"/>
      <c r="BCH93" s="15" t="n"/>
      <c r="BCI93" s="248" t="n"/>
      <c r="BCJ93" s="248" t="n"/>
      <c r="BCK93" s="240" t="n"/>
      <c r="BCL93" s="240" t="n"/>
      <c r="BCN93" s="15" t="n"/>
      <c r="BCO93" s="15" t="n"/>
      <c r="BCP93" s="248" t="n"/>
      <c r="BCQ93" s="248" t="n"/>
      <c r="BCR93" s="240" t="n"/>
      <c r="BCS93" s="240" t="n"/>
      <c r="BCU93" s="15" t="n"/>
      <c r="BCV93" s="15" t="n"/>
      <c r="BCW93" s="248" t="n"/>
      <c r="BCX93" s="248" t="n"/>
      <c r="BCY93" s="240" t="n"/>
      <c r="BCZ93" s="240" t="n"/>
      <c r="BDB93" s="15" t="n"/>
      <c r="BDC93" s="15" t="n"/>
      <c r="BDD93" s="248" t="n"/>
      <c r="BDE93" s="248" t="n"/>
      <c r="BDF93" s="240" t="n"/>
      <c r="BDG93" s="240" t="n"/>
      <c r="BDI93" s="15" t="n"/>
      <c r="BDJ93" s="15" t="n"/>
      <c r="BDK93" s="248" t="n"/>
      <c r="BDL93" s="248" t="n"/>
      <c r="BDM93" s="240" t="n"/>
      <c r="BDN93" s="240" t="n"/>
      <c r="BDP93" s="15" t="n"/>
      <c r="BDQ93" s="15" t="n"/>
      <c r="BDR93" s="248" t="n"/>
      <c r="BDS93" s="248" t="n"/>
      <c r="BDT93" s="240" t="n"/>
      <c r="BDU93" s="240" t="n"/>
      <c r="BDW93" s="15" t="n"/>
      <c r="BDX93" s="15" t="n"/>
      <c r="BDY93" s="248" t="n"/>
      <c r="BDZ93" s="248" t="n"/>
      <c r="BEA93" s="240" t="n"/>
      <c r="BEB93" s="240" t="n"/>
      <c r="BED93" s="15" t="n"/>
      <c r="BEE93" s="15" t="n"/>
      <c r="BEF93" s="248" t="n"/>
      <c r="BEG93" s="248" t="n"/>
      <c r="BEH93" s="240" t="n"/>
      <c r="BEI93" s="240" t="n"/>
      <c r="BEK93" s="15" t="n"/>
      <c r="BEL93" s="15" t="n"/>
      <c r="BEM93" s="248" t="n"/>
      <c r="BEN93" s="248" t="n"/>
      <c r="BEO93" s="240" t="n"/>
      <c r="BEP93" s="240" t="n"/>
      <c r="BER93" s="15" t="n"/>
      <c r="BES93" s="15" t="n"/>
      <c r="BET93" s="248" t="n"/>
      <c r="BEU93" s="248" t="n"/>
      <c r="BEV93" s="240" t="n"/>
      <c r="BEW93" s="240" t="n"/>
      <c r="BEY93" s="15" t="n"/>
      <c r="BEZ93" s="15" t="n"/>
      <c r="BFA93" s="248" t="n"/>
      <c r="BFB93" s="248" t="n"/>
      <c r="BFC93" s="240" t="n"/>
      <c r="BFD93" s="240" t="n"/>
      <c r="BFF93" s="15" t="n"/>
      <c r="BFG93" s="15" t="n"/>
      <c r="BFH93" s="248" t="n"/>
      <c r="BFI93" s="248" t="n"/>
      <c r="BFJ93" s="240" t="n"/>
      <c r="BFK93" s="240" t="n"/>
      <c r="BFM93" s="15" t="n"/>
      <c r="BFN93" s="15" t="n"/>
      <c r="BFO93" s="248" t="n"/>
      <c r="BFP93" s="248" t="n"/>
      <c r="BFQ93" s="240" t="n"/>
      <c r="BFR93" s="240" t="n"/>
      <c r="BFT93" s="15" t="n"/>
      <c r="BFU93" s="15" t="n"/>
      <c r="BFV93" s="248" t="n"/>
      <c r="BFW93" s="248" t="n"/>
      <c r="BFX93" s="240" t="n"/>
      <c r="BFY93" s="240" t="n"/>
      <c r="BGA93" s="15" t="n"/>
      <c r="BGB93" s="15" t="n"/>
      <c r="BGC93" s="248" t="n"/>
      <c r="BGD93" s="248" t="n"/>
      <c r="BGE93" s="240" t="n"/>
      <c r="BGF93" s="240" t="n"/>
      <c r="BGH93" s="15" t="n"/>
      <c r="BGI93" s="15" t="n"/>
      <c r="BGJ93" s="248" t="n"/>
      <c r="BGK93" s="248" t="n"/>
      <c r="BGL93" s="240" t="n"/>
      <c r="BGM93" s="240" t="n"/>
      <c r="BGO93" s="15" t="n"/>
      <c r="BGP93" s="15" t="n"/>
      <c r="BGQ93" s="248" t="n"/>
      <c r="BGR93" s="248" t="n"/>
      <c r="BGS93" s="240" t="n"/>
      <c r="BGT93" s="240" t="n"/>
      <c r="BGV93" s="15" t="n"/>
      <c r="BGW93" s="15" t="n"/>
      <c r="BGX93" s="248" t="n"/>
      <c r="BGY93" s="248" t="n"/>
      <c r="BGZ93" s="240" t="n"/>
      <c r="BHA93" s="240" t="n"/>
      <c r="BHC93" s="15" t="n"/>
      <c r="BHD93" s="15" t="n"/>
      <c r="BHE93" s="248" t="n"/>
      <c r="BHF93" s="248" t="n"/>
      <c r="BHG93" s="240" t="n"/>
      <c r="BHH93" s="240" t="n"/>
      <c r="BHJ93" s="15" t="n"/>
      <c r="BHK93" s="15" t="n"/>
      <c r="BHL93" s="248" t="n"/>
      <c r="BHM93" s="248" t="n"/>
      <c r="BHN93" s="240" t="n"/>
      <c r="BHO93" s="240" t="n"/>
      <c r="BHQ93" s="15" t="n"/>
      <c r="BHR93" s="15" t="n"/>
      <c r="BHS93" s="248" t="n"/>
      <c r="BHT93" s="248" t="n"/>
      <c r="BHU93" s="240" t="n"/>
      <c r="BHV93" s="240" t="n"/>
      <c r="BHX93" s="15" t="n"/>
      <c r="BHY93" s="15" t="n"/>
      <c r="BHZ93" s="248" t="n"/>
      <c r="BIA93" s="248" t="n"/>
      <c r="BIB93" s="240" t="n"/>
      <c r="BIC93" s="240" t="n"/>
      <c r="BIE93" s="15" t="n"/>
      <c r="BIF93" s="15" t="n"/>
      <c r="BIG93" s="248" t="n"/>
      <c r="BIH93" s="248" t="n"/>
      <c r="BII93" s="240" t="n"/>
      <c r="BIJ93" s="240" t="n"/>
      <c r="BIL93" s="15" t="n"/>
      <c r="BIM93" s="15" t="n"/>
      <c r="BIN93" s="248" t="n"/>
      <c r="BIO93" s="248" t="n"/>
      <c r="BIP93" s="240" t="n"/>
      <c r="BIQ93" s="240" t="n"/>
      <c r="BIS93" s="15" t="n"/>
      <c r="BIT93" s="15" t="n"/>
      <c r="BIU93" s="248" t="n"/>
      <c r="BIV93" s="248" t="n"/>
      <c r="BIW93" s="240" t="n"/>
      <c r="BIX93" s="240" t="n"/>
      <c r="BIZ93" s="15" t="n"/>
      <c r="BJA93" s="15" t="n"/>
      <c r="BJB93" s="248" t="n"/>
      <c r="BJC93" s="248" t="n"/>
      <c r="BJD93" s="240" t="n"/>
      <c r="BJE93" s="240" t="n"/>
      <c r="BJG93" s="15" t="n"/>
      <c r="BJH93" s="15" t="n"/>
      <c r="BJI93" s="248" t="n"/>
      <c r="BJJ93" s="248" t="n"/>
      <c r="BJK93" s="240" t="n"/>
      <c r="BJL93" s="240" t="n"/>
      <c r="BJN93" s="15" t="n"/>
      <c r="BJO93" s="15" t="n"/>
      <c r="BJP93" s="248" t="n"/>
      <c r="BJQ93" s="248" t="n"/>
      <c r="BJR93" s="240" t="n"/>
      <c r="BJS93" s="240" t="n"/>
      <c r="BJU93" s="15" t="n"/>
      <c r="BJV93" s="15" t="n"/>
      <c r="BJW93" s="248" t="n"/>
      <c r="BJX93" s="248" t="n"/>
      <c r="BJY93" s="240" t="n"/>
      <c r="BJZ93" s="240" t="n"/>
      <c r="BKB93" s="15" t="n"/>
      <c r="BKC93" s="15" t="n"/>
      <c r="BKD93" s="248" t="n"/>
      <c r="BKE93" s="248" t="n"/>
      <c r="BKF93" s="240" t="n"/>
      <c r="BKG93" s="240" t="n"/>
      <c r="BKI93" s="15" t="n"/>
      <c r="BKJ93" s="15" t="n"/>
      <c r="BKK93" s="248" t="n"/>
      <c r="BKL93" s="248" t="n"/>
      <c r="BKM93" s="240" t="n"/>
      <c r="BKN93" s="240" t="n"/>
      <c r="BKP93" s="15" t="n"/>
      <c r="BKQ93" s="15" t="n"/>
      <c r="BKR93" s="248" t="n"/>
      <c r="BKS93" s="248" t="n"/>
      <c r="BKT93" s="240" t="n"/>
      <c r="BKU93" s="240" t="n"/>
      <c r="BKW93" s="15" t="n"/>
      <c r="BKX93" s="15" t="n"/>
      <c r="BKY93" s="248" t="n"/>
      <c r="BKZ93" s="248" t="n"/>
      <c r="BLA93" s="240" t="n"/>
      <c r="BLB93" s="240" t="n"/>
      <c r="BLD93" s="15" t="n"/>
      <c r="BLE93" s="15" t="n"/>
      <c r="BLF93" s="248" t="n"/>
      <c r="BLG93" s="248" t="n"/>
      <c r="BLH93" s="240" t="n"/>
      <c r="BLI93" s="240" t="n"/>
      <c r="BLK93" s="15" t="n"/>
      <c r="BLL93" s="15" t="n"/>
      <c r="BLM93" s="248" t="n"/>
      <c r="BLN93" s="248" t="n"/>
      <c r="BLO93" s="240" t="n"/>
      <c r="BLP93" s="240" t="n"/>
      <c r="BLR93" s="15" t="n"/>
      <c r="BLS93" s="15" t="n"/>
      <c r="BLT93" s="248" t="n"/>
      <c r="BLU93" s="248" t="n"/>
      <c r="BLV93" s="240" t="n"/>
      <c r="BLW93" s="240" t="n"/>
      <c r="BLY93" s="15" t="n"/>
      <c r="BLZ93" s="15" t="n"/>
      <c r="BMA93" s="248" t="n"/>
      <c r="BMB93" s="248" t="n"/>
      <c r="BMC93" s="240" t="n"/>
      <c r="BMD93" s="240" t="n"/>
      <c r="BMF93" s="15" t="n"/>
      <c r="BMG93" s="15" t="n"/>
      <c r="BMH93" s="248" t="n"/>
      <c r="BMI93" s="248" t="n"/>
      <c r="BMJ93" s="240" t="n"/>
      <c r="BMK93" s="240" t="n"/>
      <c r="BMM93" s="15" t="n"/>
      <c r="BMN93" s="15" t="n"/>
      <c r="BMO93" s="248" t="n"/>
      <c r="BMP93" s="248" t="n"/>
      <c r="BMQ93" s="240" t="n"/>
      <c r="BMR93" s="240" t="n"/>
      <c r="BMT93" s="15" t="n"/>
      <c r="BMU93" s="15" t="n"/>
      <c r="BMV93" s="248" t="n"/>
      <c r="BMW93" s="248" t="n"/>
      <c r="BMX93" s="240" t="n"/>
      <c r="BMY93" s="240" t="n"/>
      <c r="BNA93" s="15" t="n"/>
      <c r="BNB93" s="15" t="n"/>
      <c r="BNC93" s="248" t="n"/>
      <c r="BND93" s="248" t="n"/>
      <c r="BNE93" s="240" t="n"/>
      <c r="BNF93" s="240" t="n"/>
      <c r="BNH93" s="15" t="n"/>
      <c r="BNI93" s="15" t="n"/>
      <c r="BNJ93" s="248" t="n"/>
      <c r="BNK93" s="248" t="n"/>
      <c r="BNL93" s="240" t="n"/>
      <c r="BNM93" s="240" t="n"/>
      <c r="BNO93" s="15" t="n"/>
      <c r="BNP93" s="15" t="n"/>
      <c r="BNQ93" s="248" t="n"/>
      <c r="BNR93" s="248" t="n"/>
      <c r="BNS93" s="240" t="n"/>
      <c r="BNT93" s="240" t="n"/>
      <c r="BNV93" s="15" t="n"/>
      <c r="BNW93" s="15" t="n"/>
      <c r="BNX93" s="248" t="n"/>
      <c r="BNY93" s="248" t="n"/>
      <c r="BNZ93" s="240" t="n"/>
      <c r="BOA93" s="240" t="n"/>
      <c r="BOC93" s="15" t="n"/>
      <c r="BOD93" s="15" t="n"/>
      <c r="BOE93" s="248" t="n"/>
      <c r="BOF93" s="248" t="n"/>
      <c r="BOG93" s="240" t="n"/>
      <c r="BOH93" s="240" t="n"/>
      <c r="BOJ93" s="15" t="n"/>
      <c r="BOK93" s="15" t="n"/>
      <c r="BOL93" s="248" t="n"/>
      <c r="BOM93" s="248" t="n"/>
      <c r="BON93" s="240" t="n"/>
      <c r="BOO93" s="240" t="n"/>
      <c r="BOQ93" s="15" t="n"/>
      <c r="BOR93" s="15" t="n"/>
      <c r="BOS93" s="248" t="n"/>
      <c r="BOT93" s="248" t="n"/>
      <c r="BOU93" s="240" t="n"/>
      <c r="BOV93" s="240" t="n"/>
      <c r="BOX93" s="15" t="n"/>
      <c r="BOY93" s="15" t="n"/>
      <c r="BOZ93" s="248" t="n"/>
      <c r="BPA93" s="248" t="n"/>
      <c r="BPB93" s="240" t="n"/>
      <c r="BPC93" s="240" t="n"/>
      <c r="BPE93" s="15" t="n"/>
      <c r="BPF93" s="15" t="n"/>
      <c r="BPG93" s="248" t="n"/>
      <c r="BPH93" s="248" t="n"/>
      <c r="BPI93" s="240" t="n"/>
      <c r="BPJ93" s="240" t="n"/>
      <c r="BPL93" s="15" t="n"/>
      <c r="BPM93" s="15" t="n"/>
      <c r="BPN93" s="248" t="n"/>
      <c r="BPO93" s="248" t="n"/>
      <c r="BPP93" s="240" t="n"/>
      <c r="BPQ93" s="240" t="n"/>
      <c r="BPS93" s="15" t="n"/>
      <c r="BPT93" s="15" t="n"/>
      <c r="BPU93" s="248" t="n"/>
      <c r="BPV93" s="248" t="n"/>
      <c r="BPW93" s="240" t="n"/>
      <c r="BPX93" s="240" t="n"/>
      <c r="BPZ93" s="15" t="n"/>
      <c r="BQA93" s="15" t="n"/>
      <c r="BQB93" s="248" t="n"/>
      <c r="BQC93" s="248" t="n"/>
      <c r="BQD93" s="240" t="n"/>
      <c r="BQE93" s="240" t="n"/>
      <c r="BQG93" s="15" t="n"/>
      <c r="BQH93" s="15" t="n"/>
      <c r="BQI93" s="248" t="n"/>
      <c r="BQJ93" s="248" t="n"/>
      <c r="BQK93" s="240" t="n"/>
      <c r="BQL93" s="240" t="n"/>
      <c r="BQN93" s="15" t="n"/>
      <c r="BQO93" s="15" t="n"/>
      <c r="BQP93" s="248" t="n"/>
      <c r="BQQ93" s="248" t="n"/>
      <c r="BQR93" s="240" t="n"/>
      <c r="BQS93" s="240" t="n"/>
      <c r="BQU93" s="15" t="n"/>
      <c r="BQV93" s="15" t="n"/>
      <c r="BQW93" s="248" t="n"/>
      <c r="BQX93" s="248" t="n"/>
      <c r="BQY93" s="240" t="n"/>
      <c r="BQZ93" s="240" t="n"/>
      <c r="BRB93" s="15" t="n"/>
      <c r="BRC93" s="15" t="n"/>
      <c r="BRD93" s="248" t="n"/>
      <c r="BRE93" s="248" t="n"/>
      <c r="BRF93" s="240" t="n"/>
      <c r="BRG93" s="240" t="n"/>
      <c r="BRI93" s="15" t="n"/>
      <c r="BRJ93" s="15" t="n"/>
      <c r="BRK93" s="248" t="n"/>
      <c r="BRL93" s="248" t="n"/>
      <c r="BRM93" s="240" t="n"/>
      <c r="BRN93" s="240" t="n"/>
      <c r="BRP93" s="15" t="n"/>
      <c r="BRQ93" s="15" t="n"/>
      <c r="BRR93" s="248" t="n"/>
      <c r="BRS93" s="248" t="n"/>
      <c r="BRT93" s="240" t="n"/>
      <c r="BRU93" s="240" t="n"/>
      <c r="BRW93" s="15" t="n"/>
      <c r="BRX93" s="15" t="n"/>
      <c r="BRY93" s="248" t="n"/>
      <c r="BRZ93" s="248" t="n"/>
      <c r="BSA93" s="240" t="n"/>
      <c r="BSB93" s="240" t="n"/>
      <c r="BSD93" s="15" t="n"/>
      <c r="BSE93" s="15" t="n"/>
      <c r="BSF93" s="248" t="n"/>
      <c r="BSG93" s="248" t="n"/>
      <c r="BSH93" s="240" t="n"/>
      <c r="BSI93" s="240" t="n"/>
      <c r="BSK93" s="15" t="n"/>
      <c r="BSL93" s="15" t="n"/>
      <c r="BSM93" s="248" t="n"/>
      <c r="BSN93" s="248" t="n"/>
      <c r="BSO93" s="240" t="n"/>
      <c r="BSP93" s="240" t="n"/>
      <c r="BSR93" s="15" t="n"/>
      <c r="BSS93" s="15" t="n"/>
      <c r="BST93" s="248" t="n"/>
      <c r="BSU93" s="248" t="n"/>
      <c r="BSV93" s="240" t="n"/>
      <c r="BSW93" s="240" t="n"/>
      <c r="BSY93" s="15" t="n"/>
      <c r="BSZ93" s="15" t="n"/>
      <c r="BTA93" s="248" t="n"/>
      <c r="BTB93" s="248" t="n"/>
      <c r="BTC93" s="240" t="n"/>
      <c r="BTD93" s="240" t="n"/>
      <c r="BTF93" s="15" t="n"/>
      <c r="BTG93" s="15" t="n"/>
      <c r="BTH93" s="248" t="n"/>
      <c r="BTI93" s="248" t="n"/>
      <c r="BTJ93" s="240" t="n"/>
      <c r="BTK93" s="240" t="n"/>
      <c r="BTM93" s="15" t="n"/>
      <c r="BTN93" s="15" t="n"/>
      <c r="BTO93" s="248" t="n"/>
      <c r="BTP93" s="248" t="n"/>
      <c r="BTQ93" s="240" t="n"/>
      <c r="BTR93" s="240" t="n"/>
      <c r="BTT93" s="15" t="n"/>
      <c r="BTU93" s="15" t="n"/>
      <c r="BTV93" s="248" t="n"/>
      <c r="BTW93" s="248" t="n"/>
      <c r="BTX93" s="240" t="n"/>
      <c r="BTY93" s="240" t="n"/>
      <c r="BUA93" s="15" t="n"/>
      <c r="BUB93" s="15" t="n"/>
      <c r="BUC93" s="248" t="n"/>
      <c r="BUD93" s="248" t="n"/>
      <c r="BUE93" s="240" t="n"/>
      <c r="BUF93" s="240" t="n"/>
      <c r="BUH93" s="15" t="n"/>
      <c r="BUI93" s="15" t="n"/>
      <c r="BUJ93" s="248" t="n"/>
      <c r="BUK93" s="248" t="n"/>
      <c r="BUL93" s="240" t="n"/>
      <c r="BUM93" s="240" t="n"/>
      <c r="BUO93" s="15" t="n"/>
      <c r="BUP93" s="15" t="n"/>
      <c r="BUQ93" s="248" t="n"/>
      <c r="BUR93" s="248" t="n"/>
      <c r="BUS93" s="240" t="n"/>
      <c r="BUT93" s="240" t="n"/>
      <c r="BUV93" s="15" t="n"/>
      <c r="BUW93" s="15" t="n"/>
      <c r="BUX93" s="248" t="n"/>
      <c r="BUY93" s="248" t="n"/>
      <c r="BUZ93" s="240" t="n"/>
      <c r="BVA93" s="240" t="n"/>
      <c r="BVC93" s="15" t="n"/>
      <c r="BVD93" s="15" t="n"/>
      <c r="BVE93" s="248" t="n"/>
      <c r="BVF93" s="248" t="n"/>
      <c r="BVG93" s="240" t="n"/>
      <c r="BVH93" s="240" t="n"/>
      <c r="BVJ93" s="15" t="n"/>
      <c r="BVK93" s="15" t="n"/>
      <c r="BVL93" s="248" t="n"/>
      <c r="BVM93" s="248" t="n"/>
      <c r="BVN93" s="240" t="n"/>
      <c r="BVO93" s="240" t="n"/>
      <c r="BVQ93" s="15" t="n"/>
      <c r="BVR93" s="15" t="n"/>
      <c r="BVS93" s="248" t="n"/>
      <c r="BVT93" s="248" t="n"/>
      <c r="BVU93" s="240" t="n"/>
      <c r="BVV93" s="240" t="n"/>
      <c r="BVX93" s="15" t="n"/>
      <c r="BVY93" s="15" t="n"/>
      <c r="BVZ93" s="248" t="n"/>
      <c r="BWA93" s="248" t="n"/>
      <c r="BWB93" s="240" t="n"/>
      <c r="BWC93" s="240" t="n"/>
      <c r="BWE93" s="15" t="n"/>
      <c r="BWF93" s="15" t="n"/>
      <c r="BWG93" s="248" t="n"/>
      <c r="BWH93" s="248" t="n"/>
      <c r="BWI93" s="240" t="n"/>
      <c r="BWJ93" s="240" t="n"/>
      <c r="BWL93" s="15" t="n"/>
      <c r="BWM93" s="15" t="n"/>
      <c r="BWN93" s="248" t="n"/>
      <c r="BWO93" s="248" t="n"/>
      <c r="BWP93" s="240" t="n"/>
      <c r="BWQ93" s="240" t="n"/>
      <c r="BWS93" s="15" t="n"/>
      <c r="BWT93" s="15" t="n"/>
      <c r="BWU93" s="248" t="n"/>
      <c r="BWV93" s="248" t="n"/>
      <c r="BWW93" s="240" t="n"/>
      <c r="BWX93" s="240" t="n"/>
      <c r="BWZ93" s="15" t="n"/>
      <c r="BXA93" s="15" t="n"/>
      <c r="BXB93" s="248" t="n"/>
      <c r="BXC93" s="248" t="n"/>
      <c r="BXD93" s="240" t="n"/>
      <c r="BXE93" s="240" t="n"/>
      <c r="BXG93" s="15" t="n"/>
      <c r="BXH93" s="15" t="n"/>
      <c r="BXI93" s="248" t="n"/>
      <c r="BXJ93" s="248" t="n"/>
      <c r="BXK93" s="240" t="n"/>
      <c r="BXL93" s="240" t="n"/>
      <c r="BXN93" s="15" t="n"/>
      <c r="BXO93" s="15" t="n"/>
      <c r="BXP93" s="248" t="n"/>
      <c r="BXQ93" s="248" t="n"/>
      <c r="BXR93" s="240" t="n"/>
      <c r="BXS93" s="240" t="n"/>
      <c r="BXU93" s="15" t="n"/>
      <c r="BXV93" s="15" t="n"/>
      <c r="BXW93" s="248" t="n"/>
      <c r="BXX93" s="248" t="n"/>
      <c r="BXY93" s="240" t="n"/>
      <c r="BXZ93" s="240" t="n"/>
      <c r="BYB93" s="15" t="n"/>
      <c r="BYC93" s="15" t="n"/>
      <c r="BYD93" s="248" t="n"/>
      <c r="BYE93" s="248" t="n"/>
      <c r="BYF93" s="240" t="n"/>
      <c r="BYG93" s="240" t="n"/>
      <c r="BYI93" s="15" t="n"/>
      <c r="BYJ93" s="15" t="n"/>
      <c r="BYK93" s="248" t="n"/>
      <c r="BYL93" s="248" t="n"/>
      <c r="BYM93" s="240" t="n"/>
      <c r="BYN93" s="240" t="n"/>
      <c r="BYP93" s="15" t="n"/>
      <c r="BYQ93" s="15" t="n"/>
      <c r="BYR93" s="248" t="n"/>
      <c r="BYS93" s="248" t="n"/>
      <c r="BYT93" s="240" t="n"/>
      <c r="BYU93" s="240" t="n"/>
      <c r="BYW93" s="15" t="n"/>
      <c r="BYX93" s="15" t="n"/>
      <c r="BYY93" s="248" t="n"/>
      <c r="BYZ93" s="248" t="n"/>
      <c r="BZA93" s="240" t="n"/>
      <c r="BZB93" s="240" t="n"/>
      <c r="BZD93" s="15" t="n"/>
      <c r="BZE93" s="15" t="n"/>
      <c r="BZF93" s="248" t="n"/>
      <c r="BZG93" s="248" t="n"/>
      <c r="BZH93" s="240" t="n"/>
      <c r="BZI93" s="240" t="n"/>
      <c r="BZK93" s="15" t="n"/>
      <c r="BZL93" s="15" t="n"/>
      <c r="BZM93" s="248" t="n"/>
      <c r="BZN93" s="248" t="n"/>
      <c r="BZO93" s="240" t="n"/>
      <c r="BZP93" s="240" t="n"/>
      <c r="BZR93" s="15" t="n"/>
      <c r="BZS93" s="15" t="n"/>
      <c r="BZT93" s="248" t="n"/>
      <c r="BZU93" s="248" t="n"/>
      <c r="BZV93" s="240" t="n"/>
      <c r="BZW93" s="240" t="n"/>
      <c r="BZY93" s="15" t="n"/>
      <c r="BZZ93" s="15" t="n"/>
      <c r="CAA93" s="248" t="n"/>
      <c r="CAB93" s="248" t="n"/>
      <c r="CAC93" s="240" t="n"/>
      <c r="CAD93" s="240" t="n"/>
      <c r="CAF93" s="15" t="n"/>
      <c r="CAG93" s="15" t="n"/>
      <c r="CAH93" s="248" t="n"/>
      <c r="CAI93" s="248" t="n"/>
      <c r="CAJ93" s="240" t="n"/>
      <c r="CAK93" s="240" t="n"/>
      <c r="CAM93" s="15" t="n"/>
      <c r="CAN93" s="15" t="n"/>
      <c r="CAO93" s="248" t="n"/>
      <c r="CAP93" s="248" t="n"/>
      <c r="CAQ93" s="240" t="n"/>
      <c r="CAR93" s="240" t="n"/>
      <c r="CAT93" s="15" t="n"/>
      <c r="CAU93" s="15" t="n"/>
      <c r="CAV93" s="248" t="n"/>
      <c r="CAW93" s="248" t="n"/>
      <c r="CAX93" s="240" t="n"/>
      <c r="CAY93" s="240" t="n"/>
      <c r="CBA93" s="15" t="n"/>
      <c r="CBB93" s="15" t="n"/>
      <c r="CBC93" s="248" t="n"/>
      <c r="CBD93" s="248" t="n"/>
      <c r="CBE93" s="240" t="n"/>
      <c r="CBF93" s="240" t="n"/>
      <c r="CBH93" s="15" t="n"/>
      <c r="CBI93" s="15" t="n"/>
      <c r="CBJ93" s="248" t="n"/>
      <c r="CBK93" s="248" t="n"/>
      <c r="CBL93" s="240" t="n"/>
      <c r="CBM93" s="240" t="n"/>
      <c r="CBO93" s="15" t="n"/>
      <c r="CBP93" s="15" t="n"/>
      <c r="CBQ93" s="248" t="n"/>
      <c r="CBR93" s="248" t="n"/>
      <c r="CBS93" s="240" t="n"/>
      <c r="CBT93" s="240" t="n"/>
      <c r="CBV93" s="15" t="n"/>
      <c r="CBW93" s="15" t="n"/>
      <c r="CBX93" s="248" t="n"/>
      <c r="CBY93" s="248" t="n"/>
      <c r="CBZ93" s="240" t="n"/>
      <c r="CCA93" s="240" t="n"/>
      <c r="CCC93" s="15" t="n"/>
      <c r="CCD93" s="15" t="n"/>
      <c r="CCE93" s="248" t="n"/>
      <c r="CCF93" s="248" t="n"/>
      <c r="CCG93" s="240" t="n"/>
      <c r="CCH93" s="240" t="n"/>
      <c r="CCJ93" s="15" t="n"/>
      <c r="CCK93" s="15" t="n"/>
      <c r="CCL93" s="248" t="n"/>
      <c r="CCM93" s="248" t="n"/>
      <c r="CCN93" s="240" t="n"/>
      <c r="CCO93" s="240" t="n"/>
      <c r="CCQ93" s="15" t="n"/>
      <c r="CCR93" s="15" t="n"/>
      <c r="CCS93" s="248" t="n"/>
      <c r="CCT93" s="248" t="n"/>
      <c r="CCU93" s="240" t="n"/>
      <c r="CCV93" s="240" t="n"/>
      <c r="CCX93" s="15" t="n"/>
      <c r="CCY93" s="15" t="n"/>
      <c r="CCZ93" s="248" t="n"/>
      <c r="CDA93" s="248" t="n"/>
      <c r="CDB93" s="240" t="n"/>
      <c r="CDC93" s="240" t="n"/>
      <c r="CDE93" s="15" t="n"/>
      <c r="CDF93" s="15" t="n"/>
      <c r="CDG93" s="248" t="n"/>
      <c r="CDH93" s="248" t="n"/>
      <c r="CDI93" s="240" t="n"/>
      <c r="CDJ93" s="240" t="n"/>
      <c r="CDL93" s="15" t="n"/>
      <c r="CDM93" s="15" t="n"/>
      <c r="CDN93" s="248" t="n"/>
      <c r="CDO93" s="248" t="n"/>
      <c r="CDP93" s="240" t="n"/>
      <c r="CDQ93" s="240" t="n"/>
      <c r="CDS93" s="15" t="n"/>
      <c r="CDT93" s="15" t="n"/>
      <c r="CDU93" s="248" t="n"/>
      <c r="CDV93" s="248" t="n"/>
      <c r="CDW93" s="240" t="n"/>
      <c r="CDX93" s="240" t="n"/>
      <c r="CDZ93" s="15" t="n"/>
      <c r="CEA93" s="15" t="n"/>
      <c r="CEB93" s="248" t="n"/>
      <c r="CEC93" s="248" t="n"/>
      <c r="CED93" s="240" t="n"/>
      <c r="CEE93" s="240" t="n"/>
      <c r="CEG93" s="15" t="n"/>
      <c r="CEH93" s="15" t="n"/>
      <c r="CEI93" s="248" t="n"/>
      <c r="CEJ93" s="248" t="n"/>
      <c r="CEK93" s="240" t="n"/>
      <c r="CEL93" s="240" t="n"/>
      <c r="CEN93" s="15" t="n"/>
      <c r="CEO93" s="15" t="n"/>
      <c r="CEP93" s="248" t="n"/>
      <c r="CEQ93" s="248" t="n"/>
      <c r="CER93" s="240" t="n"/>
      <c r="CES93" s="240" t="n"/>
      <c r="CEU93" s="15" t="n"/>
      <c r="CEV93" s="15" t="n"/>
      <c r="CEW93" s="248" t="n"/>
      <c r="CEX93" s="248" t="n"/>
      <c r="CEY93" s="240" t="n"/>
      <c r="CEZ93" s="240" t="n"/>
      <c r="CFB93" s="15" t="n"/>
      <c r="CFC93" s="15" t="n"/>
      <c r="CFD93" s="248" t="n"/>
      <c r="CFE93" s="248" t="n"/>
      <c r="CFF93" s="240" t="n"/>
      <c r="CFG93" s="240" t="n"/>
      <c r="CFI93" s="15" t="n"/>
      <c r="CFJ93" s="15" t="n"/>
      <c r="CFK93" s="248" t="n"/>
      <c r="CFL93" s="248" t="n"/>
      <c r="CFM93" s="240" t="n"/>
      <c r="CFN93" s="240" t="n"/>
      <c r="CFP93" s="15" t="n"/>
      <c r="CFQ93" s="15" t="n"/>
      <c r="CFR93" s="248" t="n"/>
      <c r="CFS93" s="248" t="n"/>
      <c r="CFT93" s="240" t="n"/>
      <c r="CFU93" s="240" t="n"/>
      <c r="CFW93" s="15" t="n"/>
      <c r="CFX93" s="15" t="n"/>
      <c r="CFY93" s="248" t="n"/>
      <c r="CFZ93" s="248" t="n"/>
      <c r="CGA93" s="240" t="n"/>
      <c r="CGB93" s="240" t="n"/>
      <c r="CGD93" s="15" t="n"/>
      <c r="CGE93" s="15" t="n"/>
      <c r="CGF93" s="248" t="n"/>
      <c r="CGG93" s="248" t="n"/>
      <c r="CGH93" s="240" t="n"/>
      <c r="CGI93" s="240" t="n"/>
      <c r="CGK93" s="15" t="n"/>
      <c r="CGL93" s="15" t="n"/>
      <c r="CGM93" s="248" t="n"/>
      <c r="CGN93" s="248" t="n"/>
      <c r="CGO93" s="240" t="n"/>
      <c r="CGP93" s="240" t="n"/>
      <c r="CGR93" s="15" t="n"/>
      <c r="CGS93" s="15" t="n"/>
      <c r="CGT93" s="248" t="n"/>
      <c r="CGU93" s="248" t="n"/>
      <c r="CGV93" s="240" t="n"/>
      <c r="CGW93" s="240" t="n"/>
      <c r="CGY93" s="15" t="n"/>
      <c r="CGZ93" s="15" t="n"/>
      <c r="CHA93" s="248" t="n"/>
      <c r="CHB93" s="248" t="n"/>
      <c r="CHC93" s="240" t="n"/>
      <c r="CHD93" s="240" t="n"/>
      <c r="CHF93" s="15" t="n"/>
      <c r="CHG93" s="15" t="n"/>
      <c r="CHH93" s="248" t="n"/>
      <c r="CHI93" s="248" t="n"/>
      <c r="CHJ93" s="240" t="n"/>
      <c r="CHK93" s="240" t="n"/>
      <c r="CHM93" s="15" t="n"/>
      <c r="CHN93" s="15" t="n"/>
      <c r="CHO93" s="248" t="n"/>
      <c r="CHP93" s="248" t="n"/>
      <c r="CHQ93" s="240" t="n"/>
      <c r="CHR93" s="240" t="n"/>
      <c r="CHT93" s="15" t="n"/>
      <c r="CHU93" s="15" t="n"/>
      <c r="CHV93" s="248" t="n"/>
      <c r="CHW93" s="248" t="n"/>
      <c r="CHX93" s="240" t="n"/>
      <c r="CHY93" s="240" t="n"/>
      <c r="CIA93" s="15" t="n"/>
      <c r="CIB93" s="15" t="n"/>
      <c r="CIC93" s="248" t="n"/>
      <c r="CID93" s="248" t="n"/>
      <c r="CIE93" s="240" t="n"/>
      <c r="CIF93" s="240" t="n"/>
      <c r="CIH93" s="15" t="n"/>
      <c r="CII93" s="15" t="n"/>
      <c r="CIJ93" s="248" t="n"/>
      <c r="CIK93" s="248" t="n"/>
      <c r="CIL93" s="240" t="n"/>
      <c r="CIM93" s="240" t="n"/>
      <c r="CIO93" s="15" t="n"/>
      <c r="CIP93" s="15" t="n"/>
      <c r="CIQ93" s="248" t="n"/>
      <c r="CIR93" s="248" t="n"/>
      <c r="CIS93" s="240" t="n"/>
      <c r="CIT93" s="240" t="n"/>
      <c r="CIV93" s="15" t="n"/>
      <c r="CIW93" s="15" t="n"/>
      <c r="CIX93" s="248" t="n"/>
      <c r="CIY93" s="248" t="n"/>
      <c r="CIZ93" s="240" t="n"/>
      <c r="CJA93" s="240" t="n"/>
      <c r="CJC93" s="15" t="n"/>
      <c r="CJD93" s="15" t="n"/>
      <c r="CJE93" s="248" t="n"/>
      <c r="CJF93" s="248" t="n"/>
      <c r="CJG93" s="240" t="n"/>
      <c r="CJH93" s="240" t="n"/>
      <c r="CJJ93" s="15" t="n"/>
      <c r="CJK93" s="15" t="n"/>
      <c r="CJL93" s="248" t="n"/>
      <c r="CJM93" s="248" t="n"/>
      <c r="CJN93" s="240" t="n"/>
      <c r="CJO93" s="240" t="n"/>
      <c r="CJQ93" s="15" t="n"/>
      <c r="CJR93" s="15" t="n"/>
      <c r="CJS93" s="248" t="n"/>
      <c r="CJT93" s="248" t="n"/>
      <c r="CJU93" s="240" t="n"/>
      <c r="CJV93" s="240" t="n"/>
      <c r="CJX93" s="15" t="n"/>
      <c r="CJY93" s="15" t="n"/>
      <c r="CJZ93" s="248" t="n"/>
      <c r="CKA93" s="248" t="n"/>
      <c r="CKB93" s="240" t="n"/>
      <c r="CKC93" s="240" t="n"/>
      <c r="CKE93" s="15" t="n"/>
      <c r="CKF93" s="15" t="n"/>
      <c r="CKG93" s="248" t="n"/>
      <c r="CKH93" s="248" t="n"/>
      <c r="CKI93" s="240" t="n"/>
      <c r="CKJ93" s="240" t="n"/>
      <c r="CKL93" s="15" t="n"/>
      <c r="CKM93" s="15" t="n"/>
      <c r="CKN93" s="248" t="n"/>
      <c r="CKO93" s="248" t="n"/>
      <c r="CKP93" s="240" t="n"/>
      <c r="CKQ93" s="240" t="n"/>
      <c r="CKS93" s="15" t="n"/>
      <c r="CKT93" s="15" t="n"/>
      <c r="CKU93" s="248" t="n"/>
      <c r="CKV93" s="248" t="n"/>
      <c r="CKW93" s="240" t="n"/>
      <c r="CKX93" s="240" t="n"/>
      <c r="CKZ93" s="15" t="n"/>
      <c r="CLA93" s="15" t="n"/>
      <c r="CLB93" s="248" t="n"/>
      <c r="CLC93" s="248" t="n"/>
      <c r="CLD93" s="240" t="n"/>
      <c r="CLE93" s="240" t="n"/>
      <c r="CLG93" s="15" t="n"/>
      <c r="CLH93" s="15" t="n"/>
      <c r="CLI93" s="248" t="n"/>
      <c r="CLJ93" s="248" t="n"/>
      <c r="CLK93" s="240" t="n"/>
      <c r="CLL93" s="240" t="n"/>
      <c r="CLN93" s="15" t="n"/>
      <c r="CLO93" s="15" t="n"/>
      <c r="CLP93" s="248" t="n"/>
      <c r="CLQ93" s="248" t="n"/>
      <c r="CLR93" s="240" t="n"/>
      <c r="CLS93" s="240" t="n"/>
      <c r="CLU93" s="15" t="n"/>
      <c r="CLV93" s="15" t="n"/>
      <c r="CLW93" s="248" t="n"/>
      <c r="CLX93" s="248" t="n"/>
      <c r="CLY93" s="240" t="n"/>
      <c r="CLZ93" s="240" t="n"/>
      <c r="CMB93" s="15" t="n"/>
      <c r="CMC93" s="15" t="n"/>
      <c r="CMD93" s="248" t="n"/>
      <c r="CME93" s="248" t="n"/>
      <c r="CMF93" s="240" t="n"/>
      <c r="CMG93" s="240" t="n"/>
      <c r="CMI93" s="15" t="n"/>
      <c r="CMJ93" s="15" t="n"/>
      <c r="CMK93" s="248" t="n"/>
      <c r="CML93" s="248" t="n"/>
      <c r="CMM93" s="240" t="n"/>
      <c r="CMN93" s="240" t="n"/>
      <c r="CMP93" s="15" t="n"/>
      <c r="CMQ93" s="15" t="n"/>
      <c r="CMR93" s="248" t="n"/>
      <c r="CMS93" s="248" t="n"/>
      <c r="CMT93" s="240" t="n"/>
      <c r="CMU93" s="240" t="n"/>
      <c r="CMW93" s="15" t="n"/>
      <c r="CMX93" s="15" t="n"/>
      <c r="CMY93" s="248" t="n"/>
      <c r="CMZ93" s="248" t="n"/>
      <c r="CNA93" s="240" t="n"/>
      <c r="CNB93" s="240" t="n"/>
      <c r="CND93" s="15" t="n"/>
      <c r="CNE93" s="15" t="n"/>
      <c r="CNF93" s="248" t="n"/>
      <c r="CNG93" s="248" t="n"/>
      <c r="CNH93" s="240" t="n"/>
      <c r="CNI93" s="240" t="n"/>
      <c r="CNK93" s="15" t="n"/>
      <c r="CNL93" s="15" t="n"/>
      <c r="CNM93" s="248" t="n"/>
      <c r="CNN93" s="248" t="n"/>
      <c r="CNO93" s="240" t="n"/>
      <c r="CNP93" s="240" t="n"/>
      <c r="CNR93" s="15" t="n"/>
      <c r="CNS93" s="15" t="n"/>
      <c r="CNT93" s="248" t="n"/>
      <c r="CNU93" s="248" t="n"/>
      <c r="CNV93" s="240" t="n"/>
      <c r="CNW93" s="240" t="n"/>
      <c r="CNY93" s="15" t="n"/>
      <c r="CNZ93" s="15" t="n"/>
      <c r="COA93" s="248" t="n"/>
      <c r="COB93" s="248" t="n"/>
      <c r="COC93" s="240" t="n"/>
      <c r="COD93" s="240" t="n"/>
      <c r="COF93" s="15" t="n"/>
      <c r="COG93" s="15" t="n"/>
      <c r="COH93" s="248" t="n"/>
      <c r="COI93" s="248" t="n"/>
      <c r="COJ93" s="240" t="n"/>
      <c r="COK93" s="240" t="n"/>
      <c r="COM93" s="15" t="n"/>
      <c r="CON93" s="15" t="n"/>
      <c r="COO93" s="248" t="n"/>
      <c r="COP93" s="248" t="n"/>
      <c r="COQ93" s="240" t="n"/>
      <c r="COR93" s="240" t="n"/>
      <c r="COT93" s="15" t="n"/>
      <c r="COU93" s="15" t="n"/>
      <c r="COV93" s="248" t="n"/>
      <c r="COW93" s="248" t="n"/>
      <c r="COX93" s="240" t="n"/>
      <c r="COY93" s="240" t="n"/>
      <c r="CPA93" s="15" t="n"/>
      <c r="CPB93" s="15" t="n"/>
      <c r="CPC93" s="248" t="n"/>
      <c r="CPD93" s="248" t="n"/>
      <c r="CPE93" s="240" t="n"/>
      <c r="CPF93" s="240" t="n"/>
      <c r="CPH93" s="15" t="n"/>
      <c r="CPI93" s="15" t="n"/>
      <c r="CPJ93" s="248" t="n"/>
      <c r="CPK93" s="248" t="n"/>
      <c r="CPL93" s="240" t="n"/>
      <c r="CPM93" s="240" t="n"/>
      <c r="CPO93" s="15" t="n"/>
      <c r="CPP93" s="15" t="n"/>
      <c r="CPQ93" s="248" t="n"/>
      <c r="CPR93" s="248" t="n"/>
      <c r="CPS93" s="240" t="n"/>
      <c r="CPT93" s="240" t="n"/>
      <c r="CPV93" s="15" t="n"/>
      <c r="CPW93" s="15" t="n"/>
      <c r="CPX93" s="248" t="n"/>
      <c r="CPY93" s="248" t="n"/>
      <c r="CPZ93" s="240" t="n"/>
      <c r="CQA93" s="240" t="n"/>
      <c r="CQC93" s="15" t="n"/>
      <c r="CQD93" s="15" t="n"/>
      <c r="CQE93" s="248" t="n"/>
      <c r="CQF93" s="248" t="n"/>
      <c r="CQG93" s="240" t="n"/>
      <c r="CQH93" s="240" t="n"/>
      <c r="CQJ93" s="15" t="n"/>
      <c r="CQK93" s="15" t="n"/>
      <c r="CQL93" s="248" t="n"/>
      <c r="CQM93" s="248" t="n"/>
      <c r="CQN93" s="240" t="n"/>
      <c r="CQO93" s="240" t="n"/>
      <c r="CQQ93" s="15" t="n"/>
      <c r="CQR93" s="15" t="n"/>
      <c r="CQS93" s="248" t="n"/>
      <c r="CQT93" s="248" t="n"/>
      <c r="CQU93" s="240" t="n"/>
      <c r="CQV93" s="240" t="n"/>
      <c r="CQX93" s="15" t="n"/>
      <c r="CQY93" s="15" t="n"/>
      <c r="CQZ93" s="248" t="n"/>
      <c r="CRA93" s="248" t="n"/>
      <c r="CRB93" s="240" t="n"/>
      <c r="CRC93" s="240" t="n"/>
      <c r="CRE93" s="15" t="n"/>
      <c r="CRF93" s="15" t="n"/>
      <c r="CRG93" s="248" t="n"/>
      <c r="CRH93" s="248" t="n"/>
      <c r="CRI93" s="240" t="n"/>
      <c r="CRJ93" s="240" t="n"/>
      <c r="CRL93" s="15" t="n"/>
      <c r="CRM93" s="15" t="n"/>
      <c r="CRN93" s="248" t="n"/>
      <c r="CRO93" s="248" t="n"/>
      <c r="CRP93" s="240" t="n"/>
      <c r="CRQ93" s="240" t="n"/>
      <c r="CRS93" s="15" t="n"/>
      <c r="CRT93" s="15" t="n"/>
      <c r="CRU93" s="248" t="n"/>
      <c r="CRV93" s="248" t="n"/>
      <c r="CRW93" s="240" t="n"/>
      <c r="CRX93" s="240" t="n"/>
      <c r="CRZ93" s="15" t="n"/>
      <c r="CSA93" s="15" t="n"/>
      <c r="CSB93" s="248" t="n"/>
      <c r="CSC93" s="248" t="n"/>
      <c r="CSD93" s="240" t="n"/>
      <c r="CSE93" s="240" t="n"/>
      <c r="CSG93" s="15" t="n"/>
      <c r="CSH93" s="15" t="n"/>
      <c r="CSI93" s="248" t="n"/>
      <c r="CSJ93" s="248" t="n"/>
      <c r="CSK93" s="240" t="n"/>
      <c r="CSL93" s="240" t="n"/>
      <c r="CSN93" s="15" t="n"/>
      <c r="CSO93" s="15" t="n"/>
      <c r="CSP93" s="248" t="n"/>
      <c r="CSQ93" s="248" t="n"/>
      <c r="CSR93" s="240" t="n"/>
      <c r="CSS93" s="240" t="n"/>
      <c r="CSU93" s="15" t="n"/>
      <c r="CSV93" s="15" t="n"/>
      <c r="CSW93" s="248" t="n"/>
      <c r="CSX93" s="248" t="n"/>
      <c r="CSY93" s="240" t="n"/>
      <c r="CSZ93" s="240" t="n"/>
      <c r="CTB93" s="15" t="n"/>
      <c r="CTC93" s="15" t="n"/>
      <c r="CTD93" s="248" t="n"/>
      <c r="CTE93" s="248" t="n"/>
      <c r="CTF93" s="240" t="n"/>
      <c r="CTG93" s="240" t="n"/>
      <c r="CTI93" s="15" t="n"/>
      <c r="CTJ93" s="15" t="n"/>
      <c r="CTK93" s="248" t="n"/>
      <c r="CTL93" s="248" t="n"/>
      <c r="CTM93" s="240" t="n"/>
      <c r="CTN93" s="240" t="n"/>
      <c r="CTP93" s="15" t="n"/>
      <c r="CTQ93" s="15" t="n"/>
      <c r="CTR93" s="248" t="n"/>
      <c r="CTS93" s="248" t="n"/>
      <c r="CTT93" s="240" t="n"/>
      <c r="CTU93" s="240" t="n"/>
      <c r="CTW93" s="15" t="n"/>
      <c r="CTX93" s="15" t="n"/>
      <c r="CTY93" s="248" t="n"/>
      <c r="CTZ93" s="248" t="n"/>
      <c r="CUA93" s="240" t="n"/>
      <c r="CUB93" s="240" t="n"/>
      <c r="CUD93" s="15" t="n"/>
      <c r="CUE93" s="15" t="n"/>
      <c r="CUF93" s="248" t="n"/>
      <c r="CUG93" s="248" t="n"/>
      <c r="CUH93" s="240" t="n"/>
      <c r="CUI93" s="240" t="n"/>
      <c r="CUK93" s="15" t="n"/>
      <c r="CUL93" s="15" t="n"/>
      <c r="CUM93" s="248" t="n"/>
      <c r="CUN93" s="248" t="n"/>
      <c r="CUO93" s="240" t="n"/>
      <c r="CUP93" s="240" t="n"/>
      <c r="CUR93" s="15" t="n"/>
      <c r="CUS93" s="15" t="n"/>
      <c r="CUT93" s="248" t="n"/>
      <c r="CUU93" s="248" t="n"/>
      <c r="CUV93" s="240" t="n"/>
      <c r="CUW93" s="240" t="n"/>
      <c r="CUY93" s="15" t="n"/>
      <c r="CUZ93" s="15" t="n"/>
      <c r="CVA93" s="248" t="n"/>
      <c r="CVB93" s="248" t="n"/>
      <c r="CVC93" s="240" t="n"/>
      <c r="CVD93" s="240" t="n"/>
      <c r="CVF93" s="15" t="n"/>
      <c r="CVG93" s="15" t="n"/>
      <c r="CVH93" s="248" t="n"/>
      <c r="CVI93" s="248" t="n"/>
      <c r="CVJ93" s="240" t="n"/>
      <c r="CVK93" s="240" t="n"/>
      <c r="CVM93" s="15" t="n"/>
      <c r="CVN93" s="15" t="n"/>
      <c r="CVO93" s="248" t="n"/>
      <c r="CVP93" s="248" t="n"/>
      <c r="CVQ93" s="240" t="n"/>
      <c r="CVR93" s="240" t="n"/>
      <c r="CVT93" s="15" t="n"/>
      <c r="CVU93" s="15" t="n"/>
      <c r="CVV93" s="248" t="n"/>
      <c r="CVW93" s="248" t="n"/>
      <c r="CVX93" s="240" t="n"/>
      <c r="CVY93" s="240" t="n"/>
      <c r="CWA93" s="15" t="n"/>
      <c r="CWB93" s="15" t="n"/>
      <c r="CWC93" s="248" t="n"/>
      <c r="CWD93" s="248" t="n"/>
      <c r="CWE93" s="240" t="n"/>
      <c r="CWF93" s="240" t="n"/>
      <c r="CWH93" s="15" t="n"/>
      <c r="CWI93" s="15" t="n"/>
      <c r="CWJ93" s="248" t="n"/>
      <c r="CWK93" s="248" t="n"/>
      <c r="CWL93" s="240" t="n"/>
      <c r="CWM93" s="240" t="n"/>
      <c r="CWO93" s="15" t="n"/>
      <c r="CWP93" s="15" t="n"/>
      <c r="CWQ93" s="248" t="n"/>
      <c r="CWR93" s="248" t="n"/>
      <c r="CWS93" s="240" t="n"/>
      <c r="CWT93" s="240" t="n"/>
      <c r="CWV93" s="15" t="n"/>
      <c r="CWW93" s="15" t="n"/>
      <c r="CWX93" s="248" t="n"/>
      <c r="CWY93" s="248" t="n"/>
      <c r="CWZ93" s="240" t="n"/>
      <c r="CXA93" s="240" t="n"/>
      <c r="CXC93" s="15" t="n"/>
      <c r="CXD93" s="15" t="n"/>
      <c r="CXE93" s="248" t="n"/>
      <c r="CXF93" s="248" t="n"/>
      <c r="CXG93" s="240" t="n"/>
      <c r="CXH93" s="240" t="n"/>
      <c r="CXJ93" s="15" t="n"/>
      <c r="CXK93" s="15" t="n"/>
      <c r="CXL93" s="248" t="n"/>
      <c r="CXM93" s="248" t="n"/>
      <c r="CXN93" s="240" t="n"/>
      <c r="CXO93" s="240" t="n"/>
      <c r="CXQ93" s="15" t="n"/>
      <c r="CXR93" s="15" t="n"/>
      <c r="CXS93" s="248" t="n"/>
      <c r="CXT93" s="248" t="n"/>
      <c r="CXU93" s="240" t="n"/>
      <c r="CXV93" s="240" t="n"/>
      <c r="CXX93" s="15" t="n"/>
      <c r="CXY93" s="15" t="n"/>
      <c r="CXZ93" s="248" t="n"/>
      <c r="CYA93" s="248" t="n"/>
      <c r="CYB93" s="240" t="n"/>
      <c r="CYC93" s="240" t="n"/>
      <c r="CYE93" s="15" t="n"/>
      <c r="CYF93" s="15" t="n"/>
      <c r="CYG93" s="248" t="n"/>
      <c r="CYH93" s="248" t="n"/>
      <c r="CYI93" s="240" t="n"/>
      <c r="CYJ93" s="240" t="n"/>
      <c r="CYL93" s="15" t="n"/>
      <c r="CYM93" s="15" t="n"/>
      <c r="CYN93" s="248" t="n"/>
      <c r="CYO93" s="248" t="n"/>
      <c r="CYP93" s="240" t="n"/>
      <c r="CYQ93" s="240" t="n"/>
      <c r="CYS93" s="15" t="n"/>
      <c r="CYT93" s="15" t="n"/>
      <c r="CYU93" s="248" t="n"/>
      <c r="CYV93" s="248" t="n"/>
      <c r="CYW93" s="240" t="n"/>
      <c r="CYX93" s="240" t="n"/>
      <c r="CYZ93" s="15" t="n"/>
      <c r="CZA93" s="15" t="n"/>
      <c r="CZB93" s="248" t="n"/>
      <c r="CZC93" s="248" t="n"/>
      <c r="CZD93" s="240" t="n"/>
      <c r="CZE93" s="240" t="n"/>
      <c r="CZG93" s="15" t="n"/>
      <c r="CZH93" s="15" t="n"/>
      <c r="CZI93" s="248" t="n"/>
      <c r="CZJ93" s="248" t="n"/>
      <c r="CZK93" s="240" t="n"/>
      <c r="CZL93" s="240" t="n"/>
      <c r="CZN93" s="15" t="n"/>
      <c r="CZO93" s="15" t="n"/>
      <c r="CZP93" s="248" t="n"/>
      <c r="CZQ93" s="248" t="n"/>
      <c r="CZR93" s="240" t="n"/>
      <c r="CZS93" s="240" t="n"/>
      <c r="CZU93" s="15" t="n"/>
      <c r="CZV93" s="15" t="n"/>
      <c r="CZW93" s="248" t="n"/>
      <c r="CZX93" s="248" t="n"/>
      <c r="CZY93" s="240" t="n"/>
      <c r="CZZ93" s="240" t="n"/>
      <c r="DAB93" s="15" t="n"/>
      <c r="DAC93" s="15" t="n"/>
      <c r="DAD93" s="248" t="n"/>
      <c r="DAE93" s="248" t="n"/>
      <c r="DAF93" s="240" t="n"/>
      <c r="DAG93" s="240" t="n"/>
      <c r="DAI93" s="15" t="n"/>
      <c r="DAJ93" s="15" t="n"/>
      <c r="DAK93" s="248" t="n"/>
      <c r="DAL93" s="248" t="n"/>
      <c r="DAM93" s="240" t="n"/>
      <c r="DAN93" s="240" t="n"/>
      <c r="DAP93" s="15" t="n"/>
      <c r="DAQ93" s="15" t="n"/>
      <c r="DAR93" s="248" t="n"/>
      <c r="DAS93" s="248" t="n"/>
      <c r="DAT93" s="240" t="n"/>
      <c r="DAU93" s="240" t="n"/>
      <c r="DAW93" s="15" t="n"/>
      <c r="DAX93" s="15" t="n"/>
      <c r="DAY93" s="248" t="n"/>
      <c r="DAZ93" s="248" t="n"/>
      <c r="DBA93" s="240" t="n"/>
      <c r="DBB93" s="240" t="n"/>
      <c r="DBD93" s="15" t="n"/>
      <c r="DBE93" s="15" t="n"/>
      <c r="DBF93" s="248" t="n"/>
      <c r="DBG93" s="248" t="n"/>
      <c r="DBH93" s="240" t="n"/>
      <c r="DBI93" s="240" t="n"/>
      <c r="DBK93" s="15" t="n"/>
      <c r="DBL93" s="15" t="n"/>
      <c r="DBM93" s="248" t="n"/>
      <c r="DBN93" s="248" t="n"/>
      <c r="DBO93" s="240" t="n"/>
      <c r="DBP93" s="240" t="n"/>
      <c r="DBR93" s="15" t="n"/>
      <c r="DBS93" s="15" t="n"/>
      <c r="DBT93" s="248" t="n"/>
      <c r="DBU93" s="248" t="n"/>
      <c r="DBV93" s="240" t="n"/>
      <c r="DBW93" s="240" t="n"/>
      <c r="DBY93" s="15" t="n"/>
      <c r="DBZ93" s="15" t="n"/>
      <c r="DCA93" s="248" t="n"/>
      <c r="DCB93" s="248" t="n"/>
      <c r="DCC93" s="240" t="n"/>
      <c r="DCD93" s="240" t="n"/>
      <c r="DCF93" s="15" t="n"/>
      <c r="DCG93" s="15" t="n"/>
      <c r="DCH93" s="248" t="n"/>
      <c r="DCI93" s="248" t="n"/>
      <c r="DCJ93" s="240" t="n"/>
      <c r="DCK93" s="240" t="n"/>
      <c r="DCM93" s="15" t="n"/>
      <c r="DCN93" s="15" t="n"/>
      <c r="DCO93" s="248" t="n"/>
      <c r="DCP93" s="248" t="n"/>
      <c r="DCQ93" s="240" t="n"/>
      <c r="DCR93" s="240" t="n"/>
      <c r="DCT93" s="15" t="n"/>
      <c r="DCU93" s="15" t="n"/>
      <c r="DCV93" s="248" t="n"/>
      <c r="DCW93" s="248" t="n"/>
      <c r="DCX93" s="240" t="n"/>
      <c r="DCY93" s="240" t="n"/>
      <c r="DDA93" s="15" t="n"/>
      <c r="DDB93" s="15" t="n"/>
      <c r="DDC93" s="248" t="n"/>
      <c r="DDD93" s="248" t="n"/>
      <c r="DDE93" s="240" t="n"/>
      <c r="DDF93" s="240" t="n"/>
      <c r="DDH93" s="15" t="n"/>
      <c r="DDI93" s="15" t="n"/>
      <c r="DDJ93" s="248" t="n"/>
      <c r="DDK93" s="248" t="n"/>
      <c r="DDL93" s="240" t="n"/>
      <c r="DDM93" s="240" t="n"/>
      <c r="DDO93" s="15" t="n"/>
      <c r="DDP93" s="15" t="n"/>
      <c r="DDQ93" s="248" t="n"/>
      <c r="DDR93" s="248" t="n"/>
      <c r="DDS93" s="240" t="n"/>
      <c r="DDT93" s="240" t="n"/>
      <c r="DDV93" s="15" t="n"/>
      <c r="DDW93" s="15" t="n"/>
      <c r="DDX93" s="248" t="n"/>
      <c r="DDY93" s="248" t="n"/>
      <c r="DDZ93" s="240" t="n"/>
      <c r="DEA93" s="240" t="n"/>
      <c r="DEC93" s="15" t="n"/>
      <c r="DED93" s="15" t="n"/>
      <c r="DEE93" s="248" t="n"/>
      <c r="DEF93" s="248" t="n"/>
      <c r="DEG93" s="240" t="n"/>
      <c r="DEH93" s="240" t="n"/>
      <c r="DEJ93" s="15" t="n"/>
      <c r="DEK93" s="15" t="n"/>
      <c r="DEL93" s="248" t="n"/>
      <c r="DEM93" s="248" t="n"/>
      <c r="DEN93" s="240" t="n"/>
      <c r="DEO93" s="240" t="n"/>
      <c r="DEQ93" s="15" t="n"/>
      <c r="DER93" s="15" t="n"/>
      <c r="DES93" s="248" t="n"/>
      <c r="DET93" s="248" t="n"/>
      <c r="DEU93" s="240" t="n"/>
      <c r="DEV93" s="240" t="n"/>
      <c r="DEX93" s="15" t="n"/>
      <c r="DEY93" s="15" t="n"/>
      <c r="DEZ93" s="248" t="n"/>
      <c r="DFA93" s="248" t="n"/>
      <c r="DFB93" s="240" t="n"/>
      <c r="DFC93" s="240" t="n"/>
      <c r="DFE93" s="15" t="n"/>
      <c r="DFF93" s="15" t="n"/>
      <c r="DFG93" s="248" t="n"/>
      <c r="DFH93" s="248" t="n"/>
      <c r="DFI93" s="240" t="n"/>
      <c r="DFJ93" s="240" t="n"/>
      <c r="DFL93" s="15" t="n"/>
      <c r="DFM93" s="15" t="n"/>
      <c r="DFN93" s="248" t="n"/>
      <c r="DFO93" s="248" t="n"/>
      <c r="DFP93" s="240" t="n"/>
      <c r="DFQ93" s="240" t="n"/>
      <c r="DFS93" s="15" t="n"/>
      <c r="DFT93" s="15" t="n"/>
      <c r="DFU93" s="248" t="n"/>
      <c r="DFV93" s="248" t="n"/>
      <c r="DFW93" s="240" t="n"/>
      <c r="DFX93" s="240" t="n"/>
      <c r="DFZ93" s="15" t="n"/>
      <c r="DGA93" s="15" t="n"/>
      <c r="DGB93" s="248" t="n"/>
      <c r="DGC93" s="248" t="n"/>
      <c r="DGD93" s="240" t="n"/>
      <c r="DGE93" s="240" t="n"/>
      <c r="DGG93" s="15" t="n"/>
      <c r="DGH93" s="15" t="n"/>
      <c r="DGI93" s="248" t="n"/>
      <c r="DGJ93" s="248" t="n"/>
      <c r="DGK93" s="240" t="n"/>
      <c r="DGL93" s="240" t="n"/>
      <c r="DGN93" s="15" t="n"/>
      <c r="DGO93" s="15" t="n"/>
      <c r="DGP93" s="248" t="n"/>
      <c r="DGQ93" s="248" t="n"/>
      <c r="DGR93" s="240" t="n"/>
      <c r="DGS93" s="240" t="n"/>
      <c r="DGU93" s="15" t="n"/>
      <c r="DGV93" s="15" t="n"/>
      <c r="DGW93" s="248" t="n"/>
      <c r="DGX93" s="248" t="n"/>
      <c r="DGY93" s="240" t="n"/>
      <c r="DGZ93" s="240" t="n"/>
      <c r="DHB93" s="15" t="n"/>
      <c r="DHC93" s="15" t="n"/>
      <c r="DHD93" s="248" t="n"/>
      <c r="DHE93" s="248" t="n"/>
      <c r="DHF93" s="240" t="n"/>
      <c r="DHG93" s="240" t="n"/>
      <c r="DHI93" s="15" t="n"/>
      <c r="DHJ93" s="15" t="n"/>
      <c r="DHK93" s="248" t="n"/>
      <c r="DHL93" s="248" t="n"/>
      <c r="DHM93" s="240" t="n"/>
      <c r="DHN93" s="240" t="n"/>
      <c r="DHP93" s="15" t="n"/>
      <c r="DHQ93" s="15" t="n"/>
      <c r="DHR93" s="248" t="n"/>
      <c r="DHS93" s="248" t="n"/>
      <c r="DHT93" s="240" t="n"/>
      <c r="DHU93" s="240" t="n"/>
      <c r="DHW93" s="15" t="n"/>
      <c r="DHX93" s="15" t="n"/>
      <c r="DHY93" s="248" t="n"/>
      <c r="DHZ93" s="248" t="n"/>
      <c r="DIA93" s="240" t="n"/>
      <c r="DIB93" s="240" t="n"/>
      <c r="DID93" s="15" t="n"/>
      <c r="DIE93" s="15" t="n"/>
      <c r="DIF93" s="248" t="n"/>
      <c r="DIG93" s="248" t="n"/>
      <c r="DIH93" s="240" t="n"/>
      <c r="DII93" s="240" t="n"/>
      <c r="DIK93" s="15" t="n"/>
      <c r="DIL93" s="15" t="n"/>
      <c r="DIM93" s="248" t="n"/>
      <c r="DIN93" s="248" t="n"/>
      <c r="DIO93" s="240" t="n"/>
      <c r="DIP93" s="240" t="n"/>
      <c r="DIR93" s="15" t="n"/>
      <c r="DIS93" s="15" t="n"/>
      <c r="DIT93" s="248" t="n"/>
      <c r="DIU93" s="248" t="n"/>
      <c r="DIV93" s="240" t="n"/>
      <c r="DIW93" s="240" t="n"/>
      <c r="DIY93" s="15" t="n"/>
      <c r="DIZ93" s="15" t="n"/>
      <c r="DJA93" s="248" t="n"/>
      <c r="DJB93" s="248" t="n"/>
      <c r="DJC93" s="240" t="n"/>
      <c r="DJD93" s="240" t="n"/>
      <c r="DJF93" s="15" t="n"/>
      <c r="DJG93" s="15" t="n"/>
      <c r="DJH93" s="248" t="n"/>
      <c r="DJI93" s="248" t="n"/>
      <c r="DJJ93" s="240" t="n"/>
      <c r="DJK93" s="240" t="n"/>
      <c r="DJM93" s="15" t="n"/>
      <c r="DJN93" s="15" t="n"/>
      <c r="DJO93" s="248" t="n"/>
      <c r="DJP93" s="248" t="n"/>
      <c r="DJQ93" s="240" t="n"/>
      <c r="DJR93" s="240" t="n"/>
      <c r="DJT93" s="15" t="n"/>
      <c r="DJU93" s="15" t="n"/>
      <c r="DJV93" s="248" t="n"/>
      <c r="DJW93" s="248" t="n"/>
      <c r="DJX93" s="240" t="n"/>
      <c r="DJY93" s="240" t="n"/>
      <c r="DKA93" s="15" t="n"/>
      <c r="DKB93" s="15" t="n"/>
      <c r="DKC93" s="248" t="n"/>
      <c r="DKD93" s="248" t="n"/>
      <c r="DKE93" s="240" t="n"/>
      <c r="DKF93" s="240" t="n"/>
      <c r="DKH93" s="15" t="n"/>
      <c r="DKI93" s="15" t="n"/>
      <c r="DKJ93" s="248" t="n"/>
      <c r="DKK93" s="248" t="n"/>
      <c r="DKL93" s="240" t="n"/>
      <c r="DKM93" s="240" t="n"/>
      <c r="DKO93" s="15" t="n"/>
      <c r="DKP93" s="15" t="n"/>
      <c r="DKQ93" s="248" t="n"/>
      <c r="DKR93" s="248" t="n"/>
      <c r="DKS93" s="240" t="n"/>
      <c r="DKT93" s="240" t="n"/>
      <c r="DKV93" s="15" t="n"/>
      <c r="DKW93" s="15" t="n"/>
      <c r="DKX93" s="248" t="n"/>
      <c r="DKY93" s="248" t="n"/>
      <c r="DKZ93" s="240" t="n"/>
      <c r="DLA93" s="240" t="n"/>
      <c r="DLC93" s="15" t="n"/>
      <c r="DLD93" s="15" t="n"/>
      <c r="DLE93" s="248" t="n"/>
      <c r="DLF93" s="248" t="n"/>
      <c r="DLG93" s="240" t="n"/>
      <c r="DLH93" s="240" t="n"/>
      <c r="DLJ93" s="15" t="n"/>
      <c r="DLK93" s="15" t="n"/>
      <c r="DLL93" s="248" t="n"/>
      <c r="DLM93" s="248" t="n"/>
      <c r="DLN93" s="240" t="n"/>
      <c r="DLO93" s="240" t="n"/>
      <c r="DLQ93" s="15" t="n"/>
      <c r="DLR93" s="15" t="n"/>
      <c r="DLS93" s="248" t="n"/>
      <c r="DLT93" s="248" t="n"/>
      <c r="DLU93" s="240" t="n"/>
      <c r="DLV93" s="240" t="n"/>
      <c r="DLX93" s="15" t="n"/>
      <c r="DLY93" s="15" t="n"/>
      <c r="DLZ93" s="248" t="n"/>
      <c r="DMA93" s="248" t="n"/>
      <c r="DMB93" s="240" t="n"/>
      <c r="DMC93" s="240" t="n"/>
      <c r="DME93" s="15" t="n"/>
      <c r="DMF93" s="15" t="n"/>
      <c r="DMG93" s="248" t="n"/>
      <c r="DMH93" s="248" t="n"/>
      <c r="DMI93" s="240" t="n"/>
      <c r="DMJ93" s="240" t="n"/>
      <c r="DML93" s="15" t="n"/>
      <c r="DMM93" s="15" t="n"/>
      <c r="DMN93" s="248" t="n"/>
      <c r="DMO93" s="248" t="n"/>
      <c r="DMP93" s="240" t="n"/>
      <c r="DMQ93" s="240" t="n"/>
      <c r="DMS93" s="15" t="n"/>
      <c r="DMT93" s="15" t="n"/>
      <c r="DMU93" s="248" t="n"/>
      <c r="DMV93" s="248" t="n"/>
      <c r="DMW93" s="240" t="n"/>
      <c r="DMX93" s="240" t="n"/>
      <c r="DMZ93" s="15" t="n"/>
      <c r="DNA93" s="15" t="n"/>
      <c r="DNB93" s="248" t="n"/>
      <c r="DNC93" s="248" t="n"/>
      <c r="DND93" s="240" t="n"/>
      <c r="DNE93" s="240" t="n"/>
      <c r="DNG93" s="15" t="n"/>
      <c r="DNH93" s="15" t="n"/>
      <c r="DNI93" s="248" t="n"/>
      <c r="DNJ93" s="248" t="n"/>
      <c r="DNK93" s="240" t="n"/>
      <c r="DNL93" s="240" t="n"/>
      <c r="DNN93" s="15" t="n"/>
      <c r="DNO93" s="15" t="n"/>
      <c r="DNP93" s="248" t="n"/>
      <c r="DNQ93" s="248" t="n"/>
      <c r="DNR93" s="240" t="n"/>
      <c r="DNS93" s="240" t="n"/>
      <c r="DNU93" s="15" t="n"/>
      <c r="DNV93" s="15" t="n"/>
      <c r="DNW93" s="248" t="n"/>
      <c r="DNX93" s="248" t="n"/>
      <c r="DNY93" s="240" t="n"/>
      <c r="DNZ93" s="240" t="n"/>
      <c r="DOB93" s="15" t="n"/>
      <c r="DOC93" s="15" t="n"/>
      <c r="DOD93" s="248" t="n"/>
      <c r="DOE93" s="248" t="n"/>
      <c r="DOF93" s="240" t="n"/>
      <c r="DOG93" s="240" t="n"/>
      <c r="DOI93" s="15" t="n"/>
      <c r="DOJ93" s="15" t="n"/>
      <c r="DOK93" s="248" t="n"/>
      <c r="DOL93" s="248" t="n"/>
      <c r="DOM93" s="240" t="n"/>
      <c r="DON93" s="240" t="n"/>
      <c r="DOP93" s="15" t="n"/>
      <c r="DOQ93" s="15" t="n"/>
      <c r="DOR93" s="248" t="n"/>
      <c r="DOS93" s="248" t="n"/>
      <c r="DOT93" s="240" t="n"/>
      <c r="DOU93" s="240" t="n"/>
      <c r="DOW93" s="15" t="n"/>
      <c r="DOX93" s="15" t="n"/>
      <c r="DOY93" s="248" t="n"/>
      <c r="DOZ93" s="248" t="n"/>
      <c r="DPA93" s="240" t="n"/>
      <c r="DPB93" s="240" t="n"/>
      <c r="DPD93" s="15" t="n"/>
      <c r="DPE93" s="15" t="n"/>
      <c r="DPF93" s="248" t="n"/>
      <c r="DPG93" s="248" t="n"/>
      <c r="DPH93" s="240" t="n"/>
      <c r="DPI93" s="240" t="n"/>
      <c r="DPK93" s="15" t="n"/>
      <c r="DPL93" s="15" t="n"/>
      <c r="DPM93" s="248" t="n"/>
      <c r="DPN93" s="248" t="n"/>
      <c r="DPO93" s="240" t="n"/>
      <c r="DPP93" s="240" t="n"/>
      <c r="DPR93" s="15" t="n"/>
      <c r="DPS93" s="15" t="n"/>
      <c r="DPT93" s="248" t="n"/>
      <c r="DPU93" s="248" t="n"/>
      <c r="DPV93" s="240" t="n"/>
      <c r="DPW93" s="240" t="n"/>
      <c r="DPY93" s="15" t="n"/>
      <c r="DPZ93" s="15" t="n"/>
      <c r="DQA93" s="248" t="n"/>
      <c r="DQB93" s="248" t="n"/>
      <c r="DQC93" s="240" t="n"/>
      <c r="DQD93" s="240" t="n"/>
      <c r="DQF93" s="15" t="n"/>
      <c r="DQG93" s="15" t="n"/>
      <c r="DQH93" s="248" t="n"/>
      <c r="DQI93" s="248" t="n"/>
      <c r="DQJ93" s="240" t="n"/>
      <c r="DQK93" s="240" t="n"/>
      <c r="DQM93" s="15" t="n"/>
      <c r="DQN93" s="15" t="n"/>
      <c r="DQO93" s="248" t="n"/>
      <c r="DQP93" s="248" t="n"/>
      <c r="DQQ93" s="240" t="n"/>
      <c r="DQR93" s="240" t="n"/>
      <c r="DQT93" s="15" t="n"/>
      <c r="DQU93" s="15" t="n"/>
      <c r="DQV93" s="248" t="n"/>
      <c r="DQW93" s="248" t="n"/>
      <c r="DQX93" s="240" t="n"/>
      <c r="DQY93" s="240" t="n"/>
      <c r="DRA93" s="15" t="n"/>
      <c r="DRB93" s="15" t="n"/>
      <c r="DRC93" s="248" t="n"/>
      <c r="DRD93" s="248" t="n"/>
      <c r="DRE93" s="240" t="n"/>
      <c r="DRF93" s="240" t="n"/>
      <c r="DRH93" s="15" t="n"/>
      <c r="DRI93" s="15" t="n"/>
      <c r="DRJ93" s="248" t="n"/>
      <c r="DRK93" s="248" t="n"/>
      <c r="DRL93" s="240" t="n"/>
      <c r="DRM93" s="240" t="n"/>
      <c r="DRO93" s="15" t="n"/>
      <c r="DRP93" s="15" t="n"/>
      <c r="DRQ93" s="248" t="n"/>
      <c r="DRR93" s="248" t="n"/>
      <c r="DRS93" s="240" t="n"/>
      <c r="DRT93" s="240" t="n"/>
      <c r="DRV93" s="15" t="n"/>
      <c r="DRW93" s="15" t="n"/>
      <c r="DRX93" s="248" t="n"/>
      <c r="DRY93" s="248" t="n"/>
      <c r="DRZ93" s="240" t="n"/>
      <c r="DSA93" s="240" t="n"/>
      <c r="DSC93" s="15" t="n"/>
      <c r="DSD93" s="15" t="n"/>
      <c r="DSE93" s="248" t="n"/>
      <c r="DSF93" s="248" t="n"/>
      <c r="DSG93" s="240" t="n"/>
      <c r="DSH93" s="240" t="n"/>
      <c r="DSJ93" s="15" t="n"/>
      <c r="DSK93" s="15" t="n"/>
      <c r="DSL93" s="248" t="n"/>
      <c r="DSM93" s="248" t="n"/>
      <c r="DSN93" s="240" t="n"/>
      <c r="DSO93" s="240" t="n"/>
      <c r="DSQ93" s="15" t="n"/>
      <c r="DSR93" s="15" t="n"/>
      <c r="DSS93" s="248" t="n"/>
      <c r="DST93" s="248" t="n"/>
      <c r="DSU93" s="240" t="n"/>
      <c r="DSV93" s="240" t="n"/>
      <c r="DSX93" s="15" t="n"/>
      <c r="DSY93" s="15" t="n"/>
      <c r="DSZ93" s="248" t="n"/>
      <c r="DTA93" s="248" t="n"/>
      <c r="DTB93" s="240" t="n"/>
      <c r="DTC93" s="240" t="n"/>
      <c r="DTE93" s="15" t="n"/>
      <c r="DTF93" s="15" t="n"/>
      <c r="DTG93" s="248" t="n"/>
      <c r="DTH93" s="248" t="n"/>
      <c r="DTI93" s="240" t="n"/>
      <c r="DTJ93" s="240" t="n"/>
      <c r="DTL93" s="15" t="n"/>
      <c r="DTM93" s="15" t="n"/>
      <c r="DTN93" s="248" t="n"/>
      <c r="DTO93" s="248" t="n"/>
      <c r="DTP93" s="240" t="n"/>
      <c r="DTQ93" s="240" t="n"/>
      <c r="DTS93" s="15" t="n"/>
      <c r="DTT93" s="15" t="n"/>
      <c r="DTU93" s="248" t="n"/>
      <c r="DTV93" s="248" t="n"/>
      <c r="DTW93" s="240" t="n"/>
      <c r="DTX93" s="240" t="n"/>
      <c r="DTZ93" s="15" t="n"/>
      <c r="DUA93" s="15" t="n"/>
      <c r="DUB93" s="248" t="n"/>
      <c r="DUC93" s="248" t="n"/>
      <c r="DUD93" s="240" t="n"/>
      <c r="DUE93" s="240" t="n"/>
      <c r="DUG93" s="15" t="n"/>
      <c r="DUH93" s="15" t="n"/>
      <c r="DUI93" s="248" t="n"/>
      <c r="DUJ93" s="248" t="n"/>
      <c r="DUK93" s="240" t="n"/>
      <c r="DUL93" s="240" t="n"/>
      <c r="DUN93" s="15" t="n"/>
      <c r="DUO93" s="15" t="n"/>
      <c r="DUP93" s="248" t="n"/>
      <c r="DUQ93" s="248" t="n"/>
      <c r="DUR93" s="240" t="n"/>
      <c r="DUS93" s="240" t="n"/>
      <c r="DUU93" s="15" t="n"/>
      <c r="DUV93" s="15" t="n"/>
      <c r="DUW93" s="248" t="n"/>
      <c r="DUX93" s="248" t="n"/>
      <c r="DUY93" s="240" t="n"/>
      <c r="DUZ93" s="240" t="n"/>
      <c r="DVB93" s="15" t="n"/>
      <c r="DVC93" s="15" t="n"/>
      <c r="DVD93" s="248" t="n"/>
      <c r="DVE93" s="248" t="n"/>
      <c r="DVF93" s="240" t="n"/>
      <c r="DVG93" s="240" t="n"/>
      <c r="DVI93" s="15" t="n"/>
      <c r="DVJ93" s="15" t="n"/>
      <c r="DVK93" s="248" t="n"/>
      <c r="DVL93" s="248" t="n"/>
      <c r="DVM93" s="240" t="n"/>
      <c r="DVN93" s="240" t="n"/>
      <c r="DVP93" s="15" t="n"/>
      <c r="DVQ93" s="15" t="n"/>
      <c r="DVR93" s="248" t="n"/>
      <c r="DVS93" s="248" t="n"/>
      <c r="DVT93" s="240" t="n"/>
      <c r="DVU93" s="240" t="n"/>
      <c r="DVW93" s="15" t="n"/>
      <c r="DVX93" s="15" t="n"/>
      <c r="DVY93" s="248" t="n"/>
      <c r="DVZ93" s="248" t="n"/>
      <c r="DWA93" s="240" t="n"/>
      <c r="DWB93" s="240" t="n"/>
      <c r="DWD93" s="15" t="n"/>
      <c r="DWE93" s="15" t="n"/>
      <c r="DWF93" s="248" t="n"/>
      <c r="DWG93" s="248" t="n"/>
      <c r="DWH93" s="240" t="n"/>
      <c r="DWI93" s="240" t="n"/>
      <c r="DWK93" s="15" t="n"/>
      <c r="DWL93" s="15" t="n"/>
      <c r="DWM93" s="248" t="n"/>
      <c r="DWN93" s="248" t="n"/>
      <c r="DWO93" s="240" t="n"/>
      <c r="DWP93" s="240" t="n"/>
      <c r="DWR93" s="15" t="n"/>
      <c r="DWS93" s="15" t="n"/>
      <c r="DWT93" s="248" t="n"/>
      <c r="DWU93" s="248" t="n"/>
      <c r="DWV93" s="240" t="n"/>
      <c r="DWW93" s="240" t="n"/>
      <c r="DWY93" s="15" t="n"/>
      <c r="DWZ93" s="15" t="n"/>
      <c r="DXA93" s="248" t="n"/>
      <c r="DXB93" s="248" t="n"/>
      <c r="DXC93" s="240" t="n"/>
      <c r="DXD93" s="240" t="n"/>
      <c r="DXF93" s="15" t="n"/>
      <c r="DXG93" s="15" t="n"/>
      <c r="DXH93" s="248" t="n"/>
      <c r="DXI93" s="248" t="n"/>
      <c r="DXJ93" s="240" t="n"/>
      <c r="DXK93" s="240" t="n"/>
      <c r="DXM93" s="15" t="n"/>
      <c r="DXN93" s="15" t="n"/>
      <c r="DXO93" s="248" t="n"/>
      <c r="DXP93" s="248" t="n"/>
      <c r="DXQ93" s="240" t="n"/>
      <c r="DXR93" s="240" t="n"/>
      <c r="DXT93" s="15" t="n"/>
      <c r="DXU93" s="15" t="n"/>
      <c r="DXV93" s="248" t="n"/>
      <c r="DXW93" s="248" t="n"/>
      <c r="DXX93" s="240" t="n"/>
      <c r="DXY93" s="240" t="n"/>
      <c r="DYA93" s="15" t="n"/>
      <c r="DYB93" s="15" t="n"/>
      <c r="DYC93" s="248" t="n"/>
      <c r="DYD93" s="248" t="n"/>
      <c r="DYE93" s="240" t="n"/>
      <c r="DYF93" s="240" t="n"/>
      <c r="DYH93" s="15" t="n"/>
      <c r="DYI93" s="15" t="n"/>
      <c r="DYJ93" s="248" t="n"/>
      <c r="DYK93" s="248" t="n"/>
      <c r="DYL93" s="240" t="n"/>
      <c r="DYM93" s="240" t="n"/>
      <c r="DYO93" s="15" t="n"/>
      <c r="DYP93" s="15" t="n"/>
      <c r="DYQ93" s="248" t="n"/>
      <c r="DYR93" s="248" t="n"/>
      <c r="DYS93" s="240" t="n"/>
      <c r="DYT93" s="240" t="n"/>
      <c r="DYV93" s="15" t="n"/>
      <c r="DYW93" s="15" t="n"/>
      <c r="DYX93" s="248" t="n"/>
      <c r="DYY93" s="248" t="n"/>
      <c r="DYZ93" s="240" t="n"/>
      <c r="DZA93" s="240" t="n"/>
      <c r="DZC93" s="15" t="n"/>
      <c r="DZD93" s="15" t="n"/>
      <c r="DZE93" s="248" t="n"/>
      <c r="DZF93" s="248" t="n"/>
      <c r="DZG93" s="240" t="n"/>
      <c r="DZH93" s="240" t="n"/>
      <c r="DZJ93" s="15" t="n"/>
      <c r="DZK93" s="15" t="n"/>
      <c r="DZL93" s="248" t="n"/>
      <c r="DZM93" s="248" t="n"/>
      <c r="DZN93" s="240" t="n"/>
      <c r="DZO93" s="240" t="n"/>
      <c r="DZQ93" s="15" t="n"/>
      <c r="DZR93" s="15" t="n"/>
      <c r="DZS93" s="248" t="n"/>
      <c r="DZT93" s="248" t="n"/>
      <c r="DZU93" s="240" t="n"/>
      <c r="DZV93" s="240" t="n"/>
      <c r="DZX93" s="15" t="n"/>
      <c r="DZY93" s="15" t="n"/>
      <c r="DZZ93" s="248" t="n"/>
      <c r="EAA93" s="248" t="n"/>
      <c r="EAB93" s="240" t="n"/>
      <c r="EAC93" s="240" t="n"/>
      <c r="EAE93" s="15" t="n"/>
      <c r="EAF93" s="15" t="n"/>
      <c r="EAG93" s="248" t="n"/>
      <c r="EAH93" s="248" t="n"/>
      <c r="EAI93" s="240" t="n"/>
      <c r="EAJ93" s="240" t="n"/>
      <c r="EAL93" s="15" t="n"/>
      <c r="EAM93" s="15" t="n"/>
      <c r="EAN93" s="248" t="n"/>
      <c r="EAO93" s="248" t="n"/>
      <c r="EAP93" s="240" t="n"/>
      <c r="EAQ93" s="240" t="n"/>
      <c r="EAS93" s="15" t="n"/>
      <c r="EAT93" s="15" t="n"/>
      <c r="EAU93" s="248" t="n"/>
      <c r="EAV93" s="248" t="n"/>
      <c r="EAW93" s="240" t="n"/>
      <c r="EAX93" s="240" t="n"/>
      <c r="EAZ93" s="15" t="n"/>
      <c r="EBA93" s="15" t="n"/>
      <c r="EBB93" s="248" t="n"/>
      <c r="EBC93" s="248" t="n"/>
      <c r="EBD93" s="240" t="n"/>
      <c r="EBE93" s="240" t="n"/>
      <c r="EBG93" s="15" t="n"/>
      <c r="EBH93" s="15" t="n"/>
      <c r="EBI93" s="248" t="n"/>
      <c r="EBJ93" s="248" t="n"/>
      <c r="EBK93" s="240" t="n"/>
      <c r="EBL93" s="240" t="n"/>
      <c r="EBN93" s="15" t="n"/>
      <c r="EBO93" s="15" t="n"/>
      <c r="EBP93" s="248" t="n"/>
      <c r="EBQ93" s="248" t="n"/>
      <c r="EBR93" s="240" t="n"/>
      <c r="EBS93" s="240" t="n"/>
      <c r="EBU93" s="15" t="n"/>
      <c r="EBV93" s="15" t="n"/>
      <c r="EBW93" s="248" t="n"/>
      <c r="EBX93" s="248" t="n"/>
      <c r="EBY93" s="240" t="n"/>
      <c r="EBZ93" s="240" t="n"/>
      <c r="ECB93" s="15" t="n"/>
      <c r="ECC93" s="15" t="n"/>
      <c r="ECD93" s="248" t="n"/>
      <c r="ECE93" s="248" t="n"/>
      <c r="ECF93" s="240" t="n"/>
      <c r="ECG93" s="240" t="n"/>
      <c r="ECI93" s="15" t="n"/>
      <c r="ECJ93" s="15" t="n"/>
      <c r="ECK93" s="248" t="n"/>
      <c r="ECL93" s="248" t="n"/>
      <c r="ECM93" s="240" t="n"/>
      <c r="ECN93" s="240" t="n"/>
      <c r="ECP93" s="15" t="n"/>
      <c r="ECQ93" s="15" t="n"/>
      <c r="ECR93" s="248" t="n"/>
      <c r="ECS93" s="248" t="n"/>
      <c r="ECT93" s="240" t="n"/>
      <c r="ECU93" s="240" t="n"/>
      <c r="ECW93" s="15" t="n"/>
      <c r="ECX93" s="15" t="n"/>
      <c r="ECY93" s="248" t="n"/>
      <c r="ECZ93" s="248" t="n"/>
      <c r="EDA93" s="240" t="n"/>
      <c r="EDB93" s="240" t="n"/>
      <c r="EDD93" s="15" t="n"/>
      <c r="EDE93" s="15" t="n"/>
      <c r="EDF93" s="248" t="n"/>
      <c r="EDG93" s="248" t="n"/>
      <c r="EDH93" s="240" t="n"/>
      <c r="EDI93" s="240" t="n"/>
      <c r="EDK93" s="15" t="n"/>
      <c r="EDL93" s="15" t="n"/>
      <c r="EDM93" s="248" t="n"/>
      <c r="EDN93" s="248" t="n"/>
      <c r="EDO93" s="240" t="n"/>
      <c r="EDP93" s="240" t="n"/>
      <c r="EDR93" s="15" t="n"/>
      <c r="EDS93" s="15" t="n"/>
      <c r="EDT93" s="248" t="n"/>
      <c r="EDU93" s="248" t="n"/>
      <c r="EDV93" s="240" t="n"/>
      <c r="EDW93" s="240" t="n"/>
      <c r="EDY93" s="15" t="n"/>
      <c r="EDZ93" s="15" t="n"/>
      <c r="EEA93" s="248" t="n"/>
      <c r="EEB93" s="248" t="n"/>
      <c r="EEC93" s="240" t="n"/>
      <c r="EED93" s="240" t="n"/>
      <c r="EEF93" s="15" t="n"/>
      <c r="EEG93" s="15" t="n"/>
      <c r="EEH93" s="248" t="n"/>
      <c r="EEI93" s="248" t="n"/>
      <c r="EEJ93" s="240" t="n"/>
      <c r="EEK93" s="240" t="n"/>
      <c r="EEM93" s="15" t="n"/>
      <c r="EEN93" s="15" t="n"/>
      <c r="EEO93" s="248" t="n"/>
      <c r="EEP93" s="248" t="n"/>
      <c r="EEQ93" s="240" t="n"/>
      <c r="EER93" s="240" t="n"/>
      <c r="EET93" s="15" t="n"/>
      <c r="EEU93" s="15" t="n"/>
      <c r="EEV93" s="248" t="n"/>
      <c r="EEW93" s="248" t="n"/>
      <c r="EEX93" s="240" t="n"/>
      <c r="EEY93" s="240" t="n"/>
      <c r="EFA93" s="15" t="n"/>
      <c r="EFB93" s="15" t="n"/>
      <c r="EFC93" s="248" t="n"/>
      <c r="EFD93" s="248" t="n"/>
      <c r="EFE93" s="240" t="n"/>
      <c r="EFF93" s="240" t="n"/>
      <c r="EFH93" s="15" t="n"/>
      <c r="EFI93" s="15" t="n"/>
      <c r="EFJ93" s="248" t="n"/>
      <c r="EFK93" s="248" t="n"/>
      <c r="EFL93" s="240" t="n"/>
      <c r="EFM93" s="240" t="n"/>
      <c r="EFO93" s="15" t="n"/>
      <c r="EFP93" s="15" t="n"/>
      <c r="EFQ93" s="248" t="n"/>
      <c r="EFR93" s="248" t="n"/>
      <c r="EFS93" s="240" t="n"/>
      <c r="EFT93" s="240" t="n"/>
      <c r="EFV93" s="15" t="n"/>
      <c r="EFW93" s="15" t="n"/>
      <c r="EFX93" s="248" t="n"/>
      <c r="EFY93" s="248" t="n"/>
      <c r="EFZ93" s="240" t="n"/>
      <c r="EGA93" s="240" t="n"/>
      <c r="EGC93" s="15" t="n"/>
      <c r="EGD93" s="15" t="n"/>
      <c r="EGE93" s="248" t="n"/>
      <c r="EGF93" s="248" t="n"/>
      <c r="EGG93" s="240" t="n"/>
      <c r="EGH93" s="240" t="n"/>
      <c r="EGJ93" s="15" t="n"/>
      <c r="EGK93" s="15" t="n"/>
      <c r="EGL93" s="248" t="n"/>
      <c r="EGM93" s="248" t="n"/>
      <c r="EGN93" s="240" t="n"/>
      <c r="EGO93" s="240" t="n"/>
      <c r="EGQ93" s="15" t="n"/>
      <c r="EGR93" s="15" t="n"/>
      <c r="EGS93" s="248" t="n"/>
      <c r="EGT93" s="248" t="n"/>
      <c r="EGU93" s="240" t="n"/>
      <c r="EGV93" s="240" t="n"/>
      <c r="EGX93" s="15" t="n"/>
      <c r="EGY93" s="15" t="n"/>
      <c r="EGZ93" s="248" t="n"/>
      <c r="EHA93" s="248" t="n"/>
      <c r="EHB93" s="240" t="n"/>
      <c r="EHC93" s="240" t="n"/>
      <c r="EHE93" s="15" t="n"/>
      <c r="EHF93" s="15" t="n"/>
      <c r="EHG93" s="248" t="n"/>
      <c r="EHH93" s="248" t="n"/>
      <c r="EHI93" s="240" t="n"/>
      <c r="EHJ93" s="240" t="n"/>
      <c r="EHL93" s="15" t="n"/>
      <c r="EHM93" s="15" t="n"/>
      <c r="EHN93" s="248" t="n"/>
      <c r="EHO93" s="248" t="n"/>
      <c r="EHP93" s="240" t="n"/>
      <c r="EHQ93" s="240" t="n"/>
      <c r="EHS93" s="15" t="n"/>
      <c r="EHT93" s="15" t="n"/>
      <c r="EHU93" s="248" t="n"/>
      <c r="EHV93" s="248" t="n"/>
      <c r="EHW93" s="240" t="n"/>
      <c r="EHX93" s="240" t="n"/>
      <c r="EHZ93" s="15" t="n"/>
      <c r="EIA93" s="15" t="n"/>
      <c r="EIB93" s="248" t="n"/>
      <c r="EIC93" s="248" t="n"/>
      <c r="EID93" s="240" t="n"/>
      <c r="EIE93" s="240" t="n"/>
      <c r="EIG93" s="15" t="n"/>
      <c r="EIH93" s="15" t="n"/>
      <c r="EII93" s="248" t="n"/>
      <c r="EIJ93" s="248" t="n"/>
      <c r="EIK93" s="240" t="n"/>
      <c r="EIL93" s="240" t="n"/>
      <c r="EIN93" s="15" t="n"/>
      <c r="EIO93" s="15" t="n"/>
      <c r="EIP93" s="248" t="n"/>
      <c r="EIQ93" s="248" t="n"/>
      <c r="EIR93" s="240" t="n"/>
      <c r="EIS93" s="240" t="n"/>
      <c r="EIU93" s="15" t="n"/>
      <c r="EIV93" s="15" t="n"/>
      <c r="EIW93" s="248" t="n"/>
      <c r="EIX93" s="248" t="n"/>
      <c r="EIY93" s="240" t="n"/>
      <c r="EIZ93" s="240" t="n"/>
      <c r="EJB93" s="15" t="n"/>
      <c r="EJC93" s="15" t="n"/>
      <c r="EJD93" s="248" t="n"/>
      <c r="EJE93" s="248" t="n"/>
      <c r="EJF93" s="240" t="n"/>
      <c r="EJG93" s="240" t="n"/>
      <c r="EJI93" s="15" t="n"/>
      <c r="EJJ93" s="15" t="n"/>
      <c r="EJK93" s="248" t="n"/>
      <c r="EJL93" s="248" t="n"/>
      <c r="EJM93" s="240" t="n"/>
      <c r="EJN93" s="240" t="n"/>
      <c r="EJP93" s="15" t="n"/>
      <c r="EJQ93" s="15" t="n"/>
      <c r="EJR93" s="248" t="n"/>
      <c r="EJS93" s="248" t="n"/>
      <c r="EJT93" s="240" t="n"/>
      <c r="EJU93" s="240" t="n"/>
      <c r="EJW93" s="15" t="n"/>
      <c r="EJX93" s="15" t="n"/>
      <c r="EJY93" s="248" t="n"/>
      <c r="EJZ93" s="248" t="n"/>
      <c r="EKA93" s="240" t="n"/>
      <c r="EKB93" s="240" t="n"/>
      <c r="EKD93" s="15" t="n"/>
      <c r="EKE93" s="15" t="n"/>
      <c r="EKF93" s="248" t="n"/>
      <c r="EKG93" s="248" t="n"/>
      <c r="EKH93" s="240" t="n"/>
      <c r="EKI93" s="240" t="n"/>
      <c r="EKK93" s="15" t="n"/>
      <c r="EKL93" s="15" t="n"/>
      <c r="EKM93" s="248" t="n"/>
      <c r="EKN93" s="248" t="n"/>
      <c r="EKO93" s="240" t="n"/>
      <c r="EKP93" s="240" t="n"/>
      <c r="EKR93" s="15" t="n"/>
      <c r="EKS93" s="15" t="n"/>
      <c r="EKT93" s="248" t="n"/>
      <c r="EKU93" s="248" t="n"/>
      <c r="EKV93" s="240" t="n"/>
      <c r="EKW93" s="240" t="n"/>
      <c r="EKY93" s="15" t="n"/>
      <c r="EKZ93" s="15" t="n"/>
      <c r="ELA93" s="248" t="n"/>
      <c r="ELB93" s="248" t="n"/>
      <c r="ELC93" s="240" t="n"/>
      <c r="ELD93" s="240" t="n"/>
      <c r="ELF93" s="15" t="n"/>
      <c r="ELG93" s="15" t="n"/>
      <c r="ELH93" s="248" t="n"/>
      <c r="ELI93" s="248" t="n"/>
      <c r="ELJ93" s="240" t="n"/>
      <c r="ELK93" s="240" t="n"/>
      <c r="ELM93" s="15" t="n"/>
      <c r="ELN93" s="15" t="n"/>
      <c r="ELO93" s="248" t="n"/>
      <c r="ELP93" s="248" t="n"/>
      <c r="ELQ93" s="240" t="n"/>
      <c r="ELR93" s="240" t="n"/>
      <c r="ELT93" s="15" t="n"/>
      <c r="ELU93" s="15" t="n"/>
      <c r="ELV93" s="248" t="n"/>
      <c r="ELW93" s="248" t="n"/>
      <c r="ELX93" s="240" t="n"/>
      <c r="ELY93" s="240" t="n"/>
      <c r="EMA93" s="15" t="n"/>
      <c r="EMB93" s="15" t="n"/>
      <c r="EMC93" s="248" t="n"/>
      <c r="EMD93" s="248" t="n"/>
      <c r="EME93" s="240" t="n"/>
      <c r="EMF93" s="240" t="n"/>
      <c r="EMH93" s="15" t="n"/>
      <c r="EMI93" s="15" t="n"/>
      <c r="EMJ93" s="248" t="n"/>
      <c r="EMK93" s="248" t="n"/>
      <c r="EML93" s="240" t="n"/>
      <c r="EMM93" s="240" t="n"/>
      <c r="EMO93" s="15" t="n"/>
      <c r="EMP93" s="15" t="n"/>
      <c r="EMQ93" s="248" t="n"/>
      <c r="EMR93" s="248" t="n"/>
      <c r="EMS93" s="240" t="n"/>
      <c r="EMT93" s="240" t="n"/>
      <c r="EMV93" s="15" t="n"/>
      <c r="EMW93" s="15" t="n"/>
      <c r="EMX93" s="248" t="n"/>
      <c r="EMY93" s="248" t="n"/>
      <c r="EMZ93" s="240" t="n"/>
      <c r="ENA93" s="240" t="n"/>
      <c r="ENC93" s="15" t="n"/>
      <c r="END93" s="15" t="n"/>
      <c r="ENE93" s="248" t="n"/>
      <c r="ENF93" s="248" t="n"/>
      <c r="ENG93" s="240" t="n"/>
      <c r="ENH93" s="240" t="n"/>
      <c r="ENJ93" s="15" t="n"/>
      <c r="ENK93" s="15" t="n"/>
      <c r="ENL93" s="248" t="n"/>
      <c r="ENM93" s="248" t="n"/>
      <c r="ENN93" s="240" t="n"/>
      <c r="ENO93" s="240" t="n"/>
      <c r="ENQ93" s="15" t="n"/>
      <c r="ENR93" s="15" t="n"/>
      <c r="ENS93" s="248" t="n"/>
      <c r="ENT93" s="248" t="n"/>
      <c r="ENU93" s="240" t="n"/>
      <c r="ENV93" s="240" t="n"/>
      <c r="ENX93" s="15" t="n"/>
      <c r="ENY93" s="15" t="n"/>
      <c r="ENZ93" s="248" t="n"/>
      <c r="EOA93" s="248" t="n"/>
      <c r="EOB93" s="240" t="n"/>
      <c r="EOC93" s="240" t="n"/>
      <c r="EOE93" s="15" t="n"/>
      <c r="EOF93" s="15" t="n"/>
      <c r="EOG93" s="248" t="n"/>
      <c r="EOH93" s="248" t="n"/>
      <c r="EOI93" s="240" t="n"/>
      <c r="EOJ93" s="240" t="n"/>
      <c r="EOL93" s="15" t="n"/>
      <c r="EOM93" s="15" t="n"/>
      <c r="EON93" s="248" t="n"/>
      <c r="EOO93" s="248" t="n"/>
      <c r="EOP93" s="240" t="n"/>
      <c r="EOQ93" s="240" t="n"/>
      <c r="EOS93" s="15" t="n"/>
      <c r="EOT93" s="15" t="n"/>
      <c r="EOU93" s="248" t="n"/>
      <c r="EOV93" s="248" t="n"/>
      <c r="EOW93" s="240" t="n"/>
      <c r="EOX93" s="240" t="n"/>
      <c r="EOZ93" s="15" t="n"/>
      <c r="EPA93" s="15" t="n"/>
      <c r="EPB93" s="248" t="n"/>
      <c r="EPC93" s="248" t="n"/>
      <c r="EPD93" s="240" t="n"/>
      <c r="EPE93" s="240" t="n"/>
      <c r="EPG93" s="15" t="n"/>
      <c r="EPH93" s="15" t="n"/>
      <c r="EPI93" s="248" t="n"/>
      <c r="EPJ93" s="248" t="n"/>
      <c r="EPK93" s="240" t="n"/>
      <c r="EPL93" s="240" t="n"/>
      <c r="EPN93" s="15" t="n"/>
      <c r="EPO93" s="15" t="n"/>
      <c r="EPP93" s="248" t="n"/>
      <c r="EPQ93" s="248" t="n"/>
      <c r="EPR93" s="240" t="n"/>
      <c r="EPS93" s="240" t="n"/>
      <c r="EPU93" s="15" t="n"/>
      <c r="EPV93" s="15" t="n"/>
      <c r="EPW93" s="248" t="n"/>
      <c r="EPX93" s="248" t="n"/>
      <c r="EPY93" s="240" t="n"/>
      <c r="EPZ93" s="240" t="n"/>
      <c r="EQB93" s="15" t="n"/>
      <c r="EQC93" s="15" t="n"/>
      <c r="EQD93" s="248" t="n"/>
      <c r="EQE93" s="248" t="n"/>
      <c r="EQF93" s="240" t="n"/>
      <c r="EQG93" s="240" t="n"/>
      <c r="EQI93" s="15" t="n"/>
      <c r="EQJ93" s="15" t="n"/>
      <c r="EQK93" s="248" t="n"/>
      <c r="EQL93" s="248" t="n"/>
      <c r="EQM93" s="240" t="n"/>
      <c r="EQN93" s="240" t="n"/>
      <c r="EQP93" s="15" t="n"/>
      <c r="EQQ93" s="15" t="n"/>
      <c r="EQR93" s="248" t="n"/>
      <c r="EQS93" s="248" t="n"/>
      <c r="EQT93" s="240" t="n"/>
      <c r="EQU93" s="240" t="n"/>
      <c r="EQW93" s="15" t="n"/>
      <c r="EQX93" s="15" t="n"/>
      <c r="EQY93" s="248" t="n"/>
      <c r="EQZ93" s="248" t="n"/>
      <c r="ERA93" s="240" t="n"/>
      <c r="ERB93" s="240" t="n"/>
      <c r="ERD93" s="15" t="n"/>
      <c r="ERE93" s="15" t="n"/>
      <c r="ERF93" s="248" t="n"/>
      <c r="ERG93" s="248" t="n"/>
      <c r="ERH93" s="240" t="n"/>
      <c r="ERI93" s="240" t="n"/>
      <c r="ERK93" s="15" t="n"/>
      <c r="ERL93" s="15" t="n"/>
      <c r="ERM93" s="248" t="n"/>
      <c r="ERN93" s="248" t="n"/>
      <c r="ERO93" s="240" t="n"/>
      <c r="ERP93" s="240" t="n"/>
      <c r="ERR93" s="15" t="n"/>
      <c r="ERS93" s="15" t="n"/>
      <c r="ERT93" s="248" t="n"/>
      <c r="ERU93" s="248" t="n"/>
      <c r="ERV93" s="240" t="n"/>
      <c r="ERW93" s="240" t="n"/>
      <c r="ERY93" s="15" t="n"/>
      <c r="ERZ93" s="15" t="n"/>
      <c r="ESA93" s="248" t="n"/>
      <c r="ESB93" s="248" t="n"/>
      <c r="ESC93" s="240" t="n"/>
      <c r="ESD93" s="240" t="n"/>
      <c r="ESF93" s="15" t="n"/>
      <c r="ESG93" s="15" t="n"/>
      <c r="ESH93" s="248" t="n"/>
      <c r="ESI93" s="248" t="n"/>
      <c r="ESJ93" s="240" t="n"/>
      <c r="ESK93" s="240" t="n"/>
      <c r="ESM93" s="15" t="n"/>
      <c r="ESN93" s="15" t="n"/>
      <c r="ESO93" s="248" t="n"/>
      <c r="ESP93" s="248" t="n"/>
      <c r="ESQ93" s="240" t="n"/>
      <c r="ESR93" s="240" t="n"/>
      <c r="EST93" s="15" t="n"/>
      <c r="ESU93" s="15" t="n"/>
      <c r="ESV93" s="248" t="n"/>
      <c r="ESW93" s="248" t="n"/>
      <c r="ESX93" s="240" t="n"/>
      <c r="ESY93" s="240" t="n"/>
      <c r="ETA93" s="15" t="n"/>
      <c r="ETB93" s="15" t="n"/>
      <c r="ETC93" s="248" t="n"/>
      <c r="ETD93" s="248" t="n"/>
      <c r="ETE93" s="240" t="n"/>
      <c r="ETF93" s="240" t="n"/>
      <c r="ETH93" s="15" t="n"/>
      <c r="ETI93" s="15" t="n"/>
      <c r="ETJ93" s="248" t="n"/>
      <c r="ETK93" s="248" t="n"/>
      <c r="ETL93" s="240" t="n"/>
      <c r="ETM93" s="240" t="n"/>
      <c r="ETO93" s="15" t="n"/>
      <c r="ETP93" s="15" t="n"/>
      <c r="ETQ93" s="248" t="n"/>
      <c r="ETR93" s="248" t="n"/>
      <c r="ETS93" s="240" t="n"/>
      <c r="ETT93" s="240" t="n"/>
      <c r="ETV93" s="15" t="n"/>
      <c r="ETW93" s="15" t="n"/>
      <c r="ETX93" s="248" t="n"/>
      <c r="ETY93" s="248" t="n"/>
      <c r="ETZ93" s="240" t="n"/>
      <c r="EUA93" s="240" t="n"/>
      <c r="EUC93" s="15" t="n"/>
      <c r="EUD93" s="15" t="n"/>
      <c r="EUE93" s="248" t="n"/>
      <c r="EUF93" s="248" t="n"/>
      <c r="EUG93" s="240" t="n"/>
      <c r="EUH93" s="240" t="n"/>
      <c r="EUJ93" s="15" t="n"/>
      <c r="EUK93" s="15" t="n"/>
      <c r="EUL93" s="248" t="n"/>
      <c r="EUM93" s="248" t="n"/>
      <c r="EUN93" s="240" t="n"/>
      <c r="EUO93" s="240" t="n"/>
      <c r="EUQ93" s="15" t="n"/>
      <c r="EUR93" s="15" t="n"/>
      <c r="EUS93" s="248" t="n"/>
      <c r="EUT93" s="248" t="n"/>
      <c r="EUU93" s="240" t="n"/>
      <c r="EUV93" s="240" t="n"/>
      <c r="EUX93" s="15" t="n"/>
      <c r="EUY93" s="15" t="n"/>
      <c r="EUZ93" s="248" t="n"/>
      <c r="EVA93" s="248" t="n"/>
      <c r="EVB93" s="240" t="n"/>
      <c r="EVC93" s="240" t="n"/>
      <c r="EVE93" s="15" t="n"/>
      <c r="EVF93" s="15" t="n"/>
      <c r="EVG93" s="248" t="n"/>
      <c r="EVH93" s="248" t="n"/>
      <c r="EVI93" s="240" t="n"/>
      <c r="EVJ93" s="240" t="n"/>
      <c r="EVL93" s="15" t="n"/>
      <c r="EVM93" s="15" t="n"/>
      <c r="EVN93" s="248" t="n"/>
      <c r="EVO93" s="248" t="n"/>
      <c r="EVP93" s="240" t="n"/>
      <c r="EVQ93" s="240" t="n"/>
      <c r="EVS93" s="15" t="n"/>
      <c r="EVT93" s="15" t="n"/>
      <c r="EVU93" s="248" t="n"/>
      <c r="EVV93" s="248" t="n"/>
      <c r="EVW93" s="240" t="n"/>
      <c r="EVX93" s="240" t="n"/>
      <c r="EVZ93" s="15" t="n"/>
      <c r="EWA93" s="15" t="n"/>
      <c r="EWB93" s="248" t="n"/>
      <c r="EWC93" s="248" t="n"/>
      <c r="EWD93" s="240" t="n"/>
      <c r="EWE93" s="240" t="n"/>
      <c r="EWG93" s="15" t="n"/>
      <c r="EWH93" s="15" t="n"/>
      <c r="EWI93" s="248" t="n"/>
      <c r="EWJ93" s="248" t="n"/>
      <c r="EWK93" s="240" t="n"/>
      <c r="EWL93" s="240" t="n"/>
      <c r="EWN93" s="15" t="n"/>
      <c r="EWO93" s="15" t="n"/>
      <c r="EWP93" s="248" t="n"/>
      <c r="EWQ93" s="248" t="n"/>
      <c r="EWR93" s="240" t="n"/>
      <c r="EWS93" s="240" t="n"/>
      <c r="EWU93" s="15" t="n"/>
      <c r="EWV93" s="15" t="n"/>
      <c r="EWW93" s="248" t="n"/>
      <c r="EWX93" s="248" t="n"/>
      <c r="EWY93" s="240" t="n"/>
      <c r="EWZ93" s="240" t="n"/>
      <c r="EXB93" s="15" t="n"/>
      <c r="EXC93" s="15" t="n"/>
      <c r="EXD93" s="248" t="n"/>
      <c r="EXE93" s="248" t="n"/>
      <c r="EXF93" s="240" t="n"/>
      <c r="EXG93" s="240" t="n"/>
      <c r="EXI93" s="15" t="n"/>
      <c r="EXJ93" s="15" t="n"/>
      <c r="EXK93" s="248" t="n"/>
      <c r="EXL93" s="248" t="n"/>
      <c r="EXM93" s="240" t="n"/>
      <c r="EXN93" s="240" t="n"/>
      <c r="EXP93" s="15" t="n"/>
      <c r="EXQ93" s="15" t="n"/>
      <c r="EXR93" s="248" t="n"/>
      <c r="EXS93" s="248" t="n"/>
      <c r="EXT93" s="240" t="n"/>
      <c r="EXU93" s="240" t="n"/>
      <c r="EXW93" s="15" t="n"/>
      <c r="EXX93" s="15" t="n"/>
      <c r="EXY93" s="248" t="n"/>
      <c r="EXZ93" s="248" t="n"/>
      <c r="EYA93" s="240" t="n"/>
      <c r="EYB93" s="240" t="n"/>
      <c r="EYD93" s="15" t="n"/>
      <c r="EYE93" s="15" t="n"/>
      <c r="EYF93" s="248" t="n"/>
      <c r="EYG93" s="248" t="n"/>
      <c r="EYH93" s="240" t="n"/>
      <c r="EYI93" s="240" t="n"/>
      <c r="EYK93" s="15" t="n"/>
      <c r="EYL93" s="15" t="n"/>
      <c r="EYM93" s="248" t="n"/>
      <c r="EYN93" s="248" t="n"/>
      <c r="EYO93" s="240" t="n"/>
      <c r="EYP93" s="240" t="n"/>
      <c r="EYR93" s="15" t="n"/>
      <c r="EYS93" s="15" t="n"/>
      <c r="EYT93" s="248" t="n"/>
      <c r="EYU93" s="248" t="n"/>
      <c r="EYV93" s="240" t="n"/>
      <c r="EYW93" s="240" t="n"/>
      <c r="EYY93" s="15" t="n"/>
      <c r="EYZ93" s="15" t="n"/>
      <c r="EZA93" s="248" t="n"/>
      <c r="EZB93" s="248" t="n"/>
      <c r="EZC93" s="240" t="n"/>
      <c r="EZD93" s="240" t="n"/>
      <c r="EZF93" s="15" t="n"/>
      <c r="EZG93" s="15" t="n"/>
      <c r="EZH93" s="248" t="n"/>
      <c r="EZI93" s="248" t="n"/>
      <c r="EZJ93" s="240" t="n"/>
      <c r="EZK93" s="240" t="n"/>
      <c r="EZM93" s="15" t="n"/>
      <c r="EZN93" s="15" t="n"/>
      <c r="EZO93" s="248" t="n"/>
      <c r="EZP93" s="248" t="n"/>
      <c r="EZQ93" s="240" t="n"/>
      <c r="EZR93" s="240" t="n"/>
      <c r="EZT93" s="15" t="n"/>
      <c r="EZU93" s="15" t="n"/>
      <c r="EZV93" s="248" t="n"/>
      <c r="EZW93" s="248" t="n"/>
      <c r="EZX93" s="240" t="n"/>
      <c r="EZY93" s="240" t="n"/>
      <c r="FAA93" s="15" t="n"/>
      <c r="FAB93" s="15" t="n"/>
      <c r="FAC93" s="248" t="n"/>
      <c r="FAD93" s="248" t="n"/>
      <c r="FAE93" s="240" t="n"/>
      <c r="FAF93" s="240" t="n"/>
      <c r="FAH93" s="15" t="n"/>
      <c r="FAI93" s="15" t="n"/>
      <c r="FAJ93" s="248" t="n"/>
      <c r="FAK93" s="248" t="n"/>
      <c r="FAL93" s="240" t="n"/>
      <c r="FAM93" s="240" t="n"/>
      <c r="FAO93" s="15" t="n"/>
      <c r="FAP93" s="15" t="n"/>
      <c r="FAQ93" s="248" t="n"/>
      <c r="FAR93" s="248" t="n"/>
      <c r="FAS93" s="240" t="n"/>
      <c r="FAT93" s="240" t="n"/>
      <c r="FAV93" s="15" t="n"/>
      <c r="FAW93" s="15" t="n"/>
      <c r="FAX93" s="248" t="n"/>
      <c r="FAY93" s="248" t="n"/>
      <c r="FAZ93" s="240" t="n"/>
      <c r="FBA93" s="240" t="n"/>
      <c r="FBC93" s="15" t="n"/>
      <c r="FBD93" s="15" t="n"/>
      <c r="FBE93" s="248" t="n"/>
      <c r="FBF93" s="248" t="n"/>
      <c r="FBG93" s="240" t="n"/>
      <c r="FBH93" s="240" t="n"/>
      <c r="FBJ93" s="15" t="n"/>
      <c r="FBK93" s="15" t="n"/>
      <c r="FBL93" s="248" t="n"/>
      <c r="FBM93" s="248" t="n"/>
      <c r="FBN93" s="240" t="n"/>
      <c r="FBO93" s="240" t="n"/>
      <c r="FBQ93" s="15" t="n"/>
      <c r="FBR93" s="15" t="n"/>
      <c r="FBS93" s="248" t="n"/>
      <c r="FBT93" s="248" t="n"/>
      <c r="FBU93" s="240" t="n"/>
      <c r="FBV93" s="240" t="n"/>
      <c r="FBX93" s="15" t="n"/>
      <c r="FBY93" s="15" t="n"/>
      <c r="FBZ93" s="248" t="n"/>
      <c r="FCA93" s="248" t="n"/>
      <c r="FCB93" s="240" t="n"/>
      <c r="FCC93" s="240" t="n"/>
      <c r="FCE93" s="15" t="n"/>
      <c r="FCF93" s="15" t="n"/>
      <c r="FCG93" s="248" t="n"/>
      <c r="FCH93" s="248" t="n"/>
      <c r="FCI93" s="240" t="n"/>
      <c r="FCJ93" s="240" t="n"/>
      <c r="FCL93" s="15" t="n"/>
      <c r="FCM93" s="15" t="n"/>
      <c r="FCN93" s="248" t="n"/>
      <c r="FCO93" s="248" t="n"/>
      <c r="FCP93" s="240" t="n"/>
      <c r="FCQ93" s="240" t="n"/>
      <c r="FCS93" s="15" t="n"/>
      <c r="FCT93" s="15" t="n"/>
      <c r="FCU93" s="248" t="n"/>
      <c r="FCV93" s="248" t="n"/>
      <c r="FCW93" s="240" t="n"/>
      <c r="FCX93" s="240" t="n"/>
      <c r="FCZ93" s="15" t="n"/>
      <c r="FDA93" s="15" t="n"/>
      <c r="FDB93" s="248" t="n"/>
      <c r="FDC93" s="248" t="n"/>
      <c r="FDD93" s="240" t="n"/>
      <c r="FDE93" s="240" t="n"/>
      <c r="FDG93" s="15" t="n"/>
      <c r="FDH93" s="15" t="n"/>
      <c r="FDI93" s="248" t="n"/>
      <c r="FDJ93" s="248" t="n"/>
      <c r="FDK93" s="240" t="n"/>
      <c r="FDL93" s="240" t="n"/>
      <c r="FDN93" s="15" t="n"/>
      <c r="FDO93" s="15" t="n"/>
      <c r="FDP93" s="248" t="n"/>
      <c r="FDQ93" s="248" t="n"/>
      <c r="FDR93" s="240" t="n"/>
      <c r="FDS93" s="240" t="n"/>
      <c r="FDU93" s="15" t="n"/>
      <c r="FDV93" s="15" t="n"/>
      <c r="FDW93" s="248" t="n"/>
      <c r="FDX93" s="248" t="n"/>
      <c r="FDY93" s="240" t="n"/>
      <c r="FDZ93" s="240" t="n"/>
      <c r="FEB93" s="15" t="n"/>
      <c r="FEC93" s="15" t="n"/>
      <c r="FED93" s="248" t="n"/>
      <c r="FEE93" s="248" t="n"/>
      <c r="FEF93" s="240" t="n"/>
      <c r="FEG93" s="240" t="n"/>
      <c r="FEI93" s="15" t="n"/>
      <c r="FEJ93" s="15" t="n"/>
      <c r="FEK93" s="248" t="n"/>
      <c r="FEL93" s="248" t="n"/>
      <c r="FEM93" s="240" t="n"/>
      <c r="FEN93" s="240" t="n"/>
      <c r="FEP93" s="15" t="n"/>
      <c r="FEQ93" s="15" t="n"/>
      <c r="FER93" s="248" t="n"/>
      <c r="FES93" s="248" t="n"/>
      <c r="FET93" s="240" t="n"/>
      <c r="FEU93" s="240" t="n"/>
      <c r="FEW93" s="15" t="n"/>
      <c r="FEX93" s="15" t="n"/>
      <c r="FEY93" s="248" t="n"/>
      <c r="FEZ93" s="248" t="n"/>
      <c r="FFA93" s="240" t="n"/>
      <c r="FFB93" s="240" t="n"/>
      <c r="FFD93" s="15" t="n"/>
      <c r="FFE93" s="15" t="n"/>
      <c r="FFF93" s="248" t="n"/>
      <c r="FFG93" s="248" t="n"/>
      <c r="FFH93" s="240" t="n"/>
      <c r="FFI93" s="240" t="n"/>
      <c r="FFK93" s="15" t="n"/>
      <c r="FFL93" s="15" t="n"/>
      <c r="FFM93" s="248" t="n"/>
      <c r="FFN93" s="248" t="n"/>
      <c r="FFO93" s="240" t="n"/>
      <c r="FFP93" s="240" t="n"/>
      <c r="FFR93" s="15" t="n"/>
      <c r="FFS93" s="15" t="n"/>
      <c r="FFT93" s="248" t="n"/>
      <c r="FFU93" s="248" t="n"/>
      <c r="FFV93" s="240" t="n"/>
      <c r="FFW93" s="240" t="n"/>
      <c r="FFY93" s="15" t="n"/>
      <c r="FFZ93" s="15" t="n"/>
      <c r="FGA93" s="248" t="n"/>
      <c r="FGB93" s="248" t="n"/>
      <c r="FGC93" s="240" t="n"/>
      <c r="FGD93" s="240" t="n"/>
      <c r="FGF93" s="15" t="n"/>
      <c r="FGG93" s="15" t="n"/>
      <c r="FGH93" s="248" t="n"/>
      <c r="FGI93" s="248" t="n"/>
      <c r="FGJ93" s="240" t="n"/>
      <c r="FGK93" s="240" t="n"/>
      <c r="FGM93" s="15" t="n"/>
      <c r="FGN93" s="15" t="n"/>
      <c r="FGO93" s="248" t="n"/>
      <c r="FGP93" s="248" t="n"/>
      <c r="FGQ93" s="240" t="n"/>
      <c r="FGR93" s="240" t="n"/>
      <c r="FGT93" s="15" t="n"/>
      <c r="FGU93" s="15" t="n"/>
      <c r="FGV93" s="248" t="n"/>
      <c r="FGW93" s="248" t="n"/>
      <c r="FGX93" s="240" t="n"/>
      <c r="FGY93" s="240" t="n"/>
      <c r="FHA93" s="15" t="n"/>
      <c r="FHB93" s="15" t="n"/>
      <c r="FHC93" s="248" t="n"/>
      <c r="FHD93" s="248" t="n"/>
      <c r="FHE93" s="240" t="n"/>
      <c r="FHF93" s="240" t="n"/>
      <c r="FHH93" s="15" t="n"/>
      <c r="FHI93" s="15" t="n"/>
      <c r="FHJ93" s="248" t="n"/>
      <c r="FHK93" s="248" t="n"/>
      <c r="FHL93" s="240" t="n"/>
      <c r="FHM93" s="240" t="n"/>
      <c r="FHO93" s="15" t="n"/>
      <c r="FHP93" s="15" t="n"/>
      <c r="FHQ93" s="248" t="n"/>
      <c r="FHR93" s="248" t="n"/>
      <c r="FHS93" s="240" t="n"/>
      <c r="FHT93" s="240" t="n"/>
      <c r="FHV93" s="15" t="n"/>
      <c r="FHW93" s="15" t="n"/>
      <c r="FHX93" s="248" t="n"/>
      <c r="FHY93" s="248" t="n"/>
      <c r="FHZ93" s="240" t="n"/>
      <c r="FIA93" s="240" t="n"/>
      <c r="FIC93" s="15" t="n"/>
      <c r="FID93" s="15" t="n"/>
      <c r="FIE93" s="248" t="n"/>
      <c r="FIF93" s="248" t="n"/>
      <c r="FIG93" s="240" t="n"/>
      <c r="FIH93" s="240" t="n"/>
      <c r="FIJ93" s="15" t="n"/>
      <c r="FIK93" s="15" t="n"/>
      <c r="FIL93" s="248" t="n"/>
      <c r="FIM93" s="248" t="n"/>
      <c r="FIN93" s="240" t="n"/>
      <c r="FIO93" s="240" t="n"/>
      <c r="FIQ93" s="15" t="n"/>
      <c r="FIR93" s="15" t="n"/>
      <c r="FIS93" s="248" t="n"/>
      <c r="FIT93" s="248" t="n"/>
      <c r="FIU93" s="240" t="n"/>
      <c r="FIV93" s="240" t="n"/>
      <c r="FIX93" s="15" t="n"/>
      <c r="FIY93" s="15" t="n"/>
      <c r="FIZ93" s="248" t="n"/>
      <c r="FJA93" s="248" t="n"/>
      <c r="FJB93" s="240" t="n"/>
      <c r="FJC93" s="240" t="n"/>
      <c r="FJE93" s="15" t="n"/>
      <c r="FJF93" s="15" t="n"/>
      <c r="FJG93" s="248" t="n"/>
      <c r="FJH93" s="248" t="n"/>
      <c r="FJI93" s="240" t="n"/>
      <c r="FJJ93" s="240" t="n"/>
      <c r="FJL93" s="15" t="n"/>
      <c r="FJM93" s="15" t="n"/>
      <c r="FJN93" s="248" t="n"/>
      <c r="FJO93" s="248" t="n"/>
      <c r="FJP93" s="240" t="n"/>
      <c r="FJQ93" s="240" t="n"/>
      <c r="FJS93" s="15" t="n"/>
      <c r="FJT93" s="15" t="n"/>
      <c r="FJU93" s="248" t="n"/>
      <c r="FJV93" s="248" t="n"/>
      <c r="FJW93" s="240" t="n"/>
      <c r="FJX93" s="240" t="n"/>
      <c r="FJZ93" s="15" t="n"/>
      <c r="FKA93" s="15" t="n"/>
      <c r="FKB93" s="248" t="n"/>
      <c r="FKC93" s="248" t="n"/>
      <c r="FKD93" s="240" t="n"/>
      <c r="FKE93" s="240" t="n"/>
      <c r="FKG93" s="15" t="n"/>
      <c r="FKH93" s="15" t="n"/>
      <c r="FKI93" s="248" t="n"/>
      <c r="FKJ93" s="248" t="n"/>
      <c r="FKK93" s="240" t="n"/>
      <c r="FKL93" s="240" t="n"/>
      <c r="FKN93" s="15" t="n"/>
      <c r="FKO93" s="15" t="n"/>
      <c r="FKP93" s="248" t="n"/>
      <c r="FKQ93" s="248" t="n"/>
      <c r="FKR93" s="240" t="n"/>
      <c r="FKS93" s="240" t="n"/>
      <c r="FKU93" s="15" t="n"/>
      <c r="FKV93" s="15" t="n"/>
      <c r="FKW93" s="248" t="n"/>
      <c r="FKX93" s="248" t="n"/>
      <c r="FKY93" s="240" t="n"/>
      <c r="FKZ93" s="240" t="n"/>
      <c r="FLB93" s="15" t="n"/>
      <c r="FLC93" s="15" t="n"/>
      <c r="FLD93" s="248" t="n"/>
      <c r="FLE93" s="248" t="n"/>
      <c r="FLF93" s="240" t="n"/>
      <c r="FLG93" s="240" t="n"/>
      <c r="FLI93" s="15" t="n"/>
      <c r="FLJ93" s="15" t="n"/>
      <c r="FLK93" s="248" t="n"/>
      <c r="FLL93" s="248" t="n"/>
      <c r="FLM93" s="240" t="n"/>
      <c r="FLN93" s="240" t="n"/>
      <c r="FLP93" s="15" t="n"/>
      <c r="FLQ93" s="15" t="n"/>
      <c r="FLR93" s="248" t="n"/>
      <c r="FLS93" s="248" t="n"/>
      <c r="FLT93" s="240" t="n"/>
      <c r="FLU93" s="240" t="n"/>
      <c r="FLW93" s="15" t="n"/>
      <c r="FLX93" s="15" t="n"/>
      <c r="FLY93" s="248" t="n"/>
      <c r="FLZ93" s="248" t="n"/>
      <c r="FMA93" s="240" t="n"/>
      <c r="FMB93" s="240" t="n"/>
      <c r="FMD93" s="15" t="n"/>
      <c r="FME93" s="15" t="n"/>
      <c r="FMF93" s="248" t="n"/>
      <c r="FMG93" s="248" t="n"/>
      <c r="FMH93" s="240" t="n"/>
      <c r="FMI93" s="240" t="n"/>
      <c r="FMK93" s="15" t="n"/>
      <c r="FML93" s="15" t="n"/>
      <c r="FMM93" s="248" t="n"/>
      <c r="FMN93" s="248" t="n"/>
      <c r="FMO93" s="240" t="n"/>
      <c r="FMP93" s="240" t="n"/>
      <c r="FMR93" s="15" t="n"/>
      <c r="FMS93" s="15" t="n"/>
      <c r="FMT93" s="248" t="n"/>
      <c r="FMU93" s="248" t="n"/>
      <c r="FMV93" s="240" t="n"/>
      <c r="FMW93" s="240" t="n"/>
      <c r="FMY93" s="15" t="n"/>
      <c r="FMZ93" s="15" t="n"/>
      <c r="FNA93" s="248" t="n"/>
      <c r="FNB93" s="248" t="n"/>
      <c r="FNC93" s="240" t="n"/>
      <c r="FND93" s="240" t="n"/>
      <c r="FNF93" s="15" t="n"/>
      <c r="FNG93" s="15" t="n"/>
      <c r="FNH93" s="248" t="n"/>
      <c r="FNI93" s="248" t="n"/>
      <c r="FNJ93" s="240" t="n"/>
      <c r="FNK93" s="240" t="n"/>
      <c r="FNM93" s="15" t="n"/>
      <c r="FNN93" s="15" t="n"/>
      <c r="FNO93" s="248" t="n"/>
      <c r="FNP93" s="248" t="n"/>
      <c r="FNQ93" s="240" t="n"/>
      <c r="FNR93" s="240" t="n"/>
      <c r="FNT93" s="15" t="n"/>
      <c r="FNU93" s="15" t="n"/>
      <c r="FNV93" s="248" t="n"/>
      <c r="FNW93" s="248" t="n"/>
      <c r="FNX93" s="240" t="n"/>
      <c r="FNY93" s="240" t="n"/>
      <c r="FOA93" s="15" t="n"/>
      <c r="FOB93" s="15" t="n"/>
      <c r="FOC93" s="248" t="n"/>
      <c r="FOD93" s="248" t="n"/>
      <c r="FOE93" s="240" t="n"/>
      <c r="FOF93" s="240" t="n"/>
      <c r="FOH93" s="15" t="n"/>
      <c r="FOI93" s="15" t="n"/>
      <c r="FOJ93" s="248" t="n"/>
      <c r="FOK93" s="248" t="n"/>
      <c r="FOL93" s="240" t="n"/>
      <c r="FOM93" s="240" t="n"/>
      <c r="FOO93" s="15" t="n"/>
      <c r="FOP93" s="15" t="n"/>
      <c r="FOQ93" s="248" t="n"/>
      <c r="FOR93" s="248" t="n"/>
      <c r="FOS93" s="240" t="n"/>
      <c r="FOT93" s="240" t="n"/>
      <c r="FOV93" s="15" t="n"/>
      <c r="FOW93" s="15" t="n"/>
      <c r="FOX93" s="248" t="n"/>
      <c r="FOY93" s="248" t="n"/>
      <c r="FOZ93" s="240" t="n"/>
      <c r="FPA93" s="240" t="n"/>
      <c r="FPC93" s="15" t="n"/>
      <c r="FPD93" s="15" t="n"/>
      <c r="FPE93" s="248" t="n"/>
      <c r="FPF93" s="248" t="n"/>
      <c r="FPG93" s="240" t="n"/>
      <c r="FPH93" s="240" t="n"/>
      <c r="FPJ93" s="15" t="n"/>
      <c r="FPK93" s="15" t="n"/>
      <c r="FPL93" s="248" t="n"/>
      <c r="FPM93" s="248" t="n"/>
      <c r="FPN93" s="240" t="n"/>
      <c r="FPO93" s="240" t="n"/>
      <c r="FPQ93" s="15" t="n"/>
      <c r="FPR93" s="15" t="n"/>
      <c r="FPS93" s="248" t="n"/>
      <c r="FPT93" s="248" t="n"/>
      <c r="FPU93" s="240" t="n"/>
      <c r="FPV93" s="240" t="n"/>
      <c r="FPX93" s="15" t="n"/>
      <c r="FPY93" s="15" t="n"/>
      <c r="FPZ93" s="248" t="n"/>
      <c r="FQA93" s="248" t="n"/>
      <c r="FQB93" s="240" t="n"/>
      <c r="FQC93" s="240" t="n"/>
      <c r="FQE93" s="15" t="n"/>
      <c r="FQF93" s="15" t="n"/>
      <c r="FQG93" s="248" t="n"/>
      <c r="FQH93" s="248" t="n"/>
      <c r="FQI93" s="240" t="n"/>
      <c r="FQJ93" s="240" t="n"/>
      <c r="FQL93" s="15" t="n"/>
      <c r="FQM93" s="15" t="n"/>
      <c r="FQN93" s="248" t="n"/>
      <c r="FQO93" s="248" t="n"/>
      <c r="FQP93" s="240" t="n"/>
      <c r="FQQ93" s="240" t="n"/>
      <c r="FQS93" s="15" t="n"/>
      <c r="FQT93" s="15" t="n"/>
      <c r="FQU93" s="248" t="n"/>
      <c r="FQV93" s="248" t="n"/>
      <c r="FQW93" s="240" t="n"/>
      <c r="FQX93" s="240" t="n"/>
      <c r="FQZ93" s="15" t="n"/>
      <c r="FRA93" s="15" t="n"/>
      <c r="FRB93" s="248" t="n"/>
      <c r="FRC93" s="248" t="n"/>
      <c r="FRD93" s="240" t="n"/>
      <c r="FRE93" s="240" t="n"/>
      <c r="FRG93" s="15" t="n"/>
      <c r="FRH93" s="15" t="n"/>
      <c r="FRI93" s="248" t="n"/>
      <c r="FRJ93" s="248" t="n"/>
      <c r="FRK93" s="240" t="n"/>
      <c r="FRL93" s="240" t="n"/>
      <c r="FRN93" s="15" t="n"/>
      <c r="FRO93" s="15" t="n"/>
      <c r="FRP93" s="248" t="n"/>
      <c r="FRQ93" s="248" t="n"/>
      <c r="FRR93" s="240" t="n"/>
      <c r="FRS93" s="240" t="n"/>
      <c r="FRU93" s="15" t="n"/>
      <c r="FRV93" s="15" t="n"/>
      <c r="FRW93" s="248" t="n"/>
      <c r="FRX93" s="248" t="n"/>
      <c r="FRY93" s="240" t="n"/>
      <c r="FRZ93" s="240" t="n"/>
      <c r="FSB93" s="15" t="n"/>
      <c r="FSC93" s="15" t="n"/>
      <c r="FSD93" s="248" t="n"/>
      <c r="FSE93" s="248" t="n"/>
      <c r="FSF93" s="240" t="n"/>
      <c r="FSG93" s="240" t="n"/>
      <c r="FSI93" s="15" t="n"/>
      <c r="FSJ93" s="15" t="n"/>
      <c r="FSK93" s="248" t="n"/>
      <c r="FSL93" s="248" t="n"/>
      <c r="FSM93" s="240" t="n"/>
      <c r="FSN93" s="240" t="n"/>
      <c r="FSP93" s="15" t="n"/>
      <c r="FSQ93" s="15" t="n"/>
      <c r="FSR93" s="248" t="n"/>
      <c r="FSS93" s="248" t="n"/>
      <c r="FST93" s="240" t="n"/>
      <c r="FSU93" s="240" t="n"/>
      <c r="FSW93" s="15" t="n"/>
      <c r="FSX93" s="15" t="n"/>
      <c r="FSY93" s="248" t="n"/>
      <c r="FSZ93" s="248" t="n"/>
      <c r="FTA93" s="240" t="n"/>
      <c r="FTB93" s="240" t="n"/>
      <c r="FTD93" s="15" t="n"/>
      <c r="FTE93" s="15" t="n"/>
      <c r="FTF93" s="248" t="n"/>
      <c r="FTG93" s="248" t="n"/>
      <c r="FTH93" s="240" t="n"/>
      <c r="FTI93" s="240" t="n"/>
      <c r="FTK93" s="15" t="n"/>
      <c r="FTL93" s="15" t="n"/>
      <c r="FTM93" s="248" t="n"/>
      <c r="FTN93" s="248" t="n"/>
      <c r="FTO93" s="240" t="n"/>
      <c r="FTP93" s="240" t="n"/>
      <c r="FTR93" s="15" t="n"/>
      <c r="FTS93" s="15" t="n"/>
      <c r="FTT93" s="248" t="n"/>
      <c r="FTU93" s="248" t="n"/>
      <c r="FTV93" s="240" t="n"/>
      <c r="FTW93" s="240" t="n"/>
      <c r="FTY93" s="15" t="n"/>
      <c r="FTZ93" s="15" t="n"/>
      <c r="FUA93" s="248" t="n"/>
      <c r="FUB93" s="248" t="n"/>
      <c r="FUC93" s="240" t="n"/>
      <c r="FUD93" s="240" t="n"/>
      <c r="FUF93" s="15" t="n"/>
      <c r="FUG93" s="15" t="n"/>
      <c r="FUH93" s="248" t="n"/>
      <c r="FUI93" s="248" t="n"/>
      <c r="FUJ93" s="240" t="n"/>
      <c r="FUK93" s="240" t="n"/>
      <c r="FUM93" s="15" t="n"/>
      <c r="FUN93" s="15" t="n"/>
      <c r="FUO93" s="248" t="n"/>
      <c r="FUP93" s="248" t="n"/>
      <c r="FUQ93" s="240" t="n"/>
      <c r="FUR93" s="240" t="n"/>
      <c r="FUT93" s="15" t="n"/>
      <c r="FUU93" s="15" t="n"/>
      <c r="FUV93" s="248" t="n"/>
      <c r="FUW93" s="248" t="n"/>
      <c r="FUX93" s="240" t="n"/>
      <c r="FUY93" s="240" t="n"/>
      <c r="FVA93" s="15" t="n"/>
      <c r="FVB93" s="15" t="n"/>
      <c r="FVC93" s="248" t="n"/>
      <c r="FVD93" s="248" t="n"/>
      <c r="FVE93" s="240" t="n"/>
      <c r="FVF93" s="240" t="n"/>
      <c r="FVH93" s="15" t="n"/>
      <c r="FVI93" s="15" t="n"/>
      <c r="FVJ93" s="248" t="n"/>
      <c r="FVK93" s="248" t="n"/>
      <c r="FVL93" s="240" t="n"/>
      <c r="FVM93" s="240" t="n"/>
      <c r="FVO93" s="15" t="n"/>
      <c r="FVP93" s="15" t="n"/>
      <c r="FVQ93" s="248" t="n"/>
      <c r="FVR93" s="248" t="n"/>
      <c r="FVS93" s="240" t="n"/>
      <c r="FVT93" s="240" t="n"/>
      <c r="FVV93" s="15" t="n"/>
      <c r="FVW93" s="15" t="n"/>
      <c r="FVX93" s="248" t="n"/>
      <c r="FVY93" s="248" t="n"/>
      <c r="FVZ93" s="240" t="n"/>
      <c r="FWA93" s="240" t="n"/>
      <c r="FWC93" s="15" t="n"/>
      <c r="FWD93" s="15" t="n"/>
      <c r="FWE93" s="248" t="n"/>
      <c r="FWF93" s="248" t="n"/>
      <c r="FWG93" s="240" t="n"/>
      <c r="FWH93" s="240" t="n"/>
      <c r="FWJ93" s="15" t="n"/>
      <c r="FWK93" s="15" t="n"/>
      <c r="FWL93" s="248" t="n"/>
      <c r="FWM93" s="248" t="n"/>
      <c r="FWN93" s="240" t="n"/>
      <c r="FWO93" s="240" t="n"/>
      <c r="FWQ93" s="15" t="n"/>
      <c r="FWR93" s="15" t="n"/>
      <c r="FWS93" s="248" t="n"/>
      <c r="FWT93" s="248" t="n"/>
      <c r="FWU93" s="240" t="n"/>
      <c r="FWV93" s="240" t="n"/>
      <c r="FWX93" s="15" t="n"/>
      <c r="FWY93" s="15" t="n"/>
      <c r="FWZ93" s="248" t="n"/>
      <c r="FXA93" s="248" t="n"/>
      <c r="FXB93" s="240" t="n"/>
      <c r="FXC93" s="240" t="n"/>
      <c r="FXE93" s="15" t="n"/>
      <c r="FXF93" s="15" t="n"/>
      <c r="FXG93" s="248" t="n"/>
      <c r="FXH93" s="248" t="n"/>
      <c r="FXI93" s="240" t="n"/>
      <c r="FXJ93" s="240" t="n"/>
      <c r="FXL93" s="15" t="n"/>
      <c r="FXM93" s="15" t="n"/>
      <c r="FXN93" s="248" t="n"/>
      <c r="FXO93" s="248" t="n"/>
      <c r="FXP93" s="240" t="n"/>
      <c r="FXQ93" s="240" t="n"/>
      <c r="FXS93" s="15" t="n"/>
      <c r="FXT93" s="15" t="n"/>
      <c r="FXU93" s="248" t="n"/>
      <c r="FXV93" s="248" t="n"/>
      <c r="FXW93" s="240" t="n"/>
      <c r="FXX93" s="240" t="n"/>
      <c r="FXZ93" s="15" t="n"/>
      <c r="FYA93" s="15" t="n"/>
      <c r="FYB93" s="248" t="n"/>
      <c r="FYC93" s="248" t="n"/>
      <c r="FYD93" s="240" t="n"/>
      <c r="FYE93" s="240" t="n"/>
      <c r="FYG93" s="15" t="n"/>
      <c r="FYH93" s="15" t="n"/>
      <c r="FYI93" s="248" t="n"/>
      <c r="FYJ93" s="248" t="n"/>
      <c r="FYK93" s="240" t="n"/>
      <c r="FYL93" s="240" t="n"/>
      <c r="FYN93" s="15" t="n"/>
      <c r="FYO93" s="15" t="n"/>
      <c r="FYP93" s="248" t="n"/>
      <c r="FYQ93" s="248" t="n"/>
      <c r="FYR93" s="240" t="n"/>
      <c r="FYS93" s="240" t="n"/>
      <c r="FYU93" s="15" t="n"/>
      <c r="FYV93" s="15" t="n"/>
      <c r="FYW93" s="248" t="n"/>
      <c r="FYX93" s="248" t="n"/>
      <c r="FYY93" s="240" t="n"/>
      <c r="FYZ93" s="240" t="n"/>
      <c r="FZB93" s="15" t="n"/>
      <c r="FZC93" s="15" t="n"/>
      <c r="FZD93" s="248" t="n"/>
      <c r="FZE93" s="248" t="n"/>
      <c r="FZF93" s="240" t="n"/>
      <c r="FZG93" s="240" t="n"/>
      <c r="FZI93" s="15" t="n"/>
      <c r="FZJ93" s="15" t="n"/>
      <c r="FZK93" s="248" t="n"/>
      <c r="FZL93" s="248" t="n"/>
      <c r="FZM93" s="240" t="n"/>
      <c r="FZN93" s="240" t="n"/>
      <c r="FZP93" s="15" t="n"/>
      <c r="FZQ93" s="15" t="n"/>
      <c r="FZR93" s="248" t="n"/>
      <c r="FZS93" s="248" t="n"/>
      <c r="FZT93" s="240" t="n"/>
      <c r="FZU93" s="240" t="n"/>
      <c r="FZW93" s="15" t="n"/>
      <c r="FZX93" s="15" t="n"/>
      <c r="FZY93" s="248" t="n"/>
      <c r="FZZ93" s="248" t="n"/>
      <c r="GAA93" s="240" t="n"/>
      <c r="GAB93" s="240" t="n"/>
      <c r="GAD93" s="15" t="n"/>
      <c r="GAE93" s="15" t="n"/>
      <c r="GAF93" s="248" t="n"/>
      <c r="GAG93" s="248" t="n"/>
      <c r="GAH93" s="240" t="n"/>
      <c r="GAI93" s="240" t="n"/>
      <c r="GAK93" s="15" t="n"/>
      <c r="GAL93" s="15" t="n"/>
      <c r="GAM93" s="248" t="n"/>
      <c r="GAN93" s="248" t="n"/>
      <c r="GAO93" s="240" t="n"/>
      <c r="GAP93" s="240" t="n"/>
      <c r="GAR93" s="15" t="n"/>
      <c r="GAS93" s="15" t="n"/>
      <c r="GAT93" s="248" t="n"/>
      <c r="GAU93" s="248" t="n"/>
      <c r="GAV93" s="240" t="n"/>
      <c r="GAW93" s="240" t="n"/>
      <c r="GAY93" s="15" t="n"/>
      <c r="GAZ93" s="15" t="n"/>
      <c r="GBA93" s="248" t="n"/>
      <c r="GBB93" s="248" t="n"/>
      <c r="GBC93" s="240" t="n"/>
      <c r="GBD93" s="240" t="n"/>
      <c r="GBF93" s="15" t="n"/>
      <c r="GBG93" s="15" t="n"/>
      <c r="GBH93" s="248" t="n"/>
      <c r="GBI93" s="248" t="n"/>
      <c r="GBJ93" s="240" t="n"/>
      <c r="GBK93" s="240" t="n"/>
      <c r="GBM93" s="15" t="n"/>
      <c r="GBN93" s="15" t="n"/>
      <c r="GBO93" s="248" t="n"/>
      <c r="GBP93" s="248" t="n"/>
      <c r="GBQ93" s="240" t="n"/>
      <c r="GBR93" s="240" t="n"/>
      <c r="GBT93" s="15" t="n"/>
      <c r="GBU93" s="15" t="n"/>
      <c r="GBV93" s="248" t="n"/>
      <c r="GBW93" s="248" t="n"/>
      <c r="GBX93" s="240" t="n"/>
      <c r="GBY93" s="240" t="n"/>
      <c r="GCA93" s="15" t="n"/>
      <c r="GCB93" s="15" t="n"/>
      <c r="GCC93" s="248" t="n"/>
      <c r="GCD93" s="248" t="n"/>
      <c r="GCE93" s="240" t="n"/>
      <c r="GCF93" s="240" t="n"/>
      <c r="GCH93" s="15" t="n"/>
      <c r="GCI93" s="15" t="n"/>
      <c r="GCJ93" s="248" t="n"/>
      <c r="GCK93" s="248" t="n"/>
      <c r="GCL93" s="240" t="n"/>
      <c r="GCM93" s="240" t="n"/>
      <c r="GCO93" s="15" t="n"/>
      <c r="GCP93" s="15" t="n"/>
      <c r="GCQ93" s="248" t="n"/>
      <c r="GCR93" s="248" t="n"/>
      <c r="GCS93" s="240" t="n"/>
      <c r="GCT93" s="240" t="n"/>
      <c r="GCV93" s="15" t="n"/>
      <c r="GCW93" s="15" t="n"/>
      <c r="GCX93" s="248" t="n"/>
      <c r="GCY93" s="248" t="n"/>
      <c r="GCZ93" s="240" t="n"/>
      <c r="GDA93" s="240" t="n"/>
      <c r="GDC93" s="15" t="n"/>
      <c r="GDD93" s="15" t="n"/>
      <c r="GDE93" s="248" t="n"/>
      <c r="GDF93" s="248" t="n"/>
      <c r="GDG93" s="240" t="n"/>
      <c r="GDH93" s="240" t="n"/>
      <c r="GDJ93" s="15" t="n"/>
      <c r="GDK93" s="15" t="n"/>
      <c r="GDL93" s="248" t="n"/>
      <c r="GDM93" s="248" t="n"/>
      <c r="GDN93" s="240" t="n"/>
      <c r="GDO93" s="240" t="n"/>
      <c r="GDQ93" s="15" t="n"/>
      <c r="GDR93" s="15" t="n"/>
      <c r="GDS93" s="248" t="n"/>
      <c r="GDT93" s="248" t="n"/>
      <c r="GDU93" s="240" t="n"/>
      <c r="GDV93" s="240" t="n"/>
      <c r="GDX93" s="15" t="n"/>
      <c r="GDY93" s="15" t="n"/>
      <c r="GDZ93" s="248" t="n"/>
      <c r="GEA93" s="248" t="n"/>
      <c r="GEB93" s="240" t="n"/>
      <c r="GEC93" s="240" t="n"/>
      <c r="GEE93" s="15" t="n"/>
      <c r="GEF93" s="15" t="n"/>
      <c r="GEG93" s="248" t="n"/>
      <c r="GEH93" s="248" t="n"/>
      <c r="GEI93" s="240" t="n"/>
      <c r="GEJ93" s="240" t="n"/>
      <c r="GEL93" s="15" t="n"/>
      <c r="GEM93" s="15" t="n"/>
      <c r="GEN93" s="248" t="n"/>
      <c r="GEO93" s="248" t="n"/>
      <c r="GEP93" s="240" t="n"/>
      <c r="GEQ93" s="240" t="n"/>
      <c r="GES93" s="15" t="n"/>
      <c r="GET93" s="15" t="n"/>
      <c r="GEU93" s="248" t="n"/>
      <c r="GEV93" s="248" t="n"/>
      <c r="GEW93" s="240" t="n"/>
      <c r="GEX93" s="240" t="n"/>
      <c r="GEZ93" s="15" t="n"/>
      <c r="GFA93" s="15" t="n"/>
      <c r="GFB93" s="248" t="n"/>
      <c r="GFC93" s="248" t="n"/>
      <c r="GFD93" s="240" t="n"/>
      <c r="GFE93" s="240" t="n"/>
      <c r="GFG93" s="15" t="n"/>
      <c r="GFH93" s="15" t="n"/>
      <c r="GFI93" s="248" t="n"/>
      <c r="GFJ93" s="248" t="n"/>
      <c r="GFK93" s="240" t="n"/>
      <c r="GFL93" s="240" t="n"/>
      <c r="GFN93" s="15" t="n"/>
      <c r="GFO93" s="15" t="n"/>
      <c r="GFP93" s="248" t="n"/>
      <c r="GFQ93" s="248" t="n"/>
      <c r="GFR93" s="240" t="n"/>
      <c r="GFS93" s="240" t="n"/>
      <c r="GFU93" s="15" t="n"/>
      <c r="GFV93" s="15" t="n"/>
      <c r="GFW93" s="248" t="n"/>
      <c r="GFX93" s="248" t="n"/>
      <c r="GFY93" s="240" t="n"/>
      <c r="GFZ93" s="240" t="n"/>
      <c r="GGB93" s="15" t="n"/>
      <c r="GGC93" s="15" t="n"/>
      <c r="GGD93" s="248" t="n"/>
      <c r="GGE93" s="248" t="n"/>
      <c r="GGF93" s="240" t="n"/>
      <c r="GGG93" s="240" t="n"/>
      <c r="GGI93" s="15" t="n"/>
      <c r="GGJ93" s="15" t="n"/>
      <c r="GGK93" s="248" t="n"/>
      <c r="GGL93" s="248" t="n"/>
      <c r="GGM93" s="240" t="n"/>
      <c r="GGN93" s="240" t="n"/>
      <c r="GGP93" s="15" t="n"/>
      <c r="GGQ93" s="15" t="n"/>
      <c r="GGR93" s="248" t="n"/>
      <c r="GGS93" s="248" t="n"/>
      <c r="GGT93" s="240" t="n"/>
      <c r="GGU93" s="240" t="n"/>
      <c r="GGW93" s="15" t="n"/>
      <c r="GGX93" s="15" t="n"/>
      <c r="GGY93" s="248" t="n"/>
      <c r="GGZ93" s="248" t="n"/>
      <c r="GHA93" s="240" t="n"/>
      <c r="GHB93" s="240" t="n"/>
      <c r="GHD93" s="15" t="n"/>
      <c r="GHE93" s="15" t="n"/>
      <c r="GHF93" s="248" t="n"/>
      <c r="GHG93" s="248" t="n"/>
      <c r="GHH93" s="240" t="n"/>
      <c r="GHI93" s="240" t="n"/>
      <c r="GHK93" s="15" t="n"/>
      <c r="GHL93" s="15" t="n"/>
      <c r="GHM93" s="248" t="n"/>
      <c r="GHN93" s="248" t="n"/>
      <c r="GHO93" s="240" t="n"/>
      <c r="GHP93" s="240" t="n"/>
      <c r="GHR93" s="15" t="n"/>
      <c r="GHS93" s="15" t="n"/>
      <c r="GHT93" s="248" t="n"/>
      <c r="GHU93" s="248" t="n"/>
      <c r="GHV93" s="240" t="n"/>
      <c r="GHW93" s="240" t="n"/>
      <c r="GHY93" s="15" t="n"/>
      <c r="GHZ93" s="15" t="n"/>
      <c r="GIA93" s="248" t="n"/>
      <c r="GIB93" s="248" t="n"/>
      <c r="GIC93" s="240" t="n"/>
      <c r="GID93" s="240" t="n"/>
      <c r="GIF93" s="15" t="n"/>
      <c r="GIG93" s="15" t="n"/>
      <c r="GIH93" s="248" t="n"/>
      <c r="GII93" s="248" t="n"/>
      <c r="GIJ93" s="240" t="n"/>
      <c r="GIK93" s="240" t="n"/>
      <c r="GIM93" s="15" t="n"/>
      <c r="GIN93" s="15" t="n"/>
      <c r="GIO93" s="248" t="n"/>
      <c r="GIP93" s="248" t="n"/>
      <c r="GIQ93" s="240" t="n"/>
      <c r="GIR93" s="240" t="n"/>
      <c r="GIT93" s="15" t="n"/>
      <c r="GIU93" s="15" t="n"/>
      <c r="GIV93" s="248" t="n"/>
      <c r="GIW93" s="248" t="n"/>
      <c r="GIX93" s="240" t="n"/>
      <c r="GIY93" s="240" t="n"/>
      <c r="GJA93" s="15" t="n"/>
      <c r="GJB93" s="15" t="n"/>
      <c r="GJC93" s="248" t="n"/>
      <c r="GJD93" s="248" t="n"/>
      <c r="GJE93" s="240" t="n"/>
      <c r="GJF93" s="240" t="n"/>
      <c r="GJH93" s="15" t="n"/>
      <c r="GJI93" s="15" t="n"/>
      <c r="GJJ93" s="248" t="n"/>
      <c r="GJK93" s="248" t="n"/>
      <c r="GJL93" s="240" t="n"/>
      <c r="GJM93" s="240" t="n"/>
      <c r="GJO93" s="15" t="n"/>
      <c r="GJP93" s="15" t="n"/>
      <c r="GJQ93" s="248" t="n"/>
      <c r="GJR93" s="248" t="n"/>
      <c r="GJS93" s="240" t="n"/>
      <c r="GJT93" s="240" t="n"/>
      <c r="GJV93" s="15" t="n"/>
      <c r="GJW93" s="15" t="n"/>
      <c r="GJX93" s="248" t="n"/>
      <c r="GJY93" s="248" t="n"/>
      <c r="GJZ93" s="240" t="n"/>
      <c r="GKA93" s="240" t="n"/>
      <c r="GKC93" s="15" t="n"/>
      <c r="GKD93" s="15" t="n"/>
      <c r="GKE93" s="248" t="n"/>
      <c r="GKF93" s="248" t="n"/>
      <c r="GKG93" s="240" t="n"/>
      <c r="GKH93" s="240" t="n"/>
      <c r="GKJ93" s="15" t="n"/>
      <c r="GKK93" s="15" t="n"/>
      <c r="GKL93" s="248" t="n"/>
      <c r="GKM93" s="248" t="n"/>
      <c r="GKN93" s="240" t="n"/>
      <c r="GKO93" s="240" t="n"/>
      <c r="GKQ93" s="15" t="n"/>
      <c r="GKR93" s="15" t="n"/>
      <c r="GKS93" s="248" t="n"/>
      <c r="GKT93" s="248" t="n"/>
      <c r="GKU93" s="240" t="n"/>
      <c r="GKV93" s="240" t="n"/>
      <c r="GKX93" s="15" t="n"/>
      <c r="GKY93" s="15" t="n"/>
      <c r="GKZ93" s="248" t="n"/>
      <c r="GLA93" s="248" t="n"/>
      <c r="GLB93" s="240" t="n"/>
      <c r="GLC93" s="240" t="n"/>
      <c r="GLE93" s="15" t="n"/>
      <c r="GLF93" s="15" t="n"/>
      <c r="GLG93" s="248" t="n"/>
      <c r="GLH93" s="248" t="n"/>
      <c r="GLI93" s="240" t="n"/>
      <c r="GLJ93" s="240" t="n"/>
      <c r="GLL93" s="15" t="n"/>
      <c r="GLM93" s="15" t="n"/>
      <c r="GLN93" s="248" t="n"/>
      <c r="GLO93" s="248" t="n"/>
      <c r="GLP93" s="240" t="n"/>
      <c r="GLQ93" s="240" t="n"/>
      <c r="GLS93" s="15" t="n"/>
      <c r="GLT93" s="15" t="n"/>
      <c r="GLU93" s="248" t="n"/>
      <c r="GLV93" s="248" t="n"/>
      <c r="GLW93" s="240" t="n"/>
      <c r="GLX93" s="240" t="n"/>
      <c r="GLZ93" s="15" t="n"/>
      <c r="GMA93" s="15" t="n"/>
      <c r="GMB93" s="248" t="n"/>
      <c r="GMC93" s="248" t="n"/>
      <c r="GMD93" s="240" t="n"/>
      <c r="GME93" s="240" t="n"/>
      <c r="GMG93" s="15" t="n"/>
      <c r="GMH93" s="15" t="n"/>
      <c r="GMI93" s="248" t="n"/>
      <c r="GMJ93" s="248" t="n"/>
      <c r="GMK93" s="240" t="n"/>
      <c r="GML93" s="240" t="n"/>
      <c r="GMN93" s="15" t="n"/>
      <c r="GMO93" s="15" t="n"/>
      <c r="GMP93" s="248" t="n"/>
      <c r="GMQ93" s="248" t="n"/>
      <c r="GMR93" s="240" t="n"/>
      <c r="GMS93" s="240" t="n"/>
      <c r="GMU93" s="15" t="n"/>
      <c r="GMV93" s="15" t="n"/>
      <c r="GMW93" s="248" t="n"/>
      <c r="GMX93" s="248" t="n"/>
      <c r="GMY93" s="240" t="n"/>
      <c r="GMZ93" s="240" t="n"/>
      <c r="GNB93" s="15" t="n"/>
      <c r="GNC93" s="15" t="n"/>
      <c r="GND93" s="248" t="n"/>
      <c r="GNE93" s="248" t="n"/>
      <c r="GNF93" s="240" t="n"/>
      <c r="GNG93" s="240" t="n"/>
      <c r="GNI93" s="15" t="n"/>
      <c r="GNJ93" s="15" t="n"/>
      <c r="GNK93" s="248" t="n"/>
      <c r="GNL93" s="248" t="n"/>
      <c r="GNM93" s="240" t="n"/>
      <c r="GNN93" s="240" t="n"/>
      <c r="GNP93" s="15" t="n"/>
      <c r="GNQ93" s="15" t="n"/>
      <c r="GNR93" s="248" t="n"/>
      <c r="GNS93" s="248" t="n"/>
      <c r="GNT93" s="240" t="n"/>
      <c r="GNU93" s="240" t="n"/>
      <c r="GNW93" s="15" t="n"/>
      <c r="GNX93" s="15" t="n"/>
      <c r="GNY93" s="248" t="n"/>
      <c r="GNZ93" s="248" t="n"/>
      <c r="GOA93" s="240" t="n"/>
      <c r="GOB93" s="240" t="n"/>
      <c r="GOD93" s="15" t="n"/>
      <c r="GOE93" s="15" t="n"/>
      <c r="GOF93" s="248" t="n"/>
      <c r="GOG93" s="248" t="n"/>
      <c r="GOH93" s="240" t="n"/>
      <c r="GOI93" s="240" t="n"/>
      <c r="GOK93" s="15" t="n"/>
      <c r="GOL93" s="15" t="n"/>
      <c r="GOM93" s="248" t="n"/>
      <c r="GON93" s="248" t="n"/>
      <c r="GOO93" s="240" t="n"/>
      <c r="GOP93" s="240" t="n"/>
      <c r="GOR93" s="15" t="n"/>
      <c r="GOS93" s="15" t="n"/>
      <c r="GOT93" s="248" t="n"/>
      <c r="GOU93" s="248" t="n"/>
      <c r="GOV93" s="240" t="n"/>
      <c r="GOW93" s="240" t="n"/>
      <c r="GOY93" s="15" t="n"/>
      <c r="GOZ93" s="15" t="n"/>
      <c r="GPA93" s="248" t="n"/>
      <c r="GPB93" s="248" t="n"/>
      <c r="GPC93" s="240" t="n"/>
      <c r="GPD93" s="240" t="n"/>
      <c r="GPF93" s="15" t="n"/>
      <c r="GPG93" s="15" t="n"/>
      <c r="GPH93" s="248" t="n"/>
      <c r="GPI93" s="248" t="n"/>
      <c r="GPJ93" s="240" t="n"/>
      <c r="GPK93" s="240" t="n"/>
      <c r="GPM93" s="15" t="n"/>
      <c r="GPN93" s="15" t="n"/>
      <c r="GPO93" s="248" t="n"/>
      <c r="GPP93" s="248" t="n"/>
      <c r="GPQ93" s="240" t="n"/>
      <c r="GPR93" s="240" t="n"/>
      <c r="GPT93" s="15" t="n"/>
      <c r="GPU93" s="15" t="n"/>
      <c r="GPV93" s="248" t="n"/>
      <c r="GPW93" s="248" t="n"/>
      <c r="GPX93" s="240" t="n"/>
      <c r="GPY93" s="240" t="n"/>
      <c r="GQA93" s="15" t="n"/>
      <c r="GQB93" s="15" t="n"/>
      <c r="GQC93" s="248" t="n"/>
      <c r="GQD93" s="248" t="n"/>
      <c r="GQE93" s="240" t="n"/>
      <c r="GQF93" s="240" t="n"/>
      <c r="GQH93" s="15" t="n"/>
      <c r="GQI93" s="15" t="n"/>
      <c r="GQJ93" s="248" t="n"/>
      <c r="GQK93" s="248" t="n"/>
      <c r="GQL93" s="240" t="n"/>
      <c r="GQM93" s="240" t="n"/>
      <c r="GQO93" s="15" t="n"/>
      <c r="GQP93" s="15" t="n"/>
      <c r="GQQ93" s="248" t="n"/>
      <c r="GQR93" s="248" t="n"/>
      <c r="GQS93" s="240" t="n"/>
      <c r="GQT93" s="240" t="n"/>
      <c r="GQV93" s="15" t="n"/>
      <c r="GQW93" s="15" t="n"/>
      <c r="GQX93" s="248" t="n"/>
      <c r="GQY93" s="248" t="n"/>
      <c r="GQZ93" s="240" t="n"/>
      <c r="GRA93" s="240" t="n"/>
      <c r="GRC93" s="15" t="n"/>
      <c r="GRD93" s="15" t="n"/>
      <c r="GRE93" s="248" t="n"/>
      <c r="GRF93" s="248" t="n"/>
      <c r="GRG93" s="240" t="n"/>
      <c r="GRH93" s="240" t="n"/>
      <c r="GRJ93" s="15" t="n"/>
      <c r="GRK93" s="15" t="n"/>
      <c r="GRL93" s="248" t="n"/>
      <c r="GRM93" s="248" t="n"/>
      <c r="GRN93" s="240" t="n"/>
      <c r="GRO93" s="240" t="n"/>
      <c r="GRQ93" s="15" t="n"/>
      <c r="GRR93" s="15" t="n"/>
      <c r="GRS93" s="248" t="n"/>
      <c r="GRT93" s="248" t="n"/>
      <c r="GRU93" s="240" t="n"/>
      <c r="GRV93" s="240" t="n"/>
      <c r="GRX93" s="15" t="n"/>
      <c r="GRY93" s="15" t="n"/>
      <c r="GRZ93" s="248" t="n"/>
      <c r="GSA93" s="248" t="n"/>
      <c r="GSB93" s="240" t="n"/>
      <c r="GSC93" s="240" t="n"/>
      <c r="GSE93" s="15" t="n"/>
      <c r="GSF93" s="15" t="n"/>
      <c r="GSG93" s="248" t="n"/>
      <c r="GSH93" s="248" t="n"/>
      <c r="GSI93" s="240" t="n"/>
      <c r="GSJ93" s="240" t="n"/>
      <c r="GSL93" s="15" t="n"/>
      <c r="GSM93" s="15" t="n"/>
      <c r="GSN93" s="248" t="n"/>
      <c r="GSO93" s="248" t="n"/>
      <c r="GSP93" s="240" t="n"/>
      <c r="GSQ93" s="240" t="n"/>
      <c r="GSS93" s="15" t="n"/>
      <c r="GST93" s="15" t="n"/>
      <c r="GSU93" s="248" t="n"/>
      <c r="GSV93" s="248" t="n"/>
      <c r="GSW93" s="240" t="n"/>
      <c r="GSX93" s="240" t="n"/>
      <c r="GSZ93" s="15" t="n"/>
      <c r="GTA93" s="15" t="n"/>
      <c r="GTB93" s="248" t="n"/>
      <c r="GTC93" s="248" t="n"/>
      <c r="GTD93" s="240" t="n"/>
      <c r="GTE93" s="240" t="n"/>
      <c r="GTG93" s="15" t="n"/>
      <c r="GTH93" s="15" t="n"/>
      <c r="GTI93" s="248" t="n"/>
      <c r="GTJ93" s="248" t="n"/>
      <c r="GTK93" s="240" t="n"/>
      <c r="GTL93" s="240" t="n"/>
      <c r="GTN93" s="15" t="n"/>
      <c r="GTO93" s="15" t="n"/>
      <c r="GTP93" s="248" t="n"/>
      <c r="GTQ93" s="248" t="n"/>
      <c r="GTR93" s="240" t="n"/>
      <c r="GTS93" s="240" t="n"/>
      <c r="GTU93" s="15" t="n"/>
      <c r="GTV93" s="15" t="n"/>
      <c r="GTW93" s="248" t="n"/>
      <c r="GTX93" s="248" t="n"/>
      <c r="GTY93" s="240" t="n"/>
      <c r="GTZ93" s="240" t="n"/>
      <c r="GUB93" s="15" t="n"/>
      <c r="GUC93" s="15" t="n"/>
      <c r="GUD93" s="248" t="n"/>
      <c r="GUE93" s="248" t="n"/>
      <c r="GUF93" s="240" t="n"/>
      <c r="GUG93" s="240" t="n"/>
      <c r="GUI93" s="15" t="n"/>
      <c r="GUJ93" s="15" t="n"/>
      <c r="GUK93" s="248" t="n"/>
      <c r="GUL93" s="248" t="n"/>
      <c r="GUM93" s="240" t="n"/>
      <c r="GUN93" s="240" t="n"/>
      <c r="GUP93" s="15" t="n"/>
      <c r="GUQ93" s="15" t="n"/>
      <c r="GUR93" s="248" t="n"/>
      <c r="GUS93" s="248" t="n"/>
      <c r="GUT93" s="240" t="n"/>
      <c r="GUU93" s="240" t="n"/>
      <c r="GUW93" s="15" t="n"/>
      <c r="GUX93" s="15" t="n"/>
      <c r="GUY93" s="248" t="n"/>
      <c r="GUZ93" s="248" t="n"/>
      <c r="GVA93" s="240" t="n"/>
      <c r="GVB93" s="240" t="n"/>
      <c r="GVD93" s="15" t="n"/>
      <c r="GVE93" s="15" t="n"/>
      <c r="GVF93" s="248" t="n"/>
      <c r="GVG93" s="248" t="n"/>
      <c r="GVH93" s="240" t="n"/>
      <c r="GVI93" s="240" t="n"/>
      <c r="GVK93" s="15" t="n"/>
      <c r="GVL93" s="15" t="n"/>
      <c r="GVM93" s="248" t="n"/>
      <c r="GVN93" s="248" t="n"/>
      <c r="GVO93" s="240" t="n"/>
      <c r="GVP93" s="240" t="n"/>
      <c r="GVR93" s="15" t="n"/>
      <c r="GVS93" s="15" t="n"/>
      <c r="GVT93" s="248" t="n"/>
      <c r="GVU93" s="248" t="n"/>
      <c r="GVV93" s="240" t="n"/>
      <c r="GVW93" s="240" t="n"/>
      <c r="GVY93" s="15" t="n"/>
      <c r="GVZ93" s="15" t="n"/>
      <c r="GWA93" s="248" t="n"/>
      <c r="GWB93" s="248" t="n"/>
      <c r="GWC93" s="240" t="n"/>
      <c r="GWD93" s="240" t="n"/>
      <c r="GWF93" s="15" t="n"/>
      <c r="GWG93" s="15" t="n"/>
      <c r="GWH93" s="248" t="n"/>
      <c r="GWI93" s="248" t="n"/>
      <c r="GWJ93" s="240" t="n"/>
      <c r="GWK93" s="240" t="n"/>
      <c r="GWM93" s="15" t="n"/>
      <c r="GWN93" s="15" t="n"/>
      <c r="GWO93" s="248" t="n"/>
      <c r="GWP93" s="248" t="n"/>
      <c r="GWQ93" s="240" t="n"/>
      <c r="GWR93" s="240" t="n"/>
      <c r="GWT93" s="15" t="n"/>
      <c r="GWU93" s="15" t="n"/>
      <c r="GWV93" s="248" t="n"/>
      <c r="GWW93" s="248" t="n"/>
      <c r="GWX93" s="240" t="n"/>
      <c r="GWY93" s="240" t="n"/>
      <c r="GXA93" s="15" t="n"/>
      <c r="GXB93" s="15" t="n"/>
      <c r="GXC93" s="248" t="n"/>
      <c r="GXD93" s="248" t="n"/>
      <c r="GXE93" s="240" t="n"/>
      <c r="GXF93" s="240" t="n"/>
      <c r="GXH93" s="15" t="n"/>
      <c r="GXI93" s="15" t="n"/>
      <c r="GXJ93" s="248" t="n"/>
      <c r="GXK93" s="248" t="n"/>
      <c r="GXL93" s="240" t="n"/>
      <c r="GXM93" s="240" t="n"/>
      <c r="GXO93" s="15" t="n"/>
      <c r="GXP93" s="15" t="n"/>
      <c r="GXQ93" s="248" t="n"/>
      <c r="GXR93" s="248" t="n"/>
      <c r="GXS93" s="240" t="n"/>
      <c r="GXT93" s="240" t="n"/>
      <c r="GXV93" s="15" t="n"/>
      <c r="GXW93" s="15" t="n"/>
      <c r="GXX93" s="248" t="n"/>
      <c r="GXY93" s="248" t="n"/>
      <c r="GXZ93" s="240" t="n"/>
      <c r="GYA93" s="240" t="n"/>
      <c r="GYC93" s="15" t="n"/>
      <c r="GYD93" s="15" t="n"/>
      <c r="GYE93" s="248" t="n"/>
      <c r="GYF93" s="248" t="n"/>
      <c r="GYG93" s="240" t="n"/>
      <c r="GYH93" s="240" t="n"/>
      <c r="GYJ93" s="15" t="n"/>
      <c r="GYK93" s="15" t="n"/>
      <c r="GYL93" s="248" t="n"/>
      <c r="GYM93" s="248" t="n"/>
      <c r="GYN93" s="240" t="n"/>
      <c r="GYO93" s="240" t="n"/>
      <c r="GYQ93" s="15" t="n"/>
      <c r="GYR93" s="15" t="n"/>
      <c r="GYS93" s="248" t="n"/>
      <c r="GYT93" s="248" t="n"/>
      <c r="GYU93" s="240" t="n"/>
      <c r="GYV93" s="240" t="n"/>
      <c r="GYX93" s="15" t="n"/>
      <c r="GYY93" s="15" t="n"/>
      <c r="GYZ93" s="248" t="n"/>
      <c r="GZA93" s="248" t="n"/>
      <c r="GZB93" s="240" t="n"/>
      <c r="GZC93" s="240" t="n"/>
      <c r="GZE93" s="15" t="n"/>
      <c r="GZF93" s="15" t="n"/>
      <c r="GZG93" s="248" t="n"/>
      <c r="GZH93" s="248" t="n"/>
      <c r="GZI93" s="240" t="n"/>
      <c r="GZJ93" s="240" t="n"/>
      <c r="GZL93" s="15" t="n"/>
      <c r="GZM93" s="15" t="n"/>
      <c r="GZN93" s="248" t="n"/>
      <c r="GZO93" s="248" t="n"/>
      <c r="GZP93" s="240" t="n"/>
      <c r="GZQ93" s="240" t="n"/>
      <c r="GZS93" s="15" t="n"/>
      <c r="GZT93" s="15" t="n"/>
      <c r="GZU93" s="248" t="n"/>
      <c r="GZV93" s="248" t="n"/>
      <c r="GZW93" s="240" t="n"/>
      <c r="GZX93" s="240" t="n"/>
      <c r="GZZ93" s="15" t="n"/>
      <c r="HAA93" s="15" t="n"/>
      <c r="HAB93" s="248" t="n"/>
      <c r="HAC93" s="248" t="n"/>
      <c r="HAD93" s="240" t="n"/>
      <c r="HAE93" s="240" t="n"/>
      <c r="HAG93" s="15" t="n"/>
      <c r="HAH93" s="15" t="n"/>
      <c r="HAI93" s="248" t="n"/>
      <c r="HAJ93" s="248" t="n"/>
      <c r="HAK93" s="240" t="n"/>
      <c r="HAL93" s="240" t="n"/>
      <c r="HAN93" s="15" t="n"/>
      <c r="HAO93" s="15" t="n"/>
      <c r="HAP93" s="248" t="n"/>
      <c r="HAQ93" s="248" t="n"/>
      <c r="HAR93" s="240" t="n"/>
      <c r="HAS93" s="240" t="n"/>
      <c r="HAU93" s="15" t="n"/>
      <c r="HAV93" s="15" t="n"/>
      <c r="HAW93" s="248" t="n"/>
      <c r="HAX93" s="248" t="n"/>
      <c r="HAY93" s="240" t="n"/>
      <c r="HAZ93" s="240" t="n"/>
      <c r="HBB93" s="15" t="n"/>
      <c r="HBC93" s="15" t="n"/>
      <c r="HBD93" s="248" t="n"/>
      <c r="HBE93" s="248" t="n"/>
      <c r="HBF93" s="240" t="n"/>
      <c r="HBG93" s="240" t="n"/>
      <c r="HBI93" s="15" t="n"/>
      <c r="HBJ93" s="15" t="n"/>
      <c r="HBK93" s="248" t="n"/>
      <c r="HBL93" s="248" t="n"/>
      <c r="HBM93" s="240" t="n"/>
      <c r="HBN93" s="240" t="n"/>
      <c r="HBP93" s="15" t="n"/>
      <c r="HBQ93" s="15" t="n"/>
      <c r="HBR93" s="248" t="n"/>
      <c r="HBS93" s="248" t="n"/>
      <c r="HBT93" s="240" t="n"/>
      <c r="HBU93" s="240" t="n"/>
      <c r="HBW93" s="15" t="n"/>
      <c r="HBX93" s="15" t="n"/>
      <c r="HBY93" s="248" t="n"/>
      <c r="HBZ93" s="248" t="n"/>
      <c r="HCA93" s="240" t="n"/>
      <c r="HCB93" s="240" t="n"/>
      <c r="HCD93" s="15" t="n"/>
      <c r="HCE93" s="15" t="n"/>
      <c r="HCF93" s="248" t="n"/>
      <c r="HCG93" s="248" t="n"/>
      <c r="HCH93" s="240" t="n"/>
      <c r="HCI93" s="240" t="n"/>
      <c r="HCK93" s="15" t="n"/>
      <c r="HCL93" s="15" t="n"/>
      <c r="HCM93" s="248" t="n"/>
      <c r="HCN93" s="248" t="n"/>
      <c r="HCO93" s="240" t="n"/>
      <c r="HCP93" s="240" t="n"/>
      <c r="HCR93" s="15" t="n"/>
      <c r="HCS93" s="15" t="n"/>
      <c r="HCT93" s="248" t="n"/>
      <c r="HCU93" s="248" t="n"/>
      <c r="HCV93" s="240" t="n"/>
      <c r="HCW93" s="240" t="n"/>
      <c r="HCY93" s="15" t="n"/>
      <c r="HCZ93" s="15" t="n"/>
      <c r="HDA93" s="248" t="n"/>
      <c r="HDB93" s="248" t="n"/>
      <c r="HDC93" s="240" t="n"/>
      <c r="HDD93" s="240" t="n"/>
      <c r="HDF93" s="15" t="n"/>
      <c r="HDG93" s="15" t="n"/>
      <c r="HDH93" s="248" t="n"/>
      <c r="HDI93" s="248" t="n"/>
      <c r="HDJ93" s="240" t="n"/>
      <c r="HDK93" s="240" t="n"/>
      <c r="HDM93" s="15" t="n"/>
      <c r="HDN93" s="15" t="n"/>
      <c r="HDO93" s="248" t="n"/>
      <c r="HDP93" s="248" t="n"/>
      <c r="HDQ93" s="240" t="n"/>
      <c r="HDR93" s="240" t="n"/>
      <c r="HDT93" s="15" t="n"/>
      <c r="HDU93" s="15" t="n"/>
      <c r="HDV93" s="248" t="n"/>
      <c r="HDW93" s="248" t="n"/>
      <c r="HDX93" s="240" t="n"/>
      <c r="HDY93" s="240" t="n"/>
      <c r="HEA93" s="15" t="n"/>
      <c r="HEB93" s="15" t="n"/>
      <c r="HEC93" s="248" t="n"/>
      <c r="HED93" s="248" t="n"/>
      <c r="HEE93" s="240" t="n"/>
      <c r="HEF93" s="240" t="n"/>
      <c r="HEH93" s="15" t="n"/>
      <c r="HEI93" s="15" t="n"/>
      <c r="HEJ93" s="248" t="n"/>
      <c r="HEK93" s="248" t="n"/>
      <c r="HEL93" s="240" t="n"/>
      <c r="HEM93" s="240" t="n"/>
      <c r="HEO93" s="15" t="n"/>
      <c r="HEP93" s="15" t="n"/>
      <c r="HEQ93" s="248" t="n"/>
      <c r="HER93" s="248" t="n"/>
      <c r="HES93" s="240" t="n"/>
      <c r="HET93" s="240" t="n"/>
      <c r="HEV93" s="15" t="n"/>
      <c r="HEW93" s="15" t="n"/>
      <c r="HEX93" s="248" t="n"/>
      <c r="HEY93" s="248" t="n"/>
      <c r="HEZ93" s="240" t="n"/>
      <c r="HFA93" s="240" t="n"/>
      <c r="HFC93" s="15" t="n"/>
      <c r="HFD93" s="15" t="n"/>
      <c r="HFE93" s="248" t="n"/>
      <c r="HFF93" s="248" t="n"/>
      <c r="HFG93" s="240" t="n"/>
      <c r="HFH93" s="240" t="n"/>
      <c r="HFJ93" s="15" t="n"/>
      <c r="HFK93" s="15" t="n"/>
      <c r="HFL93" s="248" t="n"/>
      <c r="HFM93" s="248" t="n"/>
      <c r="HFN93" s="240" t="n"/>
      <c r="HFO93" s="240" t="n"/>
      <c r="HFQ93" s="15" t="n"/>
      <c r="HFR93" s="15" t="n"/>
      <c r="HFS93" s="248" t="n"/>
      <c r="HFT93" s="248" t="n"/>
      <c r="HFU93" s="240" t="n"/>
      <c r="HFV93" s="240" t="n"/>
      <c r="HFX93" s="15" t="n"/>
      <c r="HFY93" s="15" t="n"/>
      <c r="HFZ93" s="248" t="n"/>
      <c r="HGA93" s="248" t="n"/>
      <c r="HGB93" s="240" t="n"/>
      <c r="HGC93" s="240" t="n"/>
      <c r="HGE93" s="15" t="n"/>
      <c r="HGF93" s="15" t="n"/>
      <c r="HGG93" s="248" t="n"/>
      <c r="HGH93" s="248" t="n"/>
      <c r="HGI93" s="240" t="n"/>
      <c r="HGJ93" s="240" t="n"/>
      <c r="HGL93" s="15" t="n"/>
      <c r="HGM93" s="15" t="n"/>
      <c r="HGN93" s="248" t="n"/>
      <c r="HGO93" s="248" t="n"/>
      <c r="HGP93" s="240" t="n"/>
      <c r="HGQ93" s="240" t="n"/>
      <c r="HGS93" s="15" t="n"/>
      <c r="HGT93" s="15" t="n"/>
      <c r="HGU93" s="248" t="n"/>
      <c r="HGV93" s="248" t="n"/>
      <c r="HGW93" s="240" t="n"/>
      <c r="HGX93" s="240" t="n"/>
      <c r="HGZ93" s="15" t="n"/>
      <c r="HHA93" s="15" t="n"/>
      <c r="HHB93" s="248" t="n"/>
      <c r="HHC93" s="248" t="n"/>
      <c r="HHD93" s="240" t="n"/>
      <c r="HHE93" s="240" t="n"/>
      <c r="HHG93" s="15" t="n"/>
      <c r="HHH93" s="15" t="n"/>
      <c r="HHI93" s="248" t="n"/>
      <c r="HHJ93" s="248" t="n"/>
      <c r="HHK93" s="240" t="n"/>
      <c r="HHL93" s="240" t="n"/>
      <c r="HHN93" s="15" t="n"/>
      <c r="HHO93" s="15" t="n"/>
      <c r="HHP93" s="248" t="n"/>
      <c r="HHQ93" s="248" t="n"/>
      <c r="HHR93" s="240" t="n"/>
      <c r="HHS93" s="240" t="n"/>
      <c r="HHU93" s="15" t="n"/>
      <c r="HHV93" s="15" t="n"/>
      <c r="HHW93" s="248" t="n"/>
      <c r="HHX93" s="248" t="n"/>
      <c r="HHY93" s="240" t="n"/>
      <c r="HHZ93" s="240" t="n"/>
      <c r="HIB93" s="15" t="n"/>
      <c r="HIC93" s="15" t="n"/>
      <c r="HID93" s="248" t="n"/>
      <c r="HIE93" s="248" t="n"/>
      <c r="HIF93" s="240" t="n"/>
      <c r="HIG93" s="240" t="n"/>
      <c r="HII93" s="15" t="n"/>
      <c r="HIJ93" s="15" t="n"/>
      <c r="HIK93" s="248" t="n"/>
      <c r="HIL93" s="248" t="n"/>
      <c r="HIM93" s="240" t="n"/>
      <c r="HIN93" s="240" t="n"/>
      <c r="HIP93" s="15" t="n"/>
      <c r="HIQ93" s="15" t="n"/>
      <c r="HIR93" s="248" t="n"/>
      <c r="HIS93" s="248" t="n"/>
      <c r="HIT93" s="240" t="n"/>
      <c r="HIU93" s="240" t="n"/>
      <c r="HIW93" s="15" t="n"/>
      <c r="HIX93" s="15" t="n"/>
      <c r="HIY93" s="248" t="n"/>
      <c r="HIZ93" s="248" t="n"/>
      <c r="HJA93" s="240" t="n"/>
      <c r="HJB93" s="240" t="n"/>
      <c r="HJD93" s="15" t="n"/>
      <c r="HJE93" s="15" t="n"/>
      <c r="HJF93" s="248" t="n"/>
      <c r="HJG93" s="248" t="n"/>
      <c r="HJH93" s="240" t="n"/>
      <c r="HJI93" s="240" t="n"/>
      <c r="HJK93" s="15" t="n"/>
      <c r="HJL93" s="15" t="n"/>
      <c r="HJM93" s="248" t="n"/>
      <c r="HJN93" s="248" t="n"/>
      <c r="HJO93" s="240" t="n"/>
      <c r="HJP93" s="240" t="n"/>
      <c r="HJR93" s="15" t="n"/>
      <c r="HJS93" s="15" t="n"/>
      <c r="HJT93" s="248" t="n"/>
      <c r="HJU93" s="248" t="n"/>
      <c r="HJV93" s="240" t="n"/>
      <c r="HJW93" s="240" t="n"/>
      <c r="HJY93" s="15" t="n"/>
      <c r="HJZ93" s="15" t="n"/>
      <c r="HKA93" s="248" t="n"/>
      <c r="HKB93" s="248" t="n"/>
      <c r="HKC93" s="240" t="n"/>
      <c r="HKD93" s="240" t="n"/>
      <c r="HKF93" s="15" t="n"/>
      <c r="HKG93" s="15" t="n"/>
      <c r="HKH93" s="248" t="n"/>
      <c r="HKI93" s="248" t="n"/>
      <c r="HKJ93" s="240" t="n"/>
      <c r="HKK93" s="240" t="n"/>
      <c r="HKM93" s="15" t="n"/>
      <c r="HKN93" s="15" t="n"/>
      <c r="HKO93" s="248" t="n"/>
      <c r="HKP93" s="248" t="n"/>
      <c r="HKQ93" s="240" t="n"/>
      <c r="HKR93" s="240" t="n"/>
      <c r="HKT93" s="15" t="n"/>
      <c r="HKU93" s="15" t="n"/>
      <c r="HKV93" s="248" t="n"/>
      <c r="HKW93" s="248" t="n"/>
      <c r="HKX93" s="240" t="n"/>
      <c r="HKY93" s="240" t="n"/>
      <c r="HLA93" s="15" t="n"/>
      <c r="HLB93" s="15" t="n"/>
      <c r="HLC93" s="248" t="n"/>
      <c r="HLD93" s="248" t="n"/>
      <c r="HLE93" s="240" t="n"/>
      <c r="HLF93" s="240" t="n"/>
      <c r="HLH93" s="15" t="n"/>
      <c r="HLI93" s="15" t="n"/>
      <c r="HLJ93" s="248" t="n"/>
      <c r="HLK93" s="248" t="n"/>
      <c r="HLL93" s="240" t="n"/>
      <c r="HLM93" s="240" t="n"/>
      <c r="HLO93" s="15" t="n"/>
      <c r="HLP93" s="15" t="n"/>
      <c r="HLQ93" s="248" t="n"/>
      <c r="HLR93" s="248" t="n"/>
      <c r="HLS93" s="240" t="n"/>
      <c r="HLT93" s="240" t="n"/>
      <c r="HLV93" s="15" t="n"/>
      <c r="HLW93" s="15" t="n"/>
      <c r="HLX93" s="248" t="n"/>
      <c r="HLY93" s="248" t="n"/>
      <c r="HLZ93" s="240" t="n"/>
      <c r="HMA93" s="240" t="n"/>
      <c r="HMC93" s="15" t="n"/>
      <c r="HMD93" s="15" t="n"/>
      <c r="HME93" s="248" t="n"/>
      <c r="HMF93" s="248" t="n"/>
      <c r="HMG93" s="240" t="n"/>
      <c r="HMH93" s="240" t="n"/>
      <c r="HMJ93" s="15" t="n"/>
      <c r="HMK93" s="15" t="n"/>
      <c r="HML93" s="248" t="n"/>
      <c r="HMM93" s="248" t="n"/>
      <c r="HMN93" s="240" t="n"/>
      <c r="HMO93" s="240" t="n"/>
      <c r="HMQ93" s="15" t="n"/>
      <c r="HMR93" s="15" t="n"/>
      <c r="HMS93" s="248" t="n"/>
      <c r="HMT93" s="248" t="n"/>
      <c r="HMU93" s="240" t="n"/>
      <c r="HMV93" s="240" t="n"/>
      <c r="HMX93" s="15" t="n"/>
      <c r="HMY93" s="15" t="n"/>
      <c r="HMZ93" s="248" t="n"/>
      <c r="HNA93" s="248" t="n"/>
      <c r="HNB93" s="240" t="n"/>
      <c r="HNC93" s="240" t="n"/>
      <c r="HNE93" s="15" t="n"/>
      <c r="HNF93" s="15" t="n"/>
      <c r="HNG93" s="248" t="n"/>
      <c r="HNH93" s="248" t="n"/>
      <c r="HNI93" s="240" t="n"/>
      <c r="HNJ93" s="240" t="n"/>
      <c r="HNL93" s="15" t="n"/>
      <c r="HNM93" s="15" t="n"/>
      <c r="HNN93" s="248" t="n"/>
      <c r="HNO93" s="248" t="n"/>
      <c r="HNP93" s="240" t="n"/>
      <c r="HNQ93" s="240" t="n"/>
      <c r="HNS93" s="15" t="n"/>
      <c r="HNT93" s="15" t="n"/>
      <c r="HNU93" s="248" t="n"/>
      <c r="HNV93" s="248" t="n"/>
      <c r="HNW93" s="240" t="n"/>
      <c r="HNX93" s="240" t="n"/>
      <c r="HNZ93" s="15" t="n"/>
      <c r="HOA93" s="15" t="n"/>
      <c r="HOB93" s="248" t="n"/>
      <c r="HOC93" s="248" t="n"/>
      <c r="HOD93" s="240" t="n"/>
      <c r="HOE93" s="240" t="n"/>
      <c r="HOG93" s="15" t="n"/>
      <c r="HOH93" s="15" t="n"/>
      <c r="HOI93" s="248" t="n"/>
      <c r="HOJ93" s="248" t="n"/>
      <c r="HOK93" s="240" t="n"/>
      <c r="HOL93" s="240" t="n"/>
      <c r="HON93" s="15" t="n"/>
      <c r="HOO93" s="15" t="n"/>
      <c r="HOP93" s="248" t="n"/>
      <c r="HOQ93" s="248" t="n"/>
      <c r="HOR93" s="240" t="n"/>
      <c r="HOS93" s="240" t="n"/>
      <c r="HOU93" s="15" t="n"/>
      <c r="HOV93" s="15" t="n"/>
      <c r="HOW93" s="248" t="n"/>
      <c r="HOX93" s="248" t="n"/>
      <c r="HOY93" s="240" t="n"/>
      <c r="HOZ93" s="240" t="n"/>
      <c r="HPB93" s="15" t="n"/>
      <c r="HPC93" s="15" t="n"/>
      <c r="HPD93" s="248" t="n"/>
      <c r="HPE93" s="248" t="n"/>
      <c r="HPF93" s="240" t="n"/>
      <c r="HPG93" s="240" t="n"/>
      <c r="HPI93" s="15" t="n"/>
      <c r="HPJ93" s="15" t="n"/>
      <c r="HPK93" s="248" t="n"/>
      <c r="HPL93" s="248" t="n"/>
      <c r="HPM93" s="240" t="n"/>
      <c r="HPN93" s="240" t="n"/>
      <c r="HPP93" s="15" t="n"/>
      <c r="HPQ93" s="15" t="n"/>
      <c r="HPR93" s="248" t="n"/>
      <c r="HPS93" s="248" t="n"/>
      <c r="HPT93" s="240" t="n"/>
      <c r="HPU93" s="240" t="n"/>
      <c r="HPW93" s="15" t="n"/>
      <c r="HPX93" s="15" t="n"/>
      <c r="HPY93" s="248" t="n"/>
      <c r="HPZ93" s="248" t="n"/>
      <c r="HQA93" s="240" t="n"/>
      <c r="HQB93" s="240" t="n"/>
      <c r="HQD93" s="15" t="n"/>
      <c r="HQE93" s="15" t="n"/>
      <c r="HQF93" s="248" t="n"/>
      <c r="HQG93" s="248" t="n"/>
      <c r="HQH93" s="240" t="n"/>
      <c r="HQI93" s="240" t="n"/>
      <c r="HQK93" s="15" t="n"/>
      <c r="HQL93" s="15" t="n"/>
      <c r="HQM93" s="248" t="n"/>
      <c r="HQN93" s="248" t="n"/>
      <c r="HQO93" s="240" t="n"/>
      <c r="HQP93" s="240" t="n"/>
      <c r="HQR93" s="15" t="n"/>
      <c r="HQS93" s="15" t="n"/>
      <c r="HQT93" s="248" t="n"/>
      <c r="HQU93" s="248" t="n"/>
      <c r="HQV93" s="240" t="n"/>
      <c r="HQW93" s="240" t="n"/>
      <c r="HQY93" s="15" t="n"/>
      <c r="HQZ93" s="15" t="n"/>
      <c r="HRA93" s="248" t="n"/>
      <c r="HRB93" s="248" t="n"/>
      <c r="HRC93" s="240" t="n"/>
      <c r="HRD93" s="240" t="n"/>
      <c r="HRF93" s="15" t="n"/>
      <c r="HRG93" s="15" t="n"/>
      <c r="HRH93" s="248" t="n"/>
      <c r="HRI93" s="248" t="n"/>
      <c r="HRJ93" s="240" t="n"/>
      <c r="HRK93" s="240" t="n"/>
      <c r="HRM93" s="15" t="n"/>
      <c r="HRN93" s="15" t="n"/>
      <c r="HRO93" s="248" t="n"/>
      <c r="HRP93" s="248" t="n"/>
      <c r="HRQ93" s="240" t="n"/>
      <c r="HRR93" s="240" t="n"/>
      <c r="HRT93" s="15" t="n"/>
      <c r="HRU93" s="15" t="n"/>
      <c r="HRV93" s="248" t="n"/>
      <c r="HRW93" s="248" t="n"/>
      <c r="HRX93" s="240" t="n"/>
      <c r="HRY93" s="240" t="n"/>
      <c r="HSA93" s="15" t="n"/>
      <c r="HSB93" s="15" t="n"/>
      <c r="HSC93" s="248" t="n"/>
      <c r="HSD93" s="248" t="n"/>
      <c r="HSE93" s="240" t="n"/>
      <c r="HSF93" s="240" t="n"/>
      <c r="HSH93" s="15" t="n"/>
      <c r="HSI93" s="15" t="n"/>
      <c r="HSJ93" s="248" t="n"/>
      <c r="HSK93" s="248" t="n"/>
      <c r="HSL93" s="240" t="n"/>
      <c r="HSM93" s="240" t="n"/>
      <c r="HSO93" s="15" t="n"/>
      <c r="HSP93" s="15" t="n"/>
      <c r="HSQ93" s="248" t="n"/>
      <c r="HSR93" s="248" t="n"/>
      <c r="HSS93" s="240" t="n"/>
      <c r="HST93" s="240" t="n"/>
      <c r="HSV93" s="15" t="n"/>
      <c r="HSW93" s="15" t="n"/>
      <c r="HSX93" s="248" t="n"/>
      <c r="HSY93" s="248" t="n"/>
      <c r="HSZ93" s="240" t="n"/>
      <c r="HTA93" s="240" t="n"/>
      <c r="HTC93" s="15" t="n"/>
      <c r="HTD93" s="15" t="n"/>
      <c r="HTE93" s="248" t="n"/>
      <c r="HTF93" s="248" t="n"/>
      <c r="HTG93" s="240" t="n"/>
      <c r="HTH93" s="240" t="n"/>
      <c r="HTJ93" s="15" t="n"/>
      <c r="HTK93" s="15" t="n"/>
      <c r="HTL93" s="248" t="n"/>
      <c r="HTM93" s="248" t="n"/>
      <c r="HTN93" s="240" t="n"/>
      <c r="HTO93" s="240" t="n"/>
      <c r="HTQ93" s="15" t="n"/>
      <c r="HTR93" s="15" t="n"/>
      <c r="HTS93" s="248" t="n"/>
      <c r="HTT93" s="248" t="n"/>
      <c r="HTU93" s="240" t="n"/>
      <c r="HTV93" s="240" t="n"/>
      <c r="HTX93" s="15" t="n"/>
      <c r="HTY93" s="15" t="n"/>
      <c r="HTZ93" s="248" t="n"/>
      <c r="HUA93" s="248" t="n"/>
      <c r="HUB93" s="240" t="n"/>
      <c r="HUC93" s="240" t="n"/>
      <c r="HUE93" s="15" t="n"/>
      <c r="HUF93" s="15" t="n"/>
      <c r="HUG93" s="248" t="n"/>
      <c r="HUH93" s="248" t="n"/>
      <c r="HUI93" s="240" t="n"/>
      <c r="HUJ93" s="240" t="n"/>
      <c r="HUL93" s="15" t="n"/>
      <c r="HUM93" s="15" t="n"/>
      <c r="HUN93" s="248" t="n"/>
      <c r="HUO93" s="248" t="n"/>
      <c r="HUP93" s="240" t="n"/>
      <c r="HUQ93" s="240" t="n"/>
      <c r="HUS93" s="15" t="n"/>
      <c r="HUT93" s="15" t="n"/>
      <c r="HUU93" s="248" t="n"/>
      <c r="HUV93" s="248" t="n"/>
      <c r="HUW93" s="240" t="n"/>
      <c r="HUX93" s="240" t="n"/>
      <c r="HUZ93" s="15" t="n"/>
      <c r="HVA93" s="15" t="n"/>
      <c r="HVB93" s="248" t="n"/>
      <c r="HVC93" s="248" t="n"/>
      <c r="HVD93" s="240" t="n"/>
      <c r="HVE93" s="240" t="n"/>
      <c r="HVG93" s="15" t="n"/>
      <c r="HVH93" s="15" t="n"/>
      <c r="HVI93" s="248" t="n"/>
      <c r="HVJ93" s="248" t="n"/>
      <c r="HVK93" s="240" t="n"/>
      <c r="HVL93" s="240" t="n"/>
      <c r="HVN93" s="15" t="n"/>
      <c r="HVO93" s="15" t="n"/>
      <c r="HVP93" s="248" t="n"/>
      <c r="HVQ93" s="248" t="n"/>
      <c r="HVR93" s="240" t="n"/>
      <c r="HVS93" s="240" t="n"/>
      <c r="HVU93" s="15" t="n"/>
      <c r="HVV93" s="15" t="n"/>
      <c r="HVW93" s="248" t="n"/>
      <c r="HVX93" s="248" t="n"/>
      <c r="HVY93" s="240" t="n"/>
      <c r="HVZ93" s="240" t="n"/>
      <c r="HWB93" s="15" t="n"/>
      <c r="HWC93" s="15" t="n"/>
      <c r="HWD93" s="248" t="n"/>
      <c r="HWE93" s="248" t="n"/>
      <c r="HWF93" s="240" t="n"/>
      <c r="HWG93" s="240" t="n"/>
      <c r="HWI93" s="15" t="n"/>
      <c r="HWJ93" s="15" t="n"/>
      <c r="HWK93" s="248" t="n"/>
      <c r="HWL93" s="248" t="n"/>
      <c r="HWM93" s="240" t="n"/>
      <c r="HWN93" s="240" t="n"/>
      <c r="HWP93" s="15" t="n"/>
      <c r="HWQ93" s="15" t="n"/>
      <c r="HWR93" s="248" t="n"/>
      <c r="HWS93" s="248" t="n"/>
      <c r="HWT93" s="240" t="n"/>
      <c r="HWU93" s="240" t="n"/>
      <c r="HWW93" s="15" t="n"/>
      <c r="HWX93" s="15" t="n"/>
      <c r="HWY93" s="248" t="n"/>
      <c r="HWZ93" s="248" t="n"/>
      <c r="HXA93" s="240" t="n"/>
      <c r="HXB93" s="240" t="n"/>
      <c r="HXD93" s="15" t="n"/>
      <c r="HXE93" s="15" t="n"/>
      <c r="HXF93" s="248" t="n"/>
      <c r="HXG93" s="248" t="n"/>
      <c r="HXH93" s="240" t="n"/>
      <c r="HXI93" s="240" t="n"/>
      <c r="HXK93" s="15" t="n"/>
      <c r="HXL93" s="15" t="n"/>
      <c r="HXM93" s="248" t="n"/>
      <c r="HXN93" s="248" t="n"/>
      <c r="HXO93" s="240" t="n"/>
      <c r="HXP93" s="240" t="n"/>
      <c r="HXR93" s="15" t="n"/>
      <c r="HXS93" s="15" t="n"/>
      <c r="HXT93" s="248" t="n"/>
      <c r="HXU93" s="248" t="n"/>
      <c r="HXV93" s="240" t="n"/>
      <c r="HXW93" s="240" t="n"/>
      <c r="HXY93" s="15" t="n"/>
      <c r="HXZ93" s="15" t="n"/>
      <c r="HYA93" s="248" t="n"/>
      <c r="HYB93" s="248" t="n"/>
      <c r="HYC93" s="240" t="n"/>
      <c r="HYD93" s="240" t="n"/>
      <c r="HYF93" s="15" t="n"/>
      <c r="HYG93" s="15" t="n"/>
      <c r="HYH93" s="248" t="n"/>
      <c r="HYI93" s="248" t="n"/>
      <c r="HYJ93" s="240" t="n"/>
      <c r="HYK93" s="240" t="n"/>
      <c r="HYM93" s="15" t="n"/>
      <c r="HYN93" s="15" t="n"/>
      <c r="HYO93" s="248" t="n"/>
      <c r="HYP93" s="248" t="n"/>
      <c r="HYQ93" s="240" t="n"/>
      <c r="HYR93" s="240" t="n"/>
      <c r="HYT93" s="15" t="n"/>
      <c r="HYU93" s="15" t="n"/>
      <c r="HYV93" s="248" t="n"/>
      <c r="HYW93" s="248" t="n"/>
      <c r="HYX93" s="240" t="n"/>
      <c r="HYY93" s="240" t="n"/>
      <c r="HZA93" s="15" t="n"/>
      <c r="HZB93" s="15" t="n"/>
      <c r="HZC93" s="248" t="n"/>
      <c r="HZD93" s="248" t="n"/>
      <c r="HZE93" s="240" t="n"/>
      <c r="HZF93" s="240" t="n"/>
      <c r="HZH93" s="15" t="n"/>
      <c r="HZI93" s="15" t="n"/>
      <c r="HZJ93" s="248" t="n"/>
      <c r="HZK93" s="248" t="n"/>
      <c r="HZL93" s="240" t="n"/>
      <c r="HZM93" s="240" t="n"/>
      <c r="HZO93" s="15" t="n"/>
      <c r="HZP93" s="15" t="n"/>
      <c r="HZQ93" s="248" t="n"/>
      <c r="HZR93" s="248" t="n"/>
      <c r="HZS93" s="240" t="n"/>
      <c r="HZT93" s="240" t="n"/>
      <c r="HZV93" s="15" t="n"/>
      <c r="HZW93" s="15" t="n"/>
      <c r="HZX93" s="248" t="n"/>
      <c r="HZY93" s="248" t="n"/>
      <c r="HZZ93" s="240" t="n"/>
      <c r="IAA93" s="240" t="n"/>
      <c r="IAC93" s="15" t="n"/>
      <c r="IAD93" s="15" t="n"/>
      <c r="IAE93" s="248" t="n"/>
      <c r="IAF93" s="248" t="n"/>
      <c r="IAG93" s="240" t="n"/>
      <c r="IAH93" s="240" t="n"/>
      <c r="IAJ93" s="15" t="n"/>
      <c r="IAK93" s="15" t="n"/>
      <c r="IAL93" s="248" t="n"/>
      <c r="IAM93" s="248" t="n"/>
      <c r="IAN93" s="240" t="n"/>
      <c r="IAO93" s="240" t="n"/>
      <c r="IAQ93" s="15" t="n"/>
      <c r="IAR93" s="15" t="n"/>
      <c r="IAS93" s="248" t="n"/>
      <c r="IAT93" s="248" t="n"/>
      <c r="IAU93" s="240" t="n"/>
      <c r="IAV93" s="240" t="n"/>
      <c r="IAX93" s="15" t="n"/>
      <c r="IAY93" s="15" t="n"/>
      <c r="IAZ93" s="248" t="n"/>
      <c r="IBA93" s="248" t="n"/>
      <c r="IBB93" s="240" t="n"/>
      <c r="IBC93" s="240" t="n"/>
      <c r="IBE93" s="15" t="n"/>
      <c r="IBF93" s="15" t="n"/>
      <c r="IBG93" s="248" t="n"/>
      <c r="IBH93" s="248" t="n"/>
      <c r="IBI93" s="240" t="n"/>
      <c r="IBJ93" s="240" t="n"/>
      <c r="IBL93" s="15" t="n"/>
      <c r="IBM93" s="15" t="n"/>
      <c r="IBN93" s="248" t="n"/>
      <c r="IBO93" s="248" t="n"/>
      <c r="IBP93" s="240" t="n"/>
      <c r="IBQ93" s="240" t="n"/>
      <c r="IBS93" s="15" t="n"/>
      <c r="IBT93" s="15" t="n"/>
      <c r="IBU93" s="248" t="n"/>
      <c r="IBV93" s="248" t="n"/>
      <c r="IBW93" s="240" t="n"/>
      <c r="IBX93" s="240" t="n"/>
      <c r="IBZ93" s="15" t="n"/>
      <c r="ICA93" s="15" t="n"/>
      <c r="ICB93" s="248" t="n"/>
      <c r="ICC93" s="248" t="n"/>
      <c r="ICD93" s="240" t="n"/>
      <c r="ICE93" s="240" t="n"/>
      <c r="ICG93" s="15" t="n"/>
      <c r="ICH93" s="15" t="n"/>
      <c r="ICI93" s="248" t="n"/>
      <c r="ICJ93" s="248" t="n"/>
      <c r="ICK93" s="240" t="n"/>
      <c r="ICL93" s="240" t="n"/>
      <c r="ICN93" s="15" t="n"/>
      <c r="ICO93" s="15" t="n"/>
      <c r="ICP93" s="248" t="n"/>
      <c r="ICQ93" s="248" t="n"/>
      <c r="ICR93" s="240" t="n"/>
      <c r="ICS93" s="240" t="n"/>
      <c r="ICU93" s="15" t="n"/>
      <c r="ICV93" s="15" t="n"/>
      <c r="ICW93" s="248" t="n"/>
      <c r="ICX93" s="248" t="n"/>
      <c r="ICY93" s="240" t="n"/>
      <c r="ICZ93" s="240" t="n"/>
      <c r="IDB93" s="15" t="n"/>
      <c r="IDC93" s="15" t="n"/>
      <c r="IDD93" s="248" t="n"/>
      <c r="IDE93" s="248" t="n"/>
      <c r="IDF93" s="240" t="n"/>
      <c r="IDG93" s="240" t="n"/>
      <c r="IDI93" s="15" t="n"/>
      <c r="IDJ93" s="15" t="n"/>
      <c r="IDK93" s="248" t="n"/>
      <c r="IDL93" s="248" t="n"/>
      <c r="IDM93" s="240" t="n"/>
      <c r="IDN93" s="240" t="n"/>
      <c r="IDP93" s="15" t="n"/>
      <c r="IDQ93" s="15" t="n"/>
      <c r="IDR93" s="248" t="n"/>
      <c r="IDS93" s="248" t="n"/>
      <c r="IDT93" s="240" t="n"/>
      <c r="IDU93" s="240" t="n"/>
      <c r="IDW93" s="15" t="n"/>
      <c r="IDX93" s="15" t="n"/>
      <c r="IDY93" s="248" t="n"/>
      <c r="IDZ93" s="248" t="n"/>
      <c r="IEA93" s="240" t="n"/>
      <c r="IEB93" s="240" t="n"/>
      <c r="IED93" s="15" t="n"/>
      <c r="IEE93" s="15" t="n"/>
      <c r="IEF93" s="248" t="n"/>
      <c r="IEG93" s="248" t="n"/>
      <c r="IEH93" s="240" t="n"/>
      <c r="IEI93" s="240" t="n"/>
      <c r="IEK93" s="15" t="n"/>
      <c r="IEL93" s="15" t="n"/>
      <c r="IEM93" s="248" t="n"/>
      <c r="IEN93" s="248" t="n"/>
      <c r="IEO93" s="240" t="n"/>
      <c r="IEP93" s="240" t="n"/>
      <c r="IER93" s="15" t="n"/>
      <c r="IES93" s="15" t="n"/>
      <c r="IET93" s="248" t="n"/>
      <c r="IEU93" s="248" t="n"/>
      <c r="IEV93" s="240" t="n"/>
      <c r="IEW93" s="240" t="n"/>
      <c r="IEY93" s="15" t="n"/>
      <c r="IEZ93" s="15" t="n"/>
      <c r="IFA93" s="248" t="n"/>
      <c r="IFB93" s="248" t="n"/>
      <c r="IFC93" s="240" t="n"/>
      <c r="IFD93" s="240" t="n"/>
      <c r="IFF93" s="15" t="n"/>
      <c r="IFG93" s="15" t="n"/>
      <c r="IFH93" s="248" t="n"/>
      <c r="IFI93" s="248" t="n"/>
      <c r="IFJ93" s="240" t="n"/>
      <c r="IFK93" s="240" t="n"/>
      <c r="IFM93" s="15" t="n"/>
      <c r="IFN93" s="15" t="n"/>
      <c r="IFO93" s="248" t="n"/>
      <c r="IFP93" s="248" t="n"/>
      <c r="IFQ93" s="240" t="n"/>
      <c r="IFR93" s="240" t="n"/>
      <c r="IFT93" s="15" t="n"/>
      <c r="IFU93" s="15" t="n"/>
      <c r="IFV93" s="248" t="n"/>
      <c r="IFW93" s="248" t="n"/>
      <c r="IFX93" s="240" t="n"/>
      <c r="IFY93" s="240" t="n"/>
      <c r="IGA93" s="15" t="n"/>
      <c r="IGB93" s="15" t="n"/>
      <c r="IGC93" s="248" t="n"/>
      <c r="IGD93" s="248" t="n"/>
      <c r="IGE93" s="240" t="n"/>
      <c r="IGF93" s="240" t="n"/>
      <c r="IGH93" s="15" t="n"/>
      <c r="IGI93" s="15" t="n"/>
      <c r="IGJ93" s="248" t="n"/>
      <c r="IGK93" s="248" t="n"/>
      <c r="IGL93" s="240" t="n"/>
      <c r="IGM93" s="240" t="n"/>
      <c r="IGO93" s="15" t="n"/>
      <c r="IGP93" s="15" t="n"/>
      <c r="IGQ93" s="248" t="n"/>
      <c r="IGR93" s="248" t="n"/>
      <c r="IGS93" s="240" t="n"/>
      <c r="IGT93" s="240" t="n"/>
      <c r="IGV93" s="15" t="n"/>
      <c r="IGW93" s="15" t="n"/>
      <c r="IGX93" s="248" t="n"/>
      <c r="IGY93" s="248" t="n"/>
      <c r="IGZ93" s="240" t="n"/>
      <c r="IHA93" s="240" t="n"/>
      <c r="IHC93" s="15" t="n"/>
      <c r="IHD93" s="15" t="n"/>
      <c r="IHE93" s="248" t="n"/>
      <c r="IHF93" s="248" t="n"/>
      <c r="IHG93" s="240" t="n"/>
      <c r="IHH93" s="240" t="n"/>
      <c r="IHJ93" s="15" t="n"/>
      <c r="IHK93" s="15" t="n"/>
      <c r="IHL93" s="248" t="n"/>
      <c r="IHM93" s="248" t="n"/>
      <c r="IHN93" s="240" t="n"/>
      <c r="IHO93" s="240" t="n"/>
      <c r="IHQ93" s="15" t="n"/>
      <c r="IHR93" s="15" t="n"/>
      <c r="IHS93" s="248" t="n"/>
      <c r="IHT93" s="248" t="n"/>
      <c r="IHU93" s="240" t="n"/>
      <c r="IHV93" s="240" t="n"/>
      <c r="IHX93" s="15" t="n"/>
      <c r="IHY93" s="15" t="n"/>
      <c r="IHZ93" s="248" t="n"/>
      <c r="IIA93" s="248" t="n"/>
      <c r="IIB93" s="240" t="n"/>
      <c r="IIC93" s="240" t="n"/>
      <c r="IIE93" s="15" t="n"/>
      <c r="IIF93" s="15" t="n"/>
      <c r="IIG93" s="248" t="n"/>
      <c r="IIH93" s="248" t="n"/>
      <c r="III93" s="240" t="n"/>
      <c r="IIJ93" s="240" t="n"/>
      <c r="IIL93" s="15" t="n"/>
      <c r="IIM93" s="15" t="n"/>
      <c r="IIN93" s="248" t="n"/>
      <c r="IIO93" s="248" t="n"/>
      <c r="IIP93" s="240" t="n"/>
      <c r="IIQ93" s="240" t="n"/>
      <c r="IIS93" s="15" t="n"/>
      <c r="IIT93" s="15" t="n"/>
      <c r="IIU93" s="248" t="n"/>
      <c r="IIV93" s="248" t="n"/>
      <c r="IIW93" s="240" t="n"/>
      <c r="IIX93" s="240" t="n"/>
      <c r="IIZ93" s="15" t="n"/>
      <c r="IJA93" s="15" t="n"/>
      <c r="IJB93" s="248" t="n"/>
      <c r="IJC93" s="248" t="n"/>
      <c r="IJD93" s="240" t="n"/>
      <c r="IJE93" s="240" t="n"/>
      <c r="IJG93" s="15" t="n"/>
      <c r="IJH93" s="15" t="n"/>
      <c r="IJI93" s="248" t="n"/>
      <c r="IJJ93" s="248" t="n"/>
      <c r="IJK93" s="240" t="n"/>
      <c r="IJL93" s="240" t="n"/>
      <c r="IJN93" s="15" t="n"/>
      <c r="IJO93" s="15" t="n"/>
      <c r="IJP93" s="248" t="n"/>
      <c r="IJQ93" s="248" t="n"/>
      <c r="IJR93" s="240" t="n"/>
      <c r="IJS93" s="240" t="n"/>
      <c r="IJU93" s="15" t="n"/>
      <c r="IJV93" s="15" t="n"/>
      <c r="IJW93" s="248" t="n"/>
      <c r="IJX93" s="248" t="n"/>
      <c r="IJY93" s="240" t="n"/>
      <c r="IJZ93" s="240" t="n"/>
      <c r="IKB93" s="15" t="n"/>
      <c r="IKC93" s="15" t="n"/>
      <c r="IKD93" s="248" t="n"/>
      <c r="IKE93" s="248" t="n"/>
      <c r="IKF93" s="240" t="n"/>
      <c r="IKG93" s="240" t="n"/>
      <c r="IKI93" s="15" t="n"/>
      <c r="IKJ93" s="15" t="n"/>
      <c r="IKK93" s="248" t="n"/>
      <c r="IKL93" s="248" t="n"/>
      <c r="IKM93" s="240" t="n"/>
      <c r="IKN93" s="240" t="n"/>
      <c r="IKP93" s="15" t="n"/>
      <c r="IKQ93" s="15" t="n"/>
      <c r="IKR93" s="248" t="n"/>
      <c r="IKS93" s="248" t="n"/>
      <c r="IKT93" s="240" t="n"/>
      <c r="IKU93" s="240" t="n"/>
      <c r="IKW93" s="15" t="n"/>
      <c r="IKX93" s="15" t="n"/>
      <c r="IKY93" s="248" t="n"/>
      <c r="IKZ93" s="248" t="n"/>
      <c r="ILA93" s="240" t="n"/>
      <c r="ILB93" s="240" t="n"/>
      <c r="ILD93" s="15" t="n"/>
      <c r="ILE93" s="15" t="n"/>
      <c r="ILF93" s="248" t="n"/>
      <c r="ILG93" s="248" t="n"/>
      <c r="ILH93" s="240" t="n"/>
      <c r="ILI93" s="240" t="n"/>
      <c r="ILK93" s="15" t="n"/>
      <c r="ILL93" s="15" t="n"/>
      <c r="ILM93" s="248" t="n"/>
      <c r="ILN93" s="248" t="n"/>
      <c r="ILO93" s="240" t="n"/>
      <c r="ILP93" s="240" t="n"/>
      <c r="ILR93" s="15" t="n"/>
      <c r="ILS93" s="15" t="n"/>
      <c r="ILT93" s="248" t="n"/>
      <c r="ILU93" s="248" t="n"/>
      <c r="ILV93" s="240" t="n"/>
      <c r="ILW93" s="240" t="n"/>
      <c r="ILY93" s="15" t="n"/>
      <c r="ILZ93" s="15" t="n"/>
      <c r="IMA93" s="248" t="n"/>
      <c r="IMB93" s="248" t="n"/>
      <c r="IMC93" s="240" t="n"/>
      <c r="IMD93" s="240" t="n"/>
      <c r="IMF93" s="15" t="n"/>
      <c r="IMG93" s="15" t="n"/>
      <c r="IMH93" s="248" t="n"/>
      <c r="IMI93" s="248" t="n"/>
      <c r="IMJ93" s="240" t="n"/>
      <c r="IMK93" s="240" t="n"/>
      <c r="IMM93" s="15" t="n"/>
      <c r="IMN93" s="15" t="n"/>
      <c r="IMO93" s="248" t="n"/>
      <c r="IMP93" s="248" t="n"/>
      <c r="IMQ93" s="240" t="n"/>
      <c r="IMR93" s="240" t="n"/>
      <c r="IMT93" s="15" t="n"/>
      <c r="IMU93" s="15" t="n"/>
      <c r="IMV93" s="248" t="n"/>
      <c r="IMW93" s="248" t="n"/>
      <c r="IMX93" s="240" t="n"/>
      <c r="IMY93" s="240" t="n"/>
      <c r="INA93" s="15" t="n"/>
      <c r="INB93" s="15" t="n"/>
      <c r="INC93" s="248" t="n"/>
      <c r="IND93" s="248" t="n"/>
      <c r="INE93" s="240" t="n"/>
      <c r="INF93" s="240" t="n"/>
      <c r="INH93" s="15" t="n"/>
      <c r="INI93" s="15" t="n"/>
      <c r="INJ93" s="248" t="n"/>
      <c r="INK93" s="248" t="n"/>
      <c r="INL93" s="240" t="n"/>
      <c r="INM93" s="240" t="n"/>
      <c r="INO93" s="15" t="n"/>
      <c r="INP93" s="15" t="n"/>
      <c r="INQ93" s="248" t="n"/>
      <c r="INR93" s="248" t="n"/>
      <c r="INS93" s="240" t="n"/>
      <c r="INT93" s="240" t="n"/>
      <c r="INV93" s="15" t="n"/>
      <c r="INW93" s="15" t="n"/>
      <c r="INX93" s="248" t="n"/>
      <c r="INY93" s="248" t="n"/>
      <c r="INZ93" s="240" t="n"/>
      <c r="IOA93" s="240" t="n"/>
      <c r="IOC93" s="15" t="n"/>
      <c r="IOD93" s="15" t="n"/>
      <c r="IOE93" s="248" t="n"/>
      <c r="IOF93" s="248" t="n"/>
      <c r="IOG93" s="240" t="n"/>
      <c r="IOH93" s="240" t="n"/>
      <c r="IOJ93" s="15" t="n"/>
      <c r="IOK93" s="15" t="n"/>
      <c r="IOL93" s="248" t="n"/>
      <c r="IOM93" s="248" t="n"/>
      <c r="ION93" s="240" t="n"/>
      <c r="IOO93" s="240" t="n"/>
      <c r="IOQ93" s="15" t="n"/>
      <c r="IOR93" s="15" t="n"/>
      <c r="IOS93" s="248" t="n"/>
      <c r="IOT93" s="248" t="n"/>
      <c r="IOU93" s="240" t="n"/>
      <c r="IOV93" s="240" t="n"/>
      <c r="IOX93" s="15" t="n"/>
      <c r="IOY93" s="15" t="n"/>
      <c r="IOZ93" s="248" t="n"/>
      <c r="IPA93" s="248" t="n"/>
      <c r="IPB93" s="240" t="n"/>
      <c r="IPC93" s="240" t="n"/>
      <c r="IPE93" s="15" t="n"/>
      <c r="IPF93" s="15" t="n"/>
      <c r="IPG93" s="248" t="n"/>
      <c r="IPH93" s="248" t="n"/>
      <c r="IPI93" s="240" t="n"/>
      <c r="IPJ93" s="240" t="n"/>
      <c r="IPL93" s="15" t="n"/>
      <c r="IPM93" s="15" t="n"/>
      <c r="IPN93" s="248" t="n"/>
      <c r="IPO93" s="248" t="n"/>
      <c r="IPP93" s="240" t="n"/>
      <c r="IPQ93" s="240" t="n"/>
      <c r="IPS93" s="15" t="n"/>
      <c r="IPT93" s="15" t="n"/>
      <c r="IPU93" s="248" t="n"/>
      <c r="IPV93" s="248" t="n"/>
      <c r="IPW93" s="240" t="n"/>
      <c r="IPX93" s="240" t="n"/>
      <c r="IPZ93" s="15" t="n"/>
      <c r="IQA93" s="15" t="n"/>
      <c r="IQB93" s="248" t="n"/>
      <c r="IQC93" s="248" t="n"/>
      <c r="IQD93" s="240" t="n"/>
      <c r="IQE93" s="240" t="n"/>
      <c r="IQG93" s="15" t="n"/>
      <c r="IQH93" s="15" t="n"/>
      <c r="IQI93" s="248" t="n"/>
      <c r="IQJ93" s="248" t="n"/>
      <c r="IQK93" s="240" t="n"/>
      <c r="IQL93" s="240" t="n"/>
      <c r="IQN93" s="15" t="n"/>
      <c r="IQO93" s="15" t="n"/>
      <c r="IQP93" s="248" t="n"/>
      <c r="IQQ93" s="248" t="n"/>
      <c r="IQR93" s="240" t="n"/>
      <c r="IQS93" s="240" t="n"/>
      <c r="IQU93" s="15" t="n"/>
      <c r="IQV93" s="15" t="n"/>
      <c r="IQW93" s="248" t="n"/>
      <c r="IQX93" s="248" t="n"/>
      <c r="IQY93" s="240" t="n"/>
      <c r="IQZ93" s="240" t="n"/>
      <c r="IRB93" s="15" t="n"/>
      <c r="IRC93" s="15" t="n"/>
      <c r="IRD93" s="248" t="n"/>
      <c r="IRE93" s="248" t="n"/>
      <c r="IRF93" s="240" t="n"/>
      <c r="IRG93" s="240" t="n"/>
      <c r="IRI93" s="15" t="n"/>
      <c r="IRJ93" s="15" t="n"/>
      <c r="IRK93" s="248" t="n"/>
      <c r="IRL93" s="248" t="n"/>
      <c r="IRM93" s="240" t="n"/>
      <c r="IRN93" s="240" t="n"/>
      <c r="IRP93" s="15" t="n"/>
      <c r="IRQ93" s="15" t="n"/>
      <c r="IRR93" s="248" t="n"/>
      <c r="IRS93" s="248" t="n"/>
      <c r="IRT93" s="240" t="n"/>
      <c r="IRU93" s="240" t="n"/>
      <c r="IRW93" s="15" t="n"/>
      <c r="IRX93" s="15" t="n"/>
      <c r="IRY93" s="248" t="n"/>
      <c r="IRZ93" s="248" t="n"/>
      <c r="ISA93" s="240" t="n"/>
      <c r="ISB93" s="240" t="n"/>
      <c r="ISD93" s="15" t="n"/>
      <c r="ISE93" s="15" t="n"/>
      <c r="ISF93" s="248" t="n"/>
      <c r="ISG93" s="248" t="n"/>
      <c r="ISH93" s="240" t="n"/>
      <c r="ISI93" s="240" t="n"/>
      <c r="ISK93" s="15" t="n"/>
      <c r="ISL93" s="15" t="n"/>
      <c r="ISM93" s="248" t="n"/>
      <c r="ISN93" s="248" t="n"/>
      <c r="ISO93" s="240" t="n"/>
      <c r="ISP93" s="240" t="n"/>
      <c r="ISR93" s="15" t="n"/>
      <c r="ISS93" s="15" t="n"/>
      <c r="IST93" s="248" t="n"/>
      <c r="ISU93" s="248" t="n"/>
      <c r="ISV93" s="240" t="n"/>
      <c r="ISW93" s="240" t="n"/>
      <c r="ISY93" s="15" t="n"/>
      <c r="ISZ93" s="15" t="n"/>
      <c r="ITA93" s="248" t="n"/>
      <c r="ITB93" s="248" t="n"/>
      <c r="ITC93" s="240" t="n"/>
      <c r="ITD93" s="240" t="n"/>
      <c r="ITF93" s="15" t="n"/>
      <c r="ITG93" s="15" t="n"/>
      <c r="ITH93" s="248" t="n"/>
      <c r="ITI93" s="248" t="n"/>
      <c r="ITJ93" s="240" t="n"/>
      <c r="ITK93" s="240" t="n"/>
      <c r="ITM93" s="15" t="n"/>
      <c r="ITN93" s="15" t="n"/>
      <c r="ITO93" s="248" t="n"/>
      <c r="ITP93" s="248" t="n"/>
      <c r="ITQ93" s="240" t="n"/>
      <c r="ITR93" s="240" t="n"/>
      <c r="ITT93" s="15" t="n"/>
      <c r="ITU93" s="15" t="n"/>
      <c r="ITV93" s="248" t="n"/>
      <c r="ITW93" s="248" t="n"/>
      <c r="ITX93" s="240" t="n"/>
      <c r="ITY93" s="240" t="n"/>
      <c r="IUA93" s="15" t="n"/>
      <c r="IUB93" s="15" t="n"/>
      <c r="IUC93" s="248" t="n"/>
      <c r="IUD93" s="248" t="n"/>
      <c r="IUE93" s="240" t="n"/>
      <c r="IUF93" s="240" t="n"/>
      <c r="IUH93" s="15" t="n"/>
      <c r="IUI93" s="15" t="n"/>
      <c r="IUJ93" s="248" t="n"/>
      <c r="IUK93" s="248" t="n"/>
      <c r="IUL93" s="240" t="n"/>
      <c r="IUM93" s="240" t="n"/>
      <c r="IUO93" s="15" t="n"/>
      <c r="IUP93" s="15" t="n"/>
      <c r="IUQ93" s="248" t="n"/>
      <c r="IUR93" s="248" t="n"/>
      <c r="IUS93" s="240" t="n"/>
      <c r="IUT93" s="240" t="n"/>
      <c r="IUV93" s="15" t="n"/>
      <c r="IUW93" s="15" t="n"/>
      <c r="IUX93" s="248" t="n"/>
      <c r="IUY93" s="248" t="n"/>
      <c r="IUZ93" s="240" t="n"/>
      <c r="IVA93" s="240" t="n"/>
      <c r="IVC93" s="15" t="n"/>
      <c r="IVD93" s="15" t="n"/>
      <c r="IVE93" s="248" t="n"/>
      <c r="IVF93" s="248" t="n"/>
      <c r="IVG93" s="240" t="n"/>
      <c r="IVH93" s="240" t="n"/>
      <c r="IVJ93" s="15" t="n"/>
      <c r="IVK93" s="15" t="n"/>
      <c r="IVL93" s="248" t="n"/>
      <c r="IVM93" s="248" t="n"/>
      <c r="IVN93" s="240" t="n"/>
      <c r="IVO93" s="240" t="n"/>
      <c r="IVQ93" s="15" t="n"/>
      <c r="IVR93" s="15" t="n"/>
      <c r="IVS93" s="248" t="n"/>
      <c r="IVT93" s="248" t="n"/>
      <c r="IVU93" s="240" t="n"/>
      <c r="IVV93" s="240" t="n"/>
      <c r="IVX93" s="15" t="n"/>
      <c r="IVY93" s="15" t="n"/>
      <c r="IVZ93" s="248" t="n"/>
      <c r="IWA93" s="248" t="n"/>
      <c r="IWB93" s="240" t="n"/>
      <c r="IWC93" s="240" t="n"/>
      <c r="IWE93" s="15" t="n"/>
      <c r="IWF93" s="15" t="n"/>
      <c r="IWG93" s="248" t="n"/>
      <c r="IWH93" s="248" t="n"/>
      <c r="IWI93" s="240" t="n"/>
      <c r="IWJ93" s="240" t="n"/>
      <c r="IWL93" s="15" t="n"/>
      <c r="IWM93" s="15" t="n"/>
      <c r="IWN93" s="248" t="n"/>
      <c r="IWO93" s="248" t="n"/>
      <c r="IWP93" s="240" t="n"/>
      <c r="IWQ93" s="240" t="n"/>
      <c r="IWS93" s="15" t="n"/>
      <c r="IWT93" s="15" t="n"/>
      <c r="IWU93" s="248" t="n"/>
      <c r="IWV93" s="248" t="n"/>
      <c r="IWW93" s="240" t="n"/>
      <c r="IWX93" s="240" t="n"/>
      <c r="IWZ93" s="15" t="n"/>
      <c r="IXA93" s="15" t="n"/>
      <c r="IXB93" s="248" t="n"/>
      <c r="IXC93" s="248" t="n"/>
      <c r="IXD93" s="240" t="n"/>
      <c r="IXE93" s="240" t="n"/>
      <c r="IXG93" s="15" t="n"/>
      <c r="IXH93" s="15" t="n"/>
      <c r="IXI93" s="248" t="n"/>
      <c r="IXJ93" s="248" t="n"/>
      <c r="IXK93" s="240" t="n"/>
      <c r="IXL93" s="240" t="n"/>
      <c r="IXN93" s="15" t="n"/>
      <c r="IXO93" s="15" t="n"/>
      <c r="IXP93" s="248" t="n"/>
      <c r="IXQ93" s="248" t="n"/>
      <c r="IXR93" s="240" t="n"/>
      <c r="IXS93" s="240" t="n"/>
      <c r="IXU93" s="15" t="n"/>
      <c r="IXV93" s="15" t="n"/>
      <c r="IXW93" s="248" t="n"/>
      <c r="IXX93" s="248" t="n"/>
      <c r="IXY93" s="240" t="n"/>
      <c r="IXZ93" s="240" t="n"/>
      <c r="IYB93" s="15" t="n"/>
      <c r="IYC93" s="15" t="n"/>
      <c r="IYD93" s="248" t="n"/>
      <c r="IYE93" s="248" t="n"/>
      <c r="IYF93" s="240" t="n"/>
      <c r="IYG93" s="240" t="n"/>
      <c r="IYI93" s="15" t="n"/>
      <c r="IYJ93" s="15" t="n"/>
      <c r="IYK93" s="248" t="n"/>
      <c r="IYL93" s="248" t="n"/>
      <c r="IYM93" s="240" t="n"/>
      <c r="IYN93" s="240" t="n"/>
      <c r="IYP93" s="15" t="n"/>
      <c r="IYQ93" s="15" t="n"/>
      <c r="IYR93" s="248" t="n"/>
      <c r="IYS93" s="248" t="n"/>
      <c r="IYT93" s="240" t="n"/>
      <c r="IYU93" s="240" t="n"/>
      <c r="IYW93" s="15" t="n"/>
      <c r="IYX93" s="15" t="n"/>
      <c r="IYY93" s="248" t="n"/>
      <c r="IYZ93" s="248" t="n"/>
      <c r="IZA93" s="240" t="n"/>
      <c r="IZB93" s="240" t="n"/>
      <c r="IZD93" s="15" t="n"/>
      <c r="IZE93" s="15" t="n"/>
      <c r="IZF93" s="248" t="n"/>
      <c r="IZG93" s="248" t="n"/>
      <c r="IZH93" s="240" t="n"/>
      <c r="IZI93" s="240" t="n"/>
      <c r="IZK93" s="15" t="n"/>
      <c r="IZL93" s="15" t="n"/>
      <c r="IZM93" s="248" t="n"/>
      <c r="IZN93" s="248" t="n"/>
      <c r="IZO93" s="240" t="n"/>
      <c r="IZP93" s="240" t="n"/>
      <c r="IZR93" s="15" t="n"/>
      <c r="IZS93" s="15" t="n"/>
      <c r="IZT93" s="248" t="n"/>
      <c r="IZU93" s="248" t="n"/>
      <c r="IZV93" s="240" t="n"/>
      <c r="IZW93" s="240" t="n"/>
      <c r="IZY93" s="15" t="n"/>
      <c r="IZZ93" s="15" t="n"/>
      <c r="JAA93" s="248" t="n"/>
      <c r="JAB93" s="248" t="n"/>
      <c r="JAC93" s="240" t="n"/>
      <c r="JAD93" s="240" t="n"/>
      <c r="JAF93" s="15" t="n"/>
      <c r="JAG93" s="15" t="n"/>
      <c r="JAH93" s="248" t="n"/>
      <c r="JAI93" s="248" t="n"/>
      <c r="JAJ93" s="240" t="n"/>
      <c r="JAK93" s="240" t="n"/>
      <c r="JAM93" s="15" t="n"/>
      <c r="JAN93" s="15" t="n"/>
      <c r="JAO93" s="248" t="n"/>
      <c r="JAP93" s="248" t="n"/>
      <c r="JAQ93" s="240" t="n"/>
      <c r="JAR93" s="240" t="n"/>
      <c r="JAT93" s="15" t="n"/>
      <c r="JAU93" s="15" t="n"/>
      <c r="JAV93" s="248" t="n"/>
      <c r="JAW93" s="248" t="n"/>
      <c r="JAX93" s="240" t="n"/>
      <c r="JAY93" s="240" t="n"/>
      <c r="JBA93" s="15" t="n"/>
      <c r="JBB93" s="15" t="n"/>
      <c r="JBC93" s="248" t="n"/>
      <c r="JBD93" s="248" t="n"/>
      <c r="JBE93" s="240" t="n"/>
      <c r="JBF93" s="240" t="n"/>
      <c r="JBH93" s="15" t="n"/>
      <c r="JBI93" s="15" t="n"/>
      <c r="JBJ93" s="248" t="n"/>
      <c r="JBK93" s="248" t="n"/>
      <c r="JBL93" s="240" t="n"/>
      <c r="JBM93" s="240" t="n"/>
      <c r="JBO93" s="15" t="n"/>
      <c r="JBP93" s="15" t="n"/>
      <c r="JBQ93" s="248" t="n"/>
      <c r="JBR93" s="248" t="n"/>
      <c r="JBS93" s="240" t="n"/>
      <c r="JBT93" s="240" t="n"/>
      <c r="JBV93" s="15" t="n"/>
      <c r="JBW93" s="15" t="n"/>
      <c r="JBX93" s="248" t="n"/>
      <c r="JBY93" s="248" t="n"/>
      <c r="JBZ93" s="240" t="n"/>
      <c r="JCA93" s="240" t="n"/>
      <c r="JCC93" s="15" t="n"/>
      <c r="JCD93" s="15" t="n"/>
      <c r="JCE93" s="248" t="n"/>
      <c r="JCF93" s="248" t="n"/>
      <c r="JCG93" s="240" t="n"/>
      <c r="JCH93" s="240" t="n"/>
      <c r="JCJ93" s="15" t="n"/>
      <c r="JCK93" s="15" t="n"/>
      <c r="JCL93" s="248" t="n"/>
      <c r="JCM93" s="248" t="n"/>
      <c r="JCN93" s="240" t="n"/>
      <c r="JCO93" s="240" t="n"/>
      <c r="JCQ93" s="15" t="n"/>
      <c r="JCR93" s="15" t="n"/>
      <c r="JCS93" s="248" t="n"/>
      <c r="JCT93" s="248" t="n"/>
      <c r="JCU93" s="240" t="n"/>
      <c r="JCV93" s="240" t="n"/>
      <c r="JCX93" s="15" t="n"/>
      <c r="JCY93" s="15" t="n"/>
      <c r="JCZ93" s="248" t="n"/>
      <c r="JDA93" s="248" t="n"/>
      <c r="JDB93" s="240" t="n"/>
      <c r="JDC93" s="240" t="n"/>
      <c r="JDE93" s="15" t="n"/>
      <c r="JDF93" s="15" t="n"/>
      <c r="JDG93" s="248" t="n"/>
      <c r="JDH93" s="248" t="n"/>
      <c r="JDI93" s="240" t="n"/>
      <c r="JDJ93" s="240" t="n"/>
      <c r="JDL93" s="15" t="n"/>
      <c r="JDM93" s="15" t="n"/>
      <c r="JDN93" s="248" t="n"/>
      <c r="JDO93" s="248" t="n"/>
      <c r="JDP93" s="240" t="n"/>
      <c r="JDQ93" s="240" t="n"/>
      <c r="JDS93" s="15" t="n"/>
      <c r="JDT93" s="15" t="n"/>
      <c r="JDU93" s="248" t="n"/>
      <c r="JDV93" s="248" t="n"/>
      <c r="JDW93" s="240" t="n"/>
      <c r="JDX93" s="240" t="n"/>
      <c r="JDZ93" s="15" t="n"/>
      <c r="JEA93" s="15" t="n"/>
      <c r="JEB93" s="248" t="n"/>
      <c r="JEC93" s="248" t="n"/>
      <c r="JED93" s="240" t="n"/>
      <c r="JEE93" s="240" t="n"/>
      <c r="JEG93" s="15" t="n"/>
      <c r="JEH93" s="15" t="n"/>
      <c r="JEI93" s="248" t="n"/>
      <c r="JEJ93" s="248" t="n"/>
      <c r="JEK93" s="240" t="n"/>
      <c r="JEL93" s="240" t="n"/>
      <c r="JEN93" s="15" t="n"/>
      <c r="JEO93" s="15" t="n"/>
      <c r="JEP93" s="248" t="n"/>
      <c r="JEQ93" s="248" t="n"/>
      <c r="JER93" s="240" t="n"/>
      <c r="JES93" s="240" t="n"/>
      <c r="JEU93" s="15" t="n"/>
      <c r="JEV93" s="15" t="n"/>
      <c r="JEW93" s="248" t="n"/>
      <c r="JEX93" s="248" t="n"/>
      <c r="JEY93" s="240" t="n"/>
      <c r="JEZ93" s="240" t="n"/>
      <c r="JFB93" s="15" t="n"/>
      <c r="JFC93" s="15" t="n"/>
      <c r="JFD93" s="248" t="n"/>
      <c r="JFE93" s="248" t="n"/>
      <c r="JFF93" s="240" t="n"/>
      <c r="JFG93" s="240" t="n"/>
      <c r="JFI93" s="15" t="n"/>
      <c r="JFJ93" s="15" t="n"/>
      <c r="JFK93" s="248" t="n"/>
      <c r="JFL93" s="248" t="n"/>
      <c r="JFM93" s="240" t="n"/>
      <c r="JFN93" s="240" t="n"/>
      <c r="JFP93" s="15" t="n"/>
      <c r="JFQ93" s="15" t="n"/>
      <c r="JFR93" s="248" t="n"/>
      <c r="JFS93" s="248" t="n"/>
      <c r="JFT93" s="240" t="n"/>
      <c r="JFU93" s="240" t="n"/>
      <c r="JFW93" s="15" t="n"/>
      <c r="JFX93" s="15" t="n"/>
      <c r="JFY93" s="248" t="n"/>
      <c r="JFZ93" s="248" t="n"/>
      <c r="JGA93" s="240" t="n"/>
      <c r="JGB93" s="240" t="n"/>
      <c r="JGD93" s="15" t="n"/>
      <c r="JGE93" s="15" t="n"/>
      <c r="JGF93" s="248" t="n"/>
      <c r="JGG93" s="248" t="n"/>
      <c r="JGH93" s="240" t="n"/>
      <c r="JGI93" s="240" t="n"/>
      <c r="JGK93" s="15" t="n"/>
      <c r="JGL93" s="15" t="n"/>
      <c r="JGM93" s="248" t="n"/>
      <c r="JGN93" s="248" t="n"/>
      <c r="JGO93" s="240" t="n"/>
      <c r="JGP93" s="240" t="n"/>
      <c r="JGR93" s="15" t="n"/>
      <c r="JGS93" s="15" t="n"/>
      <c r="JGT93" s="248" t="n"/>
      <c r="JGU93" s="248" t="n"/>
      <c r="JGV93" s="240" t="n"/>
      <c r="JGW93" s="240" t="n"/>
      <c r="JGY93" s="15" t="n"/>
      <c r="JGZ93" s="15" t="n"/>
      <c r="JHA93" s="248" t="n"/>
      <c r="JHB93" s="248" t="n"/>
      <c r="JHC93" s="240" t="n"/>
      <c r="JHD93" s="240" t="n"/>
      <c r="JHF93" s="15" t="n"/>
      <c r="JHG93" s="15" t="n"/>
      <c r="JHH93" s="248" t="n"/>
      <c r="JHI93" s="248" t="n"/>
      <c r="JHJ93" s="240" t="n"/>
      <c r="JHK93" s="240" t="n"/>
      <c r="JHM93" s="15" t="n"/>
      <c r="JHN93" s="15" t="n"/>
      <c r="JHO93" s="248" t="n"/>
      <c r="JHP93" s="248" t="n"/>
      <c r="JHQ93" s="240" t="n"/>
      <c r="JHR93" s="240" t="n"/>
      <c r="JHT93" s="15" t="n"/>
      <c r="JHU93" s="15" t="n"/>
      <c r="JHV93" s="248" t="n"/>
      <c r="JHW93" s="248" t="n"/>
      <c r="JHX93" s="240" t="n"/>
      <c r="JHY93" s="240" t="n"/>
      <c r="JIA93" s="15" t="n"/>
      <c r="JIB93" s="15" t="n"/>
      <c r="JIC93" s="248" t="n"/>
      <c r="JID93" s="248" t="n"/>
      <c r="JIE93" s="240" t="n"/>
      <c r="JIF93" s="240" t="n"/>
      <c r="JIH93" s="15" t="n"/>
      <c r="JII93" s="15" t="n"/>
      <c r="JIJ93" s="248" t="n"/>
      <c r="JIK93" s="248" t="n"/>
      <c r="JIL93" s="240" t="n"/>
      <c r="JIM93" s="240" t="n"/>
      <c r="JIO93" s="15" t="n"/>
      <c r="JIP93" s="15" t="n"/>
      <c r="JIQ93" s="248" t="n"/>
      <c r="JIR93" s="248" t="n"/>
      <c r="JIS93" s="240" t="n"/>
      <c r="JIT93" s="240" t="n"/>
      <c r="JIV93" s="15" t="n"/>
      <c r="JIW93" s="15" t="n"/>
      <c r="JIX93" s="248" t="n"/>
      <c r="JIY93" s="248" t="n"/>
      <c r="JIZ93" s="240" t="n"/>
      <c r="JJA93" s="240" t="n"/>
      <c r="JJC93" s="15" t="n"/>
      <c r="JJD93" s="15" t="n"/>
      <c r="JJE93" s="248" t="n"/>
      <c r="JJF93" s="248" t="n"/>
      <c r="JJG93" s="240" t="n"/>
      <c r="JJH93" s="240" t="n"/>
      <c r="JJJ93" s="15" t="n"/>
      <c r="JJK93" s="15" t="n"/>
      <c r="JJL93" s="248" t="n"/>
      <c r="JJM93" s="248" t="n"/>
      <c r="JJN93" s="240" t="n"/>
      <c r="JJO93" s="240" t="n"/>
      <c r="JJQ93" s="15" t="n"/>
      <c r="JJR93" s="15" t="n"/>
      <c r="JJS93" s="248" t="n"/>
      <c r="JJT93" s="248" t="n"/>
      <c r="JJU93" s="240" t="n"/>
      <c r="JJV93" s="240" t="n"/>
      <c r="JJX93" s="15" t="n"/>
      <c r="JJY93" s="15" t="n"/>
      <c r="JJZ93" s="248" t="n"/>
      <c r="JKA93" s="248" t="n"/>
      <c r="JKB93" s="240" t="n"/>
      <c r="JKC93" s="240" t="n"/>
      <c r="JKE93" s="15" t="n"/>
      <c r="JKF93" s="15" t="n"/>
      <c r="JKG93" s="248" t="n"/>
      <c r="JKH93" s="248" t="n"/>
      <c r="JKI93" s="240" t="n"/>
      <c r="JKJ93" s="240" t="n"/>
      <c r="JKL93" s="15" t="n"/>
      <c r="JKM93" s="15" t="n"/>
      <c r="JKN93" s="248" t="n"/>
      <c r="JKO93" s="248" t="n"/>
      <c r="JKP93" s="240" t="n"/>
      <c r="JKQ93" s="240" t="n"/>
      <c r="JKS93" s="15" t="n"/>
      <c r="JKT93" s="15" t="n"/>
      <c r="JKU93" s="248" t="n"/>
      <c r="JKV93" s="248" t="n"/>
      <c r="JKW93" s="240" t="n"/>
      <c r="JKX93" s="240" t="n"/>
      <c r="JKZ93" s="15" t="n"/>
      <c r="JLA93" s="15" t="n"/>
      <c r="JLB93" s="248" t="n"/>
      <c r="JLC93" s="248" t="n"/>
      <c r="JLD93" s="240" t="n"/>
      <c r="JLE93" s="240" t="n"/>
      <c r="JLG93" s="15" t="n"/>
      <c r="JLH93" s="15" t="n"/>
      <c r="JLI93" s="248" t="n"/>
      <c r="JLJ93" s="248" t="n"/>
      <c r="JLK93" s="240" t="n"/>
      <c r="JLL93" s="240" t="n"/>
      <c r="JLN93" s="15" t="n"/>
      <c r="JLO93" s="15" t="n"/>
      <c r="JLP93" s="248" t="n"/>
      <c r="JLQ93" s="248" t="n"/>
      <c r="JLR93" s="240" t="n"/>
      <c r="JLS93" s="240" t="n"/>
      <c r="JLU93" s="15" t="n"/>
      <c r="JLV93" s="15" t="n"/>
      <c r="JLW93" s="248" t="n"/>
      <c r="JLX93" s="248" t="n"/>
      <c r="JLY93" s="240" t="n"/>
      <c r="JLZ93" s="240" t="n"/>
      <c r="JMB93" s="15" t="n"/>
      <c r="JMC93" s="15" t="n"/>
      <c r="JMD93" s="248" t="n"/>
      <c r="JME93" s="248" t="n"/>
      <c r="JMF93" s="240" t="n"/>
      <c r="JMG93" s="240" t="n"/>
      <c r="JMI93" s="15" t="n"/>
      <c r="JMJ93" s="15" t="n"/>
      <c r="JMK93" s="248" t="n"/>
      <c r="JML93" s="248" t="n"/>
      <c r="JMM93" s="240" t="n"/>
      <c r="JMN93" s="240" t="n"/>
      <c r="JMP93" s="15" t="n"/>
      <c r="JMQ93" s="15" t="n"/>
      <c r="JMR93" s="248" t="n"/>
      <c r="JMS93" s="248" t="n"/>
      <c r="JMT93" s="240" t="n"/>
      <c r="JMU93" s="240" t="n"/>
      <c r="JMW93" s="15" t="n"/>
      <c r="JMX93" s="15" t="n"/>
      <c r="JMY93" s="248" t="n"/>
      <c r="JMZ93" s="248" t="n"/>
      <c r="JNA93" s="240" t="n"/>
      <c r="JNB93" s="240" t="n"/>
      <c r="JND93" s="15" t="n"/>
      <c r="JNE93" s="15" t="n"/>
      <c r="JNF93" s="248" t="n"/>
      <c r="JNG93" s="248" t="n"/>
      <c r="JNH93" s="240" t="n"/>
      <c r="JNI93" s="240" t="n"/>
      <c r="JNK93" s="15" t="n"/>
      <c r="JNL93" s="15" t="n"/>
      <c r="JNM93" s="248" t="n"/>
      <c r="JNN93" s="248" t="n"/>
      <c r="JNO93" s="240" t="n"/>
      <c r="JNP93" s="240" t="n"/>
      <c r="JNR93" s="15" t="n"/>
      <c r="JNS93" s="15" t="n"/>
      <c r="JNT93" s="248" t="n"/>
      <c r="JNU93" s="248" t="n"/>
      <c r="JNV93" s="240" t="n"/>
      <c r="JNW93" s="240" t="n"/>
      <c r="JNY93" s="15" t="n"/>
      <c r="JNZ93" s="15" t="n"/>
      <c r="JOA93" s="248" t="n"/>
      <c r="JOB93" s="248" t="n"/>
      <c r="JOC93" s="240" t="n"/>
      <c r="JOD93" s="240" t="n"/>
      <c r="JOF93" s="15" t="n"/>
      <c r="JOG93" s="15" t="n"/>
      <c r="JOH93" s="248" t="n"/>
      <c r="JOI93" s="248" t="n"/>
      <c r="JOJ93" s="240" t="n"/>
      <c r="JOK93" s="240" t="n"/>
      <c r="JOM93" s="15" t="n"/>
      <c r="JON93" s="15" t="n"/>
      <c r="JOO93" s="248" t="n"/>
      <c r="JOP93" s="248" t="n"/>
      <c r="JOQ93" s="240" t="n"/>
      <c r="JOR93" s="240" t="n"/>
      <c r="JOT93" s="15" t="n"/>
      <c r="JOU93" s="15" t="n"/>
      <c r="JOV93" s="248" t="n"/>
      <c r="JOW93" s="248" t="n"/>
      <c r="JOX93" s="240" t="n"/>
      <c r="JOY93" s="240" t="n"/>
      <c r="JPA93" s="15" t="n"/>
      <c r="JPB93" s="15" t="n"/>
      <c r="JPC93" s="248" t="n"/>
      <c r="JPD93" s="248" t="n"/>
      <c r="JPE93" s="240" t="n"/>
      <c r="JPF93" s="240" t="n"/>
      <c r="JPH93" s="15" t="n"/>
      <c r="JPI93" s="15" t="n"/>
      <c r="JPJ93" s="248" t="n"/>
      <c r="JPK93" s="248" t="n"/>
      <c r="JPL93" s="240" t="n"/>
      <c r="JPM93" s="240" t="n"/>
      <c r="JPO93" s="15" t="n"/>
      <c r="JPP93" s="15" t="n"/>
      <c r="JPQ93" s="248" t="n"/>
      <c r="JPR93" s="248" t="n"/>
      <c r="JPS93" s="240" t="n"/>
      <c r="JPT93" s="240" t="n"/>
      <c r="JPV93" s="15" t="n"/>
      <c r="JPW93" s="15" t="n"/>
      <c r="JPX93" s="248" t="n"/>
      <c r="JPY93" s="248" t="n"/>
      <c r="JPZ93" s="240" t="n"/>
      <c r="JQA93" s="240" t="n"/>
      <c r="JQC93" s="15" t="n"/>
      <c r="JQD93" s="15" t="n"/>
      <c r="JQE93" s="248" t="n"/>
      <c r="JQF93" s="248" t="n"/>
      <c r="JQG93" s="240" t="n"/>
      <c r="JQH93" s="240" t="n"/>
      <c r="JQJ93" s="15" t="n"/>
      <c r="JQK93" s="15" t="n"/>
      <c r="JQL93" s="248" t="n"/>
      <c r="JQM93" s="248" t="n"/>
      <c r="JQN93" s="240" t="n"/>
      <c r="JQO93" s="240" t="n"/>
      <c r="JQQ93" s="15" t="n"/>
      <c r="JQR93" s="15" t="n"/>
      <c r="JQS93" s="248" t="n"/>
      <c r="JQT93" s="248" t="n"/>
      <c r="JQU93" s="240" t="n"/>
      <c r="JQV93" s="240" t="n"/>
      <c r="JQX93" s="15" t="n"/>
      <c r="JQY93" s="15" t="n"/>
      <c r="JQZ93" s="248" t="n"/>
      <c r="JRA93" s="248" t="n"/>
      <c r="JRB93" s="240" t="n"/>
      <c r="JRC93" s="240" t="n"/>
      <c r="JRE93" s="15" t="n"/>
      <c r="JRF93" s="15" t="n"/>
      <c r="JRG93" s="248" t="n"/>
      <c r="JRH93" s="248" t="n"/>
      <c r="JRI93" s="240" t="n"/>
      <c r="JRJ93" s="240" t="n"/>
      <c r="JRL93" s="15" t="n"/>
      <c r="JRM93" s="15" t="n"/>
      <c r="JRN93" s="248" t="n"/>
      <c r="JRO93" s="248" t="n"/>
      <c r="JRP93" s="240" t="n"/>
      <c r="JRQ93" s="240" t="n"/>
      <c r="JRS93" s="15" t="n"/>
      <c r="JRT93" s="15" t="n"/>
      <c r="JRU93" s="248" t="n"/>
      <c r="JRV93" s="248" t="n"/>
      <c r="JRW93" s="240" t="n"/>
      <c r="JRX93" s="240" t="n"/>
      <c r="JRZ93" s="15" t="n"/>
      <c r="JSA93" s="15" t="n"/>
      <c r="JSB93" s="248" t="n"/>
      <c r="JSC93" s="248" t="n"/>
      <c r="JSD93" s="240" t="n"/>
      <c r="JSE93" s="240" t="n"/>
      <c r="JSG93" s="15" t="n"/>
      <c r="JSH93" s="15" t="n"/>
      <c r="JSI93" s="248" t="n"/>
      <c r="JSJ93" s="248" t="n"/>
      <c r="JSK93" s="240" t="n"/>
      <c r="JSL93" s="240" t="n"/>
      <c r="JSN93" s="15" t="n"/>
      <c r="JSO93" s="15" t="n"/>
      <c r="JSP93" s="248" t="n"/>
      <c r="JSQ93" s="248" t="n"/>
      <c r="JSR93" s="240" t="n"/>
      <c r="JSS93" s="240" t="n"/>
      <c r="JSU93" s="15" t="n"/>
      <c r="JSV93" s="15" t="n"/>
      <c r="JSW93" s="248" t="n"/>
      <c r="JSX93" s="248" t="n"/>
      <c r="JSY93" s="240" t="n"/>
      <c r="JSZ93" s="240" t="n"/>
      <c r="JTB93" s="15" t="n"/>
      <c r="JTC93" s="15" t="n"/>
      <c r="JTD93" s="248" t="n"/>
      <c r="JTE93" s="248" t="n"/>
      <c r="JTF93" s="240" t="n"/>
      <c r="JTG93" s="240" t="n"/>
      <c r="JTI93" s="15" t="n"/>
      <c r="JTJ93" s="15" t="n"/>
      <c r="JTK93" s="248" t="n"/>
      <c r="JTL93" s="248" t="n"/>
      <c r="JTM93" s="240" t="n"/>
      <c r="JTN93" s="240" t="n"/>
      <c r="JTP93" s="15" t="n"/>
      <c r="JTQ93" s="15" t="n"/>
      <c r="JTR93" s="248" t="n"/>
      <c r="JTS93" s="248" t="n"/>
      <c r="JTT93" s="240" t="n"/>
      <c r="JTU93" s="240" t="n"/>
      <c r="JTW93" s="15" t="n"/>
      <c r="JTX93" s="15" t="n"/>
      <c r="JTY93" s="248" t="n"/>
      <c r="JTZ93" s="248" t="n"/>
      <c r="JUA93" s="240" t="n"/>
      <c r="JUB93" s="240" t="n"/>
      <c r="JUD93" s="15" t="n"/>
      <c r="JUE93" s="15" t="n"/>
      <c r="JUF93" s="248" t="n"/>
      <c r="JUG93" s="248" t="n"/>
      <c r="JUH93" s="240" t="n"/>
      <c r="JUI93" s="240" t="n"/>
      <c r="JUK93" s="15" t="n"/>
      <c r="JUL93" s="15" t="n"/>
      <c r="JUM93" s="248" t="n"/>
      <c r="JUN93" s="248" t="n"/>
      <c r="JUO93" s="240" t="n"/>
      <c r="JUP93" s="240" t="n"/>
      <c r="JUR93" s="15" t="n"/>
      <c r="JUS93" s="15" t="n"/>
      <c r="JUT93" s="248" t="n"/>
      <c r="JUU93" s="248" t="n"/>
      <c r="JUV93" s="240" t="n"/>
      <c r="JUW93" s="240" t="n"/>
      <c r="JUY93" s="15" t="n"/>
      <c r="JUZ93" s="15" t="n"/>
      <c r="JVA93" s="248" t="n"/>
      <c r="JVB93" s="248" t="n"/>
      <c r="JVC93" s="240" t="n"/>
      <c r="JVD93" s="240" t="n"/>
      <c r="JVF93" s="15" t="n"/>
      <c r="JVG93" s="15" t="n"/>
      <c r="JVH93" s="248" t="n"/>
      <c r="JVI93" s="248" t="n"/>
      <c r="JVJ93" s="240" t="n"/>
      <c r="JVK93" s="240" t="n"/>
      <c r="JVM93" s="15" t="n"/>
      <c r="JVN93" s="15" t="n"/>
      <c r="JVO93" s="248" t="n"/>
      <c r="JVP93" s="248" t="n"/>
      <c r="JVQ93" s="240" t="n"/>
      <c r="JVR93" s="240" t="n"/>
      <c r="JVT93" s="15" t="n"/>
      <c r="JVU93" s="15" t="n"/>
      <c r="JVV93" s="248" t="n"/>
      <c r="JVW93" s="248" t="n"/>
      <c r="JVX93" s="240" t="n"/>
      <c r="JVY93" s="240" t="n"/>
      <c r="JWA93" s="15" t="n"/>
      <c r="JWB93" s="15" t="n"/>
      <c r="JWC93" s="248" t="n"/>
      <c r="JWD93" s="248" t="n"/>
      <c r="JWE93" s="240" t="n"/>
      <c r="JWF93" s="240" t="n"/>
      <c r="JWH93" s="15" t="n"/>
      <c r="JWI93" s="15" t="n"/>
      <c r="JWJ93" s="248" t="n"/>
      <c r="JWK93" s="248" t="n"/>
      <c r="JWL93" s="240" t="n"/>
      <c r="JWM93" s="240" t="n"/>
      <c r="JWO93" s="15" t="n"/>
      <c r="JWP93" s="15" t="n"/>
      <c r="JWQ93" s="248" t="n"/>
      <c r="JWR93" s="248" t="n"/>
      <c r="JWS93" s="240" t="n"/>
      <c r="JWT93" s="240" t="n"/>
      <c r="JWV93" s="15" t="n"/>
      <c r="JWW93" s="15" t="n"/>
      <c r="JWX93" s="248" t="n"/>
      <c r="JWY93" s="248" t="n"/>
      <c r="JWZ93" s="240" t="n"/>
      <c r="JXA93" s="240" t="n"/>
      <c r="JXC93" s="15" t="n"/>
      <c r="JXD93" s="15" t="n"/>
      <c r="JXE93" s="248" t="n"/>
      <c r="JXF93" s="248" t="n"/>
      <c r="JXG93" s="240" t="n"/>
      <c r="JXH93" s="240" t="n"/>
      <c r="JXJ93" s="15" t="n"/>
      <c r="JXK93" s="15" t="n"/>
      <c r="JXL93" s="248" t="n"/>
      <c r="JXM93" s="248" t="n"/>
      <c r="JXN93" s="240" t="n"/>
      <c r="JXO93" s="240" t="n"/>
      <c r="JXQ93" s="15" t="n"/>
      <c r="JXR93" s="15" t="n"/>
      <c r="JXS93" s="248" t="n"/>
      <c r="JXT93" s="248" t="n"/>
      <c r="JXU93" s="240" t="n"/>
      <c r="JXV93" s="240" t="n"/>
      <c r="JXX93" s="15" t="n"/>
      <c r="JXY93" s="15" t="n"/>
      <c r="JXZ93" s="248" t="n"/>
      <c r="JYA93" s="248" t="n"/>
      <c r="JYB93" s="240" t="n"/>
      <c r="JYC93" s="240" t="n"/>
      <c r="JYE93" s="15" t="n"/>
      <c r="JYF93" s="15" t="n"/>
      <c r="JYG93" s="248" t="n"/>
      <c r="JYH93" s="248" t="n"/>
      <c r="JYI93" s="240" t="n"/>
      <c r="JYJ93" s="240" t="n"/>
      <c r="JYL93" s="15" t="n"/>
      <c r="JYM93" s="15" t="n"/>
      <c r="JYN93" s="248" t="n"/>
      <c r="JYO93" s="248" t="n"/>
      <c r="JYP93" s="240" t="n"/>
      <c r="JYQ93" s="240" t="n"/>
      <c r="JYS93" s="15" t="n"/>
      <c r="JYT93" s="15" t="n"/>
      <c r="JYU93" s="248" t="n"/>
      <c r="JYV93" s="248" t="n"/>
      <c r="JYW93" s="240" t="n"/>
      <c r="JYX93" s="240" t="n"/>
      <c r="JYZ93" s="15" t="n"/>
      <c r="JZA93" s="15" t="n"/>
      <c r="JZB93" s="248" t="n"/>
      <c r="JZC93" s="248" t="n"/>
      <c r="JZD93" s="240" t="n"/>
      <c r="JZE93" s="240" t="n"/>
      <c r="JZG93" s="15" t="n"/>
      <c r="JZH93" s="15" t="n"/>
      <c r="JZI93" s="248" t="n"/>
      <c r="JZJ93" s="248" t="n"/>
      <c r="JZK93" s="240" t="n"/>
      <c r="JZL93" s="240" t="n"/>
      <c r="JZN93" s="15" t="n"/>
      <c r="JZO93" s="15" t="n"/>
      <c r="JZP93" s="248" t="n"/>
      <c r="JZQ93" s="248" t="n"/>
      <c r="JZR93" s="240" t="n"/>
      <c r="JZS93" s="240" t="n"/>
      <c r="JZU93" s="15" t="n"/>
      <c r="JZV93" s="15" t="n"/>
      <c r="JZW93" s="248" t="n"/>
      <c r="JZX93" s="248" t="n"/>
      <c r="JZY93" s="240" t="n"/>
      <c r="JZZ93" s="240" t="n"/>
      <c r="KAB93" s="15" t="n"/>
      <c r="KAC93" s="15" t="n"/>
      <c r="KAD93" s="248" t="n"/>
      <c r="KAE93" s="248" t="n"/>
      <c r="KAF93" s="240" t="n"/>
      <c r="KAG93" s="240" t="n"/>
      <c r="KAI93" s="15" t="n"/>
      <c r="KAJ93" s="15" t="n"/>
      <c r="KAK93" s="248" t="n"/>
      <c r="KAL93" s="248" t="n"/>
      <c r="KAM93" s="240" t="n"/>
      <c r="KAN93" s="240" t="n"/>
      <c r="KAP93" s="15" t="n"/>
      <c r="KAQ93" s="15" t="n"/>
      <c r="KAR93" s="248" t="n"/>
      <c r="KAS93" s="248" t="n"/>
      <c r="KAT93" s="240" t="n"/>
      <c r="KAU93" s="240" t="n"/>
      <c r="KAW93" s="15" t="n"/>
      <c r="KAX93" s="15" t="n"/>
      <c r="KAY93" s="248" t="n"/>
      <c r="KAZ93" s="248" t="n"/>
      <c r="KBA93" s="240" t="n"/>
      <c r="KBB93" s="240" t="n"/>
      <c r="KBD93" s="15" t="n"/>
      <c r="KBE93" s="15" t="n"/>
      <c r="KBF93" s="248" t="n"/>
      <c r="KBG93" s="248" t="n"/>
      <c r="KBH93" s="240" t="n"/>
      <c r="KBI93" s="240" t="n"/>
      <c r="KBK93" s="15" t="n"/>
      <c r="KBL93" s="15" t="n"/>
      <c r="KBM93" s="248" t="n"/>
      <c r="KBN93" s="248" t="n"/>
      <c r="KBO93" s="240" t="n"/>
      <c r="KBP93" s="240" t="n"/>
      <c r="KBR93" s="15" t="n"/>
      <c r="KBS93" s="15" t="n"/>
      <c r="KBT93" s="248" t="n"/>
      <c r="KBU93" s="248" t="n"/>
      <c r="KBV93" s="240" t="n"/>
      <c r="KBW93" s="240" t="n"/>
      <c r="KBY93" s="15" t="n"/>
      <c r="KBZ93" s="15" t="n"/>
      <c r="KCA93" s="248" t="n"/>
      <c r="KCB93" s="248" t="n"/>
      <c r="KCC93" s="240" t="n"/>
      <c r="KCD93" s="240" t="n"/>
      <c r="KCF93" s="15" t="n"/>
      <c r="KCG93" s="15" t="n"/>
      <c r="KCH93" s="248" t="n"/>
      <c r="KCI93" s="248" t="n"/>
      <c r="KCJ93" s="240" t="n"/>
      <c r="KCK93" s="240" t="n"/>
      <c r="KCM93" s="15" t="n"/>
      <c r="KCN93" s="15" t="n"/>
      <c r="KCO93" s="248" t="n"/>
      <c r="KCP93" s="248" t="n"/>
      <c r="KCQ93" s="240" t="n"/>
      <c r="KCR93" s="240" t="n"/>
      <c r="KCT93" s="15" t="n"/>
      <c r="KCU93" s="15" t="n"/>
      <c r="KCV93" s="248" t="n"/>
      <c r="KCW93" s="248" t="n"/>
      <c r="KCX93" s="240" t="n"/>
      <c r="KCY93" s="240" t="n"/>
      <c r="KDA93" s="15" t="n"/>
      <c r="KDB93" s="15" t="n"/>
      <c r="KDC93" s="248" t="n"/>
      <c r="KDD93" s="248" t="n"/>
      <c r="KDE93" s="240" t="n"/>
      <c r="KDF93" s="240" t="n"/>
      <c r="KDH93" s="15" t="n"/>
      <c r="KDI93" s="15" t="n"/>
      <c r="KDJ93" s="248" t="n"/>
      <c r="KDK93" s="248" t="n"/>
      <c r="KDL93" s="240" t="n"/>
      <c r="KDM93" s="240" t="n"/>
      <c r="KDO93" s="15" t="n"/>
      <c r="KDP93" s="15" t="n"/>
      <c r="KDQ93" s="248" t="n"/>
      <c r="KDR93" s="248" t="n"/>
      <c r="KDS93" s="240" t="n"/>
      <c r="KDT93" s="240" t="n"/>
      <c r="KDV93" s="15" t="n"/>
      <c r="KDW93" s="15" t="n"/>
      <c r="KDX93" s="248" t="n"/>
      <c r="KDY93" s="248" t="n"/>
      <c r="KDZ93" s="240" t="n"/>
      <c r="KEA93" s="240" t="n"/>
      <c r="KEC93" s="15" t="n"/>
      <c r="KED93" s="15" t="n"/>
      <c r="KEE93" s="248" t="n"/>
      <c r="KEF93" s="248" t="n"/>
      <c r="KEG93" s="240" t="n"/>
      <c r="KEH93" s="240" t="n"/>
      <c r="KEJ93" s="15" t="n"/>
      <c r="KEK93" s="15" t="n"/>
      <c r="KEL93" s="248" t="n"/>
      <c r="KEM93" s="248" t="n"/>
      <c r="KEN93" s="240" t="n"/>
      <c r="KEO93" s="240" t="n"/>
      <c r="KEQ93" s="15" t="n"/>
      <c r="KER93" s="15" t="n"/>
      <c r="KES93" s="248" t="n"/>
      <c r="KET93" s="248" t="n"/>
      <c r="KEU93" s="240" t="n"/>
      <c r="KEV93" s="240" t="n"/>
      <c r="KEX93" s="15" t="n"/>
      <c r="KEY93" s="15" t="n"/>
      <c r="KEZ93" s="248" t="n"/>
      <c r="KFA93" s="248" t="n"/>
      <c r="KFB93" s="240" t="n"/>
      <c r="KFC93" s="240" t="n"/>
      <c r="KFE93" s="15" t="n"/>
      <c r="KFF93" s="15" t="n"/>
      <c r="KFG93" s="248" t="n"/>
      <c r="KFH93" s="248" t="n"/>
      <c r="KFI93" s="240" t="n"/>
      <c r="KFJ93" s="240" t="n"/>
      <c r="KFL93" s="15" t="n"/>
      <c r="KFM93" s="15" t="n"/>
      <c r="KFN93" s="248" t="n"/>
      <c r="KFO93" s="248" t="n"/>
      <c r="KFP93" s="240" t="n"/>
      <c r="KFQ93" s="240" t="n"/>
      <c r="KFS93" s="15" t="n"/>
      <c r="KFT93" s="15" t="n"/>
      <c r="KFU93" s="248" t="n"/>
      <c r="KFV93" s="248" t="n"/>
      <c r="KFW93" s="240" t="n"/>
      <c r="KFX93" s="240" t="n"/>
      <c r="KFZ93" s="15" t="n"/>
      <c r="KGA93" s="15" t="n"/>
      <c r="KGB93" s="248" t="n"/>
      <c r="KGC93" s="248" t="n"/>
      <c r="KGD93" s="240" t="n"/>
      <c r="KGE93" s="240" t="n"/>
      <c r="KGG93" s="15" t="n"/>
      <c r="KGH93" s="15" t="n"/>
      <c r="KGI93" s="248" t="n"/>
      <c r="KGJ93" s="248" t="n"/>
      <c r="KGK93" s="240" t="n"/>
      <c r="KGL93" s="240" t="n"/>
      <c r="KGN93" s="15" t="n"/>
      <c r="KGO93" s="15" t="n"/>
      <c r="KGP93" s="248" t="n"/>
      <c r="KGQ93" s="248" t="n"/>
      <c r="KGR93" s="240" t="n"/>
      <c r="KGS93" s="240" t="n"/>
      <c r="KGU93" s="15" t="n"/>
      <c r="KGV93" s="15" t="n"/>
      <c r="KGW93" s="248" t="n"/>
      <c r="KGX93" s="248" t="n"/>
      <c r="KGY93" s="240" t="n"/>
      <c r="KGZ93" s="240" t="n"/>
      <c r="KHB93" s="15" t="n"/>
      <c r="KHC93" s="15" t="n"/>
      <c r="KHD93" s="248" t="n"/>
      <c r="KHE93" s="248" t="n"/>
      <c r="KHF93" s="240" t="n"/>
      <c r="KHG93" s="240" t="n"/>
      <c r="KHI93" s="15" t="n"/>
      <c r="KHJ93" s="15" t="n"/>
      <c r="KHK93" s="248" t="n"/>
      <c r="KHL93" s="248" t="n"/>
      <c r="KHM93" s="240" t="n"/>
      <c r="KHN93" s="240" t="n"/>
      <c r="KHP93" s="15" t="n"/>
      <c r="KHQ93" s="15" t="n"/>
      <c r="KHR93" s="248" t="n"/>
      <c r="KHS93" s="248" t="n"/>
      <c r="KHT93" s="240" t="n"/>
      <c r="KHU93" s="240" t="n"/>
      <c r="KHW93" s="15" t="n"/>
      <c r="KHX93" s="15" t="n"/>
      <c r="KHY93" s="248" t="n"/>
      <c r="KHZ93" s="248" t="n"/>
      <c r="KIA93" s="240" t="n"/>
      <c r="KIB93" s="240" t="n"/>
      <c r="KID93" s="15" t="n"/>
      <c r="KIE93" s="15" t="n"/>
      <c r="KIF93" s="248" t="n"/>
      <c r="KIG93" s="248" t="n"/>
      <c r="KIH93" s="240" t="n"/>
      <c r="KII93" s="240" t="n"/>
      <c r="KIK93" s="15" t="n"/>
      <c r="KIL93" s="15" t="n"/>
      <c r="KIM93" s="248" t="n"/>
      <c r="KIN93" s="248" t="n"/>
      <c r="KIO93" s="240" t="n"/>
      <c r="KIP93" s="240" t="n"/>
      <c r="KIR93" s="15" t="n"/>
      <c r="KIS93" s="15" t="n"/>
      <c r="KIT93" s="248" t="n"/>
      <c r="KIU93" s="248" t="n"/>
      <c r="KIV93" s="240" t="n"/>
      <c r="KIW93" s="240" t="n"/>
      <c r="KIY93" s="15" t="n"/>
      <c r="KIZ93" s="15" t="n"/>
      <c r="KJA93" s="248" t="n"/>
      <c r="KJB93" s="248" t="n"/>
      <c r="KJC93" s="240" t="n"/>
      <c r="KJD93" s="240" t="n"/>
      <c r="KJF93" s="15" t="n"/>
      <c r="KJG93" s="15" t="n"/>
      <c r="KJH93" s="248" t="n"/>
      <c r="KJI93" s="248" t="n"/>
      <c r="KJJ93" s="240" t="n"/>
      <c r="KJK93" s="240" t="n"/>
      <c r="KJM93" s="15" t="n"/>
      <c r="KJN93" s="15" t="n"/>
      <c r="KJO93" s="248" t="n"/>
      <c r="KJP93" s="248" t="n"/>
      <c r="KJQ93" s="240" t="n"/>
      <c r="KJR93" s="240" t="n"/>
      <c r="KJT93" s="15" t="n"/>
      <c r="KJU93" s="15" t="n"/>
      <c r="KJV93" s="248" t="n"/>
      <c r="KJW93" s="248" t="n"/>
      <c r="KJX93" s="240" t="n"/>
      <c r="KJY93" s="240" t="n"/>
      <c r="KKA93" s="15" t="n"/>
      <c r="KKB93" s="15" t="n"/>
      <c r="KKC93" s="248" t="n"/>
      <c r="KKD93" s="248" t="n"/>
      <c r="KKE93" s="240" t="n"/>
      <c r="KKF93" s="240" t="n"/>
      <c r="KKH93" s="15" t="n"/>
      <c r="KKI93" s="15" t="n"/>
      <c r="KKJ93" s="248" t="n"/>
      <c r="KKK93" s="248" t="n"/>
      <c r="KKL93" s="240" t="n"/>
      <c r="KKM93" s="240" t="n"/>
      <c r="KKO93" s="15" t="n"/>
      <c r="KKP93" s="15" t="n"/>
      <c r="KKQ93" s="248" t="n"/>
      <c r="KKR93" s="248" t="n"/>
      <c r="KKS93" s="240" t="n"/>
      <c r="KKT93" s="240" t="n"/>
      <c r="KKV93" s="15" t="n"/>
      <c r="KKW93" s="15" t="n"/>
      <c r="KKX93" s="248" t="n"/>
      <c r="KKY93" s="248" t="n"/>
      <c r="KKZ93" s="240" t="n"/>
      <c r="KLA93" s="240" t="n"/>
      <c r="KLC93" s="15" t="n"/>
      <c r="KLD93" s="15" t="n"/>
      <c r="KLE93" s="248" t="n"/>
      <c r="KLF93" s="248" t="n"/>
      <c r="KLG93" s="240" t="n"/>
      <c r="KLH93" s="240" t="n"/>
      <c r="KLJ93" s="15" t="n"/>
      <c r="KLK93" s="15" t="n"/>
      <c r="KLL93" s="248" t="n"/>
      <c r="KLM93" s="248" t="n"/>
      <c r="KLN93" s="240" t="n"/>
      <c r="KLO93" s="240" t="n"/>
      <c r="KLQ93" s="15" t="n"/>
      <c r="KLR93" s="15" t="n"/>
      <c r="KLS93" s="248" t="n"/>
      <c r="KLT93" s="248" t="n"/>
      <c r="KLU93" s="240" t="n"/>
      <c r="KLV93" s="240" t="n"/>
      <c r="KLX93" s="15" t="n"/>
      <c r="KLY93" s="15" t="n"/>
      <c r="KLZ93" s="248" t="n"/>
      <c r="KMA93" s="248" t="n"/>
      <c r="KMB93" s="240" t="n"/>
      <c r="KMC93" s="240" t="n"/>
      <c r="KME93" s="15" t="n"/>
      <c r="KMF93" s="15" t="n"/>
      <c r="KMG93" s="248" t="n"/>
      <c r="KMH93" s="248" t="n"/>
      <c r="KMI93" s="240" t="n"/>
      <c r="KMJ93" s="240" t="n"/>
      <c r="KML93" s="15" t="n"/>
      <c r="KMM93" s="15" t="n"/>
      <c r="KMN93" s="248" t="n"/>
      <c r="KMO93" s="248" t="n"/>
      <c r="KMP93" s="240" t="n"/>
      <c r="KMQ93" s="240" t="n"/>
      <c r="KMS93" s="15" t="n"/>
      <c r="KMT93" s="15" t="n"/>
      <c r="KMU93" s="248" t="n"/>
      <c r="KMV93" s="248" t="n"/>
      <c r="KMW93" s="240" t="n"/>
      <c r="KMX93" s="240" t="n"/>
      <c r="KMZ93" s="15" t="n"/>
      <c r="KNA93" s="15" t="n"/>
      <c r="KNB93" s="248" t="n"/>
      <c r="KNC93" s="248" t="n"/>
      <c r="KND93" s="240" t="n"/>
      <c r="KNE93" s="240" t="n"/>
      <c r="KNG93" s="15" t="n"/>
      <c r="KNH93" s="15" t="n"/>
      <c r="KNI93" s="248" t="n"/>
      <c r="KNJ93" s="248" t="n"/>
      <c r="KNK93" s="240" t="n"/>
      <c r="KNL93" s="240" t="n"/>
      <c r="KNN93" s="15" t="n"/>
      <c r="KNO93" s="15" t="n"/>
      <c r="KNP93" s="248" t="n"/>
      <c r="KNQ93" s="248" t="n"/>
      <c r="KNR93" s="240" t="n"/>
      <c r="KNS93" s="240" t="n"/>
      <c r="KNU93" s="15" t="n"/>
      <c r="KNV93" s="15" t="n"/>
      <c r="KNW93" s="248" t="n"/>
      <c r="KNX93" s="248" t="n"/>
      <c r="KNY93" s="240" t="n"/>
      <c r="KNZ93" s="240" t="n"/>
      <c r="KOB93" s="15" t="n"/>
      <c r="KOC93" s="15" t="n"/>
      <c r="KOD93" s="248" t="n"/>
      <c r="KOE93" s="248" t="n"/>
      <c r="KOF93" s="240" t="n"/>
      <c r="KOG93" s="240" t="n"/>
      <c r="KOI93" s="15" t="n"/>
      <c r="KOJ93" s="15" t="n"/>
      <c r="KOK93" s="248" t="n"/>
      <c r="KOL93" s="248" t="n"/>
      <c r="KOM93" s="240" t="n"/>
      <c r="KON93" s="240" t="n"/>
      <c r="KOP93" s="15" t="n"/>
      <c r="KOQ93" s="15" t="n"/>
      <c r="KOR93" s="248" t="n"/>
      <c r="KOS93" s="248" t="n"/>
      <c r="KOT93" s="240" t="n"/>
      <c r="KOU93" s="240" t="n"/>
      <c r="KOW93" s="15" t="n"/>
      <c r="KOX93" s="15" t="n"/>
      <c r="KOY93" s="248" t="n"/>
      <c r="KOZ93" s="248" t="n"/>
      <c r="KPA93" s="240" t="n"/>
      <c r="KPB93" s="240" t="n"/>
      <c r="KPD93" s="15" t="n"/>
      <c r="KPE93" s="15" t="n"/>
      <c r="KPF93" s="248" t="n"/>
      <c r="KPG93" s="248" t="n"/>
      <c r="KPH93" s="240" t="n"/>
      <c r="KPI93" s="240" t="n"/>
      <c r="KPK93" s="15" t="n"/>
      <c r="KPL93" s="15" t="n"/>
      <c r="KPM93" s="248" t="n"/>
      <c r="KPN93" s="248" t="n"/>
      <c r="KPO93" s="240" t="n"/>
      <c r="KPP93" s="240" t="n"/>
      <c r="KPR93" s="15" t="n"/>
      <c r="KPS93" s="15" t="n"/>
      <c r="KPT93" s="248" t="n"/>
      <c r="KPU93" s="248" t="n"/>
      <c r="KPV93" s="240" t="n"/>
      <c r="KPW93" s="240" t="n"/>
      <c r="KPY93" s="15" t="n"/>
      <c r="KPZ93" s="15" t="n"/>
      <c r="KQA93" s="248" t="n"/>
      <c r="KQB93" s="248" t="n"/>
      <c r="KQC93" s="240" t="n"/>
      <c r="KQD93" s="240" t="n"/>
      <c r="KQF93" s="15" t="n"/>
      <c r="KQG93" s="15" t="n"/>
      <c r="KQH93" s="248" t="n"/>
      <c r="KQI93" s="248" t="n"/>
      <c r="KQJ93" s="240" t="n"/>
      <c r="KQK93" s="240" t="n"/>
      <c r="KQM93" s="15" t="n"/>
      <c r="KQN93" s="15" t="n"/>
      <c r="KQO93" s="248" t="n"/>
      <c r="KQP93" s="248" t="n"/>
      <c r="KQQ93" s="240" t="n"/>
      <c r="KQR93" s="240" t="n"/>
      <c r="KQT93" s="15" t="n"/>
      <c r="KQU93" s="15" t="n"/>
      <c r="KQV93" s="248" t="n"/>
      <c r="KQW93" s="248" t="n"/>
      <c r="KQX93" s="240" t="n"/>
      <c r="KQY93" s="240" t="n"/>
      <c r="KRA93" s="15" t="n"/>
      <c r="KRB93" s="15" t="n"/>
      <c r="KRC93" s="248" t="n"/>
      <c r="KRD93" s="248" t="n"/>
      <c r="KRE93" s="240" t="n"/>
      <c r="KRF93" s="240" t="n"/>
      <c r="KRH93" s="15" t="n"/>
      <c r="KRI93" s="15" t="n"/>
      <c r="KRJ93" s="248" t="n"/>
      <c r="KRK93" s="248" t="n"/>
      <c r="KRL93" s="240" t="n"/>
      <c r="KRM93" s="240" t="n"/>
      <c r="KRO93" s="15" t="n"/>
      <c r="KRP93" s="15" t="n"/>
      <c r="KRQ93" s="248" t="n"/>
      <c r="KRR93" s="248" t="n"/>
      <c r="KRS93" s="240" t="n"/>
      <c r="KRT93" s="240" t="n"/>
      <c r="KRV93" s="15" t="n"/>
      <c r="KRW93" s="15" t="n"/>
      <c r="KRX93" s="248" t="n"/>
      <c r="KRY93" s="248" t="n"/>
      <c r="KRZ93" s="240" t="n"/>
      <c r="KSA93" s="240" t="n"/>
      <c r="KSC93" s="15" t="n"/>
      <c r="KSD93" s="15" t="n"/>
      <c r="KSE93" s="248" t="n"/>
      <c r="KSF93" s="248" t="n"/>
      <c r="KSG93" s="240" t="n"/>
      <c r="KSH93" s="240" t="n"/>
      <c r="KSJ93" s="15" t="n"/>
      <c r="KSK93" s="15" t="n"/>
      <c r="KSL93" s="248" t="n"/>
      <c r="KSM93" s="248" t="n"/>
      <c r="KSN93" s="240" t="n"/>
      <c r="KSO93" s="240" t="n"/>
      <c r="KSQ93" s="15" t="n"/>
      <c r="KSR93" s="15" t="n"/>
      <c r="KSS93" s="248" t="n"/>
      <c r="KST93" s="248" t="n"/>
      <c r="KSU93" s="240" t="n"/>
      <c r="KSV93" s="240" t="n"/>
      <c r="KSX93" s="15" t="n"/>
      <c r="KSY93" s="15" t="n"/>
      <c r="KSZ93" s="248" t="n"/>
      <c r="KTA93" s="248" t="n"/>
      <c r="KTB93" s="240" t="n"/>
      <c r="KTC93" s="240" t="n"/>
      <c r="KTE93" s="15" t="n"/>
      <c r="KTF93" s="15" t="n"/>
      <c r="KTG93" s="248" t="n"/>
      <c r="KTH93" s="248" t="n"/>
      <c r="KTI93" s="240" t="n"/>
      <c r="KTJ93" s="240" t="n"/>
      <c r="KTL93" s="15" t="n"/>
      <c r="KTM93" s="15" t="n"/>
      <c r="KTN93" s="248" t="n"/>
      <c r="KTO93" s="248" t="n"/>
      <c r="KTP93" s="240" t="n"/>
      <c r="KTQ93" s="240" t="n"/>
      <c r="KTS93" s="15" t="n"/>
      <c r="KTT93" s="15" t="n"/>
      <c r="KTU93" s="248" t="n"/>
      <c r="KTV93" s="248" t="n"/>
      <c r="KTW93" s="240" t="n"/>
      <c r="KTX93" s="240" t="n"/>
      <c r="KTZ93" s="15" t="n"/>
      <c r="KUA93" s="15" t="n"/>
      <c r="KUB93" s="248" t="n"/>
      <c r="KUC93" s="248" t="n"/>
      <c r="KUD93" s="240" t="n"/>
      <c r="KUE93" s="240" t="n"/>
      <c r="KUG93" s="15" t="n"/>
      <c r="KUH93" s="15" t="n"/>
      <c r="KUI93" s="248" t="n"/>
      <c r="KUJ93" s="248" t="n"/>
      <c r="KUK93" s="240" t="n"/>
      <c r="KUL93" s="240" t="n"/>
      <c r="KUN93" s="15" t="n"/>
      <c r="KUO93" s="15" t="n"/>
      <c r="KUP93" s="248" t="n"/>
      <c r="KUQ93" s="248" t="n"/>
      <c r="KUR93" s="240" t="n"/>
      <c r="KUS93" s="240" t="n"/>
      <c r="KUU93" s="15" t="n"/>
      <c r="KUV93" s="15" t="n"/>
      <c r="KUW93" s="248" t="n"/>
      <c r="KUX93" s="248" t="n"/>
      <c r="KUY93" s="240" t="n"/>
      <c r="KUZ93" s="240" t="n"/>
      <c r="KVB93" s="15" t="n"/>
      <c r="KVC93" s="15" t="n"/>
      <c r="KVD93" s="248" t="n"/>
      <c r="KVE93" s="248" t="n"/>
      <c r="KVF93" s="240" t="n"/>
      <c r="KVG93" s="240" t="n"/>
      <c r="KVI93" s="15" t="n"/>
      <c r="KVJ93" s="15" t="n"/>
      <c r="KVK93" s="248" t="n"/>
      <c r="KVL93" s="248" t="n"/>
      <c r="KVM93" s="240" t="n"/>
      <c r="KVN93" s="240" t="n"/>
      <c r="KVP93" s="15" t="n"/>
      <c r="KVQ93" s="15" t="n"/>
      <c r="KVR93" s="248" t="n"/>
      <c r="KVS93" s="248" t="n"/>
      <c r="KVT93" s="240" t="n"/>
      <c r="KVU93" s="240" t="n"/>
      <c r="KVW93" s="15" t="n"/>
      <c r="KVX93" s="15" t="n"/>
      <c r="KVY93" s="248" t="n"/>
      <c r="KVZ93" s="248" t="n"/>
      <c r="KWA93" s="240" t="n"/>
      <c r="KWB93" s="240" t="n"/>
      <c r="KWD93" s="15" t="n"/>
      <c r="KWE93" s="15" t="n"/>
      <c r="KWF93" s="248" t="n"/>
      <c r="KWG93" s="248" t="n"/>
      <c r="KWH93" s="240" t="n"/>
      <c r="KWI93" s="240" t="n"/>
      <c r="KWK93" s="15" t="n"/>
      <c r="KWL93" s="15" t="n"/>
      <c r="KWM93" s="248" t="n"/>
      <c r="KWN93" s="248" t="n"/>
      <c r="KWO93" s="240" t="n"/>
      <c r="KWP93" s="240" t="n"/>
      <c r="KWR93" s="15" t="n"/>
      <c r="KWS93" s="15" t="n"/>
      <c r="KWT93" s="248" t="n"/>
      <c r="KWU93" s="248" t="n"/>
      <c r="KWV93" s="240" t="n"/>
      <c r="KWW93" s="240" t="n"/>
      <c r="KWY93" s="15" t="n"/>
      <c r="KWZ93" s="15" t="n"/>
      <c r="KXA93" s="248" t="n"/>
      <c r="KXB93" s="248" t="n"/>
      <c r="KXC93" s="240" t="n"/>
      <c r="KXD93" s="240" t="n"/>
      <c r="KXF93" s="15" t="n"/>
      <c r="KXG93" s="15" t="n"/>
      <c r="KXH93" s="248" t="n"/>
      <c r="KXI93" s="248" t="n"/>
      <c r="KXJ93" s="240" t="n"/>
      <c r="KXK93" s="240" t="n"/>
      <c r="KXM93" s="15" t="n"/>
      <c r="KXN93" s="15" t="n"/>
      <c r="KXO93" s="248" t="n"/>
      <c r="KXP93" s="248" t="n"/>
      <c r="KXQ93" s="240" t="n"/>
      <c r="KXR93" s="240" t="n"/>
      <c r="KXT93" s="15" t="n"/>
      <c r="KXU93" s="15" t="n"/>
      <c r="KXV93" s="248" t="n"/>
      <c r="KXW93" s="248" t="n"/>
      <c r="KXX93" s="240" t="n"/>
      <c r="KXY93" s="240" t="n"/>
      <c r="KYA93" s="15" t="n"/>
      <c r="KYB93" s="15" t="n"/>
      <c r="KYC93" s="248" t="n"/>
      <c r="KYD93" s="248" t="n"/>
      <c r="KYE93" s="240" t="n"/>
      <c r="KYF93" s="240" t="n"/>
      <c r="KYH93" s="15" t="n"/>
      <c r="KYI93" s="15" t="n"/>
      <c r="KYJ93" s="248" t="n"/>
      <c r="KYK93" s="248" t="n"/>
      <c r="KYL93" s="240" t="n"/>
      <c r="KYM93" s="240" t="n"/>
      <c r="KYO93" s="15" t="n"/>
      <c r="KYP93" s="15" t="n"/>
      <c r="KYQ93" s="248" t="n"/>
      <c r="KYR93" s="248" t="n"/>
      <c r="KYS93" s="240" t="n"/>
      <c r="KYT93" s="240" t="n"/>
      <c r="KYV93" s="15" t="n"/>
      <c r="KYW93" s="15" t="n"/>
      <c r="KYX93" s="248" t="n"/>
      <c r="KYY93" s="248" t="n"/>
      <c r="KYZ93" s="240" t="n"/>
      <c r="KZA93" s="240" t="n"/>
      <c r="KZC93" s="15" t="n"/>
      <c r="KZD93" s="15" t="n"/>
      <c r="KZE93" s="248" t="n"/>
      <c r="KZF93" s="248" t="n"/>
      <c r="KZG93" s="240" t="n"/>
      <c r="KZH93" s="240" t="n"/>
      <c r="KZJ93" s="15" t="n"/>
      <c r="KZK93" s="15" t="n"/>
      <c r="KZL93" s="248" t="n"/>
      <c r="KZM93" s="248" t="n"/>
      <c r="KZN93" s="240" t="n"/>
      <c r="KZO93" s="240" t="n"/>
      <c r="KZQ93" s="15" t="n"/>
      <c r="KZR93" s="15" t="n"/>
      <c r="KZS93" s="248" t="n"/>
      <c r="KZT93" s="248" t="n"/>
      <c r="KZU93" s="240" t="n"/>
      <c r="KZV93" s="240" t="n"/>
      <c r="KZX93" s="15" t="n"/>
      <c r="KZY93" s="15" t="n"/>
      <c r="KZZ93" s="248" t="n"/>
      <c r="LAA93" s="248" t="n"/>
      <c r="LAB93" s="240" t="n"/>
      <c r="LAC93" s="240" t="n"/>
      <c r="LAE93" s="15" t="n"/>
      <c r="LAF93" s="15" t="n"/>
      <c r="LAG93" s="248" t="n"/>
      <c r="LAH93" s="248" t="n"/>
      <c r="LAI93" s="240" t="n"/>
      <c r="LAJ93" s="240" t="n"/>
      <c r="LAL93" s="15" t="n"/>
      <c r="LAM93" s="15" t="n"/>
      <c r="LAN93" s="248" t="n"/>
      <c r="LAO93" s="248" t="n"/>
      <c r="LAP93" s="240" t="n"/>
      <c r="LAQ93" s="240" t="n"/>
      <c r="LAS93" s="15" t="n"/>
      <c r="LAT93" s="15" t="n"/>
      <c r="LAU93" s="248" t="n"/>
      <c r="LAV93" s="248" t="n"/>
      <c r="LAW93" s="240" t="n"/>
      <c r="LAX93" s="240" t="n"/>
      <c r="LAZ93" s="15" t="n"/>
      <c r="LBA93" s="15" t="n"/>
      <c r="LBB93" s="248" t="n"/>
      <c r="LBC93" s="248" t="n"/>
      <c r="LBD93" s="240" t="n"/>
      <c r="LBE93" s="240" t="n"/>
      <c r="LBG93" s="15" t="n"/>
      <c r="LBH93" s="15" t="n"/>
      <c r="LBI93" s="248" t="n"/>
      <c r="LBJ93" s="248" t="n"/>
      <c r="LBK93" s="240" t="n"/>
      <c r="LBL93" s="240" t="n"/>
      <c r="LBN93" s="15" t="n"/>
      <c r="LBO93" s="15" t="n"/>
      <c r="LBP93" s="248" t="n"/>
      <c r="LBQ93" s="248" t="n"/>
      <c r="LBR93" s="240" t="n"/>
      <c r="LBS93" s="240" t="n"/>
      <c r="LBU93" s="15" t="n"/>
      <c r="LBV93" s="15" t="n"/>
      <c r="LBW93" s="248" t="n"/>
      <c r="LBX93" s="248" t="n"/>
      <c r="LBY93" s="240" t="n"/>
      <c r="LBZ93" s="240" t="n"/>
      <c r="LCB93" s="15" t="n"/>
      <c r="LCC93" s="15" t="n"/>
      <c r="LCD93" s="248" t="n"/>
      <c r="LCE93" s="248" t="n"/>
      <c r="LCF93" s="240" t="n"/>
      <c r="LCG93" s="240" t="n"/>
      <c r="LCI93" s="15" t="n"/>
      <c r="LCJ93" s="15" t="n"/>
      <c r="LCK93" s="248" t="n"/>
      <c r="LCL93" s="248" t="n"/>
      <c r="LCM93" s="240" t="n"/>
      <c r="LCN93" s="240" t="n"/>
      <c r="LCP93" s="15" t="n"/>
      <c r="LCQ93" s="15" t="n"/>
      <c r="LCR93" s="248" t="n"/>
      <c r="LCS93" s="248" t="n"/>
      <c r="LCT93" s="240" t="n"/>
      <c r="LCU93" s="240" t="n"/>
      <c r="LCW93" s="15" t="n"/>
      <c r="LCX93" s="15" t="n"/>
      <c r="LCY93" s="248" t="n"/>
      <c r="LCZ93" s="248" t="n"/>
      <c r="LDA93" s="240" t="n"/>
      <c r="LDB93" s="240" t="n"/>
      <c r="LDD93" s="15" t="n"/>
      <c r="LDE93" s="15" t="n"/>
      <c r="LDF93" s="248" t="n"/>
      <c r="LDG93" s="248" t="n"/>
      <c r="LDH93" s="240" t="n"/>
      <c r="LDI93" s="240" t="n"/>
      <c r="LDK93" s="15" t="n"/>
      <c r="LDL93" s="15" t="n"/>
      <c r="LDM93" s="248" t="n"/>
      <c r="LDN93" s="248" t="n"/>
      <c r="LDO93" s="240" t="n"/>
      <c r="LDP93" s="240" t="n"/>
      <c r="LDR93" s="15" t="n"/>
      <c r="LDS93" s="15" t="n"/>
      <c r="LDT93" s="248" t="n"/>
      <c r="LDU93" s="248" t="n"/>
      <c r="LDV93" s="240" t="n"/>
      <c r="LDW93" s="240" t="n"/>
      <c r="LDY93" s="15" t="n"/>
      <c r="LDZ93" s="15" t="n"/>
      <c r="LEA93" s="248" t="n"/>
      <c r="LEB93" s="248" t="n"/>
      <c r="LEC93" s="240" t="n"/>
      <c r="LED93" s="240" t="n"/>
      <c r="LEF93" s="15" t="n"/>
      <c r="LEG93" s="15" t="n"/>
      <c r="LEH93" s="248" t="n"/>
      <c r="LEI93" s="248" t="n"/>
      <c r="LEJ93" s="240" t="n"/>
      <c r="LEK93" s="240" t="n"/>
      <c r="LEM93" s="15" t="n"/>
      <c r="LEN93" s="15" t="n"/>
      <c r="LEO93" s="248" t="n"/>
      <c r="LEP93" s="248" t="n"/>
      <c r="LEQ93" s="240" t="n"/>
      <c r="LER93" s="240" t="n"/>
      <c r="LET93" s="15" t="n"/>
      <c r="LEU93" s="15" t="n"/>
      <c r="LEV93" s="248" t="n"/>
      <c r="LEW93" s="248" t="n"/>
      <c r="LEX93" s="240" t="n"/>
      <c r="LEY93" s="240" t="n"/>
      <c r="LFA93" s="15" t="n"/>
      <c r="LFB93" s="15" t="n"/>
      <c r="LFC93" s="248" t="n"/>
      <c r="LFD93" s="248" t="n"/>
      <c r="LFE93" s="240" t="n"/>
      <c r="LFF93" s="240" t="n"/>
      <c r="LFH93" s="15" t="n"/>
      <c r="LFI93" s="15" t="n"/>
      <c r="LFJ93" s="248" t="n"/>
      <c r="LFK93" s="248" t="n"/>
      <c r="LFL93" s="240" t="n"/>
      <c r="LFM93" s="240" t="n"/>
      <c r="LFO93" s="15" t="n"/>
      <c r="LFP93" s="15" t="n"/>
      <c r="LFQ93" s="248" t="n"/>
      <c r="LFR93" s="248" t="n"/>
      <c r="LFS93" s="240" t="n"/>
      <c r="LFT93" s="240" t="n"/>
      <c r="LFV93" s="15" t="n"/>
      <c r="LFW93" s="15" t="n"/>
      <c r="LFX93" s="248" t="n"/>
      <c r="LFY93" s="248" t="n"/>
      <c r="LFZ93" s="240" t="n"/>
      <c r="LGA93" s="240" t="n"/>
      <c r="LGC93" s="15" t="n"/>
      <c r="LGD93" s="15" t="n"/>
      <c r="LGE93" s="248" t="n"/>
      <c r="LGF93" s="248" t="n"/>
      <c r="LGG93" s="240" t="n"/>
      <c r="LGH93" s="240" t="n"/>
      <c r="LGJ93" s="15" t="n"/>
      <c r="LGK93" s="15" t="n"/>
      <c r="LGL93" s="248" t="n"/>
      <c r="LGM93" s="248" t="n"/>
      <c r="LGN93" s="240" t="n"/>
      <c r="LGO93" s="240" t="n"/>
      <c r="LGQ93" s="15" t="n"/>
      <c r="LGR93" s="15" t="n"/>
      <c r="LGS93" s="248" t="n"/>
      <c r="LGT93" s="248" t="n"/>
      <c r="LGU93" s="240" t="n"/>
      <c r="LGV93" s="240" t="n"/>
      <c r="LGX93" s="15" t="n"/>
      <c r="LGY93" s="15" t="n"/>
      <c r="LGZ93" s="248" t="n"/>
      <c r="LHA93" s="248" t="n"/>
      <c r="LHB93" s="240" t="n"/>
      <c r="LHC93" s="240" t="n"/>
      <c r="LHE93" s="15" t="n"/>
      <c r="LHF93" s="15" t="n"/>
      <c r="LHG93" s="248" t="n"/>
      <c r="LHH93" s="248" t="n"/>
      <c r="LHI93" s="240" t="n"/>
      <c r="LHJ93" s="240" t="n"/>
      <c r="LHL93" s="15" t="n"/>
      <c r="LHM93" s="15" t="n"/>
      <c r="LHN93" s="248" t="n"/>
      <c r="LHO93" s="248" t="n"/>
      <c r="LHP93" s="240" t="n"/>
      <c r="LHQ93" s="240" t="n"/>
      <c r="LHS93" s="15" t="n"/>
      <c r="LHT93" s="15" t="n"/>
      <c r="LHU93" s="248" t="n"/>
      <c r="LHV93" s="248" t="n"/>
      <c r="LHW93" s="240" t="n"/>
      <c r="LHX93" s="240" t="n"/>
      <c r="LHZ93" s="15" t="n"/>
      <c r="LIA93" s="15" t="n"/>
      <c r="LIB93" s="248" t="n"/>
      <c r="LIC93" s="248" t="n"/>
      <c r="LID93" s="240" t="n"/>
      <c r="LIE93" s="240" t="n"/>
      <c r="LIG93" s="15" t="n"/>
      <c r="LIH93" s="15" t="n"/>
      <c r="LII93" s="248" t="n"/>
      <c r="LIJ93" s="248" t="n"/>
      <c r="LIK93" s="240" t="n"/>
      <c r="LIL93" s="240" t="n"/>
      <c r="LIN93" s="15" t="n"/>
      <c r="LIO93" s="15" t="n"/>
      <c r="LIP93" s="248" t="n"/>
      <c r="LIQ93" s="248" t="n"/>
      <c r="LIR93" s="240" t="n"/>
      <c r="LIS93" s="240" t="n"/>
      <c r="LIU93" s="15" t="n"/>
      <c r="LIV93" s="15" t="n"/>
      <c r="LIW93" s="248" t="n"/>
      <c r="LIX93" s="248" t="n"/>
      <c r="LIY93" s="240" t="n"/>
      <c r="LIZ93" s="240" t="n"/>
      <c r="LJB93" s="15" t="n"/>
      <c r="LJC93" s="15" t="n"/>
      <c r="LJD93" s="248" t="n"/>
      <c r="LJE93" s="248" t="n"/>
      <c r="LJF93" s="240" t="n"/>
      <c r="LJG93" s="240" t="n"/>
      <c r="LJI93" s="15" t="n"/>
      <c r="LJJ93" s="15" t="n"/>
      <c r="LJK93" s="248" t="n"/>
      <c r="LJL93" s="248" t="n"/>
      <c r="LJM93" s="240" t="n"/>
      <c r="LJN93" s="240" t="n"/>
      <c r="LJP93" s="15" t="n"/>
      <c r="LJQ93" s="15" t="n"/>
      <c r="LJR93" s="248" t="n"/>
      <c r="LJS93" s="248" t="n"/>
      <c r="LJT93" s="240" t="n"/>
      <c r="LJU93" s="240" t="n"/>
      <c r="LJW93" s="15" t="n"/>
      <c r="LJX93" s="15" t="n"/>
      <c r="LJY93" s="248" t="n"/>
      <c r="LJZ93" s="248" t="n"/>
      <c r="LKA93" s="240" t="n"/>
      <c r="LKB93" s="240" t="n"/>
      <c r="LKD93" s="15" t="n"/>
      <c r="LKE93" s="15" t="n"/>
      <c r="LKF93" s="248" t="n"/>
      <c r="LKG93" s="248" t="n"/>
      <c r="LKH93" s="240" t="n"/>
      <c r="LKI93" s="240" t="n"/>
      <c r="LKK93" s="15" t="n"/>
      <c r="LKL93" s="15" t="n"/>
      <c r="LKM93" s="248" t="n"/>
      <c r="LKN93" s="248" t="n"/>
      <c r="LKO93" s="240" t="n"/>
      <c r="LKP93" s="240" t="n"/>
      <c r="LKR93" s="15" t="n"/>
      <c r="LKS93" s="15" t="n"/>
      <c r="LKT93" s="248" t="n"/>
      <c r="LKU93" s="248" t="n"/>
      <c r="LKV93" s="240" t="n"/>
      <c r="LKW93" s="240" t="n"/>
      <c r="LKY93" s="15" t="n"/>
      <c r="LKZ93" s="15" t="n"/>
      <c r="LLA93" s="248" t="n"/>
      <c r="LLB93" s="248" t="n"/>
      <c r="LLC93" s="240" t="n"/>
      <c r="LLD93" s="240" t="n"/>
      <c r="LLF93" s="15" t="n"/>
      <c r="LLG93" s="15" t="n"/>
      <c r="LLH93" s="248" t="n"/>
      <c r="LLI93" s="248" t="n"/>
      <c r="LLJ93" s="240" t="n"/>
      <c r="LLK93" s="240" t="n"/>
      <c r="LLM93" s="15" t="n"/>
      <c r="LLN93" s="15" t="n"/>
      <c r="LLO93" s="248" t="n"/>
      <c r="LLP93" s="248" t="n"/>
      <c r="LLQ93" s="240" t="n"/>
      <c r="LLR93" s="240" t="n"/>
      <c r="LLT93" s="15" t="n"/>
      <c r="LLU93" s="15" t="n"/>
      <c r="LLV93" s="248" t="n"/>
      <c r="LLW93" s="248" t="n"/>
      <c r="LLX93" s="240" t="n"/>
      <c r="LLY93" s="240" t="n"/>
      <c r="LMA93" s="15" t="n"/>
      <c r="LMB93" s="15" t="n"/>
      <c r="LMC93" s="248" t="n"/>
      <c r="LMD93" s="248" t="n"/>
      <c r="LME93" s="240" t="n"/>
      <c r="LMF93" s="240" t="n"/>
      <c r="LMH93" s="15" t="n"/>
      <c r="LMI93" s="15" t="n"/>
      <c r="LMJ93" s="248" t="n"/>
      <c r="LMK93" s="248" t="n"/>
      <c r="LML93" s="240" t="n"/>
      <c r="LMM93" s="240" t="n"/>
      <c r="LMO93" s="15" t="n"/>
      <c r="LMP93" s="15" t="n"/>
      <c r="LMQ93" s="248" t="n"/>
      <c r="LMR93" s="248" t="n"/>
      <c r="LMS93" s="240" t="n"/>
      <c r="LMT93" s="240" t="n"/>
      <c r="LMV93" s="15" t="n"/>
      <c r="LMW93" s="15" t="n"/>
      <c r="LMX93" s="248" t="n"/>
      <c r="LMY93" s="248" t="n"/>
      <c r="LMZ93" s="240" t="n"/>
      <c r="LNA93" s="240" t="n"/>
      <c r="LNC93" s="15" t="n"/>
      <c r="LND93" s="15" t="n"/>
      <c r="LNE93" s="248" t="n"/>
      <c r="LNF93" s="248" t="n"/>
      <c r="LNG93" s="240" t="n"/>
      <c r="LNH93" s="240" t="n"/>
      <c r="LNJ93" s="15" t="n"/>
      <c r="LNK93" s="15" t="n"/>
      <c r="LNL93" s="248" t="n"/>
      <c r="LNM93" s="248" t="n"/>
      <c r="LNN93" s="240" t="n"/>
      <c r="LNO93" s="240" t="n"/>
      <c r="LNQ93" s="15" t="n"/>
      <c r="LNR93" s="15" t="n"/>
      <c r="LNS93" s="248" t="n"/>
      <c r="LNT93" s="248" t="n"/>
      <c r="LNU93" s="240" t="n"/>
      <c r="LNV93" s="240" t="n"/>
      <c r="LNX93" s="15" t="n"/>
      <c r="LNY93" s="15" t="n"/>
      <c r="LNZ93" s="248" t="n"/>
      <c r="LOA93" s="248" t="n"/>
      <c r="LOB93" s="240" t="n"/>
      <c r="LOC93" s="240" t="n"/>
      <c r="LOE93" s="15" t="n"/>
      <c r="LOF93" s="15" t="n"/>
      <c r="LOG93" s="248" t="n"/>
      <c r="LOH93" s="248" t="n"/>
      <c r="LOI93" s="240" t="n"/>
      <c r="LOJ93" s="240" t="n"/>
      <c r="LOL93" s="15" t="n"/>
      <c r="LOM93" s="15" t="n"/>
      <c r="LON93" s="248" t="n"/>
      <c r="LOO93" s="248" t="n"/>
      <c r="LOP93" s="240" t="n"/>
      <c r="LOQ93" s="240" t="n"/>
      <c r="LOS93" s="15" t="n"/>
      <c r="LOT93" s="15" t="n"/>
      <c r="LOU93" s="248" t="n"/>
      <c r="LOV93" s="248" t="n"/>
      <c r="LOW93" s="240" t="n"/>
      <c r="LOX93" s="240" t="n"/>
      <c r="LOZ93" s="15" t="n"/>
      <c r="LPA93" s="15" t="n"/>
      <c r="LPB93" s="248" t="n"/>
      <c r="LPC93" s="248" t="n"/>
      <c r="LPD93" s="240" t="n"/>
      <c r="LPE93" s="240" t="n"/>
      <c r="LPG93" s="15" t="n"/>
      <c r="LPH93" s="15" t="n"/>
      <c r="LPI93" s="248" t="n"/>
      <c r="LPJ93" s="248" t="n"/>
      <c r="LPK93" s="240" t="n"/>
      <c r="LPL93" s="240" t="n"/>
      <c r="LPN93" s="15" t="n"/>
      <c r="LPO93" s="15" t="n"/>
      <c r="LPP93" s="248" t="n"/>
      <c r="LPQ93" s="248" t="n"/>
      <c r="LPR93" s="240" t="n"/>
      <c r="LPS93" s="240" t="n"/>
      <c r="LPU93" s="15" t="n"/>
      <c r="LPV93" s="15" t="n"/>
      <c r="LPW93" s="248" t="n"/>
      <c r="LPX93" s="248" t="n"/>
      <c r="LPY93" s="240" t="n"/>
      <c r="LPZ93" s="240" t="n"/>
      <c r="LQB93" s="15" t="n"/>
      <c r="LQC93" s="15" t="n"/>
      <c r="LQD93" s="248" t="n"/>
      <c r="LQE93" s="248" t="n"/>
      <c r="LQF93" s="240" t="n"/>
      <c r="LQG93" s="240" t="n"/>
      <c r="LQI93" s="15" t="n"/>
      <c r="LQJ93" s="15" t="n"/>
      <c r="LQK93" s="248" t="n"/>
      <c r="LQL93" s="248" t="n"/>
      <c r="LQM93" s="240" t="n"/>
      <c r="LQN93" s="240" t="n"/>
      <c r="LQP93" s="15" t="n"/>
      <c r="LQQ93" s="15" t="n"/>
      <c r="LQR93" s="248" t="n"/>
      <c r="LQS93" s="248" t="n"/>
      <c r="LQT93" s="240" t="n"/>
      <c r="LQU93" s="240" t="n"/>
      <c r="LQW93" s="15" t="n"/>
      <c r="LQX93" s="15" t="n"/>
      <c r="LQY93" s="248" t="n"/>
      <c r="LQZ93" s="248" t="n"/>
      <c r="LRA93" s="240" t="n"/>
      <c r="LRB93" s="240" t="n"/>
      <c r="LRD93" s="15" t="n"/>
      <c r="LRE93" s="15" t="n"/>
      <c r="LRF93" s="248" t="n"/>
      <c r="LRG93" s="248" t="n"/>
      <c r="LRH93" s="240" t="n"/>
      <c r="LRI93" s="240" t="n"/>
      <c r="LRK93" s="15" t="n"/>
      <c r="LRL93" s="15" t="n"/>
      <c r="LRM93" s="248" t="n"/>
      <c r="LRN93" s="248" t="n"/>
      <c r="LRO93" s="240" t="n"/>
      <c r="LRP93" s="240" t="n"/>
      <c r="LRR93" s="15" t="n"/>
      <c r="LRS93" s="15" t="n"/>
      <c r="LRT93" s="248" t="n"/>
      <c r="LRU93" s="248" t="n"/>
      <c r="LRV93" s="240" t="n"/>
      <c r="LRW93" s="240" t="n"/>
      <c r="LRY93" s="15" t="n"/>
      <c r="LRZ93" s="15" t="n"/>
      <c r="LSA93" s="248" t="n"/>
      <c r="LSB93" s="248" t="n"/>
      <c r="LSC93" s="240" t="n"/>
      <c r="LSD93" s="240" t="n"/>
      <c r="LSF93" s="15" t="n"/>
      <c r="LSG93" s="15" t="n"/>
      <c r="LSH93" s="248" t="n"/>
      <c r="LSI93" s="248" t="n"/>
      <c r="LSJ93" s="240" t="n"/>
      <c r="LSK93" s="240" t="n"/>
      <c r="LSM93" s="15" t="n"/>
      <c r="LSN93" s="15" t="n"/>
      <c r="LSO93" s="248" t="n"/>
      <c r="LSP93" s="248" t="n"/>
      <c r="LSQ93" s="240" t="n"/>
      <c r="LSR93" s="240" t="n"/>
      <c r="LST93" s="15" t="n"/>
      <c r="LSU93" s="15" t="n"/>
      <c r="LSV93" s="248" t="n"/>
      <c r="LSW93" s="248" t="n"/>
      <c r="LSX93" s="240" t="n"/>
      <c r="LSY93" s="240" t="n"/>
      <c r="LTA93" s="15" t="n"/>
      <c r="LTB93" s="15" t="n"/>
      <c r="LTC93" s="248" t="n"/>
      <c r="LTD93" s="248" t="n"/>
      <c r="LTE93" s="240" t="n"/>
      <c r="LTF93" s="240" t="n"/>
      <c r="LTH93" s="15" t="n"/>
      <c r="LTI93" s="15" t="n"/>
      <c r="LTJ93" s="248" t="n"/>
      <c r="LTK93" s="248" t="n"/>
      <c r="LTL93" s="240" t="n"/>
      <c r="LTM93" s="240" t="n"/>
      <c r="LTO93" s="15" t="n"/>
      <c r="LTP93" s="15" t="n"/>
      <c r="LTQ93" s="248" t="n"/>
      <c r="LTR93" s="248" t="n"/>
      <c r="LTS93" s="240" t="n"/>
      <c r="LTT93" s="240" t="n"/>
      <c r="LTV93" s="15" t="n"/>
      <c r="LTW93" s="15" t="n"/>
      <c r="LTX93" s="248" t="n"/>
      <c r="LTY93" s="248" t="n"/>
      <c r="LTZ93" s="240" t="n"/>
      <c r="LUA93" s="240" t="n"/>
      <c r="LUC93" s="15" t="n"/>
      <c r="LUD93" s="15" t="n"/>
      <c r="LUE93" s="248" t="n"/>
      <c r="LUF93" s="248" t="n"/>
      <c r="LUG93" s="240" t="n"/>
      <c r="LUH93" s="240" t="n"/>
      <c r="LUJ93" s="15" t="n"/>
      <c r="LUK93" s="15" t="n"/>
      <c r="LUL93" s="248" t="n"/>
      <c r="LUM93" s="248" t="n"/>
      <c r="LUN93" s="240" t="n"/>
      <c r="LUO93" s="240" t="n"/>
      <c r="LUQ93" s="15" t="n"/>
      <c r="LUR93" s="15" t="n"/>
      <c r="LUS93" s="248" t="n"/>
      <c r="LUT93" s="248" t="n"/>
      <c r="LUU93" s="240" t="n"/>
      <c r="LUV93" s="240" t="n"/>
      <c r="LUX93" s="15" t="n"/>
      <c r="LUY93" s="15" t="n"/>
      <c r="LUZ93" s="248" t="n"/>
      <c r="LVA93" s="248" t="n"/>
      <c r="LVB93" s="240" t="n"/>
      <c r="LVC93" s="240" t="n"/>
      <c r="LVE93" s="15" t="n"/>
      <c r="LVF93" s="15" t="n"/>
      <c r="LVG93" s="248" t="n"/>
      <c r="LVH93" s="248" t="n"/>
      <c r="LVI93" s="240" t="n"/>
      <c r="LVJ93" s="240" t="n"/>
      <c r="LVL93" s="15" t="n"/>
      <c r="LVM93" s="15" t="n"/>
      <c r="LVN93" s="248" t="n"/>
      <c r="LVO93" s="248" t="n"/>
      <c r="LVP93" s="240" t="n"/>
      <c r="LVQ93" s="240" t="n"/>
      <c r="LVS93" s="15" t="n"/>
      <c r="LVT93" s="15" t="n"/>
      <c r="LVU93" s="248" t="n"/>
      <c r="LVV93" s="248" t="n"/>
      <c r="LVW93" s="240" t="n"/>
      <c r="LVX93" s="240" t="n"/>
      <c r="LVZ93" s="15" t="n"/>
      <c r="LWA93" s="15" t="n"/>
      <c r="LWB93" s="248" t="n"/>
      <c r="LWC93" s="248" t="n"/>
      <c r="LWD93" s="240" t="n"/>
      <c r="LWE93" s="240" t="n"/>
      <c r="LWG93" s="15" t="n"/>
      <c r="LWH93" s="15" t="n"/>
      <c r="LWI93" s="248" t="n"/>
      <c r="LWJ93" s="248" t="n"/>
      <c r="LWK93" s="240" t="n"/>
      <c r="LWL93" s="240" t="n"/>
      <c r="LWN93" s="15" t="n"/>
      <c r="LWO93" s="15" t="n"/>
      <c r="LWP93" s="248" t="n"/>
      <c r="LWQ93" s="248" t="n"/>
      <c r="LWR93" s="240" t="n"/>
      <c r="LWS93" s="240" t="n"/>
      <c r="LWU93" s="15" t="n"/>
      <c r="LWV93" s="15" t="n"/>
      <c r="LWW93" s="248" t="n"/>
      <c r="LWX93" s="248" t="n"/>
      <c r="LWY93" s="240" t="n"/>
      <c r="LWZ93" s="240" t="n"/>
      <c r="LXB93" s="15" t="n"/>
      <c r="LXC93" s="15" t="n"/>
      <c r="LXD93" s="248" t="n"/>
      <c r="LXE93" s="248" t="n"/>
      <c r="LXF93" s="240" t="n"/>
      <c r="LXG93" s="240" t="n"/>
      <c r="LXI93" s="15" t="n"/>
      <c r="LXJ93" s="15" t="n"/>
      <c r="LXK93" s="248" t="n"/>
      <c r="LXL93" s="248" t="n"/>
      <c r="LXM93" s="240" t="n"/>
      <c r="LXN93" s="240" t="n"/>
      <c r="LXP93" s="15" t="n"/>
      <c r="LXQ93" s="15" t="n"/>
      <c r="LXR93" s="248" t="n"/>
      <c r="LXS93" s="248" t="n"/>
      <c r="LXT93" s="240" t="n"/>
      <c r="LXU93" s="240" t="n"/>
      <c r="LXW93" s="15" t="n"/>
      <c r="LXX93" s="15" t="n"/>
      <c r="LXY93" s="248" t="n"/>
      <c r="LXZ93" s="248" t="n"/>
      <c r="LYA93" s="240" t="n"/>
      <c r="LYB93" s="240" t="n"/>
      <c r="LYD93" s="15" t="n"/>
      <c r="LYE93" s="15" t="n"/>
      <c r="LYF93" s="248" t="n"/>
      <c r="LYG93" s="248" t="n"/>
      <c r="LYH93" s="240" t="n"/>
      <c r="LYI93" s="240" t="n"/>
      <c r="LYK93" s="15" t="n"/>
      <c r="LYL93" s="15" t="n"/>
      <c r="LYM93" s="248" t="n"/>
      <c r="LYN93" s="248" t="n"/>
      <c r="LYO93" s="240" t="n"/>
      <c r="LYP93" s="240" t="n"/>
      <c r="LYR93" s="15" t="n"/>
      <c r="LYS93" s="15" t="n"/>
      <c r="LYT93" s="248" t="n"/>
      <c r="LYU93" s="248" t="n"/>
      <c r="LYV93" s="240" t="n"/>
      <c r="LYW93" s="240" t="n"/>
      <c r="LYY93" s="15" t="n"/>
      <c r="LYZ93" s="15" t="n"/>
      <c r="LZA93" s="248" t="n"/>
      <c r="LZB93" s="248" t="n"/>
      <c r="LZC93" s="240" t="n"/>
      <c r="LZD93" s="240" t="n"/>
      <c r="LZF93" s="15" t="n"/>
      <c r="LZG93" s="15" t="n"/>
      <c r="LZH93" s="248" t="n"/>
      <c r="LZI93" s="248" t="n"/>
      <c r="LZJ93" s="240" t="n"/>
      <c r="LZK93" s="240" t="n"/>
      <c r="LZM93" s="15" t="n"/>
      <c r="LZN93" s="15" t="n"/>
      <c r="LZO93" s="248" t="n"/>
      <c r="LZP93" s="248" t="n"/>
      <c r="LZQ93" s="240" t="n"/>
      <c r="LZR93" s="240" t="n"/>
      <c r="LZT93" s="15" t="n"/>
      <c r="LZU93" s="15" t="n"/>
      <c r="LZV93" s="248" t="n"/>
      <c r="LZW93" s="248" t="n"/>
      <c r="LZX93" s="240" t="n"/>
      <c r="LZY93" s="240" t="n"/>
      <c r="MAA93" s="15" t="n"/>
      <c r="MAB93" s="15" t="n"/>
      <c r="MAC93" s="248" t="n"/>
      <c r="MAD93" s="248" t="n"/>
      <c r="MAE93" s="240" t="n"/>
      <c r="MAF93" s="240" t="n"/>
      <c r="MAH93" s="15" t="n"/>
      <c r="MAI93" s="15" t="n"/>
      <c r="MAJ93" s="248" t="n"/>
      <c r="MAK93" s="248" t="n"/>
      <c r="MAL93" s="240" t="n"/>
      <c r="MAM93" s="240" t="n"/>
      <c r="MAO93" s="15" t="n"/>
      <c r="MAP93" s="15" t="n"/>
      <c r="MAQ93" s="248" t="n"/>
      <c r="MAR93" s="248" t="n"/>
      <c r="MAS93" s="240" t="n"/>
      <c r="MAT93" s="240" t="n"/>
      <c r="MAV93" s="15" t="n"/>
      <c r="MAW93" s="15" t="n"/>
      <c r="MAX93" s="248" t="n"/>
      <c r="MAY93" s="248" t="n"/>
      <c r="MAZ93" s="240" t="n"/>
      <c r="MBA93" s="240" t="n"/>
      <c r="MBC93" s="15" t="n"/>
      <c r="MBD93" s="15" t="n"/>
      <c r="MBE93" s="248" t="n"/>
      <c r="MBF93" s="248" t="n"/>
      <c r="MBG93" s="240" t="n"/>
      <c r="MBH93" s="240" t="n"/>
      <c r="MBJ93" s="15" t="n"/>
      <c r="MBK93" s="15" t="n"/>
      <c r="MBL93" s="248" t="n"/>
      <c r="MBM93" s="248" t="n"/>
      <c r="MBN93" s="240" t="n"/>
      <c r="MBO93" s="240" t="n"/>
      <c r="MBQ93" s="15" t="n"/>
      <c r="MBR93" s="15" t="n"/>
      <c r="MBS93" s="248" t="n"/>
      <c r="MBT93" s="248" t="n"/>
      <c r="MBU93" s="240" t="n"/>
      <c r="MBV93" s="240" t="n"/>
      <c r="MBX93" s="15" t="n"/>
      <c r="MBY93" s="15" t="n"/>
      <c r="MBZ93" s="248" t="n"/>
      <c r="MCA93" s="248" t="n"/>
      <c r="MCB93" s="240" t="n"/>
      <c r="MCC93" s="240" t="n"/>
      <c r="MCE93" s="15" t="n"/>
      <c r="MCF93" s="15" t="n"/>
      <c r="MCG93" s="248" t="n"/>
      <c r="MCH93" s="248" t="n"/>
      <c r="MCI93" s="240" t="n"/>
      <c r="MCJ93" s="240" t="n"/>
      <c r="MCL93" s="15" t="n"/>
      <c r="MCM93" s="15" t="n"/>
      <c r="MCN93" s="248" t="n"/>
      <c r="MCO93" s="248" t="n"/>
      <c r="MCP93" s="240" t="n"/>
      <c r="MCQ93" s="240" t="n"/>
      <c r="MCS93" s="15" t="n"/>
      <c r="MCT93" s="15" t="n"/>
      <c r="MCU93" s="248" t="n"/>
      <c r="MCV93" s="248" t="n"/>
      <c r="MCW93" s="240" t="n"/>
      <c r="MCX93" s="240" t="n"/>
      <c r="MCZ93" s="15" t="n"/>
      <c r="MDA93" s="15" t="n"/>
      <c r="MDB93" s="248" t="n"/>
      <c r="MDC93" s="248" t="n"/>
      <c r="MDD93" s="240" t="n"/>
      <c r="MDE93" s="240" t="n"/>
      <c r="MDG93" s="15" t="n"/>
      <c r="MDH93" s="15" t="n"/>
      <c r="MDI93" s="248" t="n"/>
      <c r="MDJ93" s="248" t="n"/>
      <c r="MDK93" s="240" t="n"/>
      <c r="MDL93" s="240" t="n"/>
      <c r="MDN93" s="15" t="n"/>
      <c r="MDO93" s="15" t="n"/>
      <c r="MDP93" s="248" t="n"/>
      <c r="MDQ93" s="248" t="n"/>
      <c r="MDR93" s="240" t="n"/>
      <c r="MDS93" s="240" t="n"/>
      <c r="MDU93" s="15" t="n"/>
      <c r="MDV93" s="15" t="n"/>
      <c r="MDW93" s="248" t="n"/>
      <c r="MDX93" s="248" t="n"/>
      <c r="MDY93" s="240" t="n"/>
      <c r="MDZ93" s="240" t="n"/>
      <c r="MEB93" s="15" t="n"/>
      <c r="MEC93" s="15" t="n"/>
      <c r="MED93" s="248" t="n"/>
      <c r="MEE93" s="248" t="n"/>
      <c r="MEF93" s="240" t="n"/>
      <c r="MEG93" s="240" t="n"/>
      <c r="MEI93" s="15" t="n"/>
      <c r="MEJ93" s="15" t="n"/>
      <c r="MEK93" s="248" t="n"/>
      <c r="MEL93" s="248" t="n"/>
      <c r="MEM93" s="240" t="n"/>
      <c r="MEN93" s="240" t="n"/>
      <c r="MEP93" s="15" t="n"/>
      <c r="MEQ93" s="15" t="n"/>
      <c r="MER93" s="248" t="n"/>
      <c r="MES93" s="248" t="n"/>
      <c r="MET93" s="240" t="n"/>
      <c r="MEU93" s="240" t="n"/>
      <c r="MEW93" s="15" t="n"/>
      <c r="MEX93" s="15" t="n"/>
      <c r="MEY93" s="248" t="n"/>
      <c r="MEZ93" s="248" t="n"/>
      <c r="MFA93" s="240" t="n"/>
      <c r="MFB93" s="240" t="n"/>
      <c r="MFD93" s="15" t="n"/>
      <c r="MFE93" s="15" t="n"/>
      <c r="MFF93" s="248" t="n"/>
      <c r="MFG93" s="248" t="n"/>
      <c r="MFH93" s="240" t="n"/>
      <c r="MFI93" s="240" t="n"/>
      <c r="MFK93" s="15" t="n"/>
      <c r="MFL93" s="15" t="n"/>
      <c r="MFM93" s="248" t="n"/>
      <c r="MFN93" s="248" t="n"/>
      <c r="MFO93" s="240" t="n"/>
      <c r="MFP93" s="240" t="n"/>
      <c r="MFR93" s="15" t="n"/>
      <c r="MFS93" s="15" t="n"/>
      <c r="MFT93" s="248" t="n"/>
      <c r="MFU93" s="248" t="n"/>
      <c r="MFV93" s="240" t="n"/>
      <c r="MFW93" s="240" t="n"/>
      <c r="MFY93" s="15" t="n"/>
      <c r="MFZ93" s="15" t="n"/>
      <c r="MGA93" s="248" t="n"/>
      <c r="MGB93" s="248" t="n"/>
      <c r="MGC93" s="240" t="n"/>
      <c r="MGD93" s="240" t="n"/>
      <c r="MGF93" s="15" t="n"/>
      <c r="MGG93" s="15" t="n"/>
      <c r="MGH93" s="248" t="n"/>
      <c r="MGI93" s="248" t="n"/>
      <c r="MGJ93" s="240" t="n"/>
      <c r="MGK93" s="240" t="n"/>
      <c r="MGM93" s="15" t="n"/>
      <c r="MGN93" s="15" t="n"/>
      <c r="MGO93" s="248" t="n"/>
      <c r="MGP93" s="248" t="n"/>
      <c r="MGQ93" s="240" t="n"/>
      <c r="MGR93" s="240" t="n"/>
      <c r="MGT93" s="15" t="n"/>
      <c r="MGU93" s="15" t="n"/>
      <c r="MGV93" s="248" t="n"/>
      <c r="MGW93" s="248" t="n"/>
      <c r="MGX93" s="240" t="n"/>
      <c r="MGY93" s="240" t="n"/>
      <c r="MHA93" s="15" t="n"/>
      <c r="MHB93" s="15" t="n"/>
      <c r="MHC93" s="248" t="n"/>
      <c r="MHD93" s="248" t="n"/>
      <c r="MHE93" s="240" t="n"/>
      <c r="MHF93" s="240" t="n"/>
      <c r="MHH93" s="15" t="n"/>
      <c r="MHI93" s="15" t="n"/>
      <c r="MHJ93" s="248" t="n"/>
      <c r="MHK93" s="248" t="n"/>
      <c r="MHL93" s="240" t="n"/>
      <c r="MHM93" s="240" t="n"/>
      <c r="MHO93" s="15" t="n"/>
      <c r="MHP93" s="15" t="n"/>
      <c r="MHQ93" s="248" t="n"/>
      <c r="MHR93" s="248" t="n"/>
      <c r="MHS93" s="240" t="n"/>
      <c r="MHT93" s="240" t="n"/>
      <c r="MHV93" s="15" t="n"/>
      <c r="MHW93" s="15" t="n"/>
      <c r="MHX93" s="248" t="n"/>
      <c r="MHY93" s="248" t="n"/>
      <c r="MHZ93" s="240" t="n"/>
      <c r="MIA93" s="240" t="n"/>
      <c r="MIC93" s="15" t="n"/>
      <c r="MID93" s="15" t="n"/>
      <c r="MIE93" s="248" t="n"/>
      <c r="MIF93" s="248" t="n"/>
      <c r="MIG93" s="240" t="n"/>
      <c r="MIH93" s="240" t="n"/>
      <c r="MIJ93" s="15" t="n"/>
      <c r="MIK93" s="15" t="n"/>
      <c r="MIL93" s="248" t="n"/>
      <c r="MIM93" s="248" t="n"/>
      <c r="MIN93" s="240" t="n"/>
      <c r="MIO93" s="240" t="n"/>
      <c r="MIQ93" s="15" t="n"/>
      <c r="MIR93" s="15" t="n"/>
      <c r="MIS93" s="248" t="n"/>
      <c r="MIT93" s="248" t="n"/>
      <c r="MIU93" s="240" t="n"/>
      <c r="MIV93" s="240" t="n"/>
      <c r="MIX93" s="15" t="n"/>
      <c r="MIY93" s="15" t="n"/>
      <c r="MIZ93" s="248" t="n"/>
      <c r="MJA93" s="248" t="n"/>
      <c r="MJB93" s="240" t="n"/>
      <c r="MJC93" s="240" t="n"/>
      <c r="MJE93" s="15" t="n"/>
      <c r="MJF93" s="15" t="n"/>
      <c r="MJG93" s="248" t="n"/>
      <c r="MJH93" s="248" t="n"/>
      <c r="MJI93" s="240" t="n"/>
      <c r="MJJ93" s="240" t="n"/>
      <c r="MJL93" s="15" t="n"/>
      <c r="MJM93" s="15" t="n"/>
      <c r="MJN93" s="248" t="n"/>
      <c r="MJO93" s="248" t="n"/>
      <c r="MJP93" s="240" t="n"/>
      <c r="MJQ93" s="240" t="n"/>
      <c r="MJS93" s="15" t="n"/>
      <c r="MJT93" s="15" t="n"/>
      <c r="MJU93" s="248" t="n"/>
      <c r="MJV93" s="248" t="n"/>
      <c r="MJW93" s="240" t="n"/>
      <c r="MJX93" s="240" t="n"/>
      <c r="MJZ93" s="15" t="n"/>
      <c r="MKA93" s="15" t="n"/>
      <c r="MKB93" s="248" t="n"/>
      <c r="MKC93" s="248" t="n"/>
      <c r="MKD93" s="240" t="n"/>
      <c r="MKE93" s="240" t="n"/>
      <c r="MKG93" s="15" t="n"/>
      <c r="MKH93" s="15" t="n"/>
      <c r="MKI93" s="248" t="n"/>
      <c r="MKJ93" s="248" t="n"/>
      <c r="MKK93" s="240" t="n"/>
      <c r="MKL93" s="240" t="n"/>
      <c r="MKN93" s="15" t="n"/>
      <c r="MKO93" s="15" t="n"/>
      <c r="MKP93" s="248" t="n"/>
      <c r="MKQ93" s="248" t="n"/>
      <c r="MKR93" s="240" t="n"/>
      <c r="MKS93" s="240" t="n"/>
      <c r="MKU93" s="15" t="n"/>
      <c r="MKV93" s="15" t="n"/>
      <c r="MKW93" s="248" t="n"/>
      <c r="MKX93" s="248" t="n"/>
      <c r="MKY93" s="240" t="n"/>
      <c r="MKZ93" s="240" t="n"/>
      <c r="MLB93" s="15" t="n"/>
      <c r="MLC93" s="15" t="n"/>
      <c r="MLD93" s="248" t="n"/>
      <c r="MLE93" s="248" t="n"/>
      <c r="MLF93" s="240" t="n"/>
      <c r="MLG93" s="240" t="n"/>
      <c r="MLI93" s="15" t="n"/>
      <c r="MLJ93" s="15" t="n"/>
      <c r="MLK93" s="248" t="n"/>
      <c r="MLL93" s="248" t="n"/>
      <c r="MLM93" s="240" t="n"/>
      <c r="MLN93" s="240" t="n"/>
      <c r="MLP93" s="15" t="n"/>
      <c r="MLQ93" s="15" t="n"/>
      <c r="MLR93" s="248" t="n"/>
      <c r="MLS93" s="248" t="n"/>
      <c r="MLT93" s="240" t="n"/>
      <c r="MLU93" s="240" t="n"/>
      <c r="MLW93" s="15" t="n"/>
      <c r="MLX93" s="15" t="n"/>
      <c r="MLY93" s="248" t="n"/>
      <c r="MLZ93" s="248" t="n"/>
      <c r="MMA93" s="240" t="n"/>
      <c r="MMB93" s="240" t="n"/>
      <c r="MMD93" s="15" t="n"/>
      <c r="MME93" s="15" t="n"/>
      <c r="MMF93" s="248" t="n"/>
      <c r="MMG93" s="248" t="n"/>
      <c r="MMH93" s="240" t="n"/>
      <c r="MMI93" s="240" t="n"/>
      <c r="MMK93" s="15" t="n"/>
      <c r="MML93" s="15" t="n"/>
      <c r="MMM93" s="248" t="n"/>
      <c r="MMN93" s="248" t="n"/>
      <c r="MMO93" s="240" t="n"/>
      <c r="MMP93" s="240" t="n"/>
      <c r="MMR93" s="15" t="n"/>
      <c r="MMS93" s="15" t="n"/>
      <c r="MMT93" s="248" t="n"/>
      <c r="MMU93" s="248" t="n"/>
      <c r="MMV93" s="240" t="n"/>
      <c r="MMW93" s="240" t="n"/>
      <c r="MMY93" s="15" t="n"/>
      <c r="MMZ93" s="15" t="n"/>
      <c r="MNA93" s="248" t="n"/>
      <c r="MNB93" s="248" t="n"/>
      <c r="MNC93" s="240" t="n"/>
      <c r="MND93" s="240" t="n"/>
      <c r="MNF93" s="15" t="n"/>
      <c r="MNG93" s="15" t="n"/>
      <c r="MNH93" s="248" t="n"/>
      <c r="MNI93" s="248" t="n"/>
      <c r="MNJ93" s="240" t="n"/>
      <c r="MNK93" s="240" t="n"/>
      <c r="MNM93" s="15" t="n"/>
      <c r="MNN93" s="15" t="n"/>
      <c r="MNO93" s="248" t="n"/>
      <c r="MNP93" s="248" t="n"/>
      <c r="MNQ93" s="240" t="n"/>
      <c r="MNR93" s="240" t="n"/>
      <c r="MNT93" s="15" t="n"/>
      <c r="MNU93" s="15" t="n"/>
      <c r="MNV93" s="248" t="n"/>
      <c r="MNW93" s="248" t="n"/>
      <c r="MNX93" s="240" t="n"/>
      <c r="MNY93" s="240" t="n"/>
      <c r="MOA93" s="15" t="n"/>
      <c r="MOB93" s="15" t="n"/>
      <c r="MOC93" s="248" t="n"/>
      <c r="MOD93" s="248" t="n"/>
      <c r="MOE93" s="240" t="n"/>
      <c r="MOF93" s="240" t="n"/>
      <c r="MOH93" s="15" t="n"/>
      <c r="MOI93" s="15" t="n"/>
      <c r="MOJ93" s="248" t="n"/>
      <c r="MOK93" s="248" t="n"/>
      <c r="MOL93" s="240" t="n"/>
      <c r="MOM93" s="240" t="n"/>
      <c r="MOO93" s="15" t="n"/>
      <c r="MOP93" s="15" t="n"/>
      <c r="MOQ93" s="248" t="n"/>
      <c r="MOR93" s="248" t="n"/>
      <c r="MOS93" s="240" t="n"/>
      <c r="MOT93" s="240" t="n"/>
      <c r="MOV93" s="15" t="n"/>
      <c r="MOW93" s="15" t="n"/>
      <c r="MOX93" s="248" t="n"/>
      <c r="MOY93" s="248" t="n"/>
      <c r="MOZ93" s="240" t="n"/>
      <c r="MPA93" s="240" t="n"/>
      <c r="MPC93" s="15" t="n"/>
      <c r="MPD93" s="15" t="n"/>
      <c r="MPE93" s="248" t="n"/>
      <c r="MPF93" s="248" t="n"/>
      <c r="MPG93" s="240" t="n"/>
      <c r="MPH93" s="240" t="n"/>
      <c r="MPJ93" s="15" t="n"/>
      <c r="MPK93" s="15" t="n"/>
      <c r="MPL93" s="248" t="n"/>
      <c r="MPM93" s="248" t="n"/>
      <c r="MPN93" s="240" t="n"/>
      <c r="MPO93" s="240" t="n"/>
      <c r="MPQ93" s="15" t="n"/>
      <c r="MPR93" s="15" t="n"/>
      <c r="MPS93" s="248" t="n"/>
      <c r="MPT93" s="248" t="n"/>
      <c r="MPU93" s="240" t="n"/>
      <c r="MPV93" s="240" t="n"/>
      <c r="MPX93" s="15" t="n"/>
      <c r="MPY93" s="15" t="n"/>
      <c r="MPZ93" s="248" t="n"/>
      <c r="MQA93" s="248" t="n"/>
      <c r="MQB93" s="240" t="n"/>
      <c r="MQC93" s="240" t="n"/>
      <c r="MQE93" s="15" t="n"/>
      <c r="MQF93" s="15" t="n"/>
      <c r="MQG93" s="248" t="n"/>
      <c r="MQH93" s="248" t="n"/>
      <c r="MQI93" s="240" t="n"/>
      <c r="MQJ93" s="240" t="n"/>
      <c r="MQL93" s="15" t="n"/>
      <c r="MQM93" s="15" t="n"/>
      <c r="MQN93" s="248" t="n"/>
      <c r="MQO93" s="248" t="n"/>
      <c r="MQP93" s="240" t="n"/>
      <c r="MQQ93" s="240" t="n"/>
      <c r="MQS93" s="15" t="n"/>
      <c r="MQT93" s="15" t="n"/>
      <c r="MQU93" s="248" t="n"/>
      <c r="MQV93" s="248" t="n"/>
      <c r="MQW93" s="240" t="n"/>
      <c r="MQX93" s="240" t="n"/>
      <c r="MQZ93" s="15" t="n"/>
      <c r="MRA93" s="15" t="n"/>
      <c r="MRB93" s="248" t="n"/>
      <c r="MRC93" s="248" t="n"/>
      <c r="MRD93" s="240" t="n"/>
      <c r="MRE93" s="240" t="n"/>
      <c r="MRG93" s="15" t="n"/>
      <c r="MRH93" s="15" t="n"/>
      <c r="MRI93" s="248" t="n"/>
      <c r="MRJ93" s="248" t="n"/>
      <c r="MRK93" s="240" t="n"/>
      <c r="MRL93" s="240" t="n"/>
      <c r="MRN93" s="15" t="n"/>
      <c r="MRO93" s="15" t="n"/>
      <c r="MRP93" s="248" t="n"/>
      <c r="MRQ93" s="248" t="n"/>
      <c r="MRR93" s="240" t="n"/>
      <c r="MRS93" s="240" t="n"/>
      <c r="MRU93" s="15" t="n"/>
      <c r="MRV93" s="15" t="n"/>
      <c r="MRW93" s="248" t="n"/>
      <c r="MRX93" s="248" t="n"/>
      <c r="MRY93" s="240" t="n"/>
      <c r="MRZ93" s="240" t="n"/>
      <c r="MSB93" s="15" t="n"/>
      <c r="MSC93" s="15" t="n"/>
      <c r="MSD93" s="248" t="n"/>
      <c r="MSE93" s="248" t="n"/>
      <c r="MSF93" s="240" t="n"/>
      <c r="MSG93" s="240" t="n"/>
      <c r="MSI93" s="15" t="n"/>
      <c r="MSJ93" s="15" t="n"/>
      <c r="MSK93" s="248" t="n"/>
      <c r="MSL93" s="248" t="n"/>
      <c r="MSM93" s="240" t="n"/>
      <c r="MSN93" s="240" t="n"/>
      <c r="MSP93" s="15" t="n"/>
      <c r="MSQ93" s="15" t="n"/>
      <c r="MSR93" s="248" t="n"/>
      <c r="MSS93" s="248" t="n"/>
      <c r="MST93" s="240" t="n"/>
      <c r="MSU93" s="240" t="n"/>
      <c r="MSW93" s="15" t="n"/>
      <c r="MSX93" s="15" t="n"/>
      <c r="MSY93" s="248" t="n"/>
      <c r="MSZ93" s="248" t="n"/>
      <c r="MTA93" s="240" t="n"/>
      <c r="MTB93" s="240" t="n"/>
      <c r="MTD93" s="15" t="n"/>
      <c r="MTE93" s="15" t="n"/>
      <c r="MTF93" s="248" t="n"/>
      <c r="MTG93" s="248" t="n"/>
      <c r="MTH93" s="240" t="n"/>
      <c r="MTI93" s="240" t="n"/>
      <c r="MTK93" s="15" t="n"/>
      <c r="MTL93" s="15" t="n"/>
      <c r="MTM93" s="248" t="n"/>
      <c r="MTN93" s="248" t="n"/>
      <c r="MTO93" s="240" t="n"/>
      <c r="MTP93" s="240" t="n"/>
      <c r="MTR93" s="15" t="n"/>
      <c r="MTS93" s="15" t="n"/>
      <c r="MTT93" s="248" t="n"/>
      <c r="MTU93" s="248" t="n"/>
      <c r="MTV93" s="240" t="n"/>
      <c r="MTW93" s="240" t="n"/>
      <c r="MTY93" s="15" t="n"/>
      <c r="MTZ93" s="15" t="n"/>
      <c r="MUA93" s="248" t="n"/>
      <c r="MUB93" s="248" t="n"/>
      <c r="MUC93" s="240" t="n"/>
      <c r="MUD93" s="240" t="n"/>
      <c r="MUF93" s="15" t="n"/>
      <c r="MUG93" s="15" t="n"/>
      <c r="MUH93" s="248" t="n"/>
      <c r="MUI93" s="248" t="n"/>
      <c r="MUJ93" s="240" t="n"/>
      <c r="MUK93" s="240" t="n"/>
      <c r="MUM93" s="15" t="n"/>
      <c r="MUN93" s="15" t="n"/>
      <c r="MUO93" s="248" t="n"/>
      <c r="MUP93" s="248" t="n"/>
      <c r="MUQ93" s="240" t="n"/>
      <c r="MUR93" s="240" t="n"/>
      <c r="MUT93" s="15" t="n"/>
      <c r="MUU93" s="15" t="n"/>
      <c r="MUV93" s="248" t="n"/>
      <c r="MUW93" s="248" t="n"/>
      <c r="MUX93" s="240" t="n"/>
      <c r="MUY93" s="240" t="n"/>
      <c r="MVA93" s="15" t="n"/>
      <c r="MVB93" s="15" t="n"/>
      <c r="MVC93" s="248" t="n"/>
      <c r="MVD93" s="248" t="n"/>
      <c r="MVE93" s="240" t="n"/>
      <c r="MVF93" s="240" t="n"/>
      <c r="MVH93" s="15" t="n"/>
      <c r="MVI93" s="15" t="n"/>
      <c r="MVJ93" s="248" t="n"/>
      <c r="MVK93" s="248" t="n"/>
      <c r="MVL93" s="240" t="n"/>
      <c r="MVM93" s="240" t="n"/>
      <c r="MVO93" s="15" t="n"/>
      <c r="MVP93" s="15" t="n"/>
      <c r="MVQ93" s="248" t="n"/>
      <c r="MVR93" s="248" t="n"/>
      <c r="MVS93" s="240" t="n"/>
      <c r="MVT93" s="240" t="n"/>
      <c r="MVV93" s="15" t="n"/>
      <c r="MVW93" s="15" t="n"/>
      <c r="MVX93" s="248" t="n"/>
      <c r="MVY93" s="248" t="n"/>
      <c r="MVZ93" s="240" t="n"/>
      <c r="MWA93" s="240" t="n"/>
      <c r="MWC93" s="15" t="n"/>
      <c r="MWD93" s="15" t="n"/>
      <c r="MWE93" s="248" t="n"/>
      <c r="MWF93" s="248" t="n"/>
      <c r="MWG93" s="240" t="n"/>
      <c r="MWH93" s="240" t="n"/>
      <c r="MWJ93" s="15" t="n"/>
      <c r="MWK93" s="15" t="n"/>
      <c r="MWL93" s="248" t="n"/>
      <c r="MWM93" s="248" t="n"/>
      <c r="MWN93" s="240" t="n"/>
      <c r="MWO93" s="240" t="n"/>
      <c r="MWQ93" s="15" t="n"/>
      <c r="MWR93" s="15" t="n"/>
      <c r="MWS93" s="248" t="n"/>
      <c r="MWT93" s="248" t="n"/>
      <c r="MWU93" s="240" t="n"/>
      <c r="MWV93" s="240" t="n"/>
      <c r="MWX93" s="15" t="n"/>
      <c r="MWY93" s="15" t="n"/>
      <c r="MWZ93" s="248" t="n"/>
      <c r="MXA93" s="248" t="n"/>
      <c r="MXB93" s="240" t="n"/>
      <c r="MXC93" s="240" t="n"/>
      <c r="MXE93" s="15" t="n"/>
      <c r="MXF93" s="15" t="n"/>
      <c r="MXG93" s="248" t="n"/>
      <c r="MXH93" s="248" t="n"/>
      <c r="MXI93" s="240" t="n"/>
      <c r="MXJ93" s="240" t="n"/>
      <c r="MXL93" s="15" t="n"/>
      <c r="MXM93" s="15" t="n"/>
      <c r="MXN93" s="248" t="n"/>
      <c r="MXO93" s="248" t="n"/>
      <c r="MXP93" s="240" t="n"/>
      <c r="MXQ93" s="240" t="n"/>
      <c r="MXS93" s="15" t="n"/>
      <c r="MXT93" s="15" t="n"/>
      <c r="MXU93" s="248" t="n"/>
      <c r="MXV93" s="248" t="n"/>
      <c r="MXW93" s="240" t="n"/>
      <c r="MXX93" s="240" t="n"/>
      <c r="MXZ93" s="15" t="n"/>
      <c r="MYA93" s="15" t="n"/>
      <c r="MYB93" s="248" t="n"/>
      <c r="MYC93" s="248" t="n"/>
      <c r="MYD93" s="240" t="n"/>
      <c r="MYE93" s="240" t="n"/>
      <c r="MYG93" s="15" t="n"/>
      <c r="MYH93" s="15" t="n"/>
      <c r="MYI93" s="248" t="n"/>
      <c r="MYJ93" s="248" t="n"/>
      <c r="MYK93" s="240" t="n"/>
      <c r="MYL93" s="240" t="n"/>
      <c r="MYN93" s="15" t="n"/>
      <c r="MYO93" s="15" t="n"/>
      <c r="MYP93" s="248" t="n"/>
      <c r="MYQ93" s="248" t="n"/>
      <c r="MYR93" s="240" t="n"/>
      <c r="MYS93" s="240" t="n"/>
      <c r="MYU93" s="15" t="n"/>
      <c r="MYV93" s="15" t="n"/>
      <c r="MYW93" s="248" t="n"/>
      <c r="MYX93" s="248" t="n"/>
      <c r="MYY93" s="240" t="n"/>
      <c r="MYZ93" s="240" t="n"/>
      <c r="MZB93" s="15" t="n"/>
      <c r="MZC93" s="15" t="n"/>
      <c r="MZD93" s="248" t="n"/>
      <c r="MZE93" s="248" t="n"/>
      <c r="MZF93" s="240" t="n"/>
      <c r="MZG93" s="240" t="n"/>
      <c r="MZI93" s="15" t="n"/>
      <c r="MZJ93" s="15" t="n"/>
      <c r="MZK93" s="248" t="n"/>
      <c r="MZL93" s="248" t="n"/>
      <c r="MZM93" s="240" t="n"/>
      <c r="MZN93" s="240" t="n"/>
      <c r="MZP93" s="15" t="n"/>
      <c r="MZQ93" s="15" t="n"/>
      <c r="MZR93" s="248" t="n"/>
      <c r="MZS93" s="248" t="n"/>
      <c r="MZT93" s="240" t="n"/>
      <c r="MZU93" s="240" t="n"/>
      <c r="MZW93" s="15" t="n"/>
      <c r="MZX93" s="15" t="n"/>
      <c r="MZY93" s="248" t="n"/>
      <c r="MZZ93" s="248" t="n"/>
      <c r="NAA93" s="240" t="n"/>
      <c r="NAB93" s="240" t="n"/>
      <c r="NAD93" s="15" t="n"/>
      <c r="NAE93" s="15" t="n"/>
      <c r="NAF93" s="248" t="n"/>
      <c r="NAG93" s="248" t="n"/>
      <c r="NAH93" s="240" t="n"/>
      <c r="NAI93" s="240" t="n"/>
      <c r="NAK93" s="15" t="n"/>
      <c r="NAL93" s="15" t="n"/>
      <c r="NAM93" s="248" t="n"/>
      <c r="NAN93" s="248" t="n"/>
      <c r="NAO93" s="240" t="n"/>
      <c r="NAP93" s="240" t="n"/>
      <c r="NAR93" s="15" t="n"/>
      <c r="NAS93" s="15" t="n"/>
      <c r="NAT93" s="248" t="n"/>
      <c r="NAU93" s="248" t="n"/>
      <c r="NAV93" s="240" t="n"/>
      <c r="NAW93" s="240" t="n"/>
      <c r="NAY93" s="15" t="n"/>
      <c r="NAZ93" s="15" t="n"/>
      <c r="NBA93" s="248" t="n"/>
      <c r="NBB93" s="248" t="n"/>
      <c r="NBC93" s="240" t="n"/>
      <c r="NBD93" s="240" t="n"/>
      <c r="NBF93" s="15" t="n"/>
      <c r="NBG93" s="15" t="n"/>
      <c r="NBH93" s="248" t="n"/>
      <c r="NBI93" s="248" t="n"/>
      <c r="NBJ93" s="240" t="n"/>
      <c r="NBK93" s="240" t="n"/>
      <c r="NBM93" s="15" t="n"/>
      <c r="NBN93" s="15" t="n"/>
      <c r="NBO93" s="248" t="n"/>
      <c r="NBP93" s="248" t="n"/>
      <c r="NBQ93" s="240" t="n"/>
      <c r="NBR93" s="240" t="n"/>
      <c r="NBT93" s="15" t="n"/>
      <c r="NBU93" s="15" t="n"/>
      <c r="NBV93" s="248" t="n"/>
      <c r="NBW93" s="248" t="n"/>
      <c r="NBX93" s="240" t="n"/>
      <c r="NBY93" s="240" t="n"/>
      <c r="NCA93" s="15" t="n"/>
      <c r="NCB93" s="15" t="n"/>
      <c r="NCC93" s="248" t="n"/>
      <c r="NCD93" s="248" t="n"/>
      <c r="NCE93" s="240" t="n"/>
      <c r="NCF93" s="240" t="n"/>
      <c r="NCH93" s="15" t="n"/>
      <c r="NCI93" s="15" t="n"/>
      <c r="NCJ93" s="248" t="n"/>
      <c r="NCK93" s="248" t="n"/>
      <c r="NCL93" s="240" t="n"/>
      <c r="NCM93" s="240" t="n"/>
      <c r="NCO93" s="15" t="n"/>
      <c r="NCP93" s="15" t="n"/>
      <c r="NCQ93" s="248" t="n"/>
      <c r="NCR93" s="248" t="n"/>
      <c r="NCS93" s="240" t="n"/>
      <c r="NCT93" s="240" t="n"/>
      <c r="NCV93" s="15" t="n"/>
      <c r="NCW93" s="15" t="n"/>
      <c r="NCX93" s="248" t="n"/>
      <c r="NCY93" s="248" t="n"/>
      <c r="NCZ93" s="240" t="n"/>
      <c r="NDA93" s="240" t="n"/>
      <c r="NDC93" s="15" t="n"/>
      <c r="NDD93" s="15" t="n"/>
      <c r="NDE93" s="248" t="n"/>
      <c r="NDF93" s="248" t="n"/>
      <c r="NDG93" s="240" t="n"/>
      <c r="NDH93" s="240" t="n"/>
      <c r="NDJ93" s="15" t="n"/>
      <c r="NDK93" s="15" t="n"/>
      <c r="NDL93" s="248" t="n"/>
      <c r="NDM93" s="248" t="n"/>
      <c r="NDN93" s="240" t="n"/>
      <c r="NDO93" s="240" t="n"/>
      <c r="NDQ93" s="15" t="n"/>
      <c r="NDR93" s="15" t="n"/>
      <c r="NDS93" s="248" t="n"/>
      <c r="NDT93" s="248" t="n"/>
      <c r="NDU93" s="240" t="n"/>
      <c r="NDV93" s="240" t="n"/>
      <c r="NDX93" s="15" t="n"/>
      <c r="NDY93" s="15" t="n"/>
      <c r="NDZ93" s="248" t="n"/>
      <c r="NEA93" s="248" t="n"/>
      <c r="NEB93" s="240" t="n"/>
      <c r="NEC93" s="240" t="n"/>
      <c r="NEE93" s="15" t="n"/>
      <c r="NEF93" s="15" t="n"/>
      <c r="NEG93" s="248" t="n"/>
      <c r="NEH93" s="248" t="n"/>
      <c r="NEI93" s="240" t="n"/>
      <c r="NEJ93" s="240" t="n"/>
      <c r="NEL93" s="15" t="n"/>
      <c r="NEM93" s="15" t="n"/>
      <c r="NEN93" s="248" t="n"/>
      <c r="NEO93" s="248" t="n"/>
      <c r="NEP93" s="240" t="n"/>
      <c r="NEQ93" s="240" t="n"/>
      <c r="NES93" s="15" t="n"/>
      <c r="NET93" s="15" t="n"/>
      <c r="NEU93" s="248" t="n"/>
      <c r="NEV93" s="248" t="n"/>
      <c r="NEW93" s="240" t="n"/>
      <c r="NEX93" s="240" t="n"/>
      <c r="NEZ93" s="15" t="n"/>
      <c r="NFA93" s="15" t="n"/>
      <c r="NFB93" s="248" t="n"/>
      <c r="NFC93" s="248" t="n"/>
      <c r="NFD93" s="240" t="n"/>
      <c r="NFE93" s="240" t="n"/>
      <c r="NFG93" s="15" t="n"/>
      <c r="NFH93" s="15" t="n"/>
      <c r="NFI93" s="248" t="n"/>
      <c r="NFJ93" s="248" t="n"/>
      <c r="NFK93" s="240" t="n"/>
      <c r="NFL93" s="240" t="n"/>
      <c r="NFN93" s="15" t="n"/>
      <c r="NFO93" s="15" t="n"/>
      <c r="NFP93" s="248" t="n"/>
      <c r="NFQ93" s="248" t="n"/>
      <c r="NFR93" s="240" t="n"/>
      <c r="NFS93" s="240" t="n"/>
      <c r="NFU93" s="15" t="n"/>
      <c r="NFV93" s="15" t="n"/>
      <c r="NFW93" s="248" t="n"/>
      <c r="NFX93" s="248" t="n"/>
      <c r="NFY93" s="240" t="n"/>
      <c r="NFZ93" s="240" t="n"/>
      <c r="NGB93" s="15" t="n"/>
      <c r="NGC93" s="15" t="n"/>
      <c r="NGD93" s="248" t="n"/>
      <c r="NGE93" s="248" t="n"/>
      <c r="NGF93" s="240" t="n"/>
      <c r="NGG93" s="240" t="n"/>
      <c r="NGI93" s="15" t="n"/>
      <c r="NGJ93" s="15" t="n"/>
      <c r="NGK93" s="248" t="n"/>
      <c r="NGL93" s="248" t="n"/>
      <c r="NGM93" s="240" t="n"/>
      <c r="NGN93" s="240" t="n"/>
      <c r="NGP93" s="15" t="n"/>
      <c r="NGQ93" s="15" t="n"/>
      <c r="NGR93" s="248" t="n"/>
      <c r="NGS93" s="248" t="n"/>
      <c r="NGT93" s="240" t="n"/>
      <c r="NGU93" s="240" t="n"/>
      <c r="NGW93" s="15" t="n"/>
      <c r="NGX93" s="15" t="n"/>
      <c r="NGY93" s="248" t="n"/>
      <c r="NGZ93" s="248" t="n"/>
      <c r="NHA93" s="240" t="n"/>
      <c r="NHB93" s="240" t="n"/>
      <c r="NHD93" s="15" t="n"/>
      <c r="NHE93" s="15" t="n"/>
      <c r="NHF93" s="248" t="n"/>
      <c r="NHG93" s="248" t="n"/>
      <c r="NHH93" s="240" t="n"/>
      <c r="NHI93" s="240" t="n"/>
      <c r="NHK93" s="15" t="n"/>
      <c r="NHL93" s="15" t="n"/>
      <c r="NHM93" s="248" t="n"/>
      <c r="NHN93" s="248" t="n"/>
      <c r="NHO93" s="240" t="n"/>
      <c r="NHP93" s="240" t="n"/>
      <c r="NHR93" s="15" t="n"/>
      <c r="NHS93" s="15" t="n"/>
      <c r="NHT93" s="248" t="n"/>
      <c r="NHU93" s="248" t="n"/>
      <c r="NHV93" s="240" t="n"/>
      <c r="NHW93" s="240" t="n"/>
      <c r="NHY93" s="15" t="n"/>
      <c r="NHZ93" s="15" t="n"/>
      <c r="NIA93" s="248" t="n"/>
      <c r="NIB93" s="248" t="n"/>
      <c r="NIC93" s="240" t="n"/>
      <c r="NID93" s="240" t="n"/>
      <c r="NIF93" s="15" t="n"/>
      <c r="NIG93" s="15" t="n"/>
      <c r="NIH93" s="248" t="n"/>
      <c r="NII93" s="248" t="n"/>
      <c r="NIJ93" s="240" t="n"/>
      <c r="NIK93" s="240" t="n"/>
      <c r="NIM93" s="15" t="n"/>
      <c r="NIN93" s="15" t="n"/>
      <c r="NIO93" s="248" t="n"/>
      <c r="NIP93" s="248" t="n"/>
      <c r="NIQ93" s="240" t="n"/>
      <c r="NIR93" s="240" t="n"/>
      <c r="NIT93" s="15" t="n"/>
      <c r="NIU93" s="15" t="n"/>
      <c r="NIV93" s="248" t="n"/>
      <c r="NIW93" s="248" t="n"/>
      <c r="NIX93" s="240" t="n"/>
      <c r="NIY93" s="240" t="n"/>
      <c r="NJA93" s="15" t="n"/>
      <c r="NJB93" s="15" t="n"/>
      <c r="NJC93" s="248" t="n"/>
      <c r="NJD93" s="248" t="n"/>
      <c r="NJE93" s="240" t="n"/>
      <c r="NJF93" s="240" t="n"/>
      <c r="NJH93" s="15" t="n"/>
      <c r="NJI93" s="15" t="n"/>
      <c r="NJJ93" s="248" t="n"/>
      <c r="NJK93" s="248" t="n"/>
      <c r="NJL93" s="240" t="n"/>
      <c r="NJM93" s="240" t="n"/>
      <c r="NJO93" s="15" t="n"/>
      <c r="NJP93" s="15" t="n"/>
      <c r="NJQ93" s="248" t="n"/>
      <c r="NJR93" s="248" t="n"/>
      <c r="NJS93" s="240" t="n"/>
      <c r="NJT93" s="240" t="n"/>
      <c r="NJV93" s="15" t="n"/>
      <c r="NJW93" s="15" t="n"/>
      <c r="NJX93" s="248" t="n"/>
      <c r="NJY93" s="248" t="n"/>
      <c r="NJZ93" s="240" t="n"/>
      <c r="NKA93" s="240" t="n"/>
      <c r="NKC93" s="15" t="n"/>
      <c r="NKD93" s="15" t="n"/>
      <c r="NKE93" s="248" t="n"/>
      <c r="NKF93" s="248" t="n"/>
      <c r="NKG93" s="240" t="n"/>
      <c r="NKH93" s="240" t="n"/>
      <c r="NKJ93" s="15" t="n"/>
      <c r="NKK93" s="15" t="n"/>
      <c r="NKL93" s="248" t="n"/>
      <c r="NKM93" s="248" t="n"/>
      <c r="NKN93" s="240" t="n"/>
      <c r="NKO93" s="240" t="n"/>
      <c r="NKQ93" s="15" t="n"/>
      <c r="NKR93" s="15" t="n"/>
      <c r="NKS93" s="248" t="n"/>
      <c r="NKT93" s="248" t="n"/>
      <c r="NKU93" s="240" t="n"/>
      <c r="NKV93" s="240" t="n"/>
      <c r="NKX93" s="15" t="n"/>
      <c r="NKY93" s="15" t="n"/>
      <c r="NKZ93" s="248" t="n"/>
      <c r="NLA93" s="248" t="n"/>
      <c r="NLB93" s="240" t="n"/>
      <c r="NLC93" s="240" t="n"/>
      <c r="NLE93" s="15" t="n"/>
      <c r="NLF93" s="15" t="n"/>
      <c r="NLG93" s="248" t="n"/>
      <c r="NLH93" s="248" t="n"/>
      <c r="NLI93" s="240" t="n"/>
      <c r="NLJ93" s="240" t="n"/>
      <c r="NLL93" s="15" t="n"/>
      <c r="NLM93" s="15" t="n"/>
      <c r="NLN93" s="248" t="n"/>
      <c r="NLO93" s="248" t="n"/>
      <c r="NLP93" s="240" t="n"/>
      <c r="NLQ93" s="240" t="n"/>
      <c r="NLS93" s="15" t="n"/>
      <c r="NLT93" s="15" t="n"/>
      <c r="NLU93" s="248" t="n"/>
      <c r="NLV93" s="248" t="n"/>
      <c r="NLW93" s="240" t="n"/>
      <c r="NLX93" s="240" t="n"/>
      <c r="NLZ93" s="15" t="n"/>
      <c r="NMA93" s="15" t="n"/>
      <c r="NMB93" s="248" t="n"/>
      <c r="NMC93" s="248" t="n"/>
      <c r="NMD93" s="240" t="n"/>
      <c r="NME93" s="240" t="n"/>
      <c r="NMG93" s="15" t="n"/>
      <c r="NMH93" s="15" t="n"/>
      <c r="NMI93" s="248" t="n"/>
      <c r="NMJ93" s="248" t="n"/>
      <c r="NMK93" s="240" t="n"/>
      <c r="NML93" s="240" t="n"/>
      <c r="NMN93" s="15" t="n"/>
      <c r="NMO93" s="15" t="n"/>
      <c r="NMP93" s="248" t="n"/>
      <c r="NMQ93" s="248" t="n"/>
      <c r="NMR93" s="240" t="n"/>
      <c r="NMS93" s="240" t="n"/>
      <c r="NMU93" s="15" t="n"/>
      <c r="NMV93" s="15" t="n"/>
      <c r="NMW93" s="248" t="n"/>
      <c r="NMX93" s="248" t="n"/>
      <c r="NMY93" s="240" t="n"/>
      <c r="NMZ93" s="240" t="n"/>
      <c r="NNB93" s="15" t="n"/>
      <c r="NNC93" s="15" t="n"/>
      <c r="NND93" s="248" t="n"/>
      <c r="NNE93" s="248" t="n"/>
      <c r="NNF93" s="240" t="n"/>
      <c r="NNG93" s="240" t="n"/>
      <c r="NNI93" s="15" t="n"/>
      <c r="NNJ93" s="15" t="n"/>
      <c r="NNK93" s="248" t="n"/>
      <c r="NNL93" s="248" t="n"/>
      <c r="NNM93" s="240" t="n"/>
      <c r="NNN93" s="240" t="n"/>
      <c r="NNP93" s="15" t="n"/>
      <c r="NNQ93" s="15" t="n"/>
      <c r="NNR93" s="248" t="n"/>
      <c r="NNS93" s="248" t="n"/>
      <c r="NNT93" s="240" t="n"/>
      <c r="NNU93" s="240" t="n"/>
      <c r="NNW93" s="15" t="n"/>
      <c r="NNX93" s="15" t="n"/>
      <c r="NNY93" s="248" t="n"/>
      <c r="NNZ93" s="248" t="n"/>
      <c r="NOA93" s="240" t="n"/>
      <c r="NOB93" s="240" t="n"/>
      <c r="NOD93" s="15" t="n"/>
      <c r="NOE93" s="15" t="n"/>
      <c r="NOF93" s="248" t="n"/>
      <c r="NOG93" s="248" t="n"/>
      <c r="NOH93" s="240" t="n"/>
      <c r="NOI93" s="240" t="n"/>
      <c r="NOK93" s="15" t="n"/>
      <c r="NOL93" s="15" t="n"/>
      <c r="NOM93" s="248" t="n"/>
      <c r="NON93" s="248" t="n"/>
      <c r="NOO93" s="240" t="n"/>
      <c r="NOP93" s="240" t="n"/>
      <c r="NOR93" s="15" t="n"/>
      <c r="NOS93" s="15" t="n"/>
      <c r="NOT93" s="248" t="n"/>
      <c r="NOU93" s="248" t="n"/>
      <c r="NOV93" s="240" t="n"/>
      <c r="NOW93" s="240" t="n"/>
      <c r="NOY93" s="15" t="n"/>
      <c r="NOZ93" s="15" t="n"/>
      <c r="NPA93" s="248" t="n"/>
      <c r="NPB93" s="248" t="n"/>
      <c r="NPC93" s="240" t="n"/>
      <c r="NPD93" s="240" t="n"/>
      <c r="NPF93" s="15" t="n"/>
      <c r="NPG93" s="15" t="n"/>
      <c r="NPH93" s="248" t="n"/>
      <c r="NPI93" s="248" t="n"/>
      <c r="NPJ93" s="240" t="n"/>
      <c r="NPK93" s="240" t="n"/>
      <c r="NPM93" s="15" t="n"/>
      <c r="NPN93" s="15" t="n"/>
      <c r="NPO93" s="248" t="n"/>
      <c r="NPP93" s="248" t="n"/>
      <c r="NPQ93" s="240" t="n"/>
      <c r="NPR93" s="240" t="n"/>
      <c r="NPT93" s="15" t="n"/>
      <c r="NPU93" s="15" t="n"/>
      <c r="NPV93" s="248" t="n"/>
      <c r="NPW93" s="248" t="n"/>
      <c r="NPX93" s="240" t="n"/>
      <c r="NPY93" s="240" t="n"/>
      <c r="NQA93" s="15" t="n"/>
      <c r="NQB93" s="15" t="n"/>
      <c r="NQC93" s="248" t="n"/>
      <c r="NQD93" s="248" t="n"/>
      <c r="NQE93" s="240" t="n"/>
      <c r="NQF93" s="240" t="n"/>
      <c r="NQH93" s="15" t="n"/>
      <c r="NQI93" s="15" t="n"/>
      <c r="NQJ93" s="248" t="n"/>
      <c r="NQK93" s="248" t="n"/>
      <c r="NQL93" s="240" t="n"/>
      <c r="NQM93" s="240" t="n"/>
      <c r="NQO93" s="15" t="n"/>
      <c r="NQP93" s="15" t="n"/>
      <c r="NQQ93" s="248" t="n"/>
      <c r="NQR93" s="248" t="n"/>
      <c r="NQS93" s="240" t="n"/>
      <c r="NQT93" s="240" t="n"/>
      <c r="NQV93" s="15" t="n"/>
      <c r="NQW93" s="15" t="n"/>
      <c r="NQX93" s="248" t="n"/>
      <c r="NQY93" s="248" t="n"/>
      <c r="NQZ93" s="240" t="n"/>
      <c r="NRA93" s="240" t="n"/>
      <c r="NRC93" s="15" t="n"/>
      <c r="NRD93" s="15" t="n"/>
      <c r="NRE93" s="248" t="n"/>
      <c r="NRF93" s="248" t="n"/>
      <c r="NRG93" s="240" t="n"/>
      <c r="NRH93" s="240" t="n"/>
      <c r="NRJ93" s="15" t="n"/>
      <c r="NRK93" s="15" t="n"/>
      <c r="NRL93" s="248" t="n"/>
      <c r="NRM93" s="248" t="n"/>
      <c r="NRN93" s="240" t="n"/>
      <c r="NRO93" s="240" t="n"/>
      <c r="NRQ93" s="15" t="n"/>
      <c r="NRR93" s="15" t="n"/>
      <c r="NRS93" s="248" t="n"/>
      <c r="NRT93" s="248" t="n"/>
      <c r="NRU93" s="240" t="n"/>
      <c r="NRV93" s="240" t="n"/>
      <c r="NRX93" s="15" t="n"/>
      <c r="NRY93" s="15" t="n"/>
      <c r="NRZ93" s="248" t="n"/>
      <c r="NSA93" s="248" t="n"/>
      <c r="NSB93" s="240" t="n"/>
      <c r="NSC93" s="240" t="n"/>
      <c r="NSE93" s="15" t="n"/>
      <c r="NSF93" s="15" t="n"/>
      <c r="NSG93" s="248" t="n"/>
      <c r="NSH93" s="248" t="n"/>
      <c r="NSI93" s="240" t="n"/>
      <c r="NSJ93" s="240" t="n"/>
      <c r="NSL93" s="15" t="n"/>
      <c r="NSM93" s="15" t="n"/>
      <c r="NSN93" s="248" t="n"/>
      <c r="NSO93" s="248" t="n"/>
      <c r="NSP93" s="240" t="n"/>
      <c r="NSQ93" s="240" t="n"/>
      <c r="NSS93" s="15" t="n"/>
      <c r="NST93" s="15" t="n"/>
      <c r="NSU93" s="248" t="n"/>
      <c r="NSV93" s="248" t="n"/>
      <c r="NSW93" s="240" t="n"/>
      <c r="NSX93" s="240" t="n"/>
      <c r="NSZ93" s="15" t="n"/>
      <c r="NTA93" s="15" t="n"/>
      <c r="NTB93" s="248" t="n"/>
      <c r="NTC93" s="248" t="n"/>
      <c r="NTD93" s="240" t="n"/>
      <c r="NTE93" s="240" t="n"/>
      <c r="NTG93" s="15" t="n"/>
      <c r="NTH93" s="15" t="n"/>
      <c r="NTI93" s="248" t="n"/>
      <c r="NTJ93" s="248" t="n"/>
      <c r="NTK93" s="240" t="n"/>
      <c r="NTL93" s="240" t="n"/>
      <c r="NTN93" s="15" t="n"/>
      <c r="NTO93" s="15" t="n"/>
      <c r="NTP93" s="248" t="n"/>
      <c r="NTQ93" s="248" t="n"/>
      <c r="NTR93" s="240" t="n"/>
      <c r="NTS93" s="240" t="n"/>
      <c r="NTU93" s="15" t="n"/>
      <c r="NTV93" s="15" t="n"/>
      <c r="NTW93" s="248" t="n"/>
      <c r="NTX93" s="248" t="n"/>
      <c r="NTY93" s="240" t="n"/>
      <c r="NTZ93" s="240" t="n"/>
      <c r="NUB93" s="15" t="n"/>
      <c r="NUC93" s="15" t="n"/>
      <c r="NUD93" s="248" t="n"/>
      <c r="NUE93" s="248" t="n"/>
      <c r="NUF93" s="240" t="n"/>
      <c r="NUG93" s="240" t="n"/>
      <c r="NUI93" s="15" t="n"/>
      <c r="NUJ93" s="15" t="n"/>
      <c r="NUK93" s="248" t="n"/>
      <c r="NUL93" s="248" t="n"/>
      <c r="NUM93" s="240" t="n"/>
      <c r="NUN93" s="240" t="n"/>
      <c r="NUP93" s="15" t="n"/>
      <c r="NUQ93" s="15" t="n"/>
      <c r="NUR93" s="248" t="n"/>
      <c r="NUS93" s="248" t="n"/>
      <c r="NUT93" s="240" t="n"/>
      <c r="NUU93" s="240" t="n"/>
      <c r="NUW93" s="15" t="n"/>
      <c r="NUX93" s="15" t="n"/>
      <c r="NUY93" s="248" t="n"/>
      <c r="NUZ93" s="248" t="n"/>
      <c r="NVA93" s="240" t="n"/>
      <c r="NVB93" s="240" t="n"/>
      <c r="NVD93" s="15" t="n"/>
      <c r="NVE93" s="15" t="n"/>
      <c r="NVF93" s="248" t="n"/>
      <c r="NVG93" s="248" t="n"/>
      <c r="NVH93" s="240" t="n"/>
      <c r="NVI93" s="240" t="n"/>
      <c r="NVK93" s="15" t="n"/>
      <c r="NVL93" s="15" t="n"/>
      <c r="NVM93" s="248" t="n"/>
      <c r="NVN93" s="248" t="n"/>
      <c r="NVO93" s="240" t="n"/>
      <c r="NVP93" s="240" t="n"/>
      <c r="NVR93" s="15" t="n"/>
      <c r="NVS93" s="15" t="n"/>
      <c r="NVT93" s="248" t="n"/>
      <c r="NVU93" s="248" t="n"/>
      <c r="NVV93" s="240" t="n"/>
      <c r="NVW93" s="240" t="n"/>
      <c r="NVY93" s="15" t="n"/>
      <c r="NVZ93" s="15" t="n"/>
      <c r="NWA93" s="248" t="n"/>
      <c r="NWB93" s="248" t="n"/>
      <c r="NWC93" s="240" t="n"/>
      <c r="NWD93" s="240" t="n"/>
      <c r="NWF93" s="15" t="n"/>
      <c r="NWG93" s="15" t="n"/>
      <c r="NWH93" s="248" t="n"/>
      <c r="NWI93" s="248" t="n"/>
      <c r="NWJ93" s="240" t="n"/>
      <c r="NWK93" s="240" t="n"/>
      <c r="NWM93" s="15" t="n"/>
      <c r="NWN93" s="15" t="n"/>
      <c r="NWO93" s="248" t="n"/>
      <c r="NWP93" s="248" t="n"/>
      <c r="NWQ93" s="240" t="n"/>
      <c r="NWR93" s="240" t="n"/>
      <c r="NWT93" s="15" t="n"/>
      <c r="NWU93" s="15" t="n"/>
      <c r="NWV93" s="248" t="n"/>
      <c r="NWW93" s="248" t="n"/>
      <c r="NWX93" s="240" t="n"/>
      <c r="NWY93" s="240" t="n"/>
      <c r="NXA93" s="15" t="n"/>
      <c r="NXB93" s="15" t="n"/>
      <c r="NXC93" s="248" t="n"/>
      <c r="NXD93" s="248" t="n"/>
      <c r="NXE93" s="240" t="n"/>
      <c r="NXF93" s="240" t="n"/>
      <c r="NXH93" s="15" t="n"/>
      <c r="NXI93" s="15" t="n"/>
      <c r="NXJ93" s="248" t="n"/>
      <c r="NXK93" s="248" t="n"/>
      <c r="NXL93" s="240" t="n"/>
      <c r="NXM93" s="240" t="n"/>
      <c r="NXO93" s="15" t="n"/>
      <c r="NXP93" s="15" t="n"/>
      <c r="NXQ93" s="248" t="n"/>
      <c r="NXR93" s="248" t="n"/>
      <c r="NXS93" s="240" t="n"/>
      <c r="NXT93" s="240" t="n"/>
      <c r="NXV93" s="15" t="n"/>
      <c r="NXW93" s="15" t="n"/>
      <c r="NXX93" s="248" t="n"/>
      <c r="NXY93" s="248" t="n"/>
      <c r="NXZ93" s="240" t="n"/>
      <c r="NYA93" s="240" t="n"/>
      <c r="NYC93" s="15" t="n"/>
      <c r="NYD93" s="15" t="n"/>
      <c r="NYE93" s="248" t="n"/>
      <c r="NYF93" s="248" t="n"/>
      <c r="NYG93" s="240" t="n"/>
      <c r="NYH93" s="240" t="n"/>
      <c r="NYJ93" s="15" t="n"/>
      <c r="NYK93" s="15" t="n"/>
      <c r="NYL93" s="248" t="n"/>
      <c r="NYM93" s="248" t="n"/>
      <c r="NYN93" s="240" t="n"/>
      <c r="NYO93" s="240" t="n"/>
      <c r="NYQ93" s="15" t="n"/>
      <c r="NYR93" s="15" t="n"/>
      <c r="NYS93" s="248" t="n"/>
      <c r="NYT93" s="248" t="n"/>
      <c r="NYU93" s="240" t="n"/>
      <c r="NYV93" s="240" t="n"/>
      <c r="NYX93" s="15" t="n"/>
      <c r="NYY93" s="15" t="n"/>
      <c r="NYZ93" s="248" t="n"/>
      <c r="NZA93" s="248" t="n"/>
      <c r="NZB93" s="240" t="n"/>
      <c r="NZC93" s="240" t="n"/>
      <c r="NZE93" s="15" t="n"/>
      <c r="NZF93" s="15" t="n"/>
      <c r="NZG93" s="248" t="n"/>
      <c r="NZH93" s="248" t="n"/>
      <c r="NZI93" s="240" t="n"/>
      <c r="NZJ93" s="240" t="n"/>
      <c r="NZL93" s="15" t="n"/>
      <c r="NZM93" s="15" t="n"/>
      <c r="NZN93" s="248" t="n"/>
      <c r="NZO93" s="248" t="n"/>
      <c r="NZP93" s="240" t="n"/>
      <c r="NZQ93" s="240" t="n"/>
      <c r="NZS93" s="15" t="n"/>
      <c r="NZT93" s="15" t="n"/>
      <c r="NZU93" s="248" t="n"/>
      <c r="NZV93" s="248" t="n"/>
      <c r="NZW93" s="240" t="n"/>
      <c r="NZX93" s="240" t="n"/>
      <c r="NZZ93" s="15" t="n"/>
      <c r="OAA93" s="15" t="n"/>
      <c r="OAB93" s="248" t="n"/>
      <c r="OAC93" s="248" t="n"/>
      <c r="OAD93" s="240" t="n"/>
      <c r="OAE93" s="240" t="n"/>
      <c r="OAG93" s="15" t="n"/>
      <c r="OAH93" s="15" t="n"/>
      <c r="OAI93" s="248" t="n"/>
      <c r="OAJ93" s="248" t="n"/>
      <c r="OAK93" s="240" t="n"/>
      <c r="OAL93" s="240" t="n"/>
      <c r="OAN93" s="15" t="n"/>
      <c r="OAO93" s="15" t="n"/>
      <c r="OAP93" s="248" t="n"/>
      <c r="OAQ93" s="248" t="n"/>
      <c r="OAR93" s="240" t="n"/>
      <c r="OAS93" s="240" t="n"/>
      <c r="OAU93" s="15" t="n"/>
      <c r="OAV93" s="15" t="n"/>
      <c r="OAW93" s="248" t="n"/>
      <c r="OAX93" s="248" t="n"/>
      <c r="OAY93" s="240" t="n"/>
      <c r="OAZ93" s="240" t="n"/>
      <c r="OBB93" s="15" t="n"/>
      <c r="OBC93" s="15" t="n"/>
      <c r="OBD93" s="248" t="n"/>
      <c r="OBE93" s="248" t="n"/>
      <c r="OBF93" s="240" t="n"/>
      <c r="OBG93" s="240" t="n"/>
      <c r="OBI93" s="15" t="n"/>
      <c r="OBJ93" s="15" t="n"/>
      <c r="OBK93" s="248" t="n"/>
      <c r="OBL93" s="248" t="n"/>
      <c r="OBM93" s="240" t="n"/>
      <c r="OBN93" s="240" t="n"/>
      <c r="OBP93" s="15" t="n"/>
      <c r="OBQ93" s="15" t="n"/>
      <c r="OBR93" s="248" t="n"/>
      <c r="OBS93" s="248" t="n"/>
      <c r="OBT93" s="240" t="n"/>
      <c r="OBU93" s="240" t="n"/>
      <c r="OBW93" s="15" t="n"/>
      <c r="OBX93" s="15" t="n"/>
      <c r="OBY93" s="248" t="n"/>
      <c r="OBZ93" s="248" t="n"/>
      <c r="OCA93" s="240" t="n"/>
      <c r="OCB93" s="240" t="n"/>
      <c r="OCD93" s="15" t="n"/>
      <c r="OCE93" s="15" t="n"/>
      <c r="OCF93" s="248" t="n"/>
      <c r="OCG93" s="248" t="n"/>
      <c r="OCH93" s="240" t="n"/>
      <c r="OCI93" s="240" t="n"/>
      <c r="OCK93" s="15" t="n"/>
      <c r="OCL93" s="15" t="n"/>
      <c r="OCM93" s="248" t="n"/>
      <c r="OCN93" s="248" t="n"/>
      <c r="OCO93" s="240" t="n"/>
      <c r="OCP93" s="240" t="n"/>
      <c r="OCR93" s="15" t="n"/>
      <c r="OCS93" s="15" t="n"/>
      <c r="OCT93" s="248" t="n"/>
      <c r="OCU93" s="248" t="n"/>
      <c r="OCV93" s="240" t="n"/>
      <c r="OCW93" s="240" t="n"/>
      <c r="OCY93" s="15" t="n"/>
      <c r="OCZ93" s="15" t="n"/>
      <c r="ODA93" s="248" t="n"/>
      <c r="ODB93" s="248" t="n"/>
      <c r="ODC93" s="240" t="n"/>
      <c r="ODD93" s="240" t="n"/>
      <c r="ODF93" s="15" t="n"/>
      <c r="ODG93" s="15" t="n"/>
      <c r="ODH93" s="248" t="n"/>
      <c r="ODI93" s="248" t="n"/>
      <c r="ODJ93" s="240" t="n"/>
      <c r="ODK93" s="240" t="n"/>
      <c r="ODM93" s="15" t="n"/>
      <c r="ODN93" s="15" t="n"/>
      <c r="ODO93" s="248" t="n"/>
      <c r="ODP93" s="248" t="n"/>
      <c r="ODQ93" s="240" t="n"/>
      <c r="ODR93" s="240" t="n"/>
      <c r="ODT93" s="15" t="n"/>
      <c r="ODU93" s="15" t="n"/>
      <c r="ODV93" s="248" t="n"/>
      <c r="ODW93" s="248" t="n"/>
      <c r="ODX93" s="240" t="n"/>
      <c r="ODY93" s="240" t="n"/>
      <c r="OEA93" s="15" t="n"/>
      <c r="OEB93" s="15" t="n"/>
      <c r="OEC93" s="248" t="n"/>
      <c r="OED93" s="248" t="n"/>
      <c r="OEE93" s="240" t="n"/>
      <c r="OEF93" s="240" t="n"/>
      <c r="OEH93" s="15" t="n"/>
      <c r="OEI93" s="15" t="n"/>
      <c r="OEJ93" s="248" t="n"/>
      <c r="OEK93" s="248" t="n"/>
      <c r="OEL93" s="240" t="n"/>
      <c r="OEM93" s="240" t="n"/>
      <c r="OEO93" s="15" t="n"/>
      <c r="OEP93" s="15" t="n"/>
      <c r="OEQ93" s="248" t="n"/>
      <c r="OER93" s="248" t="n"/>
      <c r="OES93" s="240" t="n"/>
      <c r="OET93" s="240" t="n"/>
      <c r="OEV93" s="15" t="n"/>
      <c r="OEW93" s="15" t="n"/>
      <c r="OEX93" s="248" t="n"/>
      <c r="OEY93" s="248" t="n"/>
      <c r="OEZ93" s="240" t="n"/>
      <c r="OFA93" s="240" t="n"/>
      <c r="OFC93" s="15" t="n"/>
      <c r="OFD93" s="15" t="n"/>
      <c r="OFE93" s="248" t="n"/>
      <c r="OFF93" s="248" t="n"/>
      <c r="OFG93" s="240" t="n"/>
      <c r="OFH93" s="240" t="n"/>
      <c r="OFJ93" s="15" t="n"/>
      <c r="OFK93" s="15" t="n"/>
      <c r="OFL93" s="248" t="n"/>
      <c r="OFM93" s="248" t="n"/>
      <c r="OFN93" s="240" t="n"/>
      <c r="OFO93" s="240" t="n"/>
      <c r="OFQ93" s="15" t="n"/>
      <c r="OFR93" s="15" t="n"/>
      <c r="OFS93" s="248" t="n"/>
      <c r="OFT93" s="248" t="n"/>
      <c r="OFU93" s="240" t="n"/>
      <c r="OFV93" s="240" t="n"/>
      <c r="OFX93" s="15" t="n"/>
      <c r="OFY93" s="15" t="n"/>
      <c r="OFZ93" s="248" t="n"/>
      <c r="OGA93" s="248" t="n"/>
      <c r="OGB93" s="240" t="n"/>
      <c r="OGC93" s="240" t="n"/>
      <c r="OGE93" s="15" t="n"/>
      <c r="OGF93" s="15" t="n"/>
      <c r="OGG93" s="248" t="n"/>
      <c r="OGH93" s="248" t="n"/>
      <c r="OGI93" s="240" t="n"/>
      <c r="OGJ93" s="240" t="n"/>
      <c r="OGL93" s="15" t="n"/>
      <c r="OGM93" s="15" t="n"/>
      <c r="OGN93" s="248" t="n"/>
      <c r="OGO93" s="248" t="n"/>
      <c r="OGP93" s="240" t="n"/>
      <c r="OGQ93" s="240" t="n"/>
      <c r="OGS93" s="15" t="n"/>
      <c r="OGT93" s="15" t="n"/>
      <c r="OGU93" s="248" t="n"/>
      <c r="OGV93" s="248" t="n"/>
      <c r="OGW93" s="240" t="n"/>
      <c r="OGX93" s="240" t="n"/>
      <c r="OGZ93" s="15" t="n"/>
      <c r="OHA93" s="15" t="n"/>
      <c r="OHB93" s="248" t="n"/>
      <c r="OHC93" s="248" t="n"/>
      <c r="OHD93" s="240" t="n"/>
      <c r="OHE93" s="240" t="n"/>
      <c r="OHG93" s="15" t="n"/>
      <c r="OHH93" s="15" t="n"/>
      <c r="OHI93" s="248" t="n"/>
      <c r="OHJ93" s="248" t="n"/>
      <c r="OHK93" s="240" t="n"/>
      <c r="OHL93" s="240" t="n"/>
      <c r="OHN93" s="15" t="n"/>
      <c r="OHO93" s="15" t="n"/>
      <c r="OHP93" s="248" t="n"/>
      <c r="OHQ93" s="248" t="n"/>
      <c r="OHR93" s="240" t="n"/>
      <c r="OHS93" s="240" t="n"/>
      <c r="OHU93" s="15" t="n"/>
      <c r="OHV93" s="15" t="n"/>
      <c r="OHW93" s="248" t="n"/>
      <c r="OHX93" s="248" t="n"/>
      <c r="OHY93" s="240" t="n"/>
      <c r="OHZ93" s="240" t="n"/>
      <c r="OIB93" s="15" t="n"/>
      <c r="OIC93" s="15" t="n"/>
      <c r="OID93" s="248" t="n"/>
      <c r="OIE93" s="248" t="n"/>
      <c r="OIF93" s="240" t="n"/>
      <c r="OIG93" s="240" t="n"/>
      <c r="OII93" s="15" t="n"/>
      <c r="OIJ93" s="15" t="n"/>
      <c r="OIK93" s="248" t="n"/>
      <c r="OIL93" s="248" t="n"/>
      <c r="OIM93" s="240" t="n"/>
      <c r="OIN93" s="240" t="n"/>
      <c r="OIP93" s="15" t="n"/>
      <c r="OIQ93" s="15" t="n"/>
      <c r="OIR93" s="248" t="n"/>
      <c r="OIS93" s="248" t="n"/>
      <c r="OIT93" s="240" t="n"/>
      <c r="OIU93" s="240" t="n"/>
      <c r="OIW93" s="15" t="n"/>
      <c r="OIX93" s="15" t="n"/>
      <c r="OIY93" s="248" t="n"/>
      <c r="OIZ93" s="248" t="n"/>
      <c r="OJA93" s="240" t="n"/>
      <c r="OJB93" s="240" t="n"/>
      <c r="OJD93" s="15" t="n"/>
      <c r="OJE93" s="15" t="n"/>
      <c r="OJF93" s="248" t="n"/>
      <c r="OJG93" s="248" t="n"/>
      <c r="OJH93" s="240" t="n"/>
      <c r="OJI93" s="240" t="n"/>
      <c r="OJK93" s="15" t="n"/>
      <c r="OJL93" s="15" t="n"/>
      <c r="OJM93" s="248" t="n"/>
      <c r="OJN93" s="248" t="n"/>
      <c r="OJO93" s="240" t="n"/>
      <c r="OJP93" s="240" t="n"/>
      <c r="OJR93" s="15" t="n"/>
      <c r="OJS93" s="15" t="n"/>
      <c r="OJT93" s="248" t="n"/>
      <c r="OJU93" s="248" t="n"/>
      <c r="OJV93" s="240" t="n"/>
      <c r="OJW93" s="240" t="n"/>
      <c r="OJY93" s="15" t="n"/>
      <c r="OJZ93" s="15" t="n"/>
      <c r="OKA93" s="248" t="n"/>
      <c r="OKB93" s="248" t="n"/>
      <c r="OKC93" s="240" t="n"/>
      <c r="OKD93" s="240" t="n"/>
      <c r="OKF93" s="15" t="n"/>
      <c r="OKG93" s="15" t="n"/>
      <c r="OKH93" s="248" t="n"/>
      <c r="OKI93" s="248" t="n"/>
      <c r="OKJ93" s="240" t="n"/>
      <c r="OKK93" s="240" t="n"/>
      <c r="OKM93" s="15" t="n"/>
      <c r="OKN93" s="15" t="n"/>
      <c r="OKO93" s="248" t="n"/>
      <c r="OKP93" s="248" t="n"/>
      <c r="OKQ93" s="240" t="n"/>
      <c r="OKR93" s="240" t="n"/>
      <c r="OKT93" s="15" t="n"/>
      <c r="OKU93" s="15" t="n"/>
      <c r="OKV93" s="248" t="n"/>
      <c r="OKW93" s="248" t="n"/>
      <c r="OKX93" s="240" t="n"/>
      <c r="OKY93" s="240" t="n"/>
      <c r="OLA93" s="15" t="n"/>
      <c r="OLB93" s="15" t="n"/>
      <c r="OLC93" s="248" t="n"/>
      <c r="OLD93" s="248" t="n"/>
      <c r="OLE93" s="240" t="n"/>
      <c r="OLF93" s="240" t="n"/>
      <c r="OLH93" s="15" t="n"/>
      <c r="OLI93" s="15" t="n"/>
      <c r="OLJ93" s="248" t="n"/>
      <c r="OLK93" s="248" t="n"/>
      <c r="OLL93" s="240" t="n"/>
      <c r="OLM93" s="240" t="n"/>
      <c r="OLO93" s="15" t="n"/>
      <c r="OLP93" s="15" t="n"/>
      <c r="OLQ93" s="248" t="n"/>
      <c r="OLR93" s="248" t="n"/>
      <c r="OLS93" s="240" t="n"/>
      <c r="OLT93" s="240" t="n"/>
      <c r="OLV93" s="15" t="n"/>
      <c r="OLW93" s="15" t="n"/>
      <c r="OLX93" s="248" t="n"/>
      <c r="OLY93" s="248" t="n"/>
      <c r="OLZ93" s="240" t="n"/>
      <c r="OMA93" s="240" t="n"/>
      <c r="OMC93" s="15" t="n"/>
      <c r="OMD93" s="15" t="n"/>
      <c r="OME93" s="248" t="n"/>
      <c r="OMF93" s="248" t="n"/>
      <c r="OMG93" s="240" t="n"/>
      <c r="OMH93" s="240" t="n"/>
      <c r="OMJ93" s="15" t="n"/>
      <c r="OMK93" s="15" t="n"/>
      <c r="OML93" s="248" t="n"/>
      <c r="OMM93" s="248" t="n"/>
      <c r="OMN93" s="240" t="n"/>
      <c r="OMO93" s="240" t="n"/>
      <c r="OMQ93" s="15" t="n"/>
      <c r="OMR93" s="15" t="n"/>
      <c r="OMS93" s="248" t="n"/>
      <c r="OMT93" s="248" t="n"/>
      <c r="OMU93" s="240" t="n"/>
      <c r="OMV93" s="240" t="n"/>
      <c r="OMX93" s="15" t="n"/>
      <c r="OMY93" s="15" t="n"/>
      <c r="OMZ93" s="248" t="n"/>
      <c r="ONA93" s="248" t="n"/>
      <c r="ONB93" s="240" t="n"/>
      <c r="ONC93" s="240" t="n"/>
      <c r="ONE93" s="15" t="n"/>
      <c r="ONF93" s="15" t="n"/>
      <c r="ONG93" s="248" t="n"/>
      <c r="ONH93" s="248" t="n"/>
      <c r="ONI93" s="240" t="n"/>
      <c r="ONJ93" s="240" t="n"/>
      <c r="ONL93" s="15" t="n"/>
      <c r="ONM93" s="15" t="n"/>
      <c r="ONN93" s="248" t="n"/>
      <c r="ONO93" s="248" t="n"/>
      <c r="ONP93" s="240" t="n"/>
      <c r="ONQ93" s="240" t="n"/>
      <c r="ONS93" s="15" t="n"/>
      <c r="ONT93" s="15" t="n"/>
      <c r="ONU93" s="248" t="n"/>
      <c r="ONV93" s="248" t="n"/>
      <c r="ONW93" s="240" t="n"/>
      <c r="ONX93" s="240" t="n"/>
      <c r="ONZ93" s="15" t="n"/>
      <c r="OOA93" s="15" t="n"/>
      <c r="OOB93" s="248" t="n"/>
      <c r="OOC93" s="248" t="n"/>
      <c r="OOD93" s="240" t="n"/>
      <c r="OOE93" s="240" t="n"/>
      <c r="OOG93" s="15" t="n"/>
      <c r="OOH93" s="15" t="n"/>
      <c r="OOI93" s="248" t="n"/>
      <c r="OOJ93" s="248" t="n"/>
      <c r="OOK93" s="240" t="n"/>
      <c r="OOL93" s="240" t="n"/>
      <c r="OON93" s="15" t="n"/>
      <c r="OOO93" s="15" t="n"/>
      <c r="OOP93" s="248" t="n"/>
      <c r="OOQ93" s="248" t="n"/>
      <c r="OOR93" s="240" t="n"/>
      <c r="OOS93" s="240" t="n"/>
      <c r="OOU93" s="15" t="n"/>
      <c r="OOV93" s="15" t="n"/>
      <c r="OOW93" s="248" t="n"/>
      <c r="OOX93" s="248" t="n"/>
      <c r="OOY93" s="240" t="n"/>
      <c r="OOZ93" s="240" t="n"/>
      <c r="OPB93" s="15" t="n"/>
      <c r="OPC93" s="15" t="n"/>
      <c r="OPD93" s="248" t="n"/>
      <c r="OPE93" s="248" t="n"/>
      <c r="OPF93" s="240" t="n"/>
      <c r="OPG93" s="240" t="n"/>
      <c r="OPI93" s="15" t="n"/>
      <c r="OPJ93" s="15" t="n"/>
      <c r="OPK93" s="248" t="n"/>
      <c r="OPL93" s="248" t="n"/>
      <c r="OPM93" s="240" t="n"/>
      <c r="OPN93" s="240" t="n"/>
      <c r="OPP93" s="15" t="n"/>
      <c r="OPQ93" s="15" t="n"/>
      <c r="OPR93" s="248" t="n"/>
      <c r="OPS93" s="248" t="n"/>
      <c r="OPT93" s="240" t="n"/>
      <c r="OPU93" s="240" t="n"/>
      <c r="OPW93" s="15" t="n"/>
      <c r="OPX93" s="15" t="n"/>
      <c r="OPY93" s="248" t="n"/>
      <c r="OPZ93" s="248" t="n"/>
      <c r="OQA93" s="240" t="n"/>
      <c r="OQB93" s="240" t="n"/>
      <c r="OQD93" s="15" t="n"/>
      <c r="OQE93" s="15" t="n"/>
      <c r="OQF93" s="248" t="n"/>
      <c r="OQG93" s="248" t="n"/>
      <c r="OQH93" s="240" t="n"/>
      <c r="OQI93" s="240" t="n"/>
      <c r="OQK93" s="15" t="n"/>
      <c r="OQL93" s="15" t="n"/>
      <c r="OQM93" s="248" t="n"/>
      <c r="OQN93" s="248" t="n"/>
      <c r="OQO93" s="240" t="n"/>
      <c r="OQP93" s="240" t="n"/>
      <c r="OQR93" s="15" t="n"/>
      <c r="OQS93" s="15" t="n"/>
      <c r="OQT93" s="248" t="n"/>
      <c r="OQU93" s="248" t="n"/>
      <c r="OQV93" s="240" t="n"/>
      <c r="OQW93" s="240" t="n"/>
      <c r="OQY93" s="15" t="n"/>
      <c r="OQZ93" s="15" t="n"/>
      <c r="ORA93" s="248" t="n"/>
      <c r="ORB93" s="248" t="n"/>
      <c r="ORC93" s="240" t="n"/>
      <c r="ORD93" s="240" t="n"/>
      <c r="ORF93" s="15" t="n"/>
      <c r="ORG93" s="15" t="n"/>
      <c r="ORH93" s="248" t="n"/>
      <c r="ORI93" s="248" t="n"/>
      <c r="ORJ93" s="240" t="n"/>
      <c r="ORK93" s="240" t="n"/>
      <c r="ORM93" s="15" t="n"/>
      <c r="ORN93" s="15" t="n"/>
      <c r="ORO93" s="248" t="n"/>
      <c r="ORP93" s="248" t="n"/>
      <c r="ORQ93" s="240" t="n"/>
      <c r="ORR93" s="240" t="n"/>
      <c r="ORT93" s="15" t="n"/>
      <c r="ORU93" s="15" t="n"/>
      <c r="ORV93" s="248" t="n"/>
      <c r="ORW93" s="248" t="n"/>
      <c r="ORX93" s="240" t="n"/>
      <c r="ORY93" s="240" t="n"/>
      <c r="OSA93" s="15" t="n"/>
      <c r="OSB93" s="15" t="n"/>
      <c r="OSC93" s="248" t="n"/>
      <c r="OSD93" s="248" t="n"/>
      <c r="OSE93" s="240" t="n"/>
      <c r="OSF93" s="240" t="n"/>
      <c r="OSH93" s="15" t="n"/>
      <c r="OSI93" s="15" t="n"/>
      <c r="OSJ93" s="248" t="n"/>
      <c r="OSK93" s="248" t="n"/>
      <c r="OSL93" s="240" t="n"/>
      <c r="OSM93" s="240" t="n"/>
      <c r="OSO93" s="15" t="n"/>
      <c r="OSP93" s="15" t="n"/>
      <c r="OSQ93" s="248" t="n"/>
      <c r="OSR93" s="248" t="n"/>
      <c r="OSS93" s="240" t="n"/>
      <c r="OST93" s="240" t="n"/>
      <c r="OSV93" s="15" t="n"/>
      <c r="OSW93" s="15" t="n"/>
      <c r="OSX93" s="248" t="n"/>
      <c r="OSY93" s="248" t="n"/>
      <c r="OSZ93" s="240" t="n"/>
      <c r="OTA93" s="240" t="n"/>
      <c r="OTC93" s="15" t="n"/>
      <c r="OTD93" s="15" t="n"/>
      <c r="OTE93" s="248" t="n"/>
      <c r="OTF93" s="248" t="n"/>
      <c r="OTG93" s="240" t="n"/>
      <c r="OTH93" s="240" t="n"/>
      <c r="OTJ93" s="15" t="n"/>
      <c r="OTK93" s="15" t="n"/>
      <c r="OTL93" s="248" t="n"/>
      <c r="OTM93" s="248" t="n"/>
      <c r="OTN93" s="240" t="n"/>
      <c r="OTO93" s="240" t="n"/>
      <c r="OTQ93" s="15" t="n"/>
      <c r="OTR93" s="15" t="n"/>
      <c r="OTS93" s="248" t="n"/>
      <c r="OTT93" s="248" t="n"/>
      <c r="OTU93" s="240" t="n"/>
      <c r="OTV93" s="240" t="n"/>
      <c r="OTX93" s="15" t="n"/>
      <c r="OTY93" s="15" t="n"/>
      <c r="OTZ93" s="248" t="n"/>
      <c r="OUA93" s="248" t="n"/>
      <c r="OUB93" s="240" t="n"/>
      <c r="OUC93" s="240" t="n"/>
      <c r="OUE93" s="15" t="n"/>
      <c r="OUF93" s="15" t="n"/>
      <c r="OUG93" s="248" t="n"/>
      <c r="OUH93" s="248" t="n"/>
      <c r="OUI93" s="240" t="n"/>
      <c r="OUJ93" s="240" t="n"/>
      <c r="OUL93" s="15" t="n"/>
      <c r="OUM93" s="15" t="n"/>
      <c r="OUN93" s="248" t="n"/>
      <c r="OUO93" s="248" t="n"/>
      <c r="OUP93" s="240" t="n"/>
      <c r="OUQ93" s="240" t="n"/>
      <c r="OUS93" s="15" t="n"/>
      <c r="OUT93" s="15" t="n"/>
      <c r="OUU93" s="248" t="n"/>
      <c r="OUV93" s="248" t="n"/>
      <c r="OUW93" s="240" t="n"/>
      <c r="OUX93" s="240" t="n"/>
      <c r="OUZ93" s="15" t="n"/>
      <c r="OVA93" s="15" t="n"/>
      <c r="OVB93" s="248" t="n"/>
      <c r="OVC93" s="248" t="n"/>
      <c r="OVD93" s="240" t="n"/>
      <c r="OVE93" s="240" t="n"/>
      <c r="OVG93" s="15" t="n"/>
      <c r="OVH93" s="15" t="n"/>
      <c r="OVI93" s="248" t="n"/>
      <c r="OVJ93" s="248" t="n"/>
      <c r="OVK93" s="240" t="n"/>
      <c r="OVL93" s="240" t="n"/>
      <c r="OVN93" s="15" t="n"/>
      <c r="OVO93" s="15" t="n"/>
      <c r="OVP93" s="248" t="n"/>
      <c r="OVQ93" s="248" t="n"/>
      <c r="OVR93" s="240" t="n"/>
      <c r="OVS93" s="240" t="n"/>
      <c r="OVU93" s="15" t="n"/>
      <c r="OVV93" s="15" t="n"/>
      <c r="OVW93" s="248" t="n"/>
      <c r="OVX93" s="248" t="n"/>
      <c r="OVY93" s="240" t="n"/>
      <c r="OVZ93" s="240" t="n"/>
      <c r="OWB93" s="15" t="n"/>
      <c r="OWC93" s="15" t="n"/>
      <c r="OWD93" s="248" t="n"/>
      <c r="OWE93" s="248" t="n"/>
      <c r="OWF93" s="240" t="n"/>
      <c r="OWG93" s="240" t="n"/>
      <c r="OWI93" s="15" t="n"/>
      <c r="OWJ93" s="15" t="n"/>
      <c r="OWK93" s="248" t="n"/>
      <c r="OWL93" s="248" t="n"/>
      <c r="OWM93" s="240" t="n"/>
      <c r="OWN93" s="240" t="n"/>
      <c r="OWP93" s="15" t="n"/>
      <c r="OWQ93" s="15" t="n"/>
      <c r="OWR93" s="248" t="n"/>
      <c r="OWS93" s="248" t="n"/>
      <c r="OWT93" s="240" t="n"/>
      <c r="OWU93" s="240" t="n"/>
      <c r="OWW93" s="15" t="n"/>
      <c r="OWX93" s="15" t="n"/>
      <c r="OWY93" s="248" t="n"/>
      <c r="OWZ93" s="248" t="n"/>
      <c r="OXA93" s="240" t="n"/>
      <c r="OXB93" s="240" t="n"/>
      <c r="OXD93" s="15" t="n"/>
      <c r="OXE93" s="15" t="n"/>
      <c r="OXF93" s="248" t="n"/>
      <c r="OXG93" s="248" t="n"/>
      <c r="OXH93" s="240" t="n"/>
      <c r="OXI93" s="240" t="n"/>
      <c r="OXK93" s="15" t="n"/>
      <c r="OXL93" s="15" t="n"/>
      <c r="OXM93" s="248" t="n"/>
      <c r="OXN93" s="248" t="n"/>
      <c r="OXO93" s="240" t="n"/>
      <c r="OXP93" s="240" t="n"/>
      <c r="OXR93" s="15" t="n"/>
      <c r="OXS93" s="15" t="n"/>
      <c r="OXT93" s="248" t="n"/>
      <c r="OXU93" s="248" t="n"/>
      <c r="OXV93" s="240" t="n"/>
      <c r="OXW93" s="240" t="n"/>
      <c r="OXY93" s="15" t="n"/>
      <c r="OXZ93" s="15" t="n"/>
      <c r="OYA93" s="248" t="n"/>
      <c r="OYB93" s="248" t="n"/>
      <c r="OYC93" s="240" t="n"/>
      <c r="OYD93" s="240" t="n"/>
      <c r="OYF93" s="15" t="n"/>
      <c r="OYG93" s="15" t="n"/>
      <c r="OYH93" s="248" t="n"/>
      <c r="OYI93" s="248" t="n"/>
      <c r="OYJ93" s="240" t="n"/>
      <c r="OYK93" s="240" t="n"/>
      <c r="OYM93" s="15" t="n"/>
      <c r="OYN93" s="15" t="n"/>
      <c r="OYO93" s="248" t="n"/>
      <c r="OYP93" s="248" t="n"/>
      <c r="OYQ93" s="240" t="n"/>
      <c r="OYR93" s="240" t="n"/>
      <c r="OYT93" s="15" t="n"/>
      <c r="OYU93" s="15" t="n"/>
      <c r="OYV93" s="248" t="n"/>
      <c r="OYW93" s="248" t="n"/>
      <c r="OYX93" s="240" t="n"/>
      <c r="OYY93" s="240" t="n"/>
      <c r="OZA93" s="15" t="n"/>
      <c r="OZB93" s="15" t="n"/>
      <c r="OZC93" s="248" t="n"/>
      <c r="OZD93" s="248" t="n"/>
      <c r="OZE93" s="240" t="n"/>
      <c r="OZF93" s="240" t="n"/>
      <c r="OZH93" s="15" t="n"/>
      <c r="OZI93" s="15" t="n"/>
      <c r="OZJ93" s="248" t="n"/>
      <c r="OZK93" s="248" t="n"/>
      <c r="OZL93" s="240" t="n"/>
      <c r="OZM93" s="240" t="n"/>
      <c r="OZO93" s="15" t="n"/>
      <c r="OZP93" s="15" t="n"/>
      <c r="OZQ93" s="248" t="n"/>
      <c r="OZR93" s="248" t="n"/>
      <c r="OZS93" s="240" t="n"/>
      <c r="OZT93" s="240" t="n"/>
      <c r="OZV93" s="15" t="n"/>
      <c r="OZW93" s="15" t="n"/>
      <c r="OZX93" s="248" t="n"/>
      <c r="OZY93" s="248" t="n"/>
      <c r="OZZ93" s="240" t="n"/>
      <c r="PAA93" s="240" t="n"/>
      <c r="PAC93" s="15" t="n"/>
      <c r="PAD93" s="15" t="n"/>
      <c r="PAE93" s="248" t="n"/>
      <c r="PAF93" s="248" t="n"/>
      <c r="PAG93" s="240" t="n"/>
      <c r="PAH93" s="240" t="n"/>
      <c r="PAJ93" s="15" t="n"/>
      <c r="PAK93" s="15" t="n"/>
      <c r="PAL93" s="248" t="n"/>
      <c r="PAM93" s="248" t="n"/>
      <c r="PAN93" s="240" t="n"/>
      <c r="PAO93" s="240" t="n"/>
      <c r="PAQ93" s="15" t="n"/>
      <c r="PAR93" s="15" t="n"/>
      <c r="PAS93" s="248" t="n"/>
      <c r="PAT93" s="248" t="n"/>
      <c r="PAU93" s="240" t="n"/>
      <c r="PAV93" s="240" t="n"/>
      <c r="PAX93" s="15" t="n"/>
      <c r="PAY93" s="15" t="n"/>
      <c r="PAZ93" s="248" t="n"/>
      <c r="PBA93" s="248" t="n"/>
      <c r="PBB93" s="240" t="n"/>
      <c r="PBC93" s="240" t="n"/>
      <c r="PBE93" s="15" t="n"/>
      <c r="PBF93" s="15" t="n"/>
      <c r="PBG93" s="248" t="n"/>
      <c r="PBH93" s="248" t="n"/>
      <c r="PBI93" s="240" t="n"/>
      <c r="PBJ93" s="240" t="n"/>
      <c r="PBL93" s="15" t="n"/>
      <c r="PBM93" s="15" t="n"/>
      <c r="PBN93" s="248" t="n"/>
      <c r="PBO93" s="248" t="n"/>
      <c r="PBP93" s="240" t="n"/>
      <c r="PBQ93" s="240" t="n"/>
      <c r="PBS93" s="15" t="n"/>
      <c r="PBT93" s="15" t="n"/>
      <c r="PBU93" s="248" t="n"/>
      <c r="PBV93" s="248" t="n"/>
      <c r="PBW93" s="240" t="n"/>
      <c r="PBX93" s="240" t="n"/>
      <c r="PBZ93" s="15" t="n"/>
      <c r="PCA93" s="15" t="n"/>
      <c r="PCB93" s="248" t="n"/>
      <c r="PCC93" s="248" t="n"/>
      <c r="PCD93" s="240" t="n"/>
      <c r="PCE93" s="240" t="n"/>
      <c r="PCG93" s="15" t="n"/>
      <c r="PCH93" s="15" t="n"/>
      <c r="PCI93" s="248" t="n"/>
      <c r="PCJ93" s="248" t="n"/>
      <c r="PCK93" s="240" t="n"/>
      <c r="PCL93" s="240" t="n"/>
      <c r="PCN93" s="15" t="n"/>
      <c r="PCO93" s="15" t="n"/>
      <c r="PCP93" s="248" t="n"/>
      <c r="PCQ93" s="248" t="n"/>
      <c r="PCR93" s="240" t="n"/>
      <c r="PCS93" s="240" t="n"/>
      <c r="PCU93" s="15" t="n"/>
      <c r="PCV93" s="15" t="n"/>
      <c r="PCW93" s="248" t="n"/>
      <c r="PCX93" s="248" t="n"/>
      <c r="PCY93" s="240" t="n"/>
      <c r="PCZ93" s="240" t="n"/>
      <c r="PDB93" s="15" t="n"/>
      <c r="PDC93" s="15" t="n"/>
      <c r="PDD93" s="248" t="n"/>
      <c r="PDE93" s="248" t="n"/>
      <c r="PDF93" s="240" t="n"/>
      <c r="PDG93" s="240" t="n"/>
      <c r="PDI93" s="15" t="n"/>
      <c r="PDJ93" s="15" t="n"/>
      <c r="PDK93" s="248" t="n"/>
      <c r="PDL93" s="248" t="n"/>
      <c r="PDM93" s="240" t="n"/>
      <c r="PDN93" s="240" t="n"/>
      <c r="PDP93" s="15" t="n"/>
      <c r="PDQ93" s="15" t="n"/>
      <c r="PDR93" s="248" t="n"/>
      <c r="PDS93" s="248" t="n"/>
      <c r="PDT93" s="240" t="n"/>
      <c r="PDU93" s="240" t="n"/>
      <c r="PDW93" s="15" t="n"/>
      <c r="PDX93" s="15" t="n"/>
      <c r="PDY93" s="248" t="n"/>
      <c r="PDZ93" s="248" t="n"/>
      <c r="PEA93" s="240" t="n"/>
      <c r="PEB93" s="240" t="n"/>
      <c r="PED93" s="15" t="n"/>
      <c r="PEE93" s="15" t="n"/>
      <c r="PEF93" s="248" t="n"/>
      <c r="PEG93" s="248" t="n"/>
      <c r="PEH93" s="240" t="n"/>
      <c r="PEI93" s="240" t="n"/>
      <c r="PEK93" s="15" t="n"/>
      <c r="PEL93" s="15" t="n"/>
      <c r="PEM93" s="248" t="n"/>
      <c r="PEN93" s="248" t="n"/>
      <c r="PEO93" s="240" t="n"/>
      <c r="PEP93" s="240" t="n"/>
      <c r="PER93" s="15" t="n"/>
      <c r="PES93" s="15" t="n"/>
      <c r="PET93" s="248" t="n"/>
      <c r="PEU93" s="248" t="n"/>
      <c r="PEV93" s="240" t="n"/>
      <c r="PEW93" s="240" t="n"/>
      <c r="PEY93" s="15" t="n"/>
      <c r="PEZ93" s="15" t="n"/>
      <c r="PFA93" s="248" t="n"/>
      <c r="PFB93" s="248" t="n"/>
      <c r="PFC93" s="240" t="n"/>
      <c r="PFD93" s="240" t="n"/>
      <c r="PFF93" s="15" t="n"/>
      <c r="PFG93" s="15" t="n"/>
      <c r="PFH93" s="248" t="n"/>
      <c r="PFI93" s="248" t="n"/>
      <c r="PFJ93" s="240" t="n"/>
      <c r="PFK93" s="240" t="n"/>
      <c r="PFM93" s="15" t="n"/>
      <c r="PFN93" s="15" t="n"/>
      <c r="PFO93" s="248" t="n"/>
      <c r="PFP93" s="248" t="n"/>
      <c r="PFQ93" s="240" t="n"/>
      <c r="PFR93" s="240" t="n"/>
      <c r="PFT93" s="15" t="n"/>
      <c r="PFU93" s="15" t="n"/>
      <c r="PFV93" s="248" t="n"/>
      <c r="PFW93" s="248" t="n"/>
      <c r="PFX93" s="240" t="n"/>
      <c r="PFY93" s="240" t="n"/>
      <c r="PGA93" s="15" t="n"/>
      <c r="PGB93" s="15" t="n"/>
      <c r="PGC93" s="248" t="n"/>
      <c r="PGD93" s="248" t="n"/>
      <c r="PGE93" s="240" t="n"/>
      <c r="PGF93" s="240" t="n"/>
      <c r="PGH93" s="15" t="n"/>
      <c r="PGI93" s="15" t="n"/>
      <c r="PGJ93" s="248" t="n"/>
      <c r="PGK93" s="248" t="n"/>
      <c r="PGL93" s="240" t="n"/>
      <c r="PGM93" s="240" t="n"/>
      <c r="PGO93" s="15" t="n"/>
      <c r="PGP93" s="15" t="n"/>
      <c r="PGQ93" s="248" t="n"/>
      <c r="PGR93" s="248" t="n"/>
      <c r="PGS93" s="240" t="n"/>
      <c r="PGT93" s="240" t="n"/>
      <c r="PGV93" s="15" t="n"/>
      <c r="PGW93" s="15" t="n"/>
      <c r="PGX93" s="248" t="n"/>
      <c r="PGY93" s="248" t="n"/>
      <c r="PGZ93" s="240" t="n"/>
      <c r="PHA93" s="240" t="n"/>
      <c r="PHC93" s="15" t="n"/>
      <c r="PHD93" s="15" t="n"/>
      <c r="PHE93" s="248" t="n"/>
      <c r="PHF93" s="248" t="n"/>
      <c r="PHG93" s="240" t="n"/>
      <c r="PHH93" s="240" t="n"/>
      <c r="PHJ93" s="15" t="n"/>
      <c r="PHK93" s="15" t="n"/>
      <c r="PHL93" s="248" t="n"/>
      <c r="PHM93" s="248" t="n"/>
      <c r="PHN93" s="240" t="n"/>
      <c r="PHO93" s="240" t="n"/>
      <c r="PHQ93" s="15" t="n"/>
      <c r="PHR93" s="15" t="n"/>
      <c r="PHS93" s="248" t="n"/>
      <c r="PHT93" s="248" t="n"/>
      <c r="PHU93" s="240" t="n"/>
      <c r="PHV93" s="240" t="n"/>
      <c r="PHX93" s="15" t="n"/>
      <c r="PHY93" s="15" t="n"/>
      <c r="PHZ93" s="248" t="n"/>
      <c r="PIA93" s="248" t="n"/>
      <c r="PIB93" s="240" t="n"/>
      <c r="PIC93" s="240" t="n"/>
      <c r="PIE93" s="15" t="n"/>
      <c r="PIF93" s="15" t="n"/>
      <c r="PIG93" s="248" t="n"/>
      <c r="PIH93" s="248" t="n"/>
      <c r="PII93" s="240" t="n"/>
      <c r="PIJ93" s="240" t="n"/>
      <c r="PIL93" s="15" t="n"/>
      <c r="PIM93" s="15" t="n"/>
      <c r="PIN93" s="248" t="n"/>
      <c r="PIO93" s="248" t="n"/>
      <c r="PIP93" s="240" t="n"/>
      <c r="PIQ93" s="240" t="n"/>
      <c r="PIS93" s="15" t="n"/>
      <c r="PIT93" s="15" t="n"/>
      <c r="PIU93" s="248" t="n"/>
      <c r="PIV93" s="248" t="n"/>
      <c r="PIW93" s="240" t="n"/>
      <c r="PIX93" s="240" t="n"/>
      <c r="PIZ93" s="15" t="n"/>
      <c r="PJA93" s="15" t="n"/>
      <c r="PJB93" s="248" t="n"/>
      <c r="PJC93" s="248" t="n"/>
      <c r="PJD93" s="240" t="n"/>
      <c r="PJE93" s="240" t="n"/>
      <c r="PJG93" s="15" t="n"/>
      <c r="PJH93" s="15" t="n"/>
      <c r="PJI93" s="248" t="n"/>
      <c r="PJJ93" s="248" t="n"/>
      <c r="PJK93" s="240" t="n"/>
      <c r="PJL93" s="240" t="n"/>
      <c r="PJN93" s="15" t="n"/>
      <c r="PJO93" s="15" t="n"/>
      <c r="PJP93" s="248" t="n"/>
      <c r="PJQ93" s="248" t="n"/>
      <c r="PJR93" s="240" t="n"/>
      <c r="PJS93" s="240" t="n"/>
      <c r="PJU93" s="15" t="n"/>
      <c r="PJV93" s="15" t="n"/>
      <c r="PJW93" s="248" t="n"/>
      <c r="PJX93" s="248" t="n"/>
      <c r="PJY93" s="240" t="n"/>
      <c r="PJZ93" s="240" t="n"/>
      <c r="PKB93" s="15" t="n"/>
      <c r="PKC93" s="15" t="n"/>
      <c r="PKD93" s="248" t="n"/>
      <c r="PKE93" s="248" t="n"/>
      <c r="PKF93" s="240" t="n"/>
      <c r="PKG93" s="240" t="n"/>
      <c r="PKI93" s="15" t="n"/>
      <c r="PKJ93" s="15" t="n"/>
      <c r="PKK93" s="248" t="n"/>
      <c r="PKL93" s="248" t="n"/>
      <c r="PKM93" s="240" t="n"/>
      <c r="PKN93" s="240" t="n"/>
      <c r="PKP93" s="15" t="n"/>
      <c r="PKQ93" s="15" t="n"/>
      <c r="PKR93" s="248" t="n"/>
      <c r="PKS93" s="248" t="n"/>
      <c r="PKT93" s="240" t="n"/>
      <c r="PKU93" s="240" t="n"/>
      <c r="PKW93" s="15" t="n"/>
      <c r="PKX93" s="15" t="n"/>
      <c r="PKY93" s="248" t="n"/>
      <c r="PKZ93" s="248" t="n"/>
      <c r="PLA93" s="240" t="n"/>
      <c r="PLB93" s="240" t="n"/>
      <c r="PLD93" s="15" t="n"/>
      <c r="PLE93" s="15" t="n"/>
      <c r="PLF93" s="248" t="n"/>
      <c r="PLG93" s="248" t="n"/>
      <c r="PLH93" s="240" t="n"/>
      <c r="PLI93" s="240" t="n"/>
      <c r="PLK93" s="15" t="n"/>
      <c r="PLL93" s="15" t="n"/>
      <c r="PLM93" s="248" t="n"/>
      <c r="PLN93" s="248" t="n"/>
      <c r="PLO93" s="240" t="n"/>
      <c r="PLP93" s="240" t="n"/>
      <c r="PLR93" s="15" t="n"/>
      <c r="PLS93" s="15" t="n"/>
      <c r="PLT93" s="248" t="n"/>
      <c r="PLU93" s="248" t="n"/>
      <c r="PLV93" s="240" t="n"/>
      <c r="PLW93" s="240" t="n"/>
      <c r="PLY93" s="15" t="n"/>
      <c r="PLZ93" s="15" t="n"/>
      <c r="PMA93" s="248" t="n"/>
      <c r="PMB93" s="248" t="n"/>
      <c r="PMC93" s="240" t="n"/>
      <c r="PMD93" s="240" t="n"/>
      <c r="PMF93" s="15" t="n"/>
      <c r="PMG93" s="15" t="n"/>
      <c r="PMH93" s="248" t="n"/>
      <c r="PMI93" s="248" t="n"/>
      <c r="PMJ93" s="240" t="n"/>
      <c r="PMK93" s="240" t="n"/>
      <c r="PMM93" s="15" t="n"/>
      <c r="PMN93" s="15" t="n"/>
      <c r="PMO93" s="248" t="n"/>
      <c r="PMP93" s="248" t="n"/>
      <c r="PMQ93" s="240" t="n"/>
      <c r="PMR93" s="240" t="n"/>
      <c r="PMT93" s="15" t="n"/>
      <c r="PMU93" s="15" t="n"/>
      <c r="PMV93" s="248" t="n"/>
      <c r="PMW93" s="248" t="n"/>
      <c r="PMX93" s="240" t="n"/>
      <c r="PMY93" s="240" t="n"/>
      <c r="PNA93" s="15" t="n"/>
      <c r="PNB93" s="15" t="n"/>
      <c r="PNC93" s="248" t="n"/>
      <c r="PND93" s="248" t="n"/>
      <c r="PNE93" s="240" t="n"/>
      <c r="PNF93" s="240" t="n"/>
      <c r="PNH93" s="15" t="n"/>
      <c r="PNI93" s="15" t="n"/>
      <c r="PNJ93" s="248" t="n"/>
      <c r="PNK93" s="248" t="n"/>
      <c r="PNL93" s="240" t="n"/>
      <c r="PNM93" s="240" t="n"/>
      <c r="PNO93" s="15" t="n"/>
      <c r="PNP93" s="15" t="n"/>
      <c r="PNQ93" s="248" t="n"/>
      <c r="PNR93" s="248" t="n"/>
      <c r="PNS93" s="240" t="n"/>
      <c r="PNT93" s="240" t="n"/>
      <c r="PNV93" s="15" t="n"/>
      <c r="PNW93" s="15" t="n"/>
      <c r="PNX93" s="248" t="n"/>
      <c r="PNY93" s="248" t="n"/>
      <c r="PNZ93" s="240" t="n"/>
      <c r="POA93" s="240" t="n"/>
      <c r="POC93" s="15" t="n"/>
      <c r="POD93" s="15" t="n"/>
      <c r="POE93" s="248" t="n"/>
      <c r="POF93" s="248" t="n"/>
      <c r="POG93" s="240" t="n"/>
      <c r="POH93" s="240" t="n"/>
      <c r="POJ93" s="15" t="n"/>
      <c r="POK93" s="15" t="n"/>
      <c r="POL93" s="248" t="n"/>
      <c r="POM93" s="248" t="n"/>
      <c r="PON93" s="240" t="n"/>
      <c r="POO93" s="240" t="n"/>
      <c r="POQ93" s="15" t="n"/>
      <c r="POR93" s="15" t="n"/>
      <c r="POS93" s="248" t="n"/>
      <c r="POT93" s="248" t="n"/>
      <c r="POU93" s="240" t="n"/>
      <c r="POV93" s="240" t="n"/>
      <c r="POX93" s="15" t="n"/>
      <c r="POY93" s="15" t="n"/>
      <c r="POZ93" s="248" t="n"/>
      <c r="PPA93" s="248" t="n"/>
      <c r="PPB93" s="240" t="n"/>
      <c r="PPC93" s="240" t="n"/>
      <c r="PPE93" s="15" t="n"/>
      <c r="PPF93" s="15" t="n"/>
      <c r="PPG93" s="248" t="n"/>
      <c r="PPH93" s="248" t="n"/>
      <c r="PPI93" s="240" t="n"/>
      <c r="PPJ93" s="240" t="n"/>
      <c r="PPL93" s="15" t="n"/>
      <c r="PPM93" s="15" t="n"/>
      <c r="PPN93" s="248" t="n"/>
      <c r="PPO93" s="248" t="n"/>
      <c r="PPP93" s="240" t="n"/>
      <c r="PPQ93" s="240" t="n"/>
      <c r="PPS93" s="15" t="n"/>
      <c r="PPT93" s="15" t="n"/>
      <c r="PPU93" s="248" t="n"/>
      <c r="PPV93" s="248" t="n"/>
      <c r="PPW93" s="240" t="n"/>
      <c r="PPX93" s="240" t="n"/>
      <c r="PPZ93" s="15" t="n"/>
      <c r="PQA93" s="15" t="n"/>
      <c r="PQB93" s="248" t="n"/>
      <c r="PQC93" s="248" t="n"/>
      <c r="PQD93" s="240" t="n"/>
      <c r="PQE93" s="240" t="n"/>
      <c r="PQG93" s="15" t="n"/>
      <c r="PQH93" s="15" t="n"/>
      <c r="PQI93" s="248" t="n"/>
      <c r="PQJ93" s="248" t="n"/>
      <c r="PQK93" s="240" t="n"/>
      <c r="PQL93" s="240" t="n"/>
      <c r="PQN93" s="15" t="n"/>
      <c r="PQO93" s="15" t="n"/>
      <c r="PQP93" s="248" t="n"/>
      <c r="PQQ93" s="248" t="n"/>
      <c r="PQR93" s="240" t="n"/>
      <c r="PQS93" s="240" t="n"/>
      <c r="PQU93" s="15" t="n"/>
      <c r="PQV93" s="15" t="n"/>
      <c r="PQW93" s="248" t="n"/>
      <c r="PQX93" s="248" t="n"/>
      <c r="PQY93" s="240" t="n"/>
      <c r="PQZ93" s="240" t="n"/>
      <c r="PRB93" s="15" t="n"/>
      <c r="PRC93" s="15" t="n"/>
      <c r="PRD93" s="248" t="n"/>
      <c r="PRE93" s="248" t="n"/>
      <c r="PRF93" s="240" t="n"/>
      <c r="PRG93" s="240" t="n"/>
      <c r="PRI93" s="15" t="n"/>
      <c r="PRJ93" s="15" t="n"/>
      <c r="PRK93" s="248" t="n"/>
      <c r="PRL93" s="248" t="n"/>
      <c r="PRM93" s="240" t="n"/>
      <c r="PRN93" s="240" t="n"/>
      <c r="PRP93" s="15" t="n"/>
      <c r="PRQ93" s="15" t="n"/>
      <c r="PRR93" s="248" t="n"/>
      <c r="PRS93" s="248" t="n"/>
      <c r="PRT93" s="240" t="n"/>
      <c r="PRU93" s="240" t="n"/>
      <c r="PRW93" s="15" t="n"/>
      <c r="PRX93" s="15" t="n"/>
      <c r="PRY93" s="248" t="n"/>
      <c r="PRZ93" s="248" t="n"/>
      <c r="PSA93" s="240" t="n"/>
      <c r="PSB93" s="240" t="n"/>
      <c r="PSD93" s="15" t="n"/>
      <c r="PSE93" s="15" t="n"/>
      <c r="PSF93" s="248" t="n"/>
      <c r="PSG93" s="248" t="n"/>
      <c r="PSH93" s="240" t="n"/>
      <c r="PSI93" s="240" t="n"/>
      <c r="PSK93" s="15" t="n"/>
      <c r="PSL93" s="15" t="n"/>
      <c r="PSM93" s="248" t="n"/>
      <c r="PSN93" s="248" t="n"/>
      <c r="PSO93" s="240" t="n"/>
      <c r="PSP93" s="240" t="n"/>
      <c r="PSR93" s="15" t="n"/>
      <c r="PSS93" s="15" t="n"/>
      <c r="PST93" s="248" t="n"/>
      <c r="PSU93" s="248" t="n"/>
      <c r="PSV93" s="240" t="n"/>
      <c r="PSW93" s="240" t="n"/>
      <c r="PSY93" s="15" t="n"/>
      <c r="PSZ93" s="15" t="n"/>
      <c r="PTA93" s="248" t="n"/>
      <c r="PTB93" s="248" t="n"/>
      <c r="PTC93" s="240" t="n"/>
      <c r="PTD93" s="240" t="n"/>
      <c r="PTF93" s="15" t="n"/>
      <c r="PTG93" s="15" t="n"/>
      <c r="PTH93" s="248" t="n"/>
      <c r="PTI93" s="248" t="n"/>
      <c r="PTJ93" s="240" t="n"/>
      <c r="PTK93" s="240" t="n"/>
      <c r="PTM93" s="15" t="n"/>
      <c r="PTN93" s="15" t="n"/>
      <c r="PTO93" s="248" t="n"/>
      <c r="PTP93" s="248" t="n"/>
      <c r="PTQ93" s="240" t="n"/>
      <c r="PTR93" s="240" t="n"/>
      <c r="PTT93" s="15" t="n"/>
      <c r="PTU93" s="15" t="n"/>
      <c r="PTV93" s="248" t="n"/>
      <c r="PTW93" s="248" t="n"/>
      <c r="PTX93" s="240" t="n"/>
      <c r="PTY93" s="240" t="n"/>
      <c r="PUA93" s="15" t="n"/>
      <c r="PUB93" s="15" t="n"/>
      <c r="PUC93" s="248" t="n"/>
      <c r="PUD93" s="248" t="n"/>
      <c r="PUE93" s="240" t="n"/>
      <c r="PUF93" s="240" t="n"/>
      <c r="PUH93" s="15" t="n"/>
      <c r="PUI93" s="15" t="n"/>
      <c r="PUJ93" s="248" t="n"/>
      <c r="PUK93" s="248" t="n"/>
      <c r="PUL93" s="240" t="n"/>
      <c r="PUM93" s="240" t="n"/>
      <c r="PUO93" s="15" t="n"/>
      <c r="PUP93" s="15" t="n"/>
      <c r="PUQ93" s="248" t="n"/>
      <c r="PUR93" s="248" t="n"/>
      <c r="PUS93" s="240" t="n"/>
      <c r="PUT93" s="240" t="n"/>
      <c r="PUV93" s="15" t="n"/>
      <c r="PUW93" s="15" t="n"/>
      <c r="PUX93" s="248" t="n"/>
      <c r="PUY93" s="248" t="n"/>
      <c r="PUZ93" s="240" t="n"/>
      <c r="PVA93" s="240" t="n"/>
      <c r="PVC93" s="15" t="n"/>
      <c r="PVD93" s="15" t="n"/>
      <c r="PVE93" s="248" t="n"/>
      <c r="PVF93" s="248" t="n"/>
      <c r="PVG93" s="240" t="n"/>
      <c r="PVH93" s="240" t="n"/>
      <c r="PVJ93" s="15" t="n"/>
      <c r="PVK93" s="15" t="n"/>
      <c r="PVL93" s="248" t="n"/>
      <c r="PVM93" s="248" t="n"/>
      <c r="PVN93" s="240" t="n"/>
      <c r="PVO93" s="240" t="n"/>
      <c r="PVQ93" s="15" t="n"/>
      <c r="PVR93" s="15" t="n"/>
      <c r="PVS93" s="248" t="n"/>
      <c r="PVT93" s="248" t="n"/>
      <c r="PVU93" s="240" t="n"/>
      <c r="PVV93" s="240" t="n"/>
      <c r="PVX93" s="15" t="n"/>
      <c r="PVY93" s="15" t="n"/>
      <c r="PVZ93" s="248" t="n"/>
      <c r="PWA93" s="248" t="n"/>
      <c r="PWB93" s="240" t="n"/>
      <c r="PWC93" s="240" t="n"/>
      <c r="PWE93" s="15" t="n"/>
      <c r="PWF93" s="15" t="n"/>
      <c r="PWG93" s="248" t="n"/>
      <c r="PWH93" s="248" t="n"/>
      <c r="PWI93" s="240" t="n"/>
      <c r="PWJ93" s="240" t="n"/>
      <c r="PWL93" s="15" t="n"/>
      <c r="PWM93" s="15" t="n"/>
      <c r="PWN93" s="248" t="n"/>
      <c r="PWO93" s="248" t="n"/>
      <c r="PWP93" s="240" t="n"/>
      <c r="PWQ93" s="240" t="n"/>
      <c r="PWS93" s="15" t="n"/>
      <c r="PWT93" s="15" t="n"/>
      <c r="PWU93" s="248" t="n"/>
      <c r="PWV93" s="248" t="n"/>
      <c r="PWW93" s="240" t="n"/>
      <c r="PWX93" s="240" t="n"/>
      <c r="PWZ93" s="15" t="n"/>
      <c r="PXA93" s="15" t="n"/>
      <c r="PXB93" s="248" t="n"/>
      <c r="PXC93" s="248" t="n"/>
      <c r="PXD93" s="240" t="n"/>
      <c r="PXE93" s="240" t="n"/>
      <c r="PXG93" s="15" t="n"/>
      <c r="PXH93" s="15" t="n"/>
      <c r="PXI93" s="248" t="n"/>
      <c r="PXJ93" s="248" t="n"/>
      <c r="PXK93" s="240" t="n"/>
      <c r="PXL93" s="240" t="n"/>
      <c r="PXN93" s="15" t="n"/>
      <c r="PXO93" s="15" t="n"/>
      <c r="PXP93" s="248" t="n"/>
      <c r="PXQ93" s="248" t="n"/>
      <c r="PXR93" s="240" t="n"/>
      <c r="PXS93" s="240" t="n"/>
      <c r="PXU93" s="15" t="n"/>
      <c r="PXV93" s="15" t="n"/>
      <c r="PXW93" s="248" t="n"/>
      <c r="PXX93" s="248" t="n"/>
      <c r="PXY93" s="240" t="n"/>
      <c r="PXZ93" s="240" t="n"/>
      <c r="PYB93" s="15" t="n"/>
      <c r="PYC93" s="15" t="n"/>
      <c r="PYD93" s="248" t="n"/>
      <c r="PYE93" s="248" t="n"/>
      <c r="PYF93" s="240" t="n"/>
      <c r="PYG93" s="240" t="n"/>
      <c r="PYI93" s="15" t="n"/>
      <c r="PYJ93" s="15" t="n"/>
      <c r="PYK93" s="248" t="n"/>
      <c r="PYL93" s="248" t="n"/>
      <c r="PYM93" s="240" t="n"/>
      <c r="PYN93" s="240" t="n"/>
      <c r="PYP93" s="15" t="n"/>
      <c r="PYQ93" s="15" t="n"/>
      <c r="PYR93" s="248" t="n"/>
      <c r="PYS93" s="248" t="n"/>
      <c r="PYT93" s="240" t="n"/>
      <c r="PYU93" s="240" t="n"/>
      <c r="PYW93" s="15" t="n"/>
      <c r="PYX93" s="15" t="n"/>
      <c r="PYY93" s="248" t="n"/>
      <c r="PYZ93" s="248" t="n"/>
      <c r="PZA93" s="240" t="n"/>
      <c r="PZB93" s="240" t="n"/>
      <c r="PZD93" s="15" t="n"/>
      <c r="PZE93" s="15" t="n"/>
      <c r="PZF93" s="248" t="n"/>
      <c r="PZG93" s="248" t="n"/>
      <c r="PZH93" s="240" t="n"/>
      <c r="PZI93" s="240" t="n"/>
      <c r="PZK93" s="15" t="n"/>
      <c r="PZL93" s="15" t="n"/>
      <c r="PZM93" s="248" t="n"/>
      <c r="PZN93" s="248" t="n"/>
      <c r="PZO93" s="240" t="n"/>
      <c r="PZP93" s="240" t="n"/>
      <c r="PZR93" s="15" t="n"/>
      <c r="PZS93" s="15" t="n"/>
      <c r="PZT93" s="248" t="n"/>
      <c r="PZU93" s="248" t="n"/>
      <c r="PZV93" s="240" t="n"/>
      <c r="PZW93" s="240" t="n"/>
      <c r="PZY93" s="15" t="n"/>
      <c r="PZZ93" s="15" t="n"/>
      <c r="QAA93" s="248" t="n"/>
      <c r="QAB93" s="248" t="n"/>
      <c r="QAC93" s="240" t="n"/>
      <c r="QAD93" s="240" t="n"/>
      <c r="QAF93" s="15" t="n"/>
      <c r="QAG93" s="15" t="n"/>
      <c r="QAH93" s="248" t="n"/>
      <c r="QAI93" s="248" t="n"/>
      <c r="QAJ93" s="240" t="n"/>
      <c r="QAK93" s="240" t="n"/>
      <c r="QAM93" s="15" t="n"/>
      <c r="QAN93" s="15" t="n"/>
      <c r="QAO93" s="248" t="n"/>
      <c r="QAP93" s="248" t="n"/>
      <c r="QAQ93" s="240" t="n"/>
      <c r="QAR93" s="240" t="n"/>
      <c r="QAT93" s="15" t="n"/>
      <c r="QAU93" s="15" t="n"/>
      <c r="QAV93" s="248" t="n"/>
      <c r="QAW93" s="248" t="n"/>
      <c r="QAX93" s="240" t="n"/>
      <c r="QAY93" s="240" t="n"/>
      <c r="QBA93" s="15" t="n"/>
      <c r="QBB93" s="15" t="n"/>
      <c r="QBC93" s="248" t="n"/>
      <c r="QBD93" s="248" t="n"/>
      <c r="QBE93" s="240" t="n"/>
      <c r="QBF93" s="240" t="n"/>
      <c r="QBH93" s="15" t="n"/>
      <c r="QBI93" s="15" t="n"/>
      <c r="QBJ93" s="248" t="n"/>
      <c r="QBK93" s="248" t="n"/>
      <c r="QBL93" s="240" t="n"/>
      <c r="QBM93" s="240" t="n"/>
      <c r="QBO93" s="15" t="n"/>
      <c r="QBP93" s="15" t="n"/>
      <c r="QBQ93" s="248" t="n"/>
      <c r="QBR93" s="248" t="n"/>
      <c r="QBS93" s="240" t="n"/>
      <c r="QBT93" s="240" t="n"/>
      <c r="QBV93" s="15" t="n"/>
      <c r="QBW93" s="15" t="n"/>
      <c r="QBX93" s="248" t="n"/>
      <c r="QBY93" s="248" t="n"/>
      <c r="QBZ93" s="240" t="n"/>
      <c r="QCA93" s="240" t="n"/>
      <c r="QCC93" s="15" t="n"/>
      <c r="QCD93" s="15" t="n"/>
      <c r="QCE93" s="248" t="n"/>
      <c r="QCF93" s="248" t="n"/>
      <c r="QCG93" s="240" t="n"/>
      <c r="QCH93" s="240" t="n"/>
      <c r="QCJ93" s="15" t="n"/>
      <c r="QCK93" s="15" t="n"/>
      <c r="QCL93" s="248" t="n"/>
      <c r="QCM93" s="248" t="n"/>
      <c r="QCN93" s="240" t="n"/>
      <c r="QCO93" s="240" t="n"/>
      <c r="QCQ93" s="15" t="n"/>
      <c r="QCR93" s="15" t="n"/>
      <c r="QCS93" s="248" t="n"/>
      <c r="QCT93" s="248" t="n"/>
      <c r="QCU93" s="240" t="n"/>
      <c r="QCV93" s="240" t="n"/>
      <c r="QCX93" s="15" t="n"/>
      <c r="QCY93" s="15" t="n"/>
      <c r="QCZ93" s="248" t="n"/>
      <c r="QDA93" s="248" t="n"/>
      <c r="QDB93" s="240" t="n"/>
      <c r="QDC93" s="240" t="n"/>
      <c r="QDE93" s="15" t="n"/>
      <c r="QDF93" s="15" t="n"/>
      <c r="QDG93" s="248" t="n"/>
      <c r="QDH93" s="248" t="n"/>
      <c r="QDI93" s="240" t="n"/>
      <c r="QDJ93" s="240" t="n"/>
      <c r="QDL93" s="15" t="n"/>
      <c r="QDM93" s="15" t="n"/>
      <c r="QDN93" s="248" t="n"/>
      <c r="QDO93" s="248" t="n"/>
      <c r="QDP93" s="240" t="n"/>
      <c r="QDQ93" s="240" t="n"/>
      <c r="QDS93" s="15" t="n"/>
      <c r="QDT93" s="15" t="n"/>
      <c r="QDU93" s="248" t="n"/>
      <c r="QDV93" s="248" t="n"/>
      <c r="QDW93" s="240" t="n"/>
      <c r="QDX93" s="240" t="n"/>
      <c r="QDZ93" s="15" t="n"/>
      <c r="QEA93" s="15" t="n"/>
      <c r="QEB93" s="248" t="n"/>
      <c r="QEC93" s="248" t="n"/>
      <c r="QED93" s="240" t="n"/>
      <c r="QEE93" s="240" t="n"/>
      <c r="QEG93" s="15" t="n"/>
      <c r="QEH93" s="15" t="n"/>
      <c r="QEI93" s="248" t="n"/>
      <c r="QEJ93" s="248" t="n"/>
      <c r="QEK93" s="240" t="n"/>
      <c r="QEL93" s="240" t="n"/>
      <c r="QEN93" s="15" t="n"/>
      <c r="QEO93" s="15" t="n"/>
      <c r="QEP93" s="248" t="n"/>
      <c r="QEQ93" s="248" t="n"/>
      <c r="QER93" s="240" t="n"/>
      <c r="QES93" s="240" t="n"/>
      <c r="QEU93" s="15" t="n"/>
      <c r="QEV93" s="15" t="n"/>
      <c r="QEW93" s="248" t="n"/>
      <c r="QEX93" s="248" t="n"/>
      <c r="QEY93" s="240" t="n"/>
      <c r="QEZ93" s="240" t="n"/>
      <c r="QFB93" s="15" t="n"/>
      <c r="QFC93" s="15" t="n"/>
      <c r="QFD93" s="248" t="n"/>
      <c r="QFE93" s="248" t="n"/>
      <c r="QFF93" s="240" t="n"/>
      <c r="QFG93" s="240" t="n"/>
      <c r="QFI93" s="15" t="n"/>
      <c r="QFJ93" s="15" t="n"/>
      <c r="QFK93" s="248" t="n"/>
      <c r="QFL93" s="248" t="n"/>
      <c r="QFM93" s="240" t="n"/>
      <c r="QFN93" s="240" t="n"/>
      <c r="QFP93" s="15" t="n"/>
      <c r="QFQ93" s="15" t="n"/>
      <c r="QFR93" s="248" t="n"/>
      <c r="QFS93" s="248" t="n"/>
      <c r="QFT93" s="240" t="n"/>
      <c r="QFU93" s="240" t="n"/>
      <c r="QFW93" s="15" t="n"/>
      <c r="QFX93" s="15" t="n"/>
      <c r="QFY93" s="248" t="n"/>
      <c r="QFZ93" s="248" t="n"/>
      <c r="QGA93" s="240" t="n"/>
      <c r="QGB93" s="240" t="n"/>
      <c r="QGD93" s="15" t="n"/>
      <c r="QGE93" s="15" t="n"/>
      <c r="QGF93" s="248" t="n"/>
      <c r="QGG93" s="248" t="n"/>
      <c r="QGH93" s="240" t="n"/>
      <c r="QGI93" s="240" t="n"/>
      <c r="QGK93" s="15" t="n"/>
      <c r="QGL93" s="15" t="n"/>
      <c r="QGM93" s="248" t="n"/>
      <c r="QGN93" s="248" t="n"/>
      <c r="QGO93" s="240" t="n"/>
      <c r="QGP93" s="240" t="n"/>
      <c r="QGR93" s="15" t="n"/>
      <c r="QGS93" s="15" t="n"/>
      <c r="QGT93" s="248" t="n"/>
      <c r="QGU93" s="248" t="n"/>
      <c r="QGV93" s="240" t="n"/>
      <c r="QGW93" s="240" t="n"/>
      <c r="QGY93" s="15" t="n"/>
      <c r="QGZ93" s="15" t="n"/>
      <c r="QHA93" s="248" t="n"/>
      <c r="QHB93" s="248" t="n"/>
      <c r="QHC93" s="240" t="n"/>
      <c r="QHD93" s="240" t="n"/>
      <c r="QHF93" s="15" t="n"/>
      <c r="QHG93" s="15" t="n"/>
      <c r="QHH93" s="248" t="n"/>
      <c r="QHI93" s="248" t="n"/>
      <c r="QHJ93" s="240" t="n"/>
      <c r="QHK93" s="240" t="n"/>
      <c r="QHM93" s="15" t="n"/>
      <c r="QHN93" s="15" t="n"/>
      <c r="QHO93" s="248" t="n"/>
      <c r="QHP93" s="248" t="n"/>
      <c r="QHQ93" s="240" t="n"/>
      <c r="QHR93" s="240" t="n"/>
      <c r="QHT93" s="15" t="n"/>
      <c r="QHU93" s="15" t="n"/>
      <c r="QHV93" s="248" t="n"/>
      <c r="QHW93" s="248" t="n"/>
      <c r="QHX93" s="240" t="n"/>
      <c r="QHY93" s="240" t="n"/>
      <c r="QIA93" s="15" t="n"/>
      <c r="QIB93" s="15" t="n"/>
      <c r="QIC93" s="248" t="n"/>
      <c r="QID93" s="248" t="n"/>
      <c r="QIE93" s="240" t="n"/>
      <c r="QIF93" s="240" t="n"/>
      <c r="QIH93" s="15" t="n"/>
      <c r="QII93" s="15" t="n"/>
      <c r="QIJ93" s="248" t="n"/>
      <c r="QIK93" s="248" t="n"/>
      <c r="QIL93" s="240" t="n"/>
      <c r="QIM93" s="240" t="n"/>
      <c r="QIO93" s="15" t="n"/>
      <c r="QIP93" s="15" t="n"/>
      <c r="QIQ93" s="248" t="n"/>
      <c r="QIR93" s="248" t="n"/>
      <c r="QIS93" s="240" t="n"/>
      <c r="QIT93" s="240" t="n"/>
      <c r="QIV93" s="15" t="n"/>
      <c r="QIW93" s="15" t="n"/>
      <c r="QIX93" s="248" t="n"/>
      <c r="QIY93" s="248" t="n"/>
      <c r="QIZ93" s="240" t="n"/>
      <c r="QJA93" s="240" t="n"/>
      <c r="QJC93" s="15" t="n"/>
      <c r="QJD93" s="15" t="n"/>
      <c r="QJE93" s="248" t="n"/>
      <c r="QJF93" s="248" t="n"/>
      <c r="QJG93" s="240" t="n"/>
      <c r="QJH93" s="240" t="n"/>
      <c r="QJJ93" s="15" t="n"/>
      <c r="QJK93" s="15" t="n"/>
      <c r="QJL93" s="248" t="n"/>
      <c r="QJM93" s="248" t="n"/>
      <c r="QJN93" s="240" t="n"/>
      <c r="QJO93" s="240" t="n"/>
      <c r="QJQ93" s="15" t="n"/>
      <c r="QJR93" s="15" t="n"/>
      <c r="QJS93" s="248" t="n"/>
      <c r="QJT93" s="248" t="n"/>
      <c r="QJU93" s="240" t="n"/>
      <c r="QJV93" s="240" t="n"/>
      <c r="QJX93" s="15" t="n"/>
      <c r="QJY93" s="15" t="n"/>
      <c r="QJZ93" s="248" t="n"/>
      <c r="QKA93" s="248" t="n"/>
      <c r="QKB93" s="240" t="n"/>
      <c r="QKC93" s="240" t="n"/>
      <c r="QKE93" s="15" t="n"/>
      <c r="QKF93" s="15" t="n"/>
      <c r="QKG93" s="248" t="n"/>
      <c r="QKH93" s="248" t="n"/>
      <c r="QKI93" s="240" t="n"/>
      <c r="QKJ93" s="240" t="n"/>
      <c r="QKL93" s="15" t="n"/>
      <c r="QKM93" s="15" t="n"/>
      <c r="QKN93" s="248" t="n"/>
      <c r="QKO93" s="248" t="n"/>
      <c r="QKP93" s="240" t="n"/>
      <c r="QKQ93" s="240" t="n"/>
      <c r="QKS93" s="15" t="n"/>
      <c r="QKT93" s="15" t="n"/>
      <c r="QKU93" s="248" t="n"/>
      <c r="QKV93" s="248" t="n"/>
      <c r="QKW93" s="240" t="n"/>
      <c r="QKX93" s="240" t="n"/>
      <c r="QKZ93" s="15" t="n"/>
      <c r="QLA93" s="15" t="n"/>
      <c r="QLB93" s="248" t="n"/>
      <c r="QLC93" s="248" t="n"/>
      <c r="QLD93" s="240" t="n"/>
      <c r="QLE93" s="240" t="n"/>
      <c r="QLG93" s="15" t="n"/>
      <c r="QLH93" s="15" t="n"/>
      <c r="QLI93" s="248" t="n"/>
      <c r="QLJ93" s="248" t="n"/>
      <c r="QLK93" s="240" t="n"/>
      <c r="QLL93" s="240" t="n"/>
      <c r="QLN93" s="15" t="n"/>
      <c r="QLO93" s="15" t="n"/>
      <c r="QLP93" s="248" t="n"/>
      <c r="QLQ93" s="248" t="n"/>
      <c r="QLR93" s="240" t="n"/>
      <c r="QLS93" s="240" t="n"/>
      <c r="QLU93" s="15" t="n"/>
      <c r="QLV93" s="15" t="n"/>
      <c r="QLW93" s="248" t="n"/>
      <c r="QLX93" s="248" t="n"/>
      <c r="QLY93" s="240" t="n"/>
      <c r="QLZ93" s="240" t="n"/>
      <c r="QMB93" s="15" t="n"/>
      <c r="QMC93" s="15" t="n"/>
      <c r="QMD93" s="248" t="n"/>
      <c r="QME93" s="248" t="n"/>
      <c r="QMF93" s="240" t="n"/>
      <c r="QMG93" s="240" t="n"/>
      <c r="QMI93" s="15" t="n"/>
      <c r="QMJ93" s="15" t="n"/>
      <c r="QMK93" s="248" t="n"/>
      <c r="QML93" s="248" t="n"/>
      <c r="QMM93" s="240" t="n"/>
      <c r="QMN93" s="240" t="n"/>
      <c r="QMP93" s="15" t="n"/>
      <c r="QMQ93" s="15" t="n"/>
      <c r="QMR93" s="248" t="n"/>
      <c r="QMS93" s="248" t="n"/>
      <c r="QMT93" s="240" t="n"/>
      <c r="QMU93" s="240" t="n"/>
      <c r="QMW93" s="15" t="n"/>
      <c r="QMX93" s="15" t="n"/>
      <c r="QMY93" s="248" t="n"/>
      <c r="QMZ93" s="248" t="n"/>
      <c r="QNA93" s="240" t="n"/>
      <c r="QNB93" s="240" t="n"/>
      <c r="QND93" s="15" t="n"/>
      <c r="QNE93" s="15" t="n"/>
      <c r="QNF93" s="248" t="n"/>
      <c r="QNG93" s="248" t="n"/>
      <c r="QNH93" s="240" t="n"/>
      <c r="QNI93" s="240" t="n"/>
      <c r="QNK93" s="15" t="n"/>
      <c r="QNL93" s="15" t="n"/>
      <c r="QNM93" s="248" t="n"/>
      <c r="QNN93" s="248" t="n"/>
      <c r="QNO93" s="240" t="n"/>
      <c r="QNP93" s="240" t="n"/>
      <c r="QNR93" s="15" t="n"/>
      <c r="QNS93" s="15" t="n"/>
      <c r="QNT93" s="248" t="n"/>
      <c r="QNU93" s="248" t="n"/>
      <c r="QNV93" s="240" t="n"/>
      <c r="QNW93" s="240" t="n"/>
      <c r="QNY93" s="15" t="n"/>
      <c r="QNZ93" s="15" t="n"/>
      <c r="QOA93" s="248" t="n"/>
      <c r="QOB93" s="248" t="n"/>
      <c r="QOC93" s="240" t="n"/>
      <c r="QOD93" s="240" t="n"/>
      <c r="QOF93" s="15" t="n"/>
      <c r="QOG93" s="15" t="n"/>
      <c r="QOH93" s="248" t="n"/>
      <c r="QOI93" s="248" t="n"/>
      <c r="QOJ93" s="240" t="n"/>
      <c r="QOK93" s="240" t="n"/>
      <c r="QOM93" s="15" t="n"/>
      <c r="QON93" s="15" t="n"/>
      <c r="QOO93" s="248" t="n"/>
      <c r="QOP93" s="248" t="n"/>
      <c r="QOQ93" s="240" t="n"/>
      <c r="QOR93" s="240" t="n"/>
      <c r="QOT93" s="15" t="n"/>
      <c r="QOU93" s="15" t="n"/>
      <c r="QOV93" s="248" t="n"/>
      <c r="QOW93" s="248" t="n"/>
      <c r="QOX93" s="240" t="n"/>
      <c r="QOY93" s="240" t="n"/>
      <c r="QPA93" s="15" t="n"/>
      <c r="QPB93" s="15" t="n"/>
      <c r="QPC93" s="248" t="n"/>
      <c r="QPD93" s="248" t="n"/>
      <c r="QPE93" s="240" t="n"/>
      <c r="QPF93" s="240" t="n"/>
      <c r="QPH93" s="15" t="n"/>
      <c r="QPI93" s="15" t="n"/>
      <c r="QPJ93" s="248" t="n"/>
      <c r="QPK93" s="248" t="n"/>
      <c r="QPL93" s="240" t="n"/>
      <c r="QPM93" s="240" t="n"/>
      <c r="QPO93" s="15" t="n"/>
      <c r="QPP93" s="15" t="n"/>
      <c r="QPQ93" s="248" t="n"/>
      <c r="QPR93" s="248" t="n"/>
      <c r="QPS93" s="240" t="n"/>
      <c r="QPT93" s="240" t="n"/>
      <c r="QPV93" s="15" t="n"/>
      <c r="QPW93" s="15" t="n"/>
      <c r="QPX93" s="248" t="n"/>
      <c r="QPY93" s="248" t="n"/>
      <c r="QPZ93" s="240" t="n"/>
      <c r="QQA93" s="240" t="n"/>
      <c r="QQC93" s="15" t="n"/>
      <c r="QQD93" s="15" t="n"/>
      <c r="QQE93" s="248" t="n"/>
      <c r="QQF93" s="248" t="n"/>
      <c r="QQG93" s="240" t="n"/>
      <c r="QQH93" s="240" t="n"/>
      <c r="QQJ93" s="15" t="n"/>
      <c r="QQK93" s="15" t="n"/>
      <c r="QQL93" s="248" t="n"/>
      <c r="QQM93" s="248" t="n"/>
      <c r="QQN93" s="240" t="n"/>
      <c r="QQO93" s="240" t="n"/>
      <c r="QQQ93" s="15" t="n"/>
      <c r="QQR93" s="15" t="n"/>
      <c r="QQS93" s="248" t="n"/>
      <c r="QQT93" s="248" t="n"/>
      <c r="QQU93" s="240" t="n"/>
      <c r="QQV93" s="240" t="n"/>
      <c r="QQX93" s="15" t="n"/>
      <c r="QQY93" s="15" t="n"/>
      <c r="QQZ93" s="248" t="n"/>
      <c r="QRA93" s="248" t="n"/>
      <c r="QRB93" s="240" t="n"/>
      <c r="QRC93" s="240" t="n"/>
      <c r="QRE93" s="15" t="n"/>
      <c r="QRF93" s="15" t="n"/>
      <c r="QRG93" s="248" t="n"/>
      <c r="QRH93" s="248" t="n"/>
      <c r="QRI93" s="240" t="n"/>
      <c r="QRJ93" s="240" t="n"/>
      <c r="QRL93" s="15" t="n"/>
      <c r="QRM93" s="15" t="n"/>
      <c r="QRN93" s="248" t="n"/>
      <c r="QRO93" s="248" t="n"/>
      <c r="QRP93" s="240" t="n"/>
      <c r="QRQ93" s="240" t="n"/>
      <c r="QRS93" s="15" t="n"/>
      <c r="QRT93" s="15" t="n"/>
      <c r="QRU93" s="248" t="n"/>
      <c r="QRV93" s="248" t="n"/>
      <c r="QRW93" s="240" t="n"/>
      <c r="QRX93" s="240" t="n"/>
      <c r="QRZ93" s="15" t="n"/>
      <c r="QSA93" s="15" t="n"/>
      <c r="QSB93" s="248" t="n"/>
      <c r="QSC93" s="248" t="n"/>
      <c r="QSD93" s="240" t="n"/>
      <c r="QSE93" s="240" t="n"/>
      <c r="QSG93" s="15" t="n"/>
      <c r="QSH93" s="15" t="n"/>
      <c r="QSI93" s="248" t="n"/>
      <c r="QSJ93" s="248" t="n"/>
      <c r="QSK93" s="240" t="n"/>
      <c r="QSL93" s="240" t="n"/>
      <c r="QSN93" s="15" t="n"/>
      <c r="QSO93" s="15" t="n"/>
      <c r="QSP93" s="248" t="n"/>
      <c r="QSQ93" s="248" t="n"/>
      <c r="QSR93" s="240" t="n"/>
      <c r="QSS93" s="240" t="n"/>
      <c r="QSU93" s="15" t="n"/>
      <c r="QSV93" s="15" t="n"/>
      <c r="QSW93" s="248" t="n"/>
      <c r="QSX93" s="248" t="n"/>
      <c r="QSY93" s="240" t="n"/>
      <c r="QSZ93" s="240" t="n"/>
      <c r="QTB93" s="15" t="n"/>
      <c r="QTC93" s="15" t="n"/>
      <c r="QTD93" s="248" t="n"/>
      <c r="QTE93" s="248" t="n"/>
      <c r="QTF93" s="240" t="n"/>
      <c r="QTG93" s="240" t="n"/>
      <c r="QTI93" s="15" t="n"/>
      <c r="QTJ93" s="15" t="n"/>
      <c r="QTK93" s="248" t="n"/>
      <c r="QTL93" s="248" t="n"/>
      <c r="QTM93" s="240" t="n"/>
      <c r="QTN93" s="240" t="n"/>
      <c r="QTP93" s="15" t="n"/>
      <c r="QTQ93" s="15" t="n"/>
      <c r="QTR93" s="248" t="n"/>
      <c r="QTS93" s="248" t="n"/>
      <c r="QTT93" s="240" t="n"/>
      <c r="QTU93" s="240" t="n"/>
      <c r="QTW93" s="15" t="n"/>
      <c r="QTX93" s="15" t="n"/>
      <c r="QTY93" s="248" t="n"/>
      <c r="QTZ93" s="248" t="n"/>
      <c r="QUA93" s="240" t="n"/>
      <c r="QUB93" s="240" t="n"/>
      <c r="QUD93" s="15" t="n"/>
      <c r="QUE93" s="15" t="n"/>
      <c r="QUF93" s="248" t="n"/>
      <c r="QUG93" s="248" t="n"/>
      <c r="QUH93" s="240" t="n"/>
      <c r="QUI93" s="240" t="n"/>
      <c r="QUK93" s="15" t="n"/>
      <c r="QUL93" s="15" t="n"/>
      <c r="QUM93" s="248" t="n"/>
      <c r="QUN93" s="248" t="n"/>
      <c r="QUO93" s="240" t="n"/>
      <c r="QUP93" s="240" t="n"/>
      <c r="QUR93" s="15" t="n"/>
      <c r="QUS93" s="15" t="n"/>
      <c r="QUT93" s="248" t="n"/>
      <c r="QUU93" s="248" t="n"/>
      <c r="QUV93" s="240" t="n"/>
      <c r="QUW93" s="240" t="n"/>
      <c r="QUY93" s="15" t="n"/>
      <c r="QUZ93" s="15" t="n"/>
      <c r="QVA93" s="248" t="n"/>
      <c r="QVB93" s="248" t="n"/>
      <c r="QVC93" s="240" t="n"/>
      <c r="QVD93" s="240" t="n"/>
      <c r="QVF93" s="15" t="n"/>
      <c r="QVG93" s="15" t="n"/>
      <c r="QVH93" s="248" t="n"/>
      <c r="QVI93" s="248" t="n"/>
      <c r="QVJ93" s="240" t="n"/>
      <c r="QVK93" s="240" t="n"/>
      <c r="QVM93" s="15" t="n"/>
      <c r="QVN93" s="15" t="n"/>
      <c r="QVO93" s="248" t="n"/>
      <c r="QVP93" s="248" t="n"/>
      <c r="QVQ93" s="240" t="n"/>
      <c r="QVR93" s="240" t="n"/>
      <c r="QVT93" s="15" t="n"/>
      <c r="QVU93" s="15" t="n"/>
      <c r="QVV93" s="248" t="n"/>
      <c r="QVW93" s="248" t="n"/>
      <c r="QVX93" s="240" t="n"/>
      <c r="QVY93" s="240" t="n"/>
      <c r="QWA93" s="15" t="n"/>
      <c r="QWB93" s="15" t="n"/>
      <c r="QWC93" s="248" t="n"/>
      <c r="QWD93" s="248" t="n"/>
      <c r="QWE93" s="240" t="n"/>
      <c r="QWF93" s="240" t="n"/>
      <c r="QWH93" s="15" t="n"/>
      <c r="QWI93" s="15" t="n"/>
      <c r="QWJ93" s="248" t="n"/>
      <c r="QWK93" s="248" t="n"/>
      <c r="QWL93" s="240" t="n"/>
      <c r="QWM93" s="240" t="n"/>
      <c r="QWO93" s="15" t="n"/>
      <c r="QWP93" s="15" t="n"/>
      <c r="QWQ93" s="248" t="n"/>
      <c r="QWR93" s="248" t="n"/>
      <c r="QWS93" s="240" t="n"/>
      <c r="QWT93" s="240" t="n"/>
      <c r="QWV93" s="15" t="n"/>
      <c r="QWW93" s="15" t="n"/>
      <c r="QWX93" s="248" t="n"/>
      <c r="QWY93" s="248" t="n"/>
      <c r="QWZ93" s="240" t="n"/>
      <c r="QXA93" s="240" t="n"/>
      <c r="QXC93" s="15" t="n"/>
      <c r="QXD93" s="15" t="n"/>
      <c r="QXE93" s="248" t="n"/>
      <c r="QXF93" s="248" t="n"/>
      <c r="QXG93" s="240" t="n"/>
      <c r="QXH93" s="240" t="n"/>
      <c r="QXJ93" s="15" t="n"/>
      <c r="QXK93" s="15" t="n"/>
      <c r="QXL93" s="248" t="n"/>
      <c r="QXM93" s="248" t="n"/>
      <c r="QXN93" s="240" t="n"/>
      <c r="QXO93" s="240" t="n"/>
      <c r="QXQ93" s="15" t="n"/>
      <c r="QXR93" s="15" t="n"/>
      <c r="QXS93" s="248" t="n"/>
      <c r="QXT93" s="248" t="n"/>
      <c r="QXU93" s="240" t="n"/>
      <c r="QXV93" s="240" t="n"/>
      <c r="QXX93" s="15" t="n"/>
      <c r="QXY93" s="15" t="n"/>
      <c r="QXZ93" s="248" t="n"/>
      <c r="QYA93" s="248" t="n"/>
      <c r="QYB93" s="240" t="n"/>
      <c r="QYC93" s="240" t="n"/>
      <c r="QYE93" s="15" t="n"/>
      <c r="QYF93" s="15" t="n"/>
      <c r="QYG93" s="248" t="n"/>
      <c r="QYH93" s="248" t="n"/>
      <c r="QYI93" s="240" t="n"/>
      <c r="QYJ93" s="240" t="n"/>
      <c r="QYL93" s="15" t="n"/>
      <c r="QYM93" s="15" t="n"/>
      <c r="QYN93" s="248" t="n"/>
      <c r="QYO93" s="248" t="n"/>
      <c r="QYP93" s="240" t="n"/>
      <c r="QYQ93" s="240" t="n"/>
      <c r="QYS93" s="15" t="n"/>
      <c r="QYT93" s="15" t="n"/>
      <c r="QYU93" s="248" t="n"/>
      <c r="QYV93" s="248" t="n"/>
      <c r="QYW93" s="240" t="n"/>
      <c r="QYX93" s="240" t="n"/>
      <c r="QYZ93" s="15" t="n"/>
      <c r="QZA93" s="15" t="n"/>
      <c r="QZB93" s="248" t="n"/>
      <c r="QZC93" s="248" t="n"/>
      <c r="QZD93" s="240" t="n"/>
      <c r="QZE93" s="240" t="n"/>
      <c r="QZG93" s="15" t="n"/>
      <c r="QZH93" s="15" t="n"/>
      <c r="QZI93" s="248" t="n"/>
      <c r="QZJ93" s="248" t="n"/>
      <c r="QZK93" s="240" t="n"/>
      <c r="QZL93" s="240" t="n"/>
      <c r="QZN93" s="15" t="n"/>
      <c r="QZO93" s="15" t="n"/>
      <c r="QZP93" s="248" t="n"/>
      <c r="QZQ93" s="248" t="n"/>
      <c r="QZR93" s="240" t="n"/>
      <c r="QZS93" s="240" t="n"/>
      <c r="QZU93" s="15" t="n"/>
      <c r="QZV93" s="15" t="n"/>
      <c r="QZW93" s="248" t="n"/>
      <c r="QZX93" s="248" t="n"/>
      <c r="QZY93" s="240" t="n"/>
      <c r="QZZ93" s="240" t="n"/>
      <c r="RAB93" s="15" t="n"/>
      <c r="RAC93" s="15" t="n"/>
      <c r="RAD93" s="248" t="n"/>
      <c r="RAE93" s="248" t="n"/>
      <c r="RAF93" s="240" t="n"/>
      <c r="RAG93" s="240" t="n"/>
      <c r="RAI93" s="15" t="n"/>
      <c r="RAJ93" s="15" t="n"/>
      <c r="RAK93" s="248" t="n"/>
      <c r="RAL93" s="248" t="n"/>
      <c r="RAM93" s="240" t="n"/>
      <c r="RAN93" s="240" t="n"/>
      <c r="RAP93" s="15" t="n"/>
      <c r="RAQ93" s="15" t="n"/>
      <c r="RAR93" s="248" t="n"/>
      <c r="RAS93" s="248" t="n"/>
      <c r="RAT93" s="240" t="n"/>
      <c r="RAU93" s="240" t="n"/>
      <c r="RAW93" s="15" t="n"/>
      <c r="RAX93" s="15" t="n"/>
      <c r="RAY93" s="248" t="n"/>
      <c r="RAZ93" s="248" t="n"/>
      <c r="RBA93" s="240" t="n"/>
      <c r="RBB93" s="240" t="n"/>
      <c r="RBD93" s="15" t="n"/>
      <c r="RBE93" s="15" t="n"/>
      <c r="RBF93" s="248" t="n"/>
      <c r="RBG93" s="248" t="n"/>
      <c r="RBH93" s="240" t="n"/>
      <c r="RBI93" s="240" t="n"/>
      <c r="RBK93" s="15" t="n"/>
      <c r="RBL93" s="15" t="n"/>
      <c r="RBM93" s="248" t="n"/>
      <c r="RBN93" s="248" t="n"/>
      <c r="RBO93" s="240" t="n"/>
      <c r="RBP93" s="240" t="n"/>
      <c r="RBR93" s="15" t="n"/>
      <c r="RBS93" s="15" t="n"/>
      <c r="RBT93" s="248" t="n"/>
      <c r="RBU93" s="248" t="n"/>
      <c r="RBV93" s="240" t="n"/>
      <c r="RBW93" s="240" t="n"/>
      <c r="RBY93" s="15" t="n"/>
      <c r="RBZ93" s="15" t="n"/>
      <c r="RCA93" s="248" t="n"/>
      <c r="RCB93" s="248" t="n"/>
      <c r="RCC93" s="240" t="n"/>
      <c r="RCD93" s="240" t="n"/>
      <c r="RCF93" s="15" t="n"/>
      <c r="RCG93" s="15" t="n"/>
      <c r="RCH93" s="248" t="n"/>
      <c r="RCI93" s="248" t="n"/>
      <c r="RCJ93" s="240" t="n"/>
      <c r="RCK93" s="240" t="n"/>
      <c r="RCM93" s="15" t="n"/>
      <c r="RCN93" s="15" t="n"/>
      <c r="RCO93" s="248" t="n"/>
      <c r="RCP93" s="248" t="n"/>
      <c r="RCQ93" s="240" t="n"/>
      <c r="RCR93" s="240" t="n"/>
      <c r="RCT93" s="15" t="n"/>
      <c r="RCU93" s="15" t="n"/>
      <c r="RCV93" s="248" t="n"/>
      <c r="RCW93" s="248" t="n"/>
      <c r="RCX93" s="240" t="n"/>
      <c r="RCY93" s="240" t="n"/>
      <c r="RDA93" s="15" t="n"/>
      <c r="RDB93" s="15" t="n"/>
      <c r="RDC93" s="248" t="n"/>
      <c r="RDD93" s="248" t="n"/>
      <c r="RDE93" s="240" t="n"/>
      <c r="RDF93" s="240" t="n"/>
      <c r="RDH93" s="15" t="n"/>
      <c r="RDI93" s="15" t="n"/>
      <c r="RDJ93" s="248" t="n"/>
      <c r="RDK93" s="248" t="n"/>
      <c r="RDL93" s="240" t="n"/>
      <c r="RDM93" s="240" t="n"/>
      <c r="RDO93" s="15" t="n"/>
      <c r="RDP93" s="15" t="n"/>
      <c r="RDQ93" s="248" t="n"/>
      <c r="RDR93" s="248" t="n"/>
      <c r="RDS93" s="240" t="n"/>
      <c r="RDT93" s="240" t="n"/>
      <c r="RDV93" s="15" t="n"/>
      <c r="RDW93" s="15" t="n"/>
      <c r="RDX93" s="248" t="n"/>
      <c r="RDY93" s="248" t="n"/>
      <c r="RDZ93" s="240" t="n"/>
      <c r="REA93" s="240" t="n"/>
      <c r="REC93" s="15" t="n"/>
      <c r="RED93" s="15" t="n"/>
      <c r="REE93" s="248" t="n"/>
      <c r="REF93" s="248" t="n"/>
      <c r="REG93" s="240" t="n"/>
      <c r="REH93" s="240" t="n"/>
      <c r="REJ93" s="15" t="n"/>
      <c r="REK93" s="15" t="n"/>
      <c r="REL93" s="248" t="n"/>
      <c r="REM93" s="248" t="n"/>
      <c r="REN93" s="240" t="n"/>
      <c r="REO93" s="240" t="n"/>
      <c r="REQ93" s="15" t="n"/>
      <c r="RER93" s="15" t="n"/>
      <c r="RES93" s="248" t="n"/>
      <c r="RET93" s="248" t="n"/>
      <c r="REU93" s="240" t="n"/>
      <c r="REV93" s="240" t="n"/>
      <c r="REX93" s="15" t="n"/>
      <c r="REY93" s="15" t="n"/>
      <c r="REZ93" s="248" t="n"/>
      <c r="RFA93" s="248" t="n"/>
      <c r="RFB93" s="240" t="n"/>
      <c r="RFC93" s="240" t="n"/>
      <c r="RFE93" s="15" t="n"/>
      <c r="RFF93" s="15" t="n"/>
      <c r="RFG93" s="248" t="n"/>
      <c r="RFH93" s="248" t="n"/>
      <c r="RFI93" s="240" t="n"/>
      <c r="RFJ93" s="240" t="n"/>
      <c r="RFL93" s="15" t="n"/>
      <c r="RFM93" s="15" t="n"/>
      <c r="RFN93" s="248" t="n"/>
      <c r="RFO93" s="248" t="n"/>
      <c r="RFP93" s="240" t="n"/>
      <c r="RFQ93" s="240" t="n"/>
      <c r="RFS93" s="15" t="n"/>
      <c r="RFT93" s="15" t="n"/>
      <c r="RFU93" s="248" t="n"/>
      <c r="RFV93" s="248" t="n"/>
      <c r="RFW93" s="240" t="n"/>
      <c r="RFX93" s="240" t="n"/>
      <c r="RFZ93" s="15" t="n"/>
      <c r="RGA93" s="15" t="n"/>
      <c r="RGB93" s="248" t="n"/>
      <c r="RGC93" s="248" t="n"/>
      <c r="RGD93" s="240" t="n"/>
      <c r="RGE93" s="240" t="n"/>
      <c r="RGG93" s="15" t="n"/>
      <c r="RGH93" s="15" t="n"/>
      <c r="RGI93" s="248" t="n"/>
      <c r="RGJ93" s="248" t="n"/>
      <c r="RGK93" s="240" t="n"/>
      <c r="RGL93" s="240" t="n"/>
      <c r="RGN93" s="15" t="n"/>
      <c r="RGO93" s="15" t="n"/>
      <c r="RGP93" s="248" t="n"/>
      <c r="RGQ93" s="248" t="n"/>
      <c r="RGR93" s="240" t="n"/>
      <c r="RGS93" s="240" t="n"/>
      <c r="RGU93" s="15" t="n"/>
      <c r="RGV93" s="15" t="n"/>
      <c r="RGW93" s="248" t="n"/>
      <c r="RGX93" s="248" t="n"/>
      <c r="RGY93" s="240" t="n"/>
      <c r="RGZ93" s="240" t="n"/>
      <c r="RHB93" s="15" t="n"/>
      <c r="RHC93" s="15" t="n"/>
      <c r="RHD93" s="248" t="n"/>
      <c r="RHE93" s="248" t="n"/>
      <c r="RHF93" s="240" t="n"/>
      <c r="RHG93" s="240" t="n"/>
      <c r="RHI93" s="15" t="n"/>
      <c r="RHJ93" s="15" t="n"/>
      <c r="RHK93" s="248" t="n"/>
      <c r="RHL93" s="248" t="n"/>
      <c r="RHM93" s="240" t="n"/>
      <c r="RHN93" s="240" t="n"/>
      <c r="RHP93" s="15" t="n"/>
      <c r="RHQ93" s="15" t="n"/>
      <c r="RHR93" s="248" t="n"/>
      <c r="RHS93" s="248" t="n"/>
      <c r="RHT93" s="240" t="n"/>
      <c r="RHU93" s="240" t="n"/>
      <c r="RHW93" s="15" t="n"/>
      <c r="RHX93" s="15" t="n"/>
      <c r="RHY93" s="248" t="n"/>
      <c r="RHZ93" s="248" t="n"/>
      <c r="RIA93" s="240" t="n"/>
      <c r="RIB93" s="240" t="n"/>
      <c r="RID93" s="15" t="n"/>
      <c r="RIE93" s="15" t="n"/>
      <c r="RIF93" s="248" t="n"/>
      <c r="RIG93" s="248" t="n"/>
      <c r="RIH93" s="240" t="n"/>
      <c r="RII93" s="240" t="n"/>
      <c r="RIK93" s="15" t="n"/>
      <c r="RIL93" s="15" t="n"/>
      <c r="RIM93" s="248" t="n"/>
      <c r="RIN93" s="248" t="n"/>
      <c r="RIO93" s="240" t="n"/>
      <c r="RIP93" s="240" t="n"/>
      <c r="RIR93" s="15" t="n"/>
      <c r="RIS93" s="15" t="n"/>
      <c r="RIT93" s="248" t="n"/>
      <c r="RIU93" s="248" t="n"/>
      <c r="RIV93" s="240" t="n"/>
      <c r="RIW93" s="240" t="n"/>
      <c r="RIY93" s="15" t="n"/>
      <c r="RIZ93" s="15" t="n"/>
      <c r="RJA93" s="248" t="n"/>
      <c r="RJB93" s="248" t="n"/>
      <c r="RJC93" s="240" t="n"/>
      <c r="RJD93" s="240" t="n"/>
      <c r="RJF93" s="15" t="n"/>
      <c r="RJG93" s="15" t="n"/>
      <c r="RJH93" s="248" t="n"/>
      <c r="RJI93" s="248" t="n"/>
      <c r="RJJ93" s="240" t="n"/>
      <c r="RJK93" s="240" t="n"/>
      <c r="RJM93" s="15" t="n"/>
      <c r="RJN93" s="15" t="n"/>
      <c r="RJO93" s="248" t="n"/>
      <c r="RJP93" s="248" t="n"/>
      <c r="RJQ93" s="240" t="n"/>
      <c r="RJR93" s="240" t="n"/>
      <c r="RJT93" s="15" t="n"/>
      <c r="RJU93" s="15" t="n"/>
      <c r="RJV93" s="248" t="n"/>
      <c r="RJW93" s="248" t="n"/>
      <c r="RJX93" s="240" t="n"/>
      <c r="RJY93" s="240" t="n"/>
      <c r="RKA93" s="15" t="n"/>
      <c r="RKB93" s="15" t="n"/>
      <c r="RKC93" s="248" t="n"/>
      <c r="RKD93" s="248" t="n"/>
      <c r="RKE93" s="240" t="n"/>
      <c r="RKF93" s="240" t="n"/>
      <c r="RKH93" s="15" t="n"/>
      <c r="RKI93" s="15" t="n"/>
      <c r="RKJ93" s="248" t="n"/>
      <c r="RKK93" s="248" t="n"/>
      <c r="RKL93" s="240" t="n"/>
      <c r="RKM93" s="240" t="n"/>
      <c r="RKO93" s="15" t="n"/>
      <c r="RKP93" s="15" t="n"/>
      <c r="RKQ93" s="248" t="n"/>
      <c r="RKR93" s="248" t="n"/>
      <c r="RKS93" s="240" t="n"/>
      <c r="RKT93" s="240" t="n"/>
      <c r="RKV93" s="15" t="n"/>
      <c r="RKW93" s="15" t="n"/>
      <c r="RKX93" s="248" t="n"/>
      <c r="RKY93" s="248" t="n"/>
      <c r="RKZ93" s="240" t="n"/>
      <c r="RLA93" s="240" t="n"/>
      <c r="RLC93" s="15" t="n"/>
      <c r="RLD93" s="15" t="n"/>
      <c r="RLE93" s="248" t="n"/>
      <c r="RLF93" s="248" t="n"/>
      <c r="RLG93" s="240" t="n"/>
      <c r="RLH93" s="240" t="n"/>
      <c r="RLJ93" s="15" t="n"/>
      <c r="RLK93" s="15" t="n"/>
      <c r="RLL93" s="248" t="n"/>
      <c r="RLM93" s="248" t="n"/>
      <c r="RLN93" s="240" t="n"/>
      <c r="RLO93" s="240" t="n"/>
      <c r="RLQ93" s="15" t="n"/>
      <c r="RLR93" s="15" t="n"/>
      <c r="RLS93" s="248" t="n"/>
      <c r="RLT93" s="248" t="n"/>
      <c r="RLU93" s="240" t="n"/>
      <c r="RLV93" s="240" t="n"/>
      <c r="RLX93" s="15" t="n"/>
      <c r="RLY93" s="15" t="n"/>
      <c r="RLZ93" s="248" t="n"/>
      <c r="RMA93" s="248" t="n"/>
      <c r="RMB93" s="240" t="n"/>
      <c r="RMC93" s="240" t="n"/>
      <c r="RME93" s="15" t="n"/>
      <c r="RMF93" s="15" t="n"/>
      <c r="RMG93" s="248" t="n"/>
      <c r="RMH93" s="248" t="n"/>
      <c r="RMI93" s="240" t="n"/>
      <c r="RMJ93" s="240" t="n"/>
      <c r="RML93" s="15" t="n"/>
      <c r="RMM93" s="15" t="n"/>
      <c r="RMN93" s="248" t="n"/>
      <c r="RMO93" s="248" t="n"/>
      <c r="RMP93" s="240" t="n"/>
      <c r="RMQ93" s="240" t="n"/>
      <c r="RMS93" s="15" t="n"/>
      <c r="RMT93" s="15" t="n"/>
      <c r="RMU93" s="248" t="n"/>
      <c r="RMV93" s="248" t="n"/>
      <c r="RMW93" s="240" t="n"/>
      <c r="RMX93" s="240" t="n"/>
      <c r="RMZ93" s="15" t="n"/>
      <c r="RNA93" s="15" t="n"/>
      <c r="RNB93" s="248" t="n"/>
      <c r="RNC93" s="248" t="n"/>
      <c r="RND93" s="240" t="n"/>
      <c r="RNE93" s="240" t="n"/>
      <c r="RNG93" s="15" t="n"/>
      <c r="RNH93" s="15" t="n"/>
      <c r="RNI93" s="248" t="n"/>
      <c r="RNJ93" s="248" t="n"/>
      <c r="RNK93" s="240" t="n"/>
      <c r="RNL93" s="240" t="n"/>
      <c r="RNN93" s="15" t="n"/>
      <c r="RNO93" s="15" t="n"/>
      <c r="RNP93" s="248" t="n"/>
      <c r="RNQ93" s="248" t="n"/>
      <c r="RNR93" s="240" t="n"/>
      <c r="RNS93" s="240" t="n"/>
      <c r="RNU93" s="15" t="n"/>
      <c r="RNV93" s="15" t="n"/>
      <c r="RNW93" s="248" t="n"/>
      <c r="RNX93" s="248" t="n"/>
      <c r="RNY93" s="240" t="n"/>
      <c r="RNZ93" s="240" t="n"/>
      <c r="ROB93" s="15" t="n"/>
      <c r="ROC93" s="15" t="n"/>
      <c r="ROD93" s="248" t="n"/>
      <c r="ROE93" s="248" t="n"/>
      <c r="ROF93" s="240" t="n"/>
      <c r="ROG93" s="240" t="n"/>
      <c r="ROI93" s="15" t="n"/>
      <c r="ROJ93" s="15" t="n"/>
      <c r="ROK93" s="248" t="n"/>
      <c r="ROL93" s="248" t="n"/>
      <c r="ROM93" s="240" t="n"/>
      <c r="RON93" s="240" t="n"/>
      <c r="ROP93" s="15" t="n"/>
      <c r="ROQ93" s="15" t="n"/>
      <c r="ROR93" s="248" t="n"/>
      <c r="ROS93" s="248" t="n"/>
      <c r="ROT93" s="240" t="n"/>
      <c r="ROU93" s="240" t="n"/>
      <c r="ROW93" s="15" t="n"/>
      <c r="ROX93" s="15" t="n"/>
      <c r="ROY93" s="248" t="n"/>
      <c r="ROZ93" s="248" t="n"/>
      <c r="RPA93" s="240" t="n"/>
      <c r="RPB93" s="240" t="n"/>
      <c r="RPD93" s="15" t="n"/>
      <c r="RPE93" s="15" t="n"/>
      <c r="RPF93" s="248" t="n"/>
      <c r="RPG93" s="248" t="n"/>
      <c r="RPH93" s="240" t="n"/>
      <c r="RPI93" s="240" t="n"/>
      <c r="RPK93" s="15" t="n"/>
      <c r="RPL93" s="15" t="n"/>
      <c r="RPM93" s="248" t="n"/>
      <c r="RPN93" s="248" t="n"/>
      <c r="RPO93" s="240" t="n"/>
      <c r="RPP93" s="240" t="n"/>
      <c r="RPR93" s="15" t="n"/>
      <c r="RPS93" s="15" t="n"/>
      <c r="RPT93" s="248" t="n"/>
      <c r="RPU93" s="248" t="n"/>
      <c r="RPV93" s="240" t="n"/>
      <c r="RPW93" s="240" t="n"/>
      <c r="RPY93" s="15" t="n"/>
      <c r="RPZ93" s="15" t="n"/>
      <c r="RQA93" s="248" t="n"/>
      <c r="RQB93" s="248" t="n"/>
      <c r="RQC93" s="240" t="n"/>
      <c r="RQD93" s="240" t="n"/>
      <c r="RQF93" s="15" t="n"/>
      <c r="RQG93" s="15" t="n"/>
      <c r="RQH93" s="248" t="n"/>
      <c r="RQI93" s="248" t="n"/>
      <c r="RQJ93" s="240" t="n"/>
      <c r="RQK93" s="240" t="n"/>
      <c r="RQM93" s="15" t="n"/>
      <c r="RQN93" s="15" t="n"/>
      <c r="RQO93" s="248" t="n"/>
      <c r="RQP93" s="248" t="n"/>
      <c r="RQQ93" s="240" t="n"/>
      <c r="RQR93" s="240" t="n"/>
      <c r="RQT93" s="15" t="n"/>
      <c r="RQU93" s="15" t="n"/>
      <c r="RQV93" s="248" t="n"/>
      <c r="RQW93" s="248" t="n"/>
      <c r="RQX93" s="240" t="n"/>
      <c r="RQY93" s="240" t="n"/>
      <c r="RRA93" s="15" t="n"/>
      <c r="RRB93" s="15" t="n"/>
      <c r="RRC93" s="248" t="n"/>
      <c r="RRD93" s="248" t="n"/>
      <c r="RRE93" s="240" t="n"/>
      <c r="RRF93" s="240" t="n"/>
      <c r="RRH93" s="15" t="n"/>
      <c r="RRI93" s="15" t="n"/>
      <c r="RRJ93" s="248" t="n"/>
      <c r="RRK93" s="248" t="n"/>
      <c r="RRL93" s="240" t="n"/>
      <c r="RRM93" s="240" t="n"/>
      <c r="RRO93" s="15" t="n"/>
      <c r="RRP93" s="15" t="n"/>
      <c r="RRQ93" s="248" t="n"/>
      <c r="RRR93" s="248" t="n"/>
      <c r="RRS93" s="240" t="n"/>
      <c r="RRT93" s="240" t="n"/>
      <c r="RRV93" s="15" t="n"/>
      <c r="RRW93" s="15" t="n"/>
      <c r="RRX93" s="248" t="n"/>
      <c r="RRY93" s="248" t="n"/>
      <c r="RRZ93" s="240" t="n"/>
      <c r="RSA93" s="240" t="n"/>
      <c r="RSC93" s="15" t="n"/>
      <c r="RSD93" s="15" t="n"/>
      <c r="RSE93" s="248" t="n"/>
      <c r="RSF93" s="248" t="n"/>
      <c r="RSG93" s="240" t="n"/>
      <c r="RSH93" s="240" t="n"/>
      <c r="RSJ93" s="15" t="n"/>
      <c r="RSK93" s="15" t="n"/>
      <c r="RSL93" s="248" t="n"/>
      <c r="RSM93" s="248" t="n"/>
      <c r="RSN93" s="240" t="n"/>
      <c r="RSO93" s="240" t="n"/>
      <c r="RSQ93" s="15" t="n"/>
      <c r="RSR93" s="15" t="n"/>
      <c r="RSS93" s="248" t="n"/>
      <c r="RST93" s="248" t="n"/>
      <c r="RSU93" s="240" t="n"/>
      <c r="RSV93" s="240" t="n"/>
      <c r="RSX93" s="15" t="n"/>
      <c r="RSY93" s="15" t="n"/>
      <c r="RSZ93" s="248" t="n"/>
      <c r="RTA93" s="248" t="n"/>
      <c r="RTB93" s="240" t="n"/>
      <c r="RTC93" s="240" t="n"/>
      <c r="RTE93" s="15" t="n"/>
      <c r="RTF93" s="15" t="n"/>
      <c r="RTG93" s="248" t="n"/>
      <c r="RTH93" s="248" t="n"/>
      <c r="RTI93" s="240" t="n"/>
      <c r="RTJ93" s="240" t="n"/>
      <c r="RTL93" s="15" t="n"/>
      <c r="RTM93" s="15" t="n"/>
      <c r="RTN93" s="248" t="n"/>
      <c r="RTO93" s="248" t="n"/>
      <c r="RTP93" s="240" t="n"/>
      <c r="RTQ93" s="240" t="n"/>
      <c r="RTS93" s="15" t="n"/>
      <c r="RTT93" s="15" t="n"/>
      <c r="RTU93" s="248" t="n"/>
      <c r="RTV93" s="248" t="n"/>
      <c r="RTW93" s="240" t="n"/>
      <c r="RTX93" s="240" t="n"/>
      <c r="RTZ93" s="15" t="n"/>
      <c r="RUA93" s="15" t="n"/>
      <c r="RUB93" s="248" t="n"/>
      <c r="RUC93" s="248" t="n"/>
      <c r="RUD93" s="240" t="n"/>
      <c r="RUE93" s="240" t="n"/>
      <c r="RUG93" s="15" t="n"/>
      <c r="RUH93" s="15" t="n"/>
      <c r="RUI93" s="248" t="n"/>
      <c r="RUJ93" s="248" t="n"/>
      <c r="RUK93" s="240" t="n"/>
      <c r="RUL93" s="240" t="n"/>
      <c r="RUN93" s="15" t="n"/>
      <c r="RUO93" s="15" t="n"/>
      <c r="RUP93" s="248" t="n"/>
      <c r="RUQ93" s="248" t="n"/>
      <c r="RUR93" s="240" t="n"/>
      <c r="RUS93" s="240" t="n"/>
      <c r="RUU93" s="15" t="n"/>
      <c r="RUV93" s="15" t="n"/>
      <c r="RUW93" s="248" t="n"/>
      <c r="RUX93" s="248" t="n"/>
      <c r="RUY93" s="240" t="n"/>
      <c r="RUZ93" s="240" t="n"/>
      <c r="RVB93" s="15" t="n"/>
      <c r="RVC93" s="15" t="n"/>
      <c r="RVD93" s="248" t="n"/>
      <c r="RVE93" s="248" t="n"/>
      <c r="RVF93" s="240" t="n"/>
      <c r="RVG93" s="240" t="n"/>
      <c r="RVI93" s="15" t="n"/>
      <c r="RVJ93" s="15" t="n"/>
      <c r="RVK93" s="248" t="n"/>
      <c r="RVL93" s="248" t="n"/>
      <c r="RVM93" s="240" t="n"/>
      <c r="RVN93" s="240" t="n"/>
      <c r="RVP93" s="15" t="n"/>
      <c r="RVQ93" s="15" t="n"/>
      <c r="RVR93" s="248" t="n"/>
      <c r="RVS93" s="248" t="n"/>
      <c r="RVT93" s="240" t="n"/>
      <c r="RVU93" s="240" t="n"/>
      <c r="RVW93" s="15" t="n"/>
      <c r="RVX93" s="15" t="n"/>
      <c r="RVY93" s="248" t="n"/>
      <c r="RVZ93" s="248" t="n"/>
      <c r="RWA93" s="240" t="n"/>
      <c r="RWB93" s="240" t="n"/>
      <c r="RWD93" s="15" t="n"/>
      <c r="RWE93" s="15" t="n"/>
      <c r="RWF93" s="248" t="n"/>
      <c r="RWG93" s="248" t="n"/>
      <c r="RWH93" s="240" t="n"/>
      <c r="RWI93" s="240" t="n"/>
      <c r="RWK93" s="15" t="n"/>
      <c r="RWL93" s="15" t="n"/>
      <c r="RWM93" s="248" t="n"/>
      <c r="RWN93" s="248" t="n"/>
      <c r="RWO93" s="240" t="n"/>
      <c r="RWP93" s="240" t="n"/>
      <c r="RWR93" s="15" t="n"/>
      <c r="RWS93" s="15" t="n"/>
      <c r="RWT93" s="248" t="n"/>
      <c r="RWU93" s="248" t="n"/>
      <c r="RWV93" s="240" t="n"/>
      <c r="RWW93" s="240" t="n"/>
      <c r="RWY93" s="15" t="n"/>
      <c r="RWZ93" s="15" t="n"/>
      <c r="RXA93" s="248" t="n"/>
      <c r="RXB93" s="248" t="n"/>
      <c r="RXC93" s="240" t="n"/>
      <c r="RXD93" s="240" t="n"/>
      <c r="RXF93" s="15" t="n"/>
      <c r="RXG93" s="15" t="n"/>
      <c r="RXH93" s="248" t="n"/>
      <c r="RXI93" s="248" t="n"/>
      <c r="RXJ93" s="240" t="n"/>
      <c r="RXK93" s="240" t="n"/>
      <c r="RXM93" s="15" t="n"/>
      <c r="RXN93" s="15" t="n"/>
      <c r="RXO93" s="248" t="n"/>
      <c r="RXP93" s="248" t="n"/>
      <c r="RXQ93" s="240" t="n"/>
      <c r="RXR93" s="240" t="n"/>
      <c r="RXT93" s="15" t="n"/>
      <c r="RXU93" s="15" t="n"/>
      <c r="RXV93" s="248" t="n"/>
      <c r="RXW93" s="248" t="n"/>
      <c r="RXX93" s="240" t="n"/>
      <c r="RXY93" s="240" t="n"/>
      <c r="RYA93" s="15" t="n"/>
      <c r="RYB93" s="15" t="n"/>
      <c r="RYC93" s="248" t="n"/>
      <c r="RYD93" s="248" t="n"/>
      <c r="RYE93" s="240" t="n"/>
      <c r="RYF93" s="240" t="n"/>
      <c r="RYH93" s="15" t="n"/>
      <c r="RYI93" s="15" t="n"/>
      <c r="RYJ93" s="248" t="n"/>
      <c r="RYK93" s="248" t="n"/>
      <c r="RYL93" s="240" t="n"/>
      <c r="RYM93" s="240" t="n"/>
      <c r="RYO93" s="15" t="n"/>
      <c r="RYP93" s="15" t="n"/>
      <c r="RYQ93" s="248" t="n"/>
      <c r="RYR93" s="248" t="n"/>
      <c r="RYS93" s="240" t="n"/>
      <c r="RYT93" s="240" t="n"/>
      <c r="RYV93" s="15" t="n"/>
      <c r="RYW93" s="15" t="n"/>
      <c r="RYX93" s="248" t="n"/>
      <c r="RYY93" s="248" t="n"/>
      <c r="RYZ93" s="240" t="n"/>
      <c r="RZA93" s="240" t="n"/>
      <c r="RZC93" s="15" t="n"/>
      <c r="RZD93" s="15" t="n"/>
      <c r="RZE93" s="248" t="n"/>
      <c r="RZF93" s="248" t="n"/>
      <c r="RZG93" s="240" t="n"/>
      <c r="RZH93" s="240" t="n"/>
      <c r="RZJ93" s="15" t="n"/>
      <c r="RZK93" s="15" t="n"/>
      <c r="RZL93" s="248" t="n"/>
      <c r="RZM93" s="248" t="n"/>
      <c r="RZN93" s="240" t="n"/>
      <c r="RZO93" s="240" t="n"/>
      <c r="RZQ93" s="15" t="n"/>
      <c r="RZR93" s="15" t="n"/>
      <c r="RZS93" s="248" t="n"/>
      <c r="RZT93" s="248" t="n"/>
      <c r="RZU93" s="240" t="n"/>
      <c r="RZV93" s="240" t="n"/>
      <c r="RZX93" s="15" t="n"/>
      <c r="RZY93" s="15" t="n"/>
      <c r="RZZ93" s="248" t="n"/>
      <c r="SAA93" s="248" t="n"/>
      <c r="SAB93" s="240" t="n"/>
      <c r="SAC93" s="240" t="n"/>
      <c r="SAE93" s="15" t="n"/>
      <c r="SAF93" s="15" t="n"/>
      <c r="SAG93" s="248" t="n"/>
      <c r="SAH93" s="248" t="n"/>
      <c r="SAI93" s="240" t="n"/>
      <c r="SAJ93" s="240" t="n"/>
      <c r="SAL93" s="15" t="n"/>
      <c r="SAM93" s="15" t="n"/>
      <c r="SAN93" s="248" t="n"/>
      <c r="SAO93" s="248" t="n"/>
      <c r="SAP93" s="240" t="n"/>
      <c r="SAQ93" s="240" t="n"/>
      <c r="SAS93" s="15" t="n"/>
      <c r="SAT93" s="15" t="n"/>
      <c r="SAU93" s="248" t="n"/>
      <c r="SAV93" s="248" t="n"/>
      <c r="SAW93" s="240" t="n"/>
      <c r="SAX93" s="240" t="n"/>
      <c r="SAZ93" s="15" t="n"/>
      <c r="SBA93" s="15" t="n"/>
      <c r="SBB93" s="248" t="n"/>
      <c r="SBC93" s="248" t="n"/>
      <c r="SBD93" s="240" t="n"/>
      <c r="SBE93" s="240" t="n"/>
      <c r="SBG93" s="15" t="n"/>
      <c r="SBH93" s="15" t="n"/>
      <c r="SBI93" s="248" t="n"/>
      <c r="SBJ93" s="248" t="n"/>
      <c r="SBK93" s="240" t="n"/>
      <c r="SBL93" s="240" t="n"/>
      <c r="SBN93" s="15" t="n"/>
      <c r="SBO93" s="15" t="n"/>
      <c r="SBP93" s="248" t="n"/>
      <c r="SBQ93" s="248" t="n"/>
      <c r="SBR93" s="240" t="n"/>
      <c r="SBS93" s="240" t="n"/>
      <c r="SBU93" s="15" t="n"/>
      <c r="SBV93" s="15" t="n"/>
      <c r="SBW93" s="248" t="n"/>
      <c r="SBX93" s="248" t="n"/>
      <c r="SBY93" s="240" t="n"/>
      <c r="SBZ93" s="240" t="n"/>
      <c r="SCB93" s="15" t="n"/>
      <c r="SCC93" s="15" t="n"/>
      <c r="SCD93" s="248" t="n"/>
      <c r="SCE93" s="248" t="n"/>
      <c r="SCF93" s="240" t="n"/>
      <c r="SCG93" s="240" t="n"/>
      <c r="SCI93" s="15" t="n"/>
      <c r="SCJ93" s="15" t="n"/>
      <c r="SCK93" s="248" t="n"/>
      <c r="SCL93" s="248" t="n"/>
      <c r="SCM93" s="240" t="n"/>
      <c r="SCN93" s="240" t="n"/>
      <c r="SCP93" s="15" t="n"/>
      <c r="SCQ93" s="15" t="n"/>
      <c r="SCR93" s="248" t="n"/>
      <c r="SCS93" s="248" t="n"/>
      <c r="SCT93" s="240" t="n"/>
      <c r="SCU93" s="240" t="n"/>
      <c r="SCW93" s="15" t="n"/>
      <c r="SCX93" s="15" t="n"/>
      <c r="SCY93" s="248" t="n"/>
      <c r="SCZ93" s="248" t="n"/>
      <c r="SDA93" s="240" t="n"/>
      <c r="SDB93" s="240" t="n"/>
      <c r="SDD93" s="15" t="n"/>
      <c r="SDE93" s="15" t="n"/>
      <c r="SDF93" s="248" t="n"/>
      <c r="SDG93" s="248" t="n"/>
      <c r="SDH93" s="240" t="n"/>
      <c r="SDI93" s="240" t="n"/>
      <c r="SDK93" s="15" t="n"/>
      <c r="SDL93" s="15" t="n"/>
      <c r="SDM93" s="248" t="n"/>
      <c r="SDN93" s="248" t="n"/>
      <c r="SDO93" s="240" t="n"/>
      <c r="SDP93" s="240" t="n"/>
      <c r="SDR93" s="15" t="n"/>
      <c r="SDS93" s="15" t="n"/>
      <c r="SDT93" s="248" t="n"/>
      <c r="SDU93" s="248" t="n"/>
      <c r="SDV93" s="240" t="n"/>
      <c r="SDW93" s="240" t="n"/>
      <c r="SDY93" s="15" t="n"/>
      <c r="SDZ93" s="15" t="n"/>
      <c r="SEA93" s="248" t="n"/>
      <c r="SEB93" s="248" t="n"/>
      <c r="SEC93" s="240" t="n"/>
      <c r="SED93" s="240" t="n"/>
      <c r="SEF93" s="15" t="n"/>
      <c r="SEG93" s="15" t="n"/>
      <c r="SEH93" s="248" t="n"/>
      <c r="SEI93" s="248" t="n"/>
      <c r="SEJ93" s="240" t="n"/>
      <c r="SEK93" s="240" t="n"/>
      <c r="SEM93" s="15" t="n"/>
      <c r="SEN93" s="15" t="n"/>
      <c r="SEO93" s="248" t="n"/>
      <c r="SEP93" s="248" t="n"/>
      <c r="SEQ93" s="240" t="n"/>
      <c r="SER93" s="240" t="n"/>
      <c r="SET93" s="15" t="n"/>
      <c r="SEU93" s="15" t="n"/>
      <c r="SEV93" s="248" t="n"/>
      <c r="SEW93" s="248" t="n"/>
      <c r="SEX93" s="240" t="n"/>
      <c r="SEY93" s="240" t="n"/>
      <c r="SFA93" s="15" t="n"/>
      <c r="SFB93" s="15" t="n"/>
      <c r="SFC93" s="248" t="n"/>
      <c r="SFD93" s="248" t="n"/>
      <c r="SFE93" s="240" t="n"/>
      <c r="SFF93" s="240" t="n"/>
      <c r="SFH93" s="15" t="n"/>
      <c r="SFI93" s="15" t="n"/>
      <c r="SFJ93" s="248" t="n"/>
      <c r="SFK93" s="248" t="n"/>
      <c r="SFL93" s="240" t="n"/>
      <c r="SFM93" s="240" t="n"/>
      <c r="SFO93" s="15" t="n"/>
      <c r="SFP93" s="15" t="n"/>
      <c r="SFQ93" s="248" t="n"/>
      <c r="SFR93" s="248" t="n"/>
      <c r="SFS93" s="240" t="n"/>
      <c r="SFT93" s="240" t="n"/>
      <c r="SFV93" s="15" t="n"/>
      <c r="SFW93" s="15" t="n"/>
      <c r="SFX93" s="248" t="n"/>
      <c r="SFY93" s="248" t="n"/>
      <c r="SFZ93" s="240" t="n"/>
      <c r="SGA93" s="240" t="n"/>
      <c r="SGC93" s="15" t="n"/>
      <c r="SGD93" s="15" t="n"/>
      <c r="SGE93" s="248" t="n"/>
      <c r="SGF93" s="248" t="n"/>
      <c r="SGG93" s="240" t="n"/>
      <c r="SGH93" s="240" t="n"/>
      <c r="SGJ93" s="15" t="n"/>
      <c r="SGK93" s="15" t="n"/>
      <c r="SGL93" s="248" t="n"/>
      <c r="SGM93" s="248" t="n"/>
      <c r="SGN93" s="240" t="n"/>
      <c r="SGO93" s="240" t="n"/>
      <c r="SGQ93" s="15" t="n"/>
      <c r="SGR93" s="15" t="n"/>
      <c r="SGS93" s="248" t="n"/>
      <c r="SGT93" s="248" t="n"/>
      <c r="SGU93" s="240" t="n"/>
      <c r="SGV93" s="240" t="n"/>
      <c r="SGX93" s="15" t="n"/>
      <c r="SGY93" s="15" t="n"/>
      <c r="SGZ93" s="248" t="n"/>
      <c r="SHA93" s="248" t="n"/>
      <c r="SHB93" s="240" t="n"/>
      <c r="SHC93" s="240" t="n"/>
      <c r="SHE93" s="15" t="n"/>
      <c r="SHF93" s="15" t="n"/>
      <c r="SHG93" s="248" t="n"/>
      <c r="SHH93" s="248" t="n"/>
      <c r="SHI93" s="240" t="n"/>
      <c r="SHJ93" s="240" t="n"/>
      <c r="SHL93" s="15" t="n"/>
      <c r="SHM93" s="15" t="n"/>
      <c r="SHN93" s="248" t="n"/>
      <c r="SHO93" s="248" t="n"/>
      <c r="SHP93" s="240" t="n"/>
      <c r="SHQ93" s="240" t="n"/>
      <c r="SHS93" s="15" t="n"/>
      <c r="SHT93" s="15" t="n"/>
      <c r="SHU93" s="248" t="n"/>
      <c r="SHV93" s="248" t="n"/>
      <c r="SHW93" s="240" t="n"/>
      <c r="SHX93" s="240" t="n"/>
      <c r="SHZ93" s="15" t="n"/>
      <c r="SIA93" s="15" t="n"/>
      <c r="SIB93" s="248" t="n"/>
      <c r="SIC93" s="248" t="n"/>
      <c r="SID93" s="240" t="n"/>
      <c r="SIE93" s="240" t="n"/>
      <c r="SIG93" s="15" t="n"/>
      <c r="SIH93" s="15" t="n"/>
      <c r="SII93" s="248" t="n"/>
      <c r="SIJ93" s="248" t="n"/>
      <c r="SIK93" s="240" t="n"/>
      <c r="SIL93" s="240" t="n"/>
      <c r="SIN93" s="15" t="n"/>
      <c r="SIO93" s="15" t="n"/>
      <c r="SIP93" s="248" t="n"/>
      <c r="SIQ93" s="248" t="n"/>
      <c r="SIR93" s="240" t="n"/>
      <c r="SIS93" s="240" t="n"/>
      <c r="SIU93" s="15" t="n"/>
      <c r="SIV93" s="15" t="n"/>
      <c r="SIW93" s="248" t="n"/>
      <c r="SIX93" s="248" t="n"/>
      <c r="SIY93" s="240" t="n"/>
      <c r="SIZ93" s="240" t="n"/>
      <c r="SJB93" s="15" t="n"/>
      <c r="SJC93" s="15" t="n"/>
      <c r="SJD93" s="248" t="n"/>
      <c r="SJE93" s="248" t="n"/>
      <c r="SJF93" s="240" t="n"/>
      <c r="SJG93" s="240" t="n"/>
      <c r="SJI93" s="15" t="n"/>
      <c r="SJJ93" s="15" t="n"/>
      <c r="SJK93" s="248" t="n"/>
      <c r="SJL93" s="248" t="n"/>
      <c r="SJM93" s="240" t="n"/>
      <c r="SJN93" s="240" t="n"/>
      <c r="SJP93" s="15" t="n"/>
      <c r="SJQ93" s="15" t="n"/>
      <c r="SJR93" s="248" t="n"/>
      <c r="SJS93" s="248" t="n"/>
      <c r="SJT93" s="240" t="n"/>
      <c r="SJU93" s="240" t="n"/>
      <c r="SJW93" s="15" t="n"/>
      <c r="SJX93" s="15" t="n"/>
      <c r="SJY93" s="248" t="n"/>
      <c r="SJZ93" s="248" t="n"/>
      <c r="SKA93" s="240" t="n"/>
      <c r="SKB93" s="240" t="n"/>
      <c r="SKD93" s="15" t="n"/>
      <c r="SKE93" s="15" t="n"/>
      <c r="SKF93" s="248" t="n"/>
      <c r="SKG93" s="248" t="n"/>
      <c r="SKH93" s="240" t="n"/>
      <c r="SKI93" s="240" t="n"/>
      <c r="SKK93" s="15" t="n"/>
      <c r="SKL93" s="15" t="n"/>
      <c r="SKM93" s="248" t="n"/>
      <c r="SKN93" s="248" t="n"/>
      <c r="SKO93" s="240" t="n"/>
      <c r="SKP93" s="240" t="n"/>
      <c r="SKR93" s="15" t="n"/>
      <c r="SKS93" s="15" t="n"/>
      <c r="SKT93" s="248" t="n"/>
      <c r="SKU93" s="248" t="n"/>
      <c r="SKV93" s="240" t="n"/>
      <c r="SKW93" s="240" t="n"/>
      <c r="SKY93" s="15" t="n"/>
      <c r="SKZ93" s="15" t="n"/>
      <c r="SLA93" s="248" t="n"/>
      <c r="SLB93" s="248" t="n"/>
      <c r="SLC93" s="240" t="n"/>
      <c r="SLD93" s="240" t="n"/>
      <c r="SLF93" s="15" t="n"/>
      <c r="SLG93" s="15" t="n"/>
      <c r="SLH93" s="248" t="n"/>
      <c r="SLI93" s="248" t="n"/>
      <c r="SLJ93" s="240" t="n"/>
      <c r="SLK93" s="240" t="n"/>
      <c r="SLM93" s="15" t="n"/>
      <c r="SLN93" s="15" t="n"/>
      <c r="SLO93" s="248" t="n"/>
      <c r="SLP93" s="248" t="n"/>
      <c r="SLQ93" s="240" t="n"/>
      <c r="SLR93" s="240" t="n"/>
      <c r="SLT93" s="15" t="n"/>
      <c r="SLU93" s="15" t="n"/>
      <c r="SLV93" s="248" t="n"/>
      <c r="SLW93" s="248" t="n"/>
      <c r="SLX93" s="240" t="n"/>
      <c r="SLY93" s="240" t="n"/>
      <c r="SMA93" s="15" t="n"/>
      <c r="SMB93" s="15" t="n"/>
      <c r="SMC93" s="248" t="n"/>
      <c r="SMD93" s="248" t="n"/>
      <c r="SME93" s="240" t="n"/>
      <c r="SMF93" s="240" t="n"/>
      <c r="SMH93" s="15" t="n"/>
      <c r="SMI93" s="15" t="n"/>
      <c r="SMJ93" s="248" t="n"/>
      <c r="SMK93" s="248" t="n"/>
      <c r="SML93" s="240" t="n"/>
      <c r="SMM93" s="240" t="n"/>
      <c r="SMO93" s="15" t="n"/>
      <c r="SMP93" s="15" t="n"/>
      <c r="SMQ93" s="248" t="n"/>
      <c r="SMR93" s="248" t="n"/>
      <c r="SMS93" s="240" t="n"/>
      <c r="SMT93" s="240" t="n"/>
      <c r="SMV93" s="15" t="n"/>
      <c r="SMW93" s="15" t="n"/>
      <c r="SMX93" s="248" t="n"/>
      <c r="SMY93" s="248" t="n"/>
      <c r="SMZ93" s="240" t="n"/>
      <c r="SNA93" s="240" t="n"/>
      <c r="SNC93" s="15" t="n"/>
      <c r="SND93" s="15" t="n"/>
      <c r="SNE93" s="248" t="n"/>
      <c r="SNF93" s="248" t="n"/>
      <c r="SNG93" s="240" t="n"/>
      <c r="SNH93" s="240" t="n"/>
      <c r="SNJ93" s="15" t="n"/>
      <c r="SNK93" s="15" t="n"/>
      <c r="SNL93" s="248" t="n"/>
      <c r="SNM93" s="248" t="n"/>
      <c r="SNN93" s="240" t="n"/>
      <c r="SNO93" s="240" t="n"/>
      <c r="SNQ93" s="15" t="n"/>
      <c r="SNR93" s="15" t="n"/>
      <c r="SNS93" s="248" t="n"/>
      <c r="SNT93" s="248" t="n"/>
      <c r="SNU93" s="240" t="n"/>
      <c r="SNV93" s="240" t="n"/>
      <c r="SNX93" s="15" t="n"/>
      <c r="SNY93" s="15" t="n"/>
      <c r="SNZ93" s="248" t="n"/>
      <c r="SOA93" s="248" t="n"/>
      <c r="SOB93" s="240" t="n"/>
      <c r="SOC93" s="240" t="n"/>
      <c r="SOE93" s="15" t="n"/>
      <c r="SOF93" s="15" t="n"/>
      <c r="SOG93" s="248" t="n"/>
      <c r="SOH93" s="248" t="n"/>
      <c r="SOI93" s="240" t="n"/>
      <c r="SOJ93" s="240" t="n"/>
      <c r="SOL93" s="15" t="n"/>
      <c r="SOM93" s="15" t="n"/>
      <c r="SON93" s="248" t="n"/>
      <c r="SOO93" s="248" t="n"/>
      <c r="SOP93" s="240" t="n"/>
      <c r="SOQ93" s="240" t="n"/>
      <c r="SOS93" s="15" t="n"/>
      <c r="SOT93" s="15" t="n"/>
      <c r="SOU93" s="248" t="n"/>
      <c r="SOV93" s="248" t="n"/>
      <c r="SOW93" s="240" t="n"/>
      <c r="SOX93" s="240" t="n"/>
      <c r="SOZ93" s="15" t="n"/>
      <c r="SPA93" s="15" t="n"/>
      <c r="SPB93" s="248" t="n"/>
      <c r="SPC93" s="248" t="n"/>
      <c r="SPD93" s="240" t="n"/>
      <c r="SPE93" s="240" t="n"/>
      <c r="SPG93" s="15" t="n"/>
      <c r="SPH93" s="15" t="n"/>
      <c r="SPI93" s="248" t="n"/>
      <c r="SPJ93" s="248" t="n"/>
      <c r="SPK93" s="240" t="n"/>
      <c r="SPL93" s="240" t="n"/>
      <c r="SPN93" s="15" t="n"/>
      <c r="SPO93" s="15" t="n"/>
      <c r="SPP93" s="248" t="n"/>
      <c r="SPQ93" s="248" t="n"/>
      <c r="SPR93" s="240" t="n"/>
      <c r="SPS93" s="240" t="n"/>
      <c r="SPU93" s="15" t="n"/>
      <c r="SPV93" s="15" t="n"/>
      <c r="SPW93" s="248" t="n"/>
      <c r="SPX93" s="248" t="n"/>
      <c r="SPY93" s="240" t="n"/>
      <c r="SPZ93" s="240" t="n"/>
      <c r="SQB93" s="15" t="n"/>
      <c r="SQC93" s="15" t="n"/>
      <c r="SQD93" s="248" t="n"/>
      <c r="SQE93" s="248" t="n"/>
      <c r="SQF93" s="240" t="n"/>
      <c r="SQG93" s="240" t="n"/>
      <c r="SQI93" s="15" t="n"/>
      <c r="SQJ93" s="15" t="n"/>
      <c r="SQK93" s="248" t="n"/>
      <c r="SQL93" s="248" t="n"/>
      <c r="SQM93" s="240" t="n"/>
      <c r="SQN93" s="240" t="n"/>
      <c r="SQP93" s="15" t="n"/>
      <c r="SQQ93" s="15" t="n"/>
      <c r="SQR93" s="248" t="n"/>
      <c r="SQS93" s="248" t="n"/>
      <c r="SQT93" s="240" t="n"/>
      <c r="SQU93" s="240" t="n"/>
      <c r="SQW93" s="15" t="n"/>
      <c r="SQX93" s="15" t="n"/>
      <c r="SQY93" s="248" t="n"/>
      <c r="SQZ93" s="248" t="n"/>
      <c r="SRA93" s="240" t="n"/>
      <c r="SRB93" s="240" t="n"/>
      <c r="SRD93" s="15" t="n"/>
      <c r="SRE93" s="15" t="n"/>
      <c r="SRF93" s="248" t="n"/>
      <c r="SRG93" s="248" t="n"/>
      <c r="SRH93" s="240" t="n"/>
      <c r="SRI93" s="240" t="n"/>
      <c r="SRK93" s="15" t="n"/>
      <c r="SRL93" s="15" t="n"/>
      <c r="SRM93" s="248" t="n"/>
      <c r="SRN93" s="248" t="n"/>
      <c r="SRO93" s="240" t="n"/>
      <c r="SRP93" s="240" t="n"/>
      <c r="SRR93" s="15" t="n"/>
      <c r="SRS93" s="15" t="n"/>
      <c r="SRT93" s="248" t="n"/>
      <c r="SRU93" s="248" t="n"/>
      <c r="SRV93" s="240" t="n"/>
      <c r="SRW93" s="240" t="n"/>
      <c r="SRY93" s="15" t="n"/>
      <c r="SRZ93" s="15" t="n"/>
      <c r="SSA93" s="248" t="n"/>
      <c r="SSB93" s="248" t="n"/>
      <c r="SSC93" s="240" t="n"/>
      <c r="SSD93" s="240" t="n"/>
      <c r="SSF93" s="15" t="n"/>
      <c r="SSG93" s="15" t="n"/>
      <c r="SSH93" s="248" t="n"/>
      <c r="SSI93" s="248" t="n"/>
      <c r="SSJ93" s="240" t="n"/>
      <c r="SSK93" s="240" t="n"/>
      <c r="SSM93" s="15" t="n"/>
      <c r="SSN93" s="15" t="n"/>
      <c r="SSO93" s="248" t="n"/>
      <c r="SSP93" s="248" t="n"/>
      <c r="SSQ93" s="240" t="n"/>
      <c r="SSR93" s="240" t="n"/>
      <c r="SST93" s="15" t="n"/>
      <c r="SSU93" s="15" t="n"/>
      <c r="SSV93" s="248" t="n"/>
      <c r="SSW93" s="248" t="n"/>
      <c r="SSX93" s="240" t="n"/>
      <c r="SSY93" s="240" t="n"/>
      <c r="STA93" s="15" t="n"/>
      <c r="STB93" s="15" t="n"/>
      <c r="STC93" s="248" t="n"/>
      <c r="STD93" s="248" t="n"/>
      <c r="STE93" s="240" t="n"/>
      <c r="STF93" s="240" t="n"/>
      <c r="STH93" s="15" t="n"/>
      <c r="STI93" s="15" t="n"/>
      <c r="STJ93" s="248" t="n"/>
      <c r="STK93" s="248" t="n"/>
      <c r="STL93" s="240" t="n"/>
      <c r="STM93" s="240" t="n"/>
      <c r="STO93" s="15" t="n"/>
      <c r="STP93" s="15" t="n"/>
      <c r="STQ93" s="248" t="n"/>
      <c r="STR93" s="248" t="n"/>
      <c r="STS93" s="240" t="n"/>
      <c r="STT93" s="240" t="n"/>
      <c r="STV93" s="15" t="n"/>
      <c r="STW93" s="15" t="n"/>
      <c r="STX93" s="248" t="n"/>
      <c r="STY93" s="248" t="n"/>
      <c r="STZ93" s="240" t="n"/>
      <c r="SUA93" s="240" t="n"/>
      <c r="SUC93" s="15" t="n"/>
      <c r="SUD93" s="15" t="n"/>
      <c r="SUE93" s="248" t="n"/>
      <c r="SUF93" s="248" t="n"/>
      <c r="SUG93" s="240" t="n"/>
      <c r="SUH93" s="240" t="n"/>
      <c r="SUJ93" s="15" t="n"/>
      <c r="SUK93" s="15" t="n"/>
      <c r="SUL93" s="248" t="n"/>
      <c r="SUM93" s="248" t="n"/>
      <c r="SUN93" s="240" t="n"/>
      <c r="SUO93" s="240" t="n"/>
      <c r="SUQ93" s="15" t="n"/>
      <c r="SUR93" s="15" t="n"/>
      <c r="SUS93" s="248" t="n"/>
      <c r="SUT93" s="248" t="n"/>
      <c r="SUU93" s="240" t="n"/>
      <c r="SUV93" s="240" t="n"/>
      <c r="SUX93" s="15" t="n"/>
      <c r="SUY93" s="15" t="n"/>
      <c r="SUZ93" s="248" t="n"/>
      <c r="SVA93" s="248" t="n"/>
      <c r="SVB93" s="240" t="n"/>
      <c r="SVC93" s="240" t="n"/>
      <c r="SVE93" s="15" t="n"/>
      <c r="SVF93" s="15" t="n"/>
      <c r="SVG93" s="248" t="n"/>
      <c r="SVH93" s="248" t="n"/>
      <c r="SVI93" s="240" t="n"/>
      <c r="SVJ93" s="240" t="n"/>
      <c r="SVL93" s="15" t="n"/>
      <c r="SVM93" s="15" t="n"/>
      <c r="SVN93" s="248" t="n"/>
      <c r="SVO93" s="248" t="n"/>
      <c r="SVP93" s="240" t="n"/>
      <c r="SVQ93" s="240" t="n"/>
      <c r="SVS93" s="15" t="n"/>
      <c r="SVT93" s="15" t="n"/>
      <c r="SVU93" s="248" t="n"/>
      <c r="SVV93" s="248" t="n"/>
      <c r="SVW93" s="240" t="n"/>
      <c r="SVX93" s="240" t="n"/>
      <c r="SVZ93" s="15" t="n"/>
      <c r="SWA93" s="15" t="n"/>
      <c r="SWB93" s="248" t="n"/>
      <c r="SWC93" s="248" t="n"/>
      <c r="SWD93" s="240" t="n"/>
      <c r="SWE93" s="240" t="n"/>
      <c r="SWG93" s="15" t="n"/>
      <c r="SWH93" s="15" t="n"/>
      <c r="SWI93" s="248" t="n"/>
      <c r="SWJ93" s="248" t="n"/>
      <c r="SWK93" s="240" t="n"/>
      <c r="SWL93" s="240" t="n"/>
      <c r="SWN93" s="15" t="n"/>
      <c r="SWO93" s="15" t="n"/>
      <c r="SWP93" s="248" t="n"/>
      <c r="SWQ93" s="248" t="n"/>
      <c r="SWR93" s="240" t="n"/>
      <c r="SWS93" s="240" t="n"/>
      <c r="SWU93" s="15" t="n"/>
      <c r="SWV93" s="15" t="n"/>
      <c r="SWW93" s="248" t="n"/>
      <c r="SWX93" s="248" t="n"/>
      <c r="SWY93" s="240" t="n"/>
      <c r="SWZ93" s="240" t="n"/>
      <c r="SXB93" s="15" t="n"/>
      <c r="SXC93" s="15" t="n"/>
      <c r="SXD93" s="248" t="n"/>
      <c r="SXE93" s="248" t="n"/>
      <c r="SXF93" s="240" t="n"/>
      <c r="SXG93" s="240" t="n"/>
      <c r="SXI93" s="15" t="n"/>
      <c r="SXJ93" s="15" t="n"/>
      <c r="SXK93" s="248" t="n"/>
      <c r="SXL93" s="248" t="n"/>
      <c r="SXM93" s="240" t="n"/>
      <c r="SXN93" s="240" t="n"/>
      <c r="SXP93" s="15" t="n"/>
      <c r="SXQ93" s="15" t="n"/>
      <c r="SXR93" s="248" t="n"/>
      <c r="SXS93" s="248" t="n"/>
      <c r="SXT93" s="240" t="n"/>
      <c r="SXU93" s="240" t="n"/>
      <c r="SXW93" s="15" t="n"/>
      <c r="SXX93" s="15" t="n"/>
      <c r="SXY93" s="248" t="n"/>
      <c r="SXZ93" s="248" t="n"/>
      <c r="SYA93" s="240" t="n"/>
      <c r="SYB93" s="240" t="n"/>
      <c r="SYD93" s="15" t="n"/>
      <c r="SYE93" s="15" t="n"/>
      <c r="SYF93" s="248" t="n"/>
      <c r="SYG93" s="248" t="n"/>
      <c r="SYH93" s="240" t="n"/>
      <c r="SYI93" s="240" t="n"/>
      <c r="SYK93" s="15" t="n"/>
      <c r="SYL93" s="15" t="n"/>
      <c r="SYM93" s="248" t="n"/>
      <c r="SYN93" s="248" t="n"/>
      <c r="SYO93" s="240" t="n"/>
      <c r="SYP93" s="240" t="n"/>
      <c r="SYR93" s="15" t="n"/>
      <c r="SYS93" s="15" t="n"/>
      <c r="SYT93" s="248" t="n"/>
      <c r="SYU93" s="248" t="n"/>
      <c r="SYV93" s="240" t="n"/>
      <c r="SYW93" s="240" t="n"/>
      <c r="SYY93" s="15" t="n"/>
      <c r="SYZ93" s="15" t="n"/>
      <c r="SZA93" s="248" t="n"/>
      <c r="SZB93" s="248" t="n"/>
      <c r="SZC93" s="240" t="n"/>
      <c r="SZD93" s="240" t="n"/>
      <c r="SZF93" s="15" t="n"/>
      <c r="SZG93" s="15" t="n"/>
      <c r="SZH93" s="248" t="n"/>
      <c r="SZI93" s="248" t="n"/>
      <c r="SZJ93" s="240" t="n"/>
      <c r="SZK93" s="240" t="n"/>
      <c r="SZM93" s="15" t="n"/>
      <c r="SZN93" s="15" t="n"/>
      <c r="SZO93" s="248" t="n"/>
      <c r="SZP93" s="248" t="n"/>
      <c r="SZQ93" s="240" t="n"/>
      <c r="SZR93" s="240" t="n"/>
      <c r="SZT93" s="15" t="n"/>
      <c r="SZU93" s="15" t="n"/>
      <c r="SZV93" s="248" t="n"/>
      <c r="SZW93" s="248" t="n"/>
      <c r="SZX93" s="240" t="n"/>
      <c r="SZY93" s="240" t="n"/>
      <c r="TAA93" s="15" t="n"/>
      <c r="TAB93" s="15" t="n"/>
      <c r="TAC93" s="248" t="n"/>
      <c r="TAD93" s="248" t="n"/>
      <c r="TAE93" s="240" t="n"/>
      <c r="TAF93" s="240" t="n"/>
      <c r="TAH93" s="15" t="n"/>
      <c r="TAI93" s="15" t="n"/>
      <c r="TAJ93" s="248" t="n"/>
      <c r="TAK93" s="248" t="n"/>
      <c r="TAL93" s="240" t="n"/>
      <c r="TAM93" s="240" t="n"/>
      <c r="TAO93" s="15" t="n"/>
      <c r="TAP93" s="15" t="n"/>
      <c r="TAQ93" s="248" t="n"/>
      <c r="TAR93" s="248" t="n"/>
      <c r="TAS93" s="240" t="n"/>
      <c r="TAT93" s="240" t="n"/>
      <c r="TAV93" s="15" t="n"/>
      <c r="TAW93" s="15" t="n"/>
      <c r="TAX93" s="248" t="n"/>
      <c r="TAY93" s="248" t="n"/>
      <c r="TAZ93" s="240" t="n"/>
      <c r="TBA93" s="240" t="n"/>
      <c r="TBC93" s="15" t="n"/>
      <c r="TBD93" s="15" t="n"/>
      <c r="TBE93" s="248" t="n"/>
      <c r="TBF93" s="248" t="n"/>
      <c r="TBG93" s="240" t="n"/>
      <c r="TBH93" s="240" t="n"/>
      <c r="TBJ93" s="15" t="n"/>
      <c r="TBK93" s="15" t="n"/>
      <c r="TBL93" s="248" t="n"/>
      <c r="TBM93" s="248" t="n"/>
      <c r="TBN93" s="240" t="n"/>
      <c r="TBO93" s="240" t="n"/>
      <c r="TBQ93" s="15" t="n"/>
      <c r="TBR93" s="15" t="n"/>
      <c r="TBS93" s="248" t="n"/>
      <c r="TBT93" s="248" t="n"/>
      <c r="TBU93" s="240" t="n"/>
      <c r="TBV93" s="240" t="n"/>
      <c r="TBX93" s="15" t="n"/>
      <c r="TBY93" s="15" t="n"/>
      <c r="TBZ93" s="248" t="n"/>
      <c r="TCA93" s="248" t="n"/>
      <c r="TCB93" s="240" t="n"/>
      <c r="TCC93" s="240" t="n"/>
      <c r="TCE93" s="15" t="n"/>
      <c r="TCF93" s="15" t="n"/>
      <c r="TCG93" s="248" t="n"/>
      <c r="TCH93" s="248" t="n"/>
      <c r="TCI93" s="240" t="n"/>
      <c r="TCJ93" s="240" t="n"/>
      <c r="TCL93" s="15" t="n"/>
      <c r="TCM93" s="15" t="n"/>
      <c r="TCN93" s="248" t="n"/>
      <c r="TCO93" s="248" t="n"/>
      <c r="TCP93" s="240" t="n"/>
      <c r="TCQ93" s="240" t="n"/>
      <c r="TCS93" s="15" t="n"/>
      <c r="TCT93" s="15" t="n"/>
      <c r="TCU93" s="248" t="n"/>
      <c r="TCV93" s="248" t="n"/>
      <c r="TCW93" s="240" t="n"/>
      <c r="TCX93" s="240" t="n"/>
      <c r="TCZ93" s="15" t="n"/>
      <c r="TDA93" s="15" t="n"/>
      <c r="TDB93" s="248" t="n"/>
      <c r="TDC93" s="248" t="n"/>
      <c r="TDD93" s="240" t="n"/>
      <c r="TDE93" s="240" t="n"/>
      <c r="TDG93" s="15" t="n"/>
      <c r="TDH93" s="15" t="n"/>
      <c r="TDI93" s="248" t="n"/>
      <c r="TDJ93" s="248" t="n"/>
      <c r="TDK93" s="240" t="n"/>
      <c r="TDL93" s="240" t="n"/>
      <c r="TDN93" s="15" t="n"/>
      <c r="TDO93" s="15" t="n"/>
      <c r="TDP93" s="248" t="n"/>
      <c r="TDQ93" s="248" t="n"/>
      <c r="TDR93" s="240" t="n"/>
      <c r="TDS93" s="240" t="n"/>
      <c r="TDU93" s="15" t="n"/>
      <c r="TDV93" s="15" t="n"/>
      <c r="TDW93" s="248" t="n"/>
      <c r="TDX93" s="248" t="n"/>
      <c r="TDY93" s="240" t="n"/>
      <c r="TDZ93" s="240" t="n"/>
      <c r="TEB93" s="15" t="n"/>
      <c r="TEC93" s="15" t="n"/>
      <c r="TED93" s="248" t="n"/>
      <c r="TEE93" s="248" t="n"/>
      <c r="TEF93" s="240" t="n"/>
      <c r="TEG93" s="240" t="n"/>
      <c r="TEI93" s="15" t="n"/>
      <c r="TEJ93" s="15" t="n"/>
      <c r="TEK93" s="248" t="n"/>
      <c r="TEL93" s="248" t="n"/>
      <c r="TEM93" s="240" t="n"/>
      <c r="TEN93" s="240" t="n"/>
      <c r="TEP93" s="15" t="n"/>
      <c r="TEQ93" s="15" t="n"/>
      <c r="TER93" s="248" t="n"/>
      <c r="TES93" s="248" t="n"/>
      <c r="TET93" s="240" t="n"/>
      <c r="TEU93" s="240" t="n"/>
      <c r="TEW93" s="15" t="n"/>
      <c r="TEX93" s="15" t="n"/>
      <c r="TEY93" s="248" t="n"/>
      <c r="TEZ93" s="248" t="n"/>
      <c r="TFA93" s="240" t="n"/>
      <c r="TFB93" s="240" t="n"/>
      <c r="TFD93" s="15" t="n"/>
      <c r="TFE93" s="15" t="n"/>
      <c r="TFF93" s="248" t="n"/>
      <c r="TFG93" s="248" t="n"/>
      <c r="TFH93" s="240" t="n"/>
      <c r="TFI93" s="240" t="n"/>
      <c r="TFK93" s="15" t="n"/>
      <c r="TFL93" s="15" t="n"/>
      <c r="TFM93" s="248" t="n"/>
      <c r="TFN93" s="248" t="n"/>
      <c r="TFO93" s="240" t="n"/>
      <c r="TFP93" s="240" t="n"/>
      <c r="TFR93" s="15" t="n"/>
      <c r="TFS93" s="15" t="n"/>
      <c r="TFT93" s="248" t="n"/>
      <c r="TFU93" s="248" t="n"/>
      <c r="TFV93" s="240" t="n"/>
      <c r="TFW93" s="240" t="n"/>
      <c r="TFY93" s="15" t="n"/>
      <c r="TFZ93" s="15" t="n"/>
      <c r="TGA93" s="248" t="n"/>
      <c r="TGB93" s="248" t="n"/>
      <c r="TGC93" s="240" t="n"/>
      <c r="TGD93" s="240" t="n"/>
      <c r="TGF93" s="15" t="n"/>
      <c r="TGG93" s="15" t="n"/>
      <c r="TGH93" s="248" t="n"/>
      <c r="TGI93" s="248" t="n"/>
      <c r="TGJ93" s="240" t="n"/>
      <c r="TGK93" s="240" t="n"/>
      <c r="TGM93" s="15" t="n"/>
      <c r="TGN93" s="15" t="n"/>
      <c r="TGO93" s="248" t="n"/>
      <c r="TGP93" s="248" t="n"/>
      <c r="TGQ93" s="240" t="n"/>
      <c r="TGR93" s="240" t="n"/>
      <c r="TGT93" s="15" t="n"/>
      <c r="TGU93" s="15" t="n"/>
      <c r="TGV93" s="248" t="n"/>
      <c r="TGW93" s="248" t="n"/>
      <c r="TGX93" s="240" t="n"/>
      <c r="TGY93" s="240" t="n"/>
      <c r="THA93" s="15" t="n"/>
      <c r="THB93" s="15" t="n"/>
      <c r="THC93" s="248" t="n"/>
      <c r="THD93" s="248" t="n"/>
      <c r="THE93" s="240" t="n"/>
      <c r="THF93" s="240" t="n"/>
      <c r="THH93" s="15" t="n"/>
      <c r="THI93" s="15" t="n"/>
      <c r="THJ93" s="248" t="n"/>
      <c r="THK93" s="248" t="n"/>
      <c r="THL93" s="240" t="n"/>
      <c r="THM93" s="240" t="n"/>
      <c r="THO93" s="15" t="n"/>
      <c r="THP93" s="15" t="n"/>
      <c r="THQ93" s="248" t="n"/>
      <c r="THR93" s="248" t="n"/>
      <c r="THS93" s="240" t="n"/>
      <c r="THT93" s="240" t="n"/>
      <c r="THV93" s="15" t="n"/>
      <c r="THW93" s="15" t="n"/>
      <c r="THX93" s="248" t="n"/>
      <c r="THY93" s="248" t="n"/>
      <c r="THZ93" s="240" t="n"/>
      <c r="TIA93" s="240" t="n"/>
      <c r="TIC93" s="15" t="n"/>
      <c r="TID93" s="15" t="n"/>
      <c r="TIE93" s="248" t="n"/>
      <c r="TIF93" s="248" t="n"/>
      <c r="TIG93" s="240" t="n"/>
      <c r="TIH93" s="240" t="n"/>
      <c r="TIJ93" s="15" t="n"/>
      <c r="TIK93" s="15" t="n"/>
      <c r="TIL93" s="248" t="n"/>
      <c r="TIM93" s="248" t="n"/>
      <c r="TIN93" s="240" t="n"/>
      <c r="TIO93" s="240" t="n"/>
      <c r="TIQ93" s="15" t="n"/>
      <c r="TIR93" s="15" t="n"/>
      <c r="TIS93" s="248" t="n"/>
      <c r="TIT93" s="248" t="n"/>
      <c r="TIU93" s="240" t="n"/>
      <c r="TIV93" s="240" t="n"/>
      <c r="TIX93" s="15" t="n"/>
      <c r="TIY93" s="15" t="n"/>
      <c r="TIZ93" s="248" t="n"/>
      <c r="TJA93" s="248" t="n"/>
      <c r="TJB93" s="240" t="n"/>
      <c r="TJC93" s="240" t="n"/>
      <c r="TJE93" s="15" t="n"/>
      <c r="TJF93" s="15" t="n"/>
      <c r="TJG93" s="248" t="n"/>
      <c r="TJH93" s="248" t="n"/>
      <c r="TJI93" s="240" t="n"/>
      <c r="TJJ93" s="240" t="n"/>
      <c r="TJL93" s="15" t="n"/>
      <c r="TJM93" s="15" t="n"/>
      <c r="TJN93" s="248" t="n"/>
      <c r="TJO93" s="248" t="n"/>
      <c r="TJP93" s="240" t="n"/>
      <c r="TJQ93" s="240" t="n"/>
      <c r="TJS93" s="15" t="n"/>
      <c r="TJT93" s="15" t="n"/>
      <c r="TJU93" s="248" t="n"/>
      <c r="TJV93" s="248" t="n"/>
      <c r="TJW93" s="240" t="n"/>
      <c r="TJX93" s="240" t="n"/>
      <c r="TJZ93" s="15" t="n"/>
      <c r="TKA93" s="15" t="n"/>
      <c r="TKB93" s="248" t="n"/>
      <c r="TKC93" s="248" t="n"/>
      <c r="TKD93" s="240" t="n"/>
      <c r="TKE93" s="240" t="n"/>
      <c r="TKG93" s="15" t="n"/>
      <c r="TKH93" s="15" t="n"/>
      <c r="TKI93" s="248" t="n"/>
      <c r="TKJ93" s="248" t="n"/>
      <c r="TKK93" s="240" t="n"/>
      <c r="TKL93" s="240" t="n"/>
      <c r="TKN93" s="15" t="n"/>
      <c r="TKO93" s="15" t="n"/>
      <c r="TKP93" s="248" t="n"/>
      <c r="TKQ93" s="248" t="n"/>
      <c r="TKR93" s="240" t="n"/>
      <c r="TKS93" s="240" t="n"/>
      <c r="TKU93" s="15" t="n"/>
      <c r="TKV93" s="15" t="n"/>
      <c r="TKW93" s="248" t="n"/>
      <c r="TKX93" s="248" t="n"/>
      <c r="TKY93" s="240" t="n"/>
      <c r="TKZ93" s="240" t="n"/>
      <c r="TLB93" s="15" t="n"/>
      <c r="TLC93" s="15" t="n"/>
      <c r="TLD93" s="248" t="n"/>
      <c r="TLE93" s="248" t="n"/>
      <c r="TLF93" s="240" t="n"/>
      <c r="TLG93" s="240" t="n"/>
      <c r="TLI93" s="15" t="n"/>
      <c r="TLJ93" s="15" t="n"/>
      <c r="TLK93" s="248" t="n"/>
      <c r="TLL93" s="248" t="n"/>
      <c r="TLM93" s="240" t="n"/>
      <c r="TLN93" s="240" t="n"/>
      <c r="TLP93" s="15" t="n"/>
      <c r="TLQ93" s="15" t="n"/>
      <c r="TLR93" s="248" t="n"/>
      <c r="TLS93" s="248" t="n"/>
      <c r="TLT93" s="240" t="n"/>
      <c r="TLU93" s="240" t="n"/>
      <c r="TLW93" s="15" t="n"/>
      <c r="TLX93" s="15" t="n"/>
      <c r="TLY93" s="248" t="n"/>
      <c r="TLZ93" s="248" t="n"/>
      <c r="TMA93" s="240" t="n"/>
      <c r="TMB93" s="240" t="n"/>
      <c r="TMD93" s="15" t="n"/>
      <c r="TME93" s="15" t="n"/>
      <c r="TMF93" s="248" t="n"/>
      <c r="TMG93" s="248" t="n"/>
      <c r="TMH93" s="240" t="n"/>
      <c r="TMI93" s="240" t="n"/>
      <c r="TMK93" s="15" t="n"/>
      <c r="TML93" s="15" t="n"/>
      <c r="TMM93" s="248" t="n"/>
      <c r="TMN93" s="248" t="n"/>
      <c r="TMO93" s="240" t="n"/>
      <c r="TMP93" s="240" t="n"/>
      <c r="TMR93" s="15" t="n"/>
      <c r="TMS93" s="15" t="n"/>
      <c r="TMT93" s="248" t="n"/>
      <c r="TMU93" s="248" t="n"/>
      <c r="TMV93" s="240" t="n"/>
      <c r="TMW93" s="240" t="n"/>
      <c r="TMY93" s="15" t="n"/>
      <c r="TMZ93" s="15" t="n"/>
      <c r="TNA93" s="248" t="n"/>
      <c r="TNB93" s="248" t="n"/>
      <c r="TNC93" s="240" t="n"/>
      <c r="TND93" s="240" t="n"/>
      <c r="TNF93" s="15" t="n"/>
      <c r="TNG93" s="15" t="n"/>
      <c r="TNH93" s="248" t="n"/>
      <c r="TNI93" s="248" t="n"/>
      <c r="TNJ93" s="240" t="n"/>
      <c r="TNK93" s="240" t="n"/>
      <c r="TNM93" s="15" t="n"/>
      <c r="TNN93" s="15" t="n"/>
      <c r="TNO93" s="248" t="n"/>
      <c r="TNP93" s="248" t="n"/>
      <c r="TNQ93" s="240" t="n"/>
      <c r="TNR93" s="240" t="n"/>
      <c r="TNT93" s="15" t="n"/>
      <c r="TNU93" s="15" t="n"/>
      <c r="TNV93" s="248" t="n"/>
      <c r="TNW93" s="248" t="n"/>
      <c r="TNX93" s="240" t="n"/>
      <c r="TNY93" s="240" t="n"/>
      <c r="TOA93" s="15" t="n"/>
      <c r="TOB93" s="15" t="n"/>
      <c r="TOC93" s="248" t="n"/>
      <c r="TOD93" s="248" t="n"/>
      <c r="TOE93" s="240" t="n"/>
      <c r="TOF93" s="240" t="n"/>
      <c r="TOH93" s="15" t="n"/>
      <c r="TOI93" s="15" t="n"/>
      <c r="TOJ93" s="248" t="n"/>
      <c r="TOK93" s="248" t="n"/>
      <c r="TOL93" s="240" t="n"/>
      <c r="TOM93" s="240" t="n"/>
      <c r="TOO93" s="15" t="n"/>
      <c r="TOP93" s="15" t="n"/>
      <c r="TOQ93" s="248" t="n"/>
      <c r="TOR93" s="248" t="n"/>
      <c r="TOS93" s="240" t="n"/>
      <c r="TOT93" s="240" t="n"/>
      <c r="TOV93" s="15" t="n"/>
      <c r="TOW93" s="15" t="n"/>
      <c r="TOX93" s="248" t="n"/>
      <c r="TOY93" s="248" t="n"/>
      <c r="TOZ93" s="240" t="n"/>
      <c r="TPA93" s="240" t="n"/>
      <c r="TPC93" s="15" t="n"/>
      <c r="TPD93" s="15" t="n"/>
      <c r="TPE93" s="248" t="n"/>
      <c r="TPF93" s="248" t="n"/>
      <c r="TPG93" s="240" t="n"/>
      <c r="TPH93" s="240" t="n"/>
      <c r="TPJ93" s="15" t="n"/>
      <c r="TPK93" s="15" t="n"/>
      <c r="TPL93" s="248" t="n"/>
      <c r="TPM93" s="248" t="n"/>
      <c r="TPN93" s="240" t="n"/>
      <c r="TPO93" s="240" t="n"/>
      <c r="TPQ93" s="15" t="n"/>
      <c r="TPR93" s="15" t="n"/>
      <c r="TPS93" s="248" t="n"/>
      <c r="TPT93" s="248" t="n"/>
      <c r="TPU93" s="240" t="n"/>
      <c r="TPV93" s="240" t="n"/>
      <c r="TPX93" s="15" t="n"/>
      <c r="TPY93" s="15" t="n"/>
      <c r="TPZ93" s="248" t="n"/>
      <c r="TQA93" s="248" t="n"/>
      <c r="TQB93" s="240" t="n"/>
      <c r="TQC93" s="240" t="n"/>
      <c r="TQE93" s="15" t="n"/>
      <c r="TQF93" s="15" t="n"/>
      <c r="TQG93" s="248" t="n"/>
      <c r="TQH93" s="248" t="n"/>
      <c r="TQI93" s="240" t="n"/>
      <c r="TQJ93" s="240" t="n"/>
      <c r="TQL93" s="15" t="n"/>
      <c r="TQM93" s="15" t="n"/>
      <c r="TQN93" s="248" t="n"/>
      <c r="TQO93" s="248" t="n"/>
      <c r="TQP93" s="240" t="n"/>
      <c r="TQQ93" s="240" t="n"/>
      <c r="TQS93" s="15" t="n"/>
      <c r="TQT93" s="15" t="n"/>
      <c r="TQU93" s="248" t="n"/>
      <c r="TQV93" s="248" t="n"/>
      <c r="TQW93" s="240" t="n"/>
      <c r="TQX93" s="240" t="n"/>
      <c r="TQZ93" s="15" t="n"/>
      <c r="TRA93" s="15" t="n"/>
      <c r="TRB93" s="248" t="n"/>
      <c r="TRC93" s="248" t="n"/>
      <c r="TRD93" s="240" t="n"/>
      <c r="TRE93" s="240" t="n"/>
      <c r="TRG93" s="15" t="n"/>
      <c r="TRH93" s="15" t="n"/>
      <c r="TRI93" s="248" t="n"/>
      <c r="TRJ93" s="248" t="n"/>
      <c r="TRK93" s="240" t="n"/>
      <c r="TRL93" s="240" t="n"/>
      <c r="TRN93" s="15" t="n"/>
      <c r="TRO93" s="15" t="n"/>
      <c r="TRP93" s="248" t="n"/>
      <c r="TRQ93" s="248" t="n"/>
      <c r="TRR93" s="240" t="n"/>
      <c r="TRS93" s="240" t="n"/>
      <c r="TRU93" s="15" t="n"/>
      <c r="TRV93" s="15" t="n"/>
      <c r="TRW93" s="248" t="n"/>
      <c r="TRX93" s="248" t="n"/>
      <c r="TRY93" s="240" t="n"/>
      <c r="TRZ93" s="240" t="n"/>
      <c r="TSB93" s="15" t="n"/>
      <c r="TSC93" s="15" t="n"/>
      <c r="TSD93" s="248" t="n"/>
      <c r="TSE93" s="248" t="n"/>
      <c r="TSF93" s="240" t="n"/>
      <c r="TSG93" s="240" t="n"/>
      <c r="TSI93" s="15" t="n"/>
      <c r="TSJ93" s="15" t="n"/>
      <c r="TSK93" s="248" t="n"/>
      <c r="TSL93" s="248" t="n"/>
      <c r="TSM93" s="240" t="n"/>
      <c r="TSN93" s="240" t="n"/>
      <c r="TSP93" s="15" t="n"/>
      <c r="TSQ93" s="15" t="n"/>
      <c r="TSR93" s="248" t="n"/>
      <c r="TSS93" s="248" t="n"/>
      <c r="TST93" s="240" t="n"/>
      <c r="TSU93" s="240" t="n"/>
      <c r="TSW93" s="15" t="n"/>
      <c r="TSX93" s="15" t="n"/>
      <c r="TSY93" s="248" t="n"/>
      <c r="TSZ93" s="248" t="n"/>
      <c r="TTA93" s="240" t="n"/>
      <c r="TTB93" s="240" t="n"/>
      <c r="TTD93" s="15" t="n"/>
      <c r="TTE93" s="15" t="n"/>
      <c r="TTF93" s="248" t="n"/>
      <c r="TTG93" s="248" t="n"/>
      <c r="TTH93" s="240" t="n"/>
      <c r="TTI93" s="240" t="n"/>
      <c r="TTK93" s="15" t="n"/>
      <c r="TTL93" s="15" t="n"/>
      <c r="TTM93" s="248" t="n"/>
      <c r="TTN93" s="248" t="n"/>
      <c r="TTO93" s="240" t="n"/>
      <c r="TTP93" s="240" t="n"/>
      <c r="TTR93" s="15" t="n"/>
      <c r="TTS93" s="15" t="n"/>
      <c r="TTT93" s="248" t="n"/>
      <c r="TTU93" s="248" t="n"/>
      <c r="TTV93" s="240" t="n"/>
      <c r="TTW93" s="240" t="n"/>
      <c r="TTY93" s="15" t="n"/>
      <c r="TTZ93" s="15" t="n"/>
      <c r="TUA93" s="248" t="n"/>
      <c r="TUB93" s="248" t="n"/>
      <c r="TUC93" s="240" t="n"/>
      <c r="TUD93" s="240" t="n"/>
      <c r="TUF93" s="15" t="n"/>
      <c r="TUG93" s="15" t="n"/>
      <c r="TUH93" s="248" t="n"/>
      <c r="TUI93" s="248" t="n"/>
      <c r="TUJ93" s="240" t="n"/>
      <c r="TUK93" s="240" t="n"/>
      <c r="TUM93" s="15" t="n"/>
      <c r="TUN93" s="15" t="n"/>
      <c r="TUO93" s="248" t="n"/>
      <c r="TUP93" s="248" t="n"/>
      <c r="TUQ93" s="240" t="n"/>
      <c r="TUR93" s="240" t="n"/>
      <c r="TUT93" s="15" t="n"/>
      <c r="TUU93" s="15" t="n"/>
      <c r="TUV93" s="248" t="n"/>
      <c r="TUW93" s="248" t="n"/>
      <c r="TUX93" s="240" t="n"/>
      <c r="TUY93" s="240" t="n"/>
      <c r="TVA93" s="15" t="n"/>
      <c r="TVB93" s="15" t="n"/>
      <c r="TVC93" s="248" t="n"/>
      <c r="TVD93" s="248" t="n"/>
      <c r="TVE93" s="240" t="n"/>
      <c r="TVF93" s="240" t="n"/>
      <c r="TVH93" s="15" t="n"/>
      <c r="TVI93" s="15" t="n"/>
      <c r="TVJ93" s="248" t="n"/>
      <c r="TVK93" s="248" t="n"/>
      <c r="TVL93" s="240" t="n"/>
      <c r="TVM93" s="240" t="n"/>
      <c r="TVO93" s="15" t="n"/>
      <c r="TVP93" s="15" t="n"/>
      <c r="TVQ93" s="248" t="n"/>
      <c r="TVR93" s="248" t="n"/>
      <c r="TVS93" s="240" t="n"/>
      <c r="TVT93" s="240" t="n"/>
      <c r="TVV93" s="15" t="n"/>
      <c r="TVW93" s="15" t="n"/>
      <c r="TVX93" s="248" t="n"/>
      <c r="TVY93" s="248" t="n"/>
      <c r="TVZ93" s="240" t="n"/>
      <c r="TWA93" s="240" t="n"/>
      <c r="TWC93" s="15" t="n"/>
      <c r="TWD93" s="15" t="n"/>
      <c r="TWE93" s="248" t="n"/>
      <c r="TWF93" s="248" t="n"/>
      <c r="TWG93" s="240" t="n"/>
      <c r="TWH93" s="240" t="n"/>
      <c r="TWJ93" s="15" t="n"/>
      <c r="TWK93" s="15" t="n"/>
      <c r="TWL93" s="248" t="n"/>
      <c r="TWM93" s="248" t="n"/>
      <c r="TWN93" s="240" t="n"/>
      <c r="TWO93" s="240" t="n"/>
      <c r="TWQ93" s="15" t="n"/>
      <c r="TWR93" s="15" t="n"/>
      <c r="TWS93" s="248" t="n"/>
      <c r="TWT93" s="248" t="n"/>
      <c r="TWU93" s="240" t="n"/>
      <c r="TWV93" s="240" t="n"/>
      <c r="TWX93" s="15" t="n"/>
      <c r="TWY93" s="15" t="n"/>
      <c r="TWZ93" s="248" t="n"/>
      <c r="TXA93" s="248" t="n"/>
      <c r="TXB93" s="240" t="n"/>
      <c r="TXC93" s="240" t="n"/>
      <c r="TXE93" s="15" t="n"/>
      <c r="TXF93" s="15" t="n"/>
      <c r="TXG93" s="248" t="n"/>
      <c r="TXH93" s="248" t="n"/>
      <c r="TXI93" s="240" t="n"/>
      <c r="TXJ93" s="240" t="n"/>
      <c r="TXL93" s="15" t="n"/>
      <c r="TXM93" s="15" t="n"/>
      <c r="TXN93" s="248" t="n"/>
      <c r="TXO93" s="248" t="n"/>
      <c r="TXP93" s="240" t="n"/>
      <c r="TXQ93" s="240" t="n"/>
      <c r="TXS93" s="15" t="n"/>
      <c r="TXT93" s="15" t="n"/>
      <c r="TXU93" s="248" t="n"/>
      <c r="TXV93" s="248" t="n"/>
      <c r="TXW93" s="240" t="n"/>
      <c r="TXX93" s="240" t="n"/>
      <c r="TXZ93" s="15" t="n"/>
      <c r="TYA93" s="15" t="n"/>
      <c r="TYB93" s="248" t="n"/>
      <c r="TYC93" s="248" t="n"/>
      <c r="TYD93" s="240" t="n"/>
      <c r="TYE93" s="240" t="n"/>
      <c r="TYG93" s="15" t="n"/>
      <c r="TYH93" s="15" t="n"/>
      <c r="TYI93" s="248" t="n"/>
      <c r="TYJ93" s="248" t="n"/>
      <c r="TYK93" s="240" t="n"/>
      <c r="TYL93" s="240" t="n"/>
      <c r="TYN93" s="15" t="n"/>
      <c r="TYO93" s="15" t="n"/>
      <c r="TYP93" s="248" t="n"/>
      <c r="TYQ93" s="248" t="n"/>
      <c r="TYR93" s="240" t="n"/>
      <c r="TYS93" s="240" t="n"/>
      <c r="TYU93" s="15" t="n"/>
      <c r="TYV93" s="15" t="n"/>
      <c r="TYW93" s="248" t="n"/>
      <c r="TYX93" s="248" t="n"/>
      <c r="TYY93" s="240" t="n"/>
      <c r="TYZ93" s="240" t="n"/>
      <c r="TZB93" s="15" t="n"/>
      <c r="TZC93" s="15" t="n"/>
      <c r="TZD93" s="248" t="n"/>
      <c r="TZE93" s="248" t="n"/>
      <c r="TZF93" s="240" t="n"/>
      <c r="TZG93" s="240" t="n"/>
      <c r="TZI93" s="15" t="n"/>
      <c r="TZJ93" s="15" t="n"/>
      <c r="TZK93" s="248" t="n"/>
      <c r="TZL93" s="248" t="n"/>
      <c r="TZM93" s="240" t="n"/>
      <c r="TZN93" s="240" t="n"/>
      <c r="TZP93" s="15" t="n"/>
      <c r="TZQ93" s="15" t="n"/>
      <c r="TZR93" s="248" t="n"/>
      <c r="TZS93" s="248" t="n"/>
      <c r="TZT93" s="240" t="n"/>
      <c r="TZU93" s="240" t="n"/>
      <c r="TZW93" s="15" t="n"/>
      <c r="TZX93" s="15" t="n"/>
      <c r="TZY93" s="248" t="n"/>
      <c r="TZZ93" s="248" t="n"/>
      <c r="UAA93" s="240" t="n"/>
      <c r="UAB93" s="240" t="n"/>
      <c r="UAD93" s="15" t="n"/>
      <c r="UAE93" s="15" t="n"/>
      <c r="UAF93" s="248" t="n"/>
      <c r="UAG93" s="248" t="n"/>
      <c r="UAH93" s="240" t="n"/>
      <c r="UAI93" s="240" t="n"/>
      <c r="UAK93" s="15" t="n"/>
      <c r="UAL93" s="15" t="n"/>
      <c r="UAM93" s="248" t="n"/>
      <c r="UAN93" s="248" t="n"/>
      <c r="UAO93" s="240" t="n"/>
      <c r="UAP93" s="240" t="n"/>
      <c r="UAR93" s="15" t="n"/>
      <c r="UAS93" s="15" t="n"/>
      <c r="UAT93" s="248" t="n"/>
      <c r="UAU93" s="248" t="n"/>
      <c r="UAV93" s="240" t="n"/>
      <c r="UAW93" s="240" t="n"/>
      <c r="UAY93" s="15" t="n"/>
      <c r="UAZ93" s="15" t="n"/>
      <c r="UBA93" s="248" t="n"/>
      <c r="UBB93" s="248" t="n"/>
      <c r="UBC93" s="240" t="n"/>
      <c r="UBD93" s="240" t="n"/>
      <c r="UBF93" s="15" t="n"/>
      <c r="UBG93" s="15" t="n"/>
      <c r="UBH93" s="248" t="n"/>
      <c r="UBI93" s="248" t="n"/>
      <c r="UBJ93" s="240" t="n"/>
      <c r="UBK93" s="240" t="n"/>
      <c r="UBM93" s="15" t="n"/>
      <c r="UBN93" s="15" t="n"/>
      <c r="UBO93" s="248" t="n"/>
      <c r="UBP93" s="248" t="n"/>
      <c r="UBQ93" s="240" t="n"/>
      <c r="UBR93" s="240" t="n"/>
      <c r="UBT93" s="15" t="n"/>
      <c r="UBU93" s="15" t="n"/>
      <c r="UBV93" s="248" t="n"/>
      <c r="UBW93" s="248" t="n"/>
      <c r="UBX93" s="240" t="n"/>
      <c r="UBY93" s="240" t="n"/>
      <c r="UCA93" s="15" t="n"/>
      <c r="UCB93" s="15" t="n"/>
      <c r="UCC93" s="248" t="n"/>
      <c r="UCD93" s="248" t="n"/>
      <c r="UCE93" s="240" t="n"/>
      <c r="UCF93" s="240" t="n"/>
      <c r="UCH93" s="15" t="n"/>
      <c r="UCI93" s="15" t="n"/>
      <c r="UCJ93" s="248" t="n"/>
      <c r="UCK93" s="248" t="n"/>
      <c r="UCL93" s="240" t="n"/>
      <c r="UCM93" s="240" t="n"/>
      <c r="UCO93" s="15" t="n"/>
      <c r="UCP93" s="15" t="n"/>
      <c r="UCQ93" s="248" t="n"/>
      <c r="UCR93" s="248" t="n"/>
      <c r="UCS93" s="240" t="n"/>
      <c r="UCT93" s="240" t="n"/>
      <c r="UCV93" s="15" t="n"/>
      <c r="UCW93" s="15" t="n"/>
      <c r="UCX93" s="248" t="n"/>
      <c r="UCY93" s="248" t="n"/>
      <c r="UCZ93" s="240" t="n"/>
      <c r="UDA93" s="240" t="n"/>
      <c r="UDC93" s="15" t="n"/>
      <c r="UDD93" s="15" t="n"/>
      <c r="UDE93" s="248" t="n"/>
      <c r="UDF93" s="248" t="n"/>
      <c r="UDG93" s="240" t="n"/>
      <c r="UDH93" s="240" t="n"/>
      <c r="UDJ93" s="15" t="n"/>
      <c r="UDK93" s="15" t="n"/>
      <c r="UDL93" s="248" t="n"/>
      <c r="UDM93" s="248" t="n"/>
      <c r="UDN93" s="240" t="n"/>
      <c r="UDO93" s="240" t="n"/>
      <c r="UDQ93" s="15" t="n"/>
      <c r="UDR93" s="15" t="n"/>
      <c r="UDS93" s="248" t="n"/>
      <c r="UDT93" s="248" t="n"/>
      <c r="UDU93" s="240" t="n"/>
      <c r="UDV93" s="240" t="n"/>
      <c r="UDX93" s="15" t="n"/>
      <c r="UDY93" s="15" t="n"/>
      <c r="UDZ93" s="248" t="n"/>
      <c r="UEA93" s="248" t="n"/>
      <c r="UEB93" s="240" t="n"/>
      <c r="UEC93" s="240" t="n"/>
      <c r="UEE93" s="15" t="n"/>
      <c r="UEF93" s="15" t="n"/>
      <c r="UEG93" s="248" t="n"/>
      <c r="UEH93" s="248" t="n"/>
      <c r="UEI93" s="240" t="n"/>
      <c r="UEJ93" s="240" t="n"/>
      <c r="UEL93" s="15" t="n"/>
      <c r="UEM93" s="15" t="n"/>
      <c r="UEN93" s="248" t="n"/>
      <c r="UEO93" s="248" t="n"/>
      <c r="UEP93" s="240" t="n"/>
      <c r="UEQ93" s="240" t="n"/>
      <c r="UES93" s="15" t="n"/>
      <c r="UET93" s="15" t="n"/>
      <c r="UEU93" s="248" t="n"/>
      <c r="UEV93" s="248" t="n"/>
      <c r="UEW93" s="240" t="n"/>
      <c r="UEX93" s="240" t="n"/>
      <c r="UEZ93" s="15" t="n"/>
      <c r="UFA93" s="15" t="n"/>
      <c r="UFB93" s="248" t="n"/>
      <c r="UFC93" s="248" t="n"/>
      <c r="UFD93" s="240" t="n"/>
      <c r="UFE93" s="240" t="n"/>
      <c r="UFG93" s="15" t="n"/>
      <c r="UFH93" s="15" t="n"/>
      <c r="UFI93" s="248" t="n"/>
      <c r="UFJ93" s="248" t="n"/>
      <c r="UFK93" s="240" t="n"/>
      <c r="UFL93" s="240" t="n"/>
      <c r="UFN93" s="15" t="n"/>
      <c r="UFO93" s="15" t="n"/>
      <c r="UFP93" s="248" t="n"/>
      <c r="UFQ93" s="248" t="n"/>
      <c r="UFR93" s="240" t="n"/>
      <c r="UFS93" s="240" t="n"/>
      <c r="UFU93" s="15" t="n"/>
      <c r="UFV93" s="15" t="n"/>
      <c r="UFW93" s="248" t="n"/>
      <c r="UFX93" s="248" t="n"/>
      <c r="UFY93" s="240" t="n"/>
      <c r="UFZ93" s="240" t="n"/>
      <c r="UGB93" s="15" t="n"/>
      <c r="UGC93" s="15" t="n"/>
      <c r="UGD93" s="248" t="n"/>
      <c r="UGE93" s="248" t="n"/>
      <c r="UGF93" s="240" t="n"/>
      <c r="UGG93" s="240" t="n"/>
      <c r="UGI93" s="15" t="n"/>
      <c r="UGJ93" s="15" t="n"/>
      <c r="UGK93" s="248" t="n"/>
      <c r="UGL93" s="248" t="n"/>
      <c r="UGM93" s="240" t="n"/>
      <c r="UGN93" s="240" t="n"/>
      <c r="UGP93" s="15" t="n"/>
      <c r="UGQ93" s="15" t="n"/>
      <c r="UGR93" s="248" t="n"/>
      <c r="UGS93" s="248" t="n"/>
      <c r="UGT93" s="240" t="n"/>
      <c r="UGU93" s="240" t="n"/>
      <c r="UGW93" s="15" t="n"/>
      <c r="UGX93" s="15" t="n"/>
      <c r="UGY93" s="248" t="n"/>
      <c r="UGZ93" s="248" t="n"/>
      <c r="UHA93" s="240" t="n"/>
      <c r="UHB93" s="240" t="n"/>
      <c r="UHD93" s="15" t="n"/>
      <c r="UHE93" s="15" t="n"/>
      <c r="UHF93" s="248" t="n"/>
      <c r="UHG93" s="248" t="n"/>
      <c r="UHH93" s="240" t="n"/>
      <c r="UHI93" s="240" t="n"/>
      <c r="UHK93" s="15" t="n"/>
      <c r="UHL93" s="15" t="n"/>
      <c r="UHM93" s="248" t="n"/>
      <c r="UHN93" s="248" t="n"/>
      <c r="UHO93" s="240" t="n"/>
      <c r="UHP93" s="240" t="n"/>
      <c r="UHR93" s="15" t="n"/>
      <c r="UHS93" s="15" t="n"/>
      <c r="UHT93" s="248" t="n"/>
      <c r="UHU93" s="248" t="n"/>
      <c r="UHV93" s="240" t="n"/>
      <c r="UHW93" s="240" t="n"/>
      <c r="UHY93" s="15" t="n"/>
      <c r="UHZ93" s="15" t="n"/>
      <c r="UIA93" s="248" t="n"/>
      <c r="UIB93" s="248" t="n"/>
      <c r="UIC93" s="240" t="n"/>
      <c r="UID93" s="240" t="n"/>
      <c r="UIF93" s="15" t="n"/>
      <c r="UIG93" s="15" t="n"/>
      <c r="UIH93" s="248" t="n"/>
      <c r="UII93" s="248" t="n"/>
      <c r="UIJ93" s="240" t="n"/>
      <c r="UIK93" s="240" t="n"/>
      <c r="UIM93" s="15" t="n"/>
      <c r="UIN93" s="15" t="n"/>
      <c r="UIO93" s="248" t="n"/>
      <c r="UIP93" s="248" t="n"/>
      <c r="UIQ93" s="240" t="n"/>
      <c r="UIR93" s="240" t="n"/>
      <c r="UIT93" s="15" t="n"/>
      <c r="UIU93" s="15" t="n"/>
      <c r="UIV93" s="248" t="n"/>
      <c r="UIW93" s="248" t="n"/>
      <c r="UIX93" s="240" t="n"/>
      <c r="UIY93" s="240" t="n"/>
      <c r="UJA93" s="15" t="n"/>
      <c r="UJB93" s="15" t="n"/>
      <c r="UJC93" s="248" t="n"/>
      <c r="UJD93" s="248" t="n"/>
      <c r="UJE93" s="240" t="n"/>
      <c r="UJF93" s="240" t="n"/>
      <c r="UJH93" s="15" t="n"/>
      <c r="UJI93" s="15" t="n"/>
      <c r="UJJ93" s="248" t="n"/>
      <c r="UJK93" s="248" t="n"/>
      <c r="UJL93" s="240" t="n"/>
      <c r="UJM93" s="240" t="n"/>
      <c r="UJO93" s="15" t="n"/>
      <c r="UJP93" s="15" t="n"/>
      <c r="UJQ93" s="248" t="n"/>
      <c r="UJR93" s="248" t="n"/>
      <c r="UJS93" s="240" t="n"/>
      <c r="UJT93" s="240" t="n"/>
      <c r="UJV93" s="15" t="n"/>
      <c r="UJW93" s="15" t="n"/>
      <c r="UJX93" s="248" t="n"/>
      <c r="UJY93" s="248" t="n"/>
      <c r="UJZ93" s="240" t="n"/>
      <c r="UKA93" s="240" t="n"/>
      <c r="UKC93" s="15" t="n"/>
      <c r="UKD93" s="15" t="n"/>
      <c r="UKE93" s="248" t="n"/>
      <c r="UKF93" s="248" t="n"/>
      <c r="UKG93" s="240" t="n"/>
      <c r="UKH93" s="240" t="n"/>
      <c r="UKJ93" s="15" t="n"/>
      <c r="UKK93" s="15" t="n"/>
      <c r="UKL93" s="248" t="n"/>
      <c r="UKM93" s="248" t="n"/>
      <c r="UKN93" s="240" t="n"/>
      <c r="UKO93" s="240" t="n"/>
      <c r="UKQ93" s="15" t="n"/>
      <c r="UKR93" s="15" t="n"/>
      <c r="UKS93" s="248" t="n"/>
      <c r="UKT93" s="248" t="n"/>
      <c r="UKU93" s="240" t="n"/>
      <c r="UKV93" s="240" t="n"/>
      <c r="UKX93" s="15" t="n"/>
      <c r="UKY93" s="15" t="n"/>
      <c r="UKZ93" s="248" t="n"/>
      <c r="ULA93" s="248" t="n"/>
      <c r="ULB93" s="240" t="n"/>
      <c r="ULC93" s="240" t="n"/>
      <c r="ULE93" s="15" t="n"/>
      <c r="ULF93" s="15" t="n"/>
      <c r="ULG93" s="248" t="n"/>
      <c r="ULH93" s="248" t="n"/>
      <c r="ULI93" s="240" t="n"/>
      <c r="ULJ93" s="240" t="n"/>
      <c r="ULL93" s="15" t="n"/>
      <c r="ULM93" s="15" t="n"/>
      <c r="ULN93" s="248" t="n"/>
      <c r="ULO93" s="248" t="n"/>
      <c r="ULP93" s="240" t="n"/>
      <c r="ULQ93" s="240" t="n"/>
      <c r="ULS93" s="15" t="n"/>
      <c r="ULT93" s="15" t="n"/>
      <c r="ULU93" s="248" t="n"/>
      <c r="ULV93" s="248" t="n"/>
      <c r="ULW93" s="240" t="n"/>
      <c r="ULX93" s="240" t="n"/>
      <c r="ULZ93" s="15" t="n"/>
      <c r="UMA93" s="15" t="n"/>
      <c r="UMB93" s="248" t="n"/>
      <c r="UMC93" s="248" t="n"/>
      <c r="UMD93" s="240" t="n"/>
      <c r="UME93" s="240" t="n"/>
      <c r="UMG93" s="15" t="n"/>
      <c r="UMH93" s="15" t="n"/>
      <c r="UMI93" s="248" t="n"/>
      <c r="UMJ93" s="248" t="n"/>
      <c r="UMK93" s="240" t="n"/>
      <c r="UML93" s="240" t="n"/>
      <c r="UMN93" s="15" t="n"/>
      <c r="UMO93" s="15" t="n"/>
      <c r="UMP93" s="248" t="n"/>
      <c r="UMQ93" s="248" t="n"/>
      <c r="UMR93" s="240" t="n"/>
      <c r="UMS93" s="240" t="n"/>
      <c r="UMU93" s="15" t="n"/>
      <c r="UMV93" s="15" t="n"/>
      <c r="UMW93" s="248" t="n"/>
      <c r="UMX93" s="248" t="n"/>
      <c r="UMY93" s="240" t="n"/>
      <c r="UMZ93" s="240" t="n"/>
      <c r="UNB93" s="15" t="n"/>
      <c r="UNC93" s="15" t="n"/>
      <c r="UND93" s="248" t="n"/>
      <c r="UNE93" s="248" t="n"/>
      <c r="UNF93" s="240" t="n"/>
      <c r="UNG93" s="240" t="n"/>
      <c r="UNI93" s="15" t="n"/>
      <c r="UNJ93" s="15" t="n"/>
      <c r="UNK93" s="248" t="n"/>
      <c r="UNL93" s="248" t="n"/>
      <c r="UNM93" s="240" t="n"/>
      <c r="UNN93" s="240" t="n"/>
      <c r="UNP93" s="15" t="n"/>
      <c r="UNQ93" s="15" t="n"/>
      <c r="UNR93" s="248" t="n"/>
      <c r="UNS93" s="248" t="n"/>
      <c r="UNT93" s="240" t="n"/>
      <c r="UNU93" s="240" t="n"/>
      <c r="UNW93" s="15" t="n"/>
      <c r="UNX93" s="15" t="n"/>
      <c r="UNY93" s="248" t="n"/>
      <c r="UNZ93" s="248" t="n"/>
      <c r="UOA93" s="240" t="n"/>
      <c r="UOB93" s="240" t="n"/>
      <c r="UOD93" s="15" t="n"/>
      <c r="UOE93" s="15" t="n"/>
      <c r="UOF93" s="248" t="n"/>
      <c r="UOG93" s="248" t="n"/>
      <c r="UOH93" s="240" t="n"/>
      <c r="UOI93" s="240" t="n"/>
      <c r="UOK93" s="15" t="n"/>
      <c r="UOL93" s="15" t="n"/>
      <c r="UOM93" s="248" t="n"/>
      <c r="UON93" s="248" t="n"/>
      <c r="UOO93" s="240" t="n"/>
      <c r="UOP93" s="240" t="n"/>
      <c r="UOR93" s="15" t="n"/>
      <c r="UOS93" s="15" t="n"/>
      <c r="UOT93" s="248" t="n"/>
      <c r="UOU93" s="248" t="n"/>
      <c r="UOV93" s="240" t="n"/>
      <c r="UOW93" s="240" t="n"/>
      <c r="UOY93" s="15" t="n"/>
      <c r="UOZ93" s="15" t="n"/>
      <c r="UPA93" s="248" t="n"/>
      <c r="UPB93" s="248" t="n"/>
      <c r="UPC93" s="240" t="n"/>
      <c r="UPD93" s="240" t="n"/>
      <c r="UPF93" s="15" t="n"/>
      <c r="UPG93" s="15" t="n"/>
      <c r="UPH93" s="248" t="n"/>
      <c r="UPI93" s="248" t="n"/>
      <c r="UPJ93" s="240" t="n"/>
      <c r="UPK93" s="240" t="n"/>
      <c r="UPM93" s="15" t="n"/>
      <c r="UPN93" s="15" t="n"/>
      <c r="UPO93" s="248" t="n"/>
      <c r="UPP93" s="248" t="n"/>
      <c r="UPQ93" s="240" t="n"/>
      <c r="UPR93" s="240" t="n"/>
      <c r="UPT93" s="15" t="n"/>
      <c r="UPU93" s="15" t="n"/>
      <c r="UPV93" s="248" t="n"/>
      <c r="UPW93" s="248" t="n"/>
      <c r="UPX93" s="240" t="n"/>
      <c r="UPY93" s="240" t="n"/>
      <c r="UQA93" s="15" t="n"/>
      <c r="UQB93" s="15" t="n"/>
      <c r="UQC93" s="248" t="n"/>
      <c r="UQD93" s="248" t="n"/>
      <c r="UQE93" s="240" t="n"/>
      <c r="UQF93" s="240" t="n"/>
      <c r="UQH93" s="15" t="n"/>
      <c r="UQI93" s="15" t="n"/>
      <c r="UQJ93" s="248" t="n"/>
      <c r="UQK93" s="248" t="n"/>
      <c r="UQL93" s="240" t="n"/>
      <c r="UQM93" s="240" t="n"/>
      <c r="UQO93" s="15" t="n"/>
      <c r="UQP93" s="15" t="n"/>
      <c r="UQQ93" s="248" t="n"/>
      <c r="UQR93" s="248" t="n"/>
      <c r="UQS93" s="240" t="n"/>
      <c r="UQT93" s="240" t="n"/>
      <c r="UQV93" s="15" t="n"/>
      <c r="UQW93" s="15" t="n"/>
      <c r="UQX93" s="248" t="n"/>
      <c r="UQY93" s="248" t="n"/>
      <c r="UQZ93" s="240" t="n"/>
      <c r="URA93" s="240" t="n"/>
      <c r="URC93" s="15" t="n"/>
      <c r="URD93" s="15" t="n"/>
      <c r="URE93" s="248" t="n"/>
      <c r="URF93" s="248" t="n"/>
      <c r="URG93" s="240" t="n"/>
      <c r="URH93" s="240" t="n"/>
      <c r="URJ93" s="15" t="n"/>
      <c r="URK93" s="15" t="n"/>
      <c r="URL93" s="248" t="n"/>
      <c r="URM93" s="248" t="n"/>
      <c r="URN93" s="240" t="n"/>
      <c r="URO93" s="240" t="n"/>
      <c r="URQ93" s="15" t="n"/>
      <c r="URR93" s="15" t="n"/>
      <c r="URS93" s="248" t="n"/>
      <c r="URT93" s="248" t="n"/>
      <c r="URU93" s="240" t="n"/>
      <c r="URV93" s="240" t="n"/>
      <c r="URX93" s="15" t="n"/>
      <c r="URY93" s="15" t="n"/>
      <c r="URZ93" s="248" t="n"/>
      <c r="USA93" s="248" t="n"/>
      <c r="USB93" s="240" t="n"/>
      <c r="USC93" s="240" t="n"/>
      <c r="USE93" s="15" t="n"/>
      <c r="USF93" s="15" t="n"/>
      <c r="USG93" s="248" t="n"/>
      <c r="USH93" s="248" t="n"/>
      <c r="USI93" s="240" t="n"/>
      <c r="USJ93" s="240" t="n"/>
      <c r="USL93" s="15" t="n"/>
      <c r="USM93" s="15" t="n"/>
      <c r="USN93" s="248" t="n"/>
      <c r="USO93" s="248" t="n"/>
      <c r="USP93" s="240" t="n"/>
      <c r="USQ93" s="240" t="n"/>
      <c r="USS93" s="15" t="n"/>
      <c r="UST93" s="15" t="n"/>
      <c r="USU93" s="248" t="n"/>
      <c r="USV93" s="248" t="n"/>
      <c r="USW93" s="240" t="n"/>
      <c r="USX93" s="240" t="n"/>
      <c r="USZ93" s="15" t="n"/>
      <c r="UTA93" s="15" t="n"/>
      <c r="UTB93" s="248" t="n"/>
      <c r="UTC93" s="248" t="n"/>
      <c r="UTD93" s="240" t="n"/>
      <c r="UTE93" s="240" t="n"/>
      <c r="UTG93" s="15" t="n"/>
      <c r="UTH93" s="15" t="n"/>
      <c r="UTI93" s="248" t="n"/>
      <c r="UTJ93" s="248" t="n"/>
      <c r="UTK93" s="240" t="n"/>
      <c r="UTL93" s="240" t="n"/>
      <c r="UTN93" s="15" t="n"/>
      <c r="UTO93" s="15" t="n"/>
      <c r="UTP93" s="248" t="n"/>
      <c r="UTQ93" s="248" t="n"/>
      <c r="UTR93" s="240" t="n"/>
      <c r="UTS93" s="240" t="n"/>
      <c r="UTU93" s="15" t="n"/>
      <c r="UTV93" s="15" t="n"/>
      <c r="UTW93" s="248" t="n"/>
      <c r="UTX93" s="248" t="n"/>
      <c r="UTY93" s="240" t="n"/>
      <c r="UTZ93" s="240" t="n"/>
      <c r="UUB93" s="15" t="n"/>
      <c r="UUC93" s="15" t="n"/>
      <c r="UUD93" s="248" t="n"/>
      <c r="UUE93" s="248" t="n"/>
      <c r="UUF93" s="240" t="n"/>
      <c r="UUG93" s="240" t="n"/>
      <c r="UUI93" s="15" t="n"/>
      <c r="UUJ93" s="15" t="n"/>
      <c r="UUK93" s="248" t="n"/>
      <c r="UUL93" s="248" t="n"/>
      <c r="UUM93" s="240" t="n"/>
      <c r="UUN93" s="240" t="n"/>
      <c r="UUP93" s="15" t="n"/>
      <c r="UUQ93" s="15" t="n"/>
      <c r="UUR93" s="248" t="n"/>
      <c r="UUS93" s="248" t="n"/>
      <c r="UUT93" s="240" t="n"/>
      <c r="UUU93" s="240" t="n"/>
      <c r="UUW93" s="15" t="n"/>
      <c r="UUX93" s="15" t="n"/>
      <c r="UUY93" s="248" t="n"/>
      <c r="UUZ93" s="248" t="n"/>
      <c r="UVA93" s="240" t="n"/>
      <c r="UVB93" s="240" t="n"/>
      <c r="UVD93" s="15" t="n"/>
      <c r="UVE93" s="15" t="n"/>
      <c r="UVF93" s="248" t="n"/>
      <c r="UVG93" s="248" t="n"/>
      <c r="UVH93" s="240" t="n"/>
      <c r="UVI93" s="240" t="n"/>
      <c r="UVK93" s="15" t="n"/>
      <c r="UVL93" s="15" t="n"/>
      <c r="UVM93" s="248" t="n"/>
      <c r="UVN93" s="248" t="n"/>
      <c r="UVO93" s="240" t="n"/>
      <c r="UVP93" s="240" t="n"/>
      <c r="UVR93" s="15" t="n"/>
      <c r="UVS93" s="15" t="n"/>
      <c r="UVT93" s="248" t="n"/>
      <c r="UVU93" s="248" t="n"/>
      <c r="UVV93" s="240" t="n"/>
      <c r="UVW93" s="240" t="n"/>
      <c r="UVY93" s="15" t="n"/>
      <c r="UVZ93" s="15" t="n"/>
      <c r="UWA93" s="248" t="n"/>
      <c r="UWB93" s="248" t="n"/>
      <c r="UWC93" s="240" t="n"/>
      <c r="UWD93" s="240" t="n"/>
      <c r="UWF93" s="15" t="n"/>
      <c r="UWG93" s="15" t="n"/>
      <c r="UWH93" s="248" t="n"/>
      <c r="UWI93" s="248" t="n"/>
      <c r="UWJ93" s="240" t="n"/>
      <c r="UWK93" s="240" t="n"/>
      <c r="UWM93" s="15" t="n"/>
      <c r="UWN93" s="15" t="n"/>
      <c r="UWO93" s="248" t="n"/>
      <c r="UWP93" s="248" t="n"/>
      <c r="UWQ93" s="240" t="n"/>
      <c r="UWR93" s="240" t="n"/>
      <c r="UWT93" s="15" t="n"/>
      <c r="UWU93" s="15" t="n"/>
      <c r="UWV93" s="248" t="n"/>
      <c r="UWW93" s="248" t="n"/>
      <c r="UWX93" s="240" t="n"/>
      <c r="UWY93" s="240" t="n"/>
      <c r="UXA93" s="15" t="n"/>
      <c r="UXB93" s="15" t="n"/>
      <c r="UXC93" s="248" t="n"/>
      <c r="UXD93" s="248" t="n"/>
      <c r="UXE93" s="240" t="n"/>
      <c r="UXF93" s="240" t="n"/>
      <c r="UXH93" s="15" t="n"/>
      <c r="UXI93" s="15" t="n"/>
      <c r="UXJ93" s="248" t="n"/>
      <c r="UXK93" s="248" t="n"/>
      <c r="UXL93" s="240" t="n"/>
      <c r="UXM93" s="240" t="n"/>
      <c r="UXO93" s="15" t="n"/>
      <c r="UXP93" s="15" t="n"/>
      <c r="UXQ93" s="248" t="n"/>
      <c r="UXR93" s="248" t="n"/>
      <c r="UXS93" s="240" t="n"/>
      <c r="UXT93" s="240" t="n"/>
      <c r="UXV93" s="15" t="n"/>
      <c r="UXW93" s="15" t="n"/>
      <c r="UXX93" s="248" t="n"/>
      <c r="UXY93" s="248" t="n"/>
      <c r="UXZ93" s="240" t="n"/>
      <c r="UYA93" s="240" t="n"/>
      <c r="UYC93" s="15" t="n"/>
      <c r="UYD93" s="15" t="n"/>
      <c r="UYE93" s="248" t="n"/>
      <c r="UYF93" s="248" t="n"/>
      <c r="UYG93" s="240" t="n"/>
      <c r="UYH93" s="240" t="n"/>
      <c r="UYJ93" s="15" t="n"/>
      <c r="UYK93" s="15" t="n"/>
      <c r="UYL93" s="248" t="n"/>
      <c r="UYM93" s="248" t="n"/>
      <c r="UYN93" s="240" t="n"/>
      <c r="UYO93" s="240" t="n"/>
      <c r="UYQ93" s="15" t="n"/>
      <c r="UYR93" s="15" t="n"/>
      <c r="UYS93" s="248" t="n"/>
      <c r="UYT93" s="248" t="n"/>
      <c r="UYU93" s="240" t="n"/>
      <c r="UYV93" s="240" t="n"/>
      <c r="UYX93" s="15" t="n"/>
      <c r="UYY93" s="15" t="n"/>
      <c r="UYZ93" s="248" t="n"/>
      <c r="UZA93" s="248" t="n"/>
      <c r="UZB93" s="240" t="n"/>
      <c r="UZC93" s="240" t="n"/>
      <c r="UZE93" s="15" t="n"/>
      <c r="UZF93" s="15" t="n"/>
      <c r="UZG93" s="248" t="n"/>
      <c r="UZH93" s="248" t="n"/>
      <c r="UZI93" s="240" t="n"/>
      <c r="UZJ93" s="240" t="n"/>
      <c r="UZL93" s="15" t="n"/>
      <c r="UZM93" s="15" t="n"/>
      <c r="UZN93" s="248" t="n"/>
      <c r="UZO93" s="248" t="n"/>
      <c r="UZP93" s="240" t="n"/>
      <c r="UZQ93" s="240" t="n"/>
      <c r="UZS93" s="15" t="n"/>
      <c r="UZT93" s="15" t="n"/>
      <c r="UZU93" s="248" t="n"/>
      <c r="UZV93" s="248" t="n"/>
      <c r="UZW93" s="240" t="n"/>
      <c r="UZX93" s="240" t="n"/>
      <c r="UZZ93" s="15" t="n"/>
      <c r="VAA93" s="15" t="n"/>
      <c r="VAB93" s="248" t="n"/>
      <c r="VAC93" s="248" t="n"/>
      <c r="VAD93" s="240" t="n"/>
      <c r="VAE93" s="240" t="n"/>
      <c r="VAG93" s="15" t="n"/>
      <c r="VAH93" s="15" t="n"/>
      <c r="VAI93" s="248" t="n"/>
      <c r="VAJ93" s="248" t="n"/>
      <c r="VAK93" s="240" t="n"/>
      <c r="VAL93" s="240" t="n"/>
      <c r="VAN93" s="15" t="n"/>
      <c r="VAO93" s="15" t="n"/>
      <c r="VAP93" s="248" t="n"/>
      <c r="VAQ93" s="248" t="n"/>
      <c r="VAR93" s="240" t="n"/>
      <c r="VAS93" s="240" t="n"/>
      <c r="VAU93" s="15" t="n"/>
      <c r="VAV93" s="15" t="n"/>
      <c r="VAW93" s="248" t="n"/>
      <c r="VAX93" s="248" t="n"/>
      <c r="VAY93" s="240" t="n"/>
      <c r="VAZ93" s="240" t="n"/>
      <c r="VBB93" s="15" t="n"/>
      <c r="VBC93" s="15" t="n"/>
      <c r="VBD93" s="248" t="n"/>
      <c r="VBE93" s="248" t="n"/>
      <c r="VBF93" s="240" t="n"/>
      <c r="VBG93" s="240" t="n"/>
      <c r="VBI93" s="15" t="n"/>
      <c r="VBJ93" s="15" t="n"/>
      <c r="VBK93" s="248" t="n"/>
      <c r="VBL93" s="248" t="n"/>
      <c r="VBM93" s="240" t="n"/>
      <c r="VBN93" s="240" t="n"/>
      <c r="VBP93" s="15" t="n"/>
      <c r="VBQ93" s="15" t="n"/>
      <c r="VBR93" s="248" t="n"/>
      <c r="VBS93" s="248" t="n"/>
      <c r="VBT93" s="240" t="n"/>
      <c r="VBU93" s="240" t="n"/>
      <c r="VBW93" s="15" t="n"/>
      <c r="VBX93" s="15" t="n"/>
      <c r="VBY93" s="248" t="n"/>
      <c r="VBZ93" s="248" t="n"/>
      <c r="VCA93" s="240" t="n"/>
      <c r="VCB93" s="240" t="n"/>
      <c r="VCD93" s="15" t="n"/>
      <c r="VCE93" s="15" t="n"/>
      <c r="VCF93" s="248" t="n"/>
      <c r="VCG93" s="248" t="n"/>
      <c r="VCH93" s="240" t="n"/>
      <c r="VCI93" s="240" t="n"/>
      <c r="VCK93" s="15" t="n"/>
      <c r="VCL93" s="15" t="n"/>
      <c r="VCM93" s="248" t="n"/>
      <c r="VCN93" s="248" t="n"/>
      <c r="VCO93" s="240" t="n"/>
      <c r="VCP93" s="240" t="n"/>
      <c r="VCR93" s="15" t="n"/>
      <c r="VCS93" s="15" t="n"/>
      <c r="VCT93" s="248" t="n"/>
      <c r="VCU93" s="248" t="n"/>
      <c r="VCV93" s="240" t="n"/>
      <c r="VCW93" s="240" t="n"/>
      <c r="VCY93" s="15" t="n"/>
      <c r="VCZ93" s="15" t="n"/>
      <c r="VDA93" s="248" t="n"/>
      <c r="VDB93" s="248" t="n"/>
      <c r="VDC93" s="240" t="n"/>
      <c r="VDD93" s="240" t="n"/>
      <c r="VDF93" s="15" t="n"/>
      <c r="VDG93" s="15" t="n"/>
      <c r="VDH93" s="248" t="n"/>
      <c r="VDI93" s="248" t="n"/>
      <c r="VDJ93" s="240" t="n"/>
      <c r="VDK93" s="240" t="n"/>
      <c r="VDM93" s="15" t="n"/>
      <c r="VDN93" s="15" t="n"/>
      <c r="VDO93" s="248" t="n"/>
      <c r="VDP93" s="248" t="n"/>
      <c r="VDQ93" s="240" t="n"/>
      <c r="VDR93" s="240" t="n"/>
      <c r="VDT93" s="15" t="n"/>
      <c r="VDU93" s="15" t="n"/>
      <c r="VDV93" s="248" t="n"/>
      <c r="VDW93" s="248" t="n"/>
      <c r="VDX93" s="240" t="n"/>
      <c r="VDY93" s="240" t="n"/>
      <c r="VEA93" s="15" t="n"/>
      <c r="VEB93" s="15" t="n"/>
      <c r="VEC93" s="248" t="n"/>
      <c r="VED93" s="248" t="n"/>
      <c r="VEE93" s="240" t="n"/>
      <c r="VEF93" s="240" t="n"/>
      <c r="VEH93" s="15" t="n"/>
      <c r="VEI93" s="15" t="n"/>
      <c r="VEJ93" s="248" t="n"/>
      <c r="VEK93" s="248" t="n"/>
      <c r="VEL93" s="240" t="n"/>
      <c r="VEM93" s="240" t="n"/>
      <c r="VEO93" s="15" t="n"/>
      <c r="VEP93" s="15" t="n"/>
      <c r="VEQ93" s="248" t="n"/>
      <c r="VER93" s="248" t="n"/>
      <c r="VES93" s="240" t="n"/>
      <c r="VET93" s="240" t="n"/>
      <c r="VEV93" s="15" t="n"/>
      <c r="VEW93" s="15" t="n"/>
      <c r="VEX93" s="248" t="n"/>
      <c r="VEY93" s="248" t="n"/>
      <c r="VEZ93" s="240" t="n"/>
      <c r="VFA93" s="240" t="n"/>
      <c r="VFC93" s="15" t="n"/>
      <c r="VFD93" s="15" t="n"/>
      <c r="VFE93" s="248" t="n"/>
      <c r="VFF93" s="248" t="n"/>
      <c r="VFG93" s="240" t="n"/>
      <c r="VFH93" s="240" t="n"/>
      <c r="VFJ93" s="15" t="n"/>
      <c r="VFK93" s="15" t="n"/>
      <c r="VFL93" s="248" t="n"/>
      <c r="VFM93" s="248" t="n"/>
      <c r="VFN93" s="240" t="n"/>
      <c r="VFO93" s="240" t="n"/>
      <c r="VFQ93" s="15" t="n"/>
      <c r="VFR93" s="15" t="n"/>
      <c r="VFS93" s="248" t="n"/>
      <c r="VFT93" s="248" t="n"/>
      <c r="VFU93" s="240" t="n"/>
      <c r="VFV93" s="240" t="n"/>
      <c r="VFX93" s="15" t="n"/>
      <c r="VFY93" s="15" t="n"/>
      <c r="VFZ93" s="248" t="n"/>
      <c r="VGA93" s="248" t="n"/>
      <c r="VGB93" s="240" t="n"/>
      <c r="VGC93" s="240" t="n"/>
      <c r="VGE93" s="15" t="n"/>
      <c r="VGF93" s="15" t="n"/>
      <c r="VGG93" s="248" t="n"/>
      <c r="VGH93" s="248" t="n"/>
      <c r="VGI93" s="240" t="n"/>
      <c r="VGJ93" s="240" t="n"/>
      <c r="VGL93" s="15" t="n"/>
      <c r="VGM93" s="15" t="n"/>
      <c r="VGN93" s="248" t="n"/>
      <c r="VGO93" s="248" t="n"/>
      <c r="VGP93" s="240" t="n"/>
      <c r="VGQ93" s="240" t="n"/>
      <c r="VGS93" s="15" t="n"/>
      <c r="VGT93" s="15" t="n"/>
      <c r="VGU93" s="248" t="n"/>
      <c r="VGV93" s="248" t="n"/>
      <c r="VGW93" s="240" t="n"/>
      <c r="VGX93" s="240" t="n"/>
      <c r="VGZ93" s="15" t="n"/>
      <c r="VHA93" s="15" t="n"/>
      <c r="VHB93" s="248" t="n"/>
      <c r="VHC93" s="248" t="n"/>
      <c r="VHD93" s="240" t="n"/>
      <c r="VHE93" s="240" t="n"/>
      <c r="VHG93" s="15" t="n"/>
      <c r="VHH93" s="15" t="n"/>
      <c r="VHI93" s="248" t="n"/>
      <c r="VHJ93" s="248" t="n"/>
      <c r="VHK93" s="240" t="n"/>
      <c r="VHL93" s="240" t="n"/>
      <c r="VHN93" s="15" t="n"/>
      <c r="VHO93" s="15" t="n"/>
      <c r="VHP93" s="248" t="n"/>
      <c r="VHQ93" s="248" t="n"/>
      <c r="VHR93" s="240" t="n"/>
      <c r="VHS93" s="240" t="n"/>
      <c r="VHU93" s="15" t="n"/>
      <c r="VHV93" s="15" t="n"/>
      <c r="VHW93" s="248" t="n"/>
      <c r="VHX93" s="248" t="n"/>
      <c r="VHY93" s="240" t="n"/>
      <c r="VHZ93" s="240" t="n"/>
      <c r="VIB93" s="15" t="n"/>
      <c r="VIC93" s="15" t="n"/>
      <c r="VID93" s="248" t="n"/>
      <c r="VIE93" s="248" t="n"/>
      <c r="VIF93" s="240" t="n"/>
      <c r="VIG93" s="240" t="n"/>
      <c r="VII93" s="15" t="n"/>
      <c r="VIJ93" s="15" t="n"/>
      <c r="VIK93" s="248" t="n"/>
      <c r="VIL93" s="248" t="n"/>
      <c r="VIM93" s="240" t="n"/>
      <c r="VIN93" s="240" t="n"/>
      <c r="VIP93" s="15" t="n"/>
      <c r="VIQ93" s="15" t="n"/>
      <c r="VIR93" s="248" t="n"/>
      <c r="VIS93" s="248" t="n"/>
      <c r="VIT93" s="240" t="n"/>
      <c r="VIU93" s="240" t="n"/>
      <c r="VIW93" s="15" t="n"/>
      <c r="VIX93" s="15" t="n"/>
      <c r="VIY93" s="248" t="n"/>
      <c r="VIZ93" s="248" t="n"/>
      <c r="VJA93" s="240" t="n"/>
      <c r="VJB93" s="240" t="n"/>
      <c r="VJD93" s="15" t="n"/>
      <c r="VJE93" s="15" t="n"/>
      <c r="VJF93" s="248" t="n"/>
      <c r="VJG93" s="248" t="n"/>
      <c r="VJH93" s="240" t="n"/>
      <c r="VJI93" s="240" t="n"/>
      <c r="VJK93" s="15" t="n"/>
      <c r="VJL93" s="15" t="n"/>
      <c r="VJM93" s="248" t="n"/>
      <c r="VJN93" s="248" t="n"/>
      <c r="VJO93" s="240" t="n"/>
      <c r="VJP93" s="240" t="n"/>
      <c r="VJR93" s="15" t="n"/>
      <c r="VJS93" s="15" t="n"/>
      <c r="VJT93" s="248" t="n"/>
      <c r="VJU93" s="248" t="n"/>
      <c r="VJV93" s="240" t="n"/>
      <c r="VJW93" s="240" t="n"/>
      <c r="VJY93" s="15" t="n"/>
      <c r="VJZ93" s="15" t="n"/>
      <c r="VKA93" s="248" t="n"/>
      <c r="VKB93" s="248" t="n"/>
      <c r="VKC93" s="240" t="n"/>
      <c r="VKD93" s="240" t="n"/>
      <c r="VKF93" s="15" t="n"/>
      <c r="VKG93" s="15" t="n"/>
      <c r="VKH93" s="248" t="n"/>
      <c r="VKI93" s="248" t="n"/>
      <c r="VKJ93" s="240" t="n"/>
      <c r="VKK93" s="240" t="n"/>
      <c r="VKM93" s="15" t="n"/>
      <c r="VKN93" s="15" t="n"/>
      <c r="VKO93" s="248" t="n"/>
      <c r="VKP93" s="248" t="n"/>
      <c r="VKQ93" s="240" t="n"/>
      <c r="VKR93" s="240" t="n"/>
      <c r="VKT93" s="15" t="n"/>
      <c r="VKU93" s="15" t="n"/>
      <c r="VKV93" s="248" t="n"/>
      <c r="VKW93" s="248" t="n"/>
      <c r="VKX93" s="240" t="n"/>
      <c r="VKY93" s="240" t="n"/>
      <c r="VLA93" s="15" t="n"/>
      <c r="VLB93" s="15" t="n"/>
      <c r="VLC93" s="248" t="n"/>
      <c r="VLD93" s="248" t="n"/>
      <c r="VLE93" s="240" t="n"/>
      <c r="VLF93" s="240" t="n"/>
      <c r="VLH93" s="15" t="n"/>
      <c r="VLI93" s="15" t="n"/>
      <c r="VLJ93" s="248" t="n"/>
      <c r="VLK93" s="248" t="n"/>
      <c r="VLL93" s="240" t="n"/>
      <c r="VLM93" s="240" t="n"/>
      <c r="VLO93" s="15" t="n"/>
      <c r="VLP93" s="15" t="n"/>
      <c r="VLQ93" s="248" t="n"/>
      <c r="VLR93" s="248" t="n"/>
      <c r="VLS93" s="240" t="n"/>
      <c r="VLT93" s="240" t="n"/>
      <c r="VLV93" s="15" t="n"/>
      <c r="VLW93" s="15" t="n"/>
      <c r="VLX93" s="248" t="n"/>
      <c r="VLY93" s="248" t="n"/>
      <c r="VLZ93" s="240" t="n"/>
      <c r="VMA93" s="240" t="n"/>
      <c r="VMC93" s="15" t="n"/>
      <c r="VMD93" s="15" t="n"/>
      <c r="VME93" s="248" t="n"/>
      <c r="VMF93" s="248" t="n"/>
      <c r="VMG93" s="240" t="n"/>
      <c r="VMH93" s="240" t="n"/>
      <c r="VMJ93" s="15" t="n"/>
      <c r="VMK93" s="15" t="n"/>
      <c r="VML93" s="248" t="n"/>
      <c r="VMM93" s="248" t="n"/>
      <c r="VMN93" s="240" t="n"/>
      <c r="VMO93" s="240" t="n"/>
      <c r="VMQ93" s="15" t="n"/>
      <c r="VMR93" s="15" t="n"/>
      <c r="VMS93" s="248" t="n"/>
      <c r="VMT93" s="248" t="n"/>
      <c r="VMU93" s="240" t="n"/>
      <c r="VMV93" s="240" t="n"/>
      <c r="VMX93" s="15" t="n"/>
      <c r="VMY93" s="15" t="n"/>
      <c r="VMZ93" s="248" t="n"/>
      <c r="VNA93" s="248" t="n"/>
      <c r="VNB93" s="240" t="n"/>
      <c r="VNC93" s="240" t="n"/>
      <c r="VNE93" s="15" t="n"/>
      <c r="VNF93" s="15" t="n"/>
      <c r="VNG93" s="248" t="n"/>
      <c r="VNH93" s="248" t="n"/>
      <c r="VNI93" s="240" t="n"/>
      <c r="VNJ93" s="240" t="n"/>
      <c r="VNL93" s="15" t="n"/>
      <c r="VNM93" s="15" t="n"/>
      <c r="VNN93" s="248" t="n"/>
      <c r="VNO93" s="248" t="n"/>
      <c r="VNP93" s="240" t="n"/>
      <c r="VNQ93" s="240" t="n"/>
      <c r="VNS93" s="15" t="n"/>
      <c r="VNT93" s="15" t="n"/>
      <c r="VNU93" s="248" t="n"/>
      <c r="VNV93" s="248" t="n"/>
      <c r="VNW93" s="240" t="n"/>
      <c r="VNX93" s="240" t="n"/>
      <c r="VNZ93" s="15" t="n"/>
      <c r="VOA93" s="15" t="n"/>
      <c r="VOB93" s="248" t="n"/>
      <c r="VOC93" s="248" t="n"/>
      <c r="VOD93" s="240" t="n"/>
      <c r="VOE93" s="240" t="n"/>
      <c r="VOG93" s="15" t="n"/>
      <c r="VOH93" s="15" t="n"/>
      <c r="VOI93" s="248" t="n"/>
      <c r="VOJ93" s="248" t="n"/>
      <c r="VOK93" s="240" t="n"/>
      <c r="VOL93" s="240" t="n"/>
      <c r="VON93" s="15" t="n"/>
      <c r="VOO93" s="15" t="n"/>
      <c r="VOP93" s="248" t="n"/>
      <c r="VOQ93" s="248" t="n"/>
      <c r="VOR93" s="240" t="n"/>
      <c r="VOS93" s="240" t="n"/>
      <c r="VOU93" s="15" t="n"/>
      <c r="VOV93" s="15" t="n"/>
      <c r="VOW93" s="248" t="n"/>
      <c r="VOX93" s="248" t="n"/>
      <c r="VOY93" s="240" t="n"/>
      <c r="VOZ93" s="240" t="n"/>
      <c r="VPB93" s="15" t="n"/>
      <c r="VPC93" s="15" t="n"/>
      <c r="VPD93" s="248" t="n"/>
      <c r="VPE93" s="248" t="n"/>
      <c r="VPF93" s="240" t="n"/>
      <c r="VPG93" s="240" t="n"/>
      <c r="VPI93" s="15" t="n"/>
      <c r="VPJ93" s="15" t="n"/>
      <c r="VPK93" s="248" t="n"/>
      <c r="VPL93" s="248" t="n"/>
      <c r="VPM93" s="240" t="n"/>
      <c r="VPN93" s="240" t="n"/>
      <c r="VPP93" s="15" t="n"/>
      <c r="VPQ93" s="15" t="n"/>
      <c r="VPR93" s="248" t="n"/>
      <c r="VPS93" s="248" t="n"/>
      <c r="VPT93" s="240" t="n"/>
      <c r="VPU93" s="240" t="n"/>
      <c r="VPW93" s="15" t="n"/>
      <c r="VPX93" s="15" t="n"/>
      <c r="VPY93" s="248" t="n"/>
      <c r="VPZ93" s="248" t="n"/>
      <c r="VQA93" s="240" t="n"/>
      <c r="VQB93" s="240" t="n"/>
      <c r="VQD93" s="15" t="n"/>
      <c r="VQE93" s="15" t="n"/>
      <c r="VQF93" s="248" t="n"/>
      <c r="VQG93" s="248" t="n"/>
      <c r="VQH93" s="240" t="n"/>
      <c r="VQI93" s="240" t="n"/>
      <c r="VQK93" s="15" t="n"/>
      <c r="VQL93" s="15" t="n"/>
      <c r="VQM93" s="248" t="n"/>
      <c r="VQN93" s="248" t="n"/>
      <c r="VQO93" s="240" t="n"/>
      <c r="VQP93" s="240" t="n"/>
      <c r="VQR93" s="15" t="n"/>
      <c r="VQS93" s="15" t="n"/>
      <c r="VQT93" s="248" t="n"/>
      <c r="VQU93" s="248" t="n"/>
      <c r="VQV93" s="240" t="n"/>
      <c r="VQW93" s="240" t="n"/>
      <c r="VQY93" s="15" t="n"/>
      <c r="VQZ93" s="15" t="n"/>
      <c r="VRA93" s="248" t="n"/>
      <c r="VRB93" s="248" t="n"/>
      <c r="VRC93" s="240" t="n"/>
      <c r="VRD93" s="240" t="n"/>
      <c r="VRF93" s="15" t="n"/>
      <c r="VRG93" s="15" t="n"/>
      <c r="VRH93" s="248" t="n"/>
      <c r="VRI93" s="248" t="n"/>
      <c r="VRJ93" s="240" t="n"/>
      <c r="VRK93" s="240" t="n"/>
      <c r="VRM93" s="15" t="n"/>
      <c r="VRN93" s="15" t="n"/>
      <c r="VRO93" s="248" t="n"/>
      <c r="VRP93" s="248" t="n"/>
      <c r="VRQ93" s="240" t="n"/>
      <c r="VRR93" s="240" t="n"/>
      <c r="VRT93" s="15" t="n"/>
      <c r="VRU93" s="15" t="n"/>
      <c r="VRV93" s="248" t="n"/>
      <c r="VRW93" s="248" t="n"/>
      <c r="VRX93" s="240" t="n"/>
      <c r="VRY93" s="240" t="n"/>
      <c r="VSA93" s="15" t="n"/>
      <c r="VSB93" s="15" t="n"/>
      <c r="VSC93" s="248" t="n"/>
      <c r="VSD93" s="248" t="n"/>
      <c r="VSE93" s="240" t="n"/>
      <c r="VSF93" s="240" t="n"/>
      <c r="VSH93" s="15" t="n"/>
      <c r="VSI93" s="15" t="n"/>
      <c r="VSJ93" s="248" t="n"/>
      <c r="VSK93" s="248" t="n"/>
      <c r="VSL93" s="240" t="n"/>
      <c r="VSM93" s="240" t="n"/>
      <c r="VSO93" s="15" t="n"/>
      <c r="VSP93" s="15" t="n"/>
      <c r="VSQ93" s="248" t="n"/>
      <c r="VSR93" s="248" t="n"/>
      <c r="VSS93" s="240" t="n"/>
      <c r="VST93" s="240" t="n"/>
      <c r="VSV93" s="15" t="n"/>
      <c r="VSW93" s="15" t="n"/>
      <c r="VSX93" s="248" t="n"/>
      <c r="VSY93" s="248" t="n"/>
      <c r="VSZ93" s="240" t="n"/>
      <c r="VTA93" s="240" t="n"/>
      <c r="VTC93" s="15" t="n"/>
      <c r="VTD93" s="15" t="n"/>
      <c r="VTE93" s="248" t="n"/>
      <c r="VTF93" s="248" t="n"/>
      <c r="VTG93" s="240" t="n"/>
      <c r="VTH93" s="240" t="n"/>
      <c r="VTJ93" s="15" t="n"/>
      <c r="VTK93" s="15" t="n"/>
      <c r="VTL93" s="248" t="n"/>
      <c r="VTM93" s="248" t="n"/>
      <c r="VTN93" s="240" t="n"/>
      <c r="VTO93" s="240" t="n"/>
      <c r="VTQ93" s="15" t="n"/>
      <c r="VTR93" s="15" t="n"/>
      <c r="VTS93" s="248" t="n"/>
      <c r="VTT93" s="248" t="n"/>
      <c r="VTU93" s="240" t="n"/>
      <c r="VTV93" s="240" t="n"/>
      <c r="VTX93" s="15" t="n"/>
      <c r="VTY93" s="15" t="n"/>
      <c r="VTZ93" s="248" t="n"/>
      <c r="VUA93" s="248" t="n"/>
      <c r="VUB93" s="240" t="n"/>
      <c r="VUC93" s="240" t="n"/>
      <c r="VUE93" s="15" t="n"/>
      <c r="VUF93" s="15" t="n"/>
      <c r="VUG93" s="248" t="n"/>
      <c r="VUH93" s="248" t="n"/>
      <c r="VUI93" s="240" t="n"/>
      <c r="VUJ93" s="240" t="n"/>
      <c r="VUL93" s="15" t="n"/>
      <c r="VUM93" s="15" t="n"/>
      <c r="VUN93" s="248" t="n"/>
      <c r="VUO93" s="248" t="n"/>
      <c r="VUP93" s="240" t="n"/>
      <c r="VUQ93" s="240" t="n"/>
      <c r="VUS93" s="15" t="n"/>
      <c r="VUT93" s="15" t="n"/>
      <c r="VUU93" s="248" t="n"/>
      <c r="VUV93" s="248" t="n"/>
      <c r="VUW93" s="240" t="n"/>
      <c r="VUX93" s="240" t="n"/>
      <c r="VUZ93" s="15" t="n"/>
      <c r="VVA93" s="15" t="n"/>
      <c r="VVB93" s="248" t="n"/>
      <c r="VVC93" s="248" t="n"/>
      <c r="VVD93" s="240" t="n"/>
      <c r="VVE93" s="240" t="n"/>
      <c r="VVG93" s="15" t="n"/>
      <c r="VVH93" s="15" t="n"/>
      <c r="VVI93" s="248" t="n"/>
      <c r="VVJ93" s="248" t="n"/>
      <c r="VVK93" s="240" t="n"/>
      <c r="VVL93" s="240" t="n"/>
      <c r="VVN93" s="15" t="n"/>
      <c r="VVO93" s="15" t="n"/>
      <c r="VVP93" s="248" t="n"/>
      <c r="VVQ93" s="248" t="n"/>
      <c r="VVR93" s="240" t="n"/>
      <c r="VVS93" s="240" t="n"/>
      <c r="VVU93" s="15" t="n"/>
      <c r="VVV93" s="15" t="n"/>
      <c r="VVW93" s="248" t="n"/>
      <c r="VVX93" s="248" t="n"/>
      <c r="VVY93" s="240" t="n"/>
      <c r="VVZ93" s="240" t="n"/>
      <c r="VWB93" s="15" t="n"/>
      <c r="VWC93" s="15" t="n"/>
      <c r="VWD93" s="248" t="n"/>
      <c r="VWE93" s="248" t="n"/>
      <c r="VWF93" s="240" t="n"/>
      <c r="VWG93" s="240" t="n"/>
      <c r="VWI93" s="15" t="n"/>
      <c r="VWJ93" s="15" t="n"/>
      <c r="VWK93" s="248" t="n"/>
      <c r="VWL93" s="248" t="n"/>
      <c r="VWM93" s="240" t="n"/>
      <c r="VWN93" s="240" t="n"/>
      <c r="VWP93" s="15" t="n"/>
      <c r="VWQ93" s="15" t="n"/>
      <c r="VWR93" s="248" t="n"/>
      <c r="VWS93" s="248" t="n"/>
      <c r="VWT93" s="240" t="n"/>
      <c r="VWU93" s="240" t="n"/>
      <c r="VWW93" s="15" t="n"/>
      <c r="VWX93" s="15" t="n"/>
      <c r="VWY93" s="248" t="n"/>
      <c r="VWZ93" s="248" t="n"/>
      <c r="VXA93" s="240" t="n"/>
      <c r="VXB93" s="240" t="n"/>
      <c r="VXD93" s="15" t="n"/>
      <c r="VXE93" s="15" t="n"/>
      <c r="VXF93" s="248" t="n"/>
      <c r="VXG93" s="248" t="n"/>
      <c r="VXH93" s="240" t="n"/>
      <c r="VXI93" s="240" t="n"/>
      <c r="VXK93" s="15" t="n"/>
      <c r="VXL93" s="15" t="n"/>
      <c r="VXM93" s="248" t="n"/>
      <c r="VXN93" s="248" t="n"/>
      <c r="VXO93" s="240" t="n"/>
      <c r="VXP93" s="240" t="n"/>
      <c r="VXR93" s="15" t="n"/>
      <c r="VXS93" s="15" t="n"/>
      <c r="VXT93" s="248" t="n"/>
      <c r="VXU93" s="248" t="n"/>
      <c r="VXV93" s="240" t="n"/>
      <c r="VXW93" s="240" t="n"/>
      <c r="VXY93" s="15" t="n"/>
      <c r="VXZ93" s="15" t="n"/>
      <c r="VYA93" s="248" t="n"/>
      <c r="VYB93" s="248" t="n"/>
      <c r="VYC93" s="240" t="n"/>
      <c r="VYD93" s="240" t="n"/>
      <c r="VYF93" s="15" t="n"/>
      <c r="VYG93" s="15" t="n"/>
      <c r="VYH93" s="248" t="n"/>
      <c r="VYI93" s="248" t="n"/>
      <c r="VYJ93" s="240" t="n"/>
      <c r="VYK93" s="240" t="n"/>
      <c r="VYM93" s="15" t="n"/>
      <c r="VYN93" s="15" t="n"/>
      <c r="VYO93" s="248" t="n"/>
      <c r="VYP93" s="248" t="n"/>
      <c r="VYQ93" s="240" t="n"/>
      <c r="VYR93" s="240" t="n"/>
      <c r="VYT93" s="15" t="n"/>
      <c r="VYU93" s="15" t="n"/>
      <c r="VYV93" s="248" t="n"/>
      <c r="VYW93" s="248" t="n"/>
      <c r="VYX93" s="240" t="n"/>
      <c r="VYY93" s="240" t="n"/>
      <c r="VZA93" s="15" t="n"/>
      <c r="VZB93" s="15" t="n"/>
      <c r="VZC93" s="248" t="n"/>
      <c r="VZD93" s="248" t="n"/>
      <c r="VZE93" s="240" t="n"/>
      <c r="VZF93" s="240" t="n"/>
      <c r="VZH93" s="15" t="n"/>
      <c r="VZI93" s="15" t="n"/>
      <c r="VZJ93" s="248" t="n"/>
      <c r="VZK93" s="248" t="n"/>
      <c r="VZL93" s="240" t="n"/>
      <c r="VZM93" s="240" t="n"/>
      <c r="VZO93" s="15" t="n"/>
      <c r="VZP93" s="15" t="n"/>
      <c r="VZQ93" s="248" t="n"/>
      <c r="VZR93" s="248" t="n"/>
      <c r="VZS93" s="240" t="n"/>
      <c r="VZT93" s="240" t="n"/>
      <c r="VZV93" s="15" t="n"/>
      <c r="VZW93" s="15" t="n"/>
      <c r="VZX93" s="248" t="n"/>
      <c r="VZY93" s="248" t="n"/>
      <c r="VZZ93" s="240" t="n"/>
      <c r="WAA93" s="240" t="n"/>
      <c r="WAC93" s="15" t="n"/>
      <c r="WAD93" s="15" t="n"/>
      <c r="WAE93" s="248" t="n"/>
      <c r="WAF93" s="248" t="n"/>
      <c r="WAG93" s="240" t="n"/>
      <c r="WAH93" s="240" t="n"/>
      <c r="WAJ93" s="15" t="n"/>
      <c r="WAK93" s="15" t="n"/>
      <c r="WAL93" s="248" t="n"/>
      <c r="WAM93" s="248" t="n"/>
      <c r="WAN93" s="240" t="n"/>
      <c r="WAO93" s="240" t="n"/>
      <c r="WAQ93" s="15" t="n"/>
      <c r="WAR93" s="15" t="n"/>
      <c r="WAS93" s="248" t="n"/>
      <c r="WAT93" s="248" t="n"/>
      <c r="WAU93" s="240" t="n"/>
      <c r="WAV93" s="240" t="n"/>
      <c r="WAX93" s="15" t="n"/>
      <c r="WAY93" s="15" t="n"/>
      <c r="WAZ93" s="248" t="n"/>
      <c r="WBA93" s="248" t="n"/>
      <c r="WBB93" s="240" t="n"/>
      <c r="WBC93" s="240" t="n"/>
      <c r="WBE93" s="15" t="n"/>
      <c r="WBF93" s="15" t="n"/>
      <c r="WBG93" s="248" t="n"/>
      <c r="WBH93" s="248" t="n"/>
      <c r="WBI93" s="240" t="n"/>
      <c r="WBJ93" s="240" t="n"/>
      <c r="WBL93" s="15" t="n"/>
      <c r="WBM93" s="15" t="n"/>
      <c r="WBN93" s="248" t="n"/>
      <c r="WBO93" s="248" t="n"/>
      <c r="WBP93" s="240" t="n"/>
      <c r="WBQ93" s="240" t="n"/>
      <c r="WBS93" s="15" t="n"/>
      <c r="WBT93" s="15" t="n"/>
      <c r="WBU93" s="248" t="n"/>
      <c r="WBV93" s="248" t="n"/>
      <c r="WBW93" s="240" t="n"/>
      <c r="WBX93" s="240" t="n"/>
      <c r="WBZ93" s="15" t="n"/>
      <c r="WCA93" s="15" t="n"/>
      <c r="WCB93" s="248" t="n"/>
      <c r="WCC93" s="248" t="n"/>
      <c r="WCD93" s="240" t="n"/>
      <c r="WCE93" s="240" t="n"/>
      <c r="WCG93" s="15" t="n"/>
      <c r="WCH93" s="15" t="n"/>
      <c r="WCI93" s="248" t="n"/>
      <c r="WCJ93" s="248" t="n"/>
      <c r="WCK93" s="240" t="n"/>
      <c r="WCL93" s="240" t="n"/>
      <c r="WCN93" s="15" t="n"/>
      <c r="WCO93" s="15" t="n"/>
      <c r="WCP93" s="248" t="n"/>
      <c r="WCQ93" s="248" t="n"/>
      <c r="WCR93" s="240" t="n"/>
      <c r="WCS93" s="240" t="n"/>
      <c r="WCU93" s="15" t="n"/>
      <c r="WCV93" s="15" t="n"/>
      <c r="WCW93" s="248" t="n"/>
      <c r="WCX93" s="248" t="n"/>
      <c r="WCY93" s="240" t="n"/>
      <c r="WCZ93" s="240" t="n"/>
      <c r="WDB93" s="15" t="n"/>
      <c r="WDC93" s="15" t="n"/>
      <c r="WDD93" s="248" t="n"/>
      <c r="WDE93" s="248" t="n"/>
      <c r="WDF93" s="240" t="n"/>
      <c r="WDG93" s="240" t="n"/>
      <c r="WDI93" s="15" t="n"/>
      <c r="WDJ93" s="15" t="n"/>
      <c r="WDK93" s="248" t="n"/>
      <c r="WDL93" s="248" t="n"/>
      <c r="WDM93" s="240" t="n"/>
      <c r="WDN93" s="240" t="n"/>
      <c r="WDP93" s="15" t="n"/>
      <c r="WDQ93" s="15" t="n"/>
      <c r="WDR93" s="248" t="n"/>
      <c r="WDS93" s="248" t="n"/>
      <c r="WDT93" s="240" t="n"/>
      <c r="WDU93" s="240" t="n"/>
      <c r="WDW93" s="15" t="n"/>
      <c r="WDX93" s="15" t="n"/>
      <c r="WDY93" s="248" t="n"/>
      <c r="WDZ93" s="248" t="n"/>
      <c r="WEA93" s="240" t="n"/>
      <c r="WEB93" s="240" t="n"/>
      <c r="WED93" s="15" t="n"/>
      <c r="WEE93" s="15" t="n"/>
      <c r="WEF93" s="248" t="n"/>
      <c r="WEG93" s="248" t="n"/>
      <c r="WEH93" s="240" t="n"/>
      <c r="WEI93" s="240" t="n"/>
      <c r="WEK93" s="15" t="n"/>
      <c r="WEL93" s="15" t="n"/>
      <c r="WEM93" s="248" t="n"/>
      <c r="WEN93" s="248" t="n"/>
      <c r="WEO93" s="240" t="n"/>
      <c r="WEP93" s="240" t="n"/>
      <c r="WER93" s="15" t="n"/>
      <c r="WES93" s="15" t="n"/>
      <c r="WET93" s="248" t="n"/>
      <c r="WEU93" s="248" t="n"/>
      <c r="WEV93" s="240" t="n"/>
      <c r="WEW93" s="240" t="n"/>
      <c r="WEY93" s="15" t="n"/>
      <c r="WEZ93" s="15" t="n"/>
      <c r="WFA93" s="248" t="n"/>
      <c r="WFB93" s="248" t="n"/>
      <c r="WFC93" s="240" t="n"/>
      <c r="WFD93" s="240" t="n"/>
      <c r="WFF93" s="15" t="n"/>
      <c r="WFG93" s="15" t="n"/>
      <c r="WFH93" s="248" t="n"/>
      <c r="WFI93" s="248" t="n"/>
      <c r="WFJ93" s="240" t="n"/>
      <c r="WFK93" s="240" t="n"/>
      <c r="WFM93" s="15" t="n"/>
      <c r="WFN93" s="15" t="n"/>
      <c r="WFO93" s="248" t="n"/>
      <c r="WFP93" s="248" t="n"/>
      <c r="WFQ93" s="240" t="n"/>
      <c r="WFR93" s="240" t="n"/>
      <c r="WFT93" s="15" t="n"/>
      <c r="WFU93" s="15" t="n"/>
      <c r="WFV93" s="248" t="n"/>
      <c r="WFW93" s="248" t="n"/>
      <c r="WFX93" s="240" t="n"/>
      <c r="WFY93" s="240" t="n"/>
      <c r="WGA93" s="15" t="n"/>
      <c r="WGB93" s="15" t="n"/>
      <c r="WGC93" s="248" t="n"/>
      <c r="WGD93" s="248" t="n"/>
      <c r="WGE93" s="240" t="n"/>
      <c r="WGF93" s="240" t="n"/>
      <c r="WGH93" s="15" t="n"/>
      <c r="WGI93" s="15" t="n"/>
      <c r="WGJ93" s="248" t="n"/>
      <c r="WGK93" s="248" t="n"/>
      <c r="WGL93" s="240" t="n"/>
      <c r="WGM93" s="240" t="n"/>
      <c r="WGO93" s="15" t="n"/>
      <c r="WGP93" s="15" t="n"/>
      <c r="WGQ93" s="248" t="n"/>
      <c r="WGR93" s="248" t="n"/>
      <c r="WGS93" s="240" t="n"/>
      <c r="WGT93" s="240" t="n"/>
      <c r="WGV93" s="15" t="n"/>
      <c r="WGW93" s="15" t="n"/>
      <c r="WGX93" s="248" t="n"/>
      <c r="WGY93" s="248" t="n"/>
      <c r="WGZ93" s="240" t="n"/>
      <c r="WHA93" s="240" t="n"/>
      <c r="WHC93" s="15" t="n"/>
      <c r="WHD93" s="15" t="n"/>
      <c r="WHE93" s="248" t="n"/>
      <c r="WHF93" s="248" t="n"/>
      <c r="WHG93" s="240" t="n"/>
      <c r="WHH93" s="240" t="n"/>
      <c r="WHJ93" s="15" t="n"/>
      <c r="WHK93" s="15" t="n"/>
      <c r="WHL93" s="248" t="n"/>
      <c r="WHM93" s="248" t="n"/>
      <c r="WHN93" s="240" t="n"/>
      <c r="WHO93" s="240" t="n"/>
      <c r="WHQ93" s="15" t="n"/>
      <c r="WHR93" s="15" t="n"/>
      <c r="WHS93" s="248" t="n"/>
      <c r="WHT93" s="248" t="n"/>
      <c r="WHU93" s="240" t="n"/>
      <c r="WHV93" s="240" t="n"/>
      <c r="WHX93" s="15" t="n"/>
      <c r="WHY93" s="15" t="n"/>
      <c r="WHZ93" s="248" t="n"/>
      <c r="WIA93" s="248" t="n"/>
      <c r="WIB93" s="240" t="n"/>
      <c r="WIC93" s="240" t="n"/>
      <c r="WIE93" s="15" t="n"/>
      <c r="WIF93" s="15" t="n"/>
      <c r="WIG93" s="248" t="n"/>
      <c r="WIH93" s="248" t="n"/>
      <c r="WII93" s="240" t="n"/>
      <c r="WIJ93" s="240" t="n"/>
      <c r="WIL93" s="15" t="n"/>
      <c r="WIM93" s="15" t="n"/>
      <c r="WIN93" s="248" t="n"/>
      <c r="WIO93" s="248" t="n"/>
      <c r="WIP93" s="240" t="n"/>
      <c r="WIQ93" s="240" t="n"/>
      <c r="WIS93" s="15" t="n"/>
      <c r="WIT93" s="15" t="n"/>
      <c r="WIU93" s="248" t="n"/>
      <c r="WIV93" s="248" t="n"/>
      <c r="WIW93" s="240" t="n"/>
      <c r="WIX93" s="240" t="n"/>
      <c r="WIZ93" s="15" t="n"/>
      <c r="WJA93" s="15" t="n"/>
      <c r="WJB93" s="248" t="n"/>
      <c r="WJC93" s="248" t="n"/>
      <c r="WJD93" s="240" t="n"/>
      <c r="WJE93" s="240" t="n"/>
      <c r="WJG93" s="15" t="n"/>
      <c r="WJH93" s="15" t="n"/>
      <c r="WJI93" s="248" t="n"/>
      <c r="WJJ93" s="248" t="n"/>
      <c r="WJK93" s="240" t="n"/>
      <c r="WJL93" s="240" t="n"/>
      <c r="WJN93" s="15" t="n"/>
      <c r="WJO93" s="15" t="n"/>
      <c r="WJP93" s="248" t="n"/>
      <c r="WJQ93" s="248" t="n"/>
      <c r="WJR93" s="240" t="n"/>
      <c r="WJS93" s="240" t="n"/>
      <c r="WJU93" s="15" t="n"/>
      <c r="WJV93" s="15" t="n"/>
      <c r="WJW93" s="248" t="n"/>
      <c r="WJX93" s="248" t="n"/>
      <c r="WJY93" s="240" t="n"/>
      <c r="WJZ93" s="240" t="n"/>
      <c r="WKB93" s="15" t="n"/>
      <c r="WKC93" s="15" t="n"/>
      <c r="WKD93" s="248" t="n"/>
      <c r="WKE93" s="248" t="n"/>
      <c r="WKF93" s="240" t="n"/>
      <c r="WKG93" s="240" t="n"/>
      <c r="WKI93" s="15" t="n"/>
      <c r="WKJ93" s="15" t="n"/>
      <c r="WKK93" s="248" t="n"/>
      <c r="WKL93" s="248" t="n"/>
      <c r="WKM93" s="240" t="n"/>
      <c r="WKN93" s="240" t="n"/>
      <c r="WKP93" s="15" t="n"/>
      <c r="WKQ93" s="15" t="n"/>
      <c r="WKR93" s="248" t="n"/>
      <c r="WKS93" s="248" t="n"/>
      <c r="WKT93" s="240" t="n"/>
      <c r="WKU93" s="240" t="n"/>
      <c r="WKW93" s="15" t="n"/>
      <c r="WKX93" s="15" t="n"/>
      <c r="WKY93" s="248" t="n"/>
      <c r="WKZ93" s="248" t="n"/>
      <c r="WLA93" s="240" t="n"/>
      <c r="WLB93" s="240" t="n"/>
      <c r="WLD93" s="15" t="n"/>
      <c r="WLE93" s="15" t="n"/>
      <c r="WLF93" s="248" t="n"/>
      <c r="WLG93" s="248" t="n"/>
      <c r="WLH93" s="240" t="n"/>
      <c r="WLI93" s="240" t="n"/>
      <c r="WLK93" s="15" t="n"/>
      <c r="WLL93" s="15" t="n"/>
      <c r="WLM93" s="248" t="n"/>
      <c r="WLN93" s="248" t="n"/>
      <c r="WLO93" s="240" t="n"/>
      <c r="WLP93" s="240" t="n"/>
      <c r="WLR93" s="15" t="n"/>
      <c r="WLS93" s="15" t="n"/>
      <c r="WLT93" s="248" t="n"/>
      <c r="WLU93" s="248" t="n"/>
      <c r="WLV93" s="240" t="n"/>
      <c r="WLW93" s="240" t="n"/>
      <c r="WLY93" s="15" t="n"/>
      <c r="WLZ93" s="15" t="n"/>
      <c r="WMA93" s="248" t="n"/>
      <c r="WMB93" s="248" t="n"/>
      <c r="WMC93" s="240" t="n"/>
      <c r="WMD93" s="240" t="n"/>
      <c r="WMF93" s="15" t="n"/>
      <c r="WMG93" s="15" t="n"/>
      <c r="WMH93" s="248" t="n"/>
      <c r="WMI93" s="248" t="n"/>
      <c r="WMJ93" s="240" t="n"/>
      <c r="WMK93" s="240" t="n"/>
      <c r="WMM93" s="15" t="n"/>
      <c r="WMN93" s="15" t="n"/>
      <c r="WMO93" s="248" t="n"/>
      <c r="WMP93" s="248" t="n"/>
      <c r="WMQ93" s="240" t="n"/>
      <c r="WMR93" s="240" t="n"/>
      <c r="WMT93" s="15" t="n"/>
      <c r="WMU93" s="15" t="n"/>
      <c r="WMV93" s="248" t="n"/>
      <c r="WMW93" s="248" t="n"/>
      <c r="WMX93" s="240" t="n"/>
      <c r="WMY93" s="240" t="n"/>
      <c r="WNA93" s="15" t="n"/>
      <c r="WNB93" s="15" t="n"/>
      <c r="WNC93" s="248" t="n"/>
      <c r="WND93" s="248" t="n"/>
      <c r="WNE93" s="240" t="n"/>
      <c r="WNF93" s="240" t="n"/>
      <c r="WNH93" s="15" t="n"/>
      <c r="WNI93" s="15" t="n"/>
      <c r="WNJ93" s="248" t="n"/>
      <c r="WNK93" s="248" t="n"/>
      <c r="WNL93" s="240" t="n"/>
      <c r="WNM93" s="240" t="n"/>
      <c r="WNO93" s="15" t="n"/>
      <c r="WNP93" s="15" t="n"/>
      <c r="WNQ93" s="248" t="n"/>
      <c r="WNR93" s="248" t="n"/>
      <c r="WNS93" s="240" t="n"/>
      <c r="WNT93" s="240" t="n"/>
      <c r="WNV93" s="15" t="n"/>
      <c r="WNW93" s="15" t="n"/>
      <c r="WNX93" s="248" t="n"/>
      <c r="WNY93" s="248" t="n"/>
      <c r="WNZ93" s="240" t="n"/>
      <c r="WOA93" s="240" t="n"/>
      <c r="WOC93" s="15" t="n"/>
      <c r="WOD93" s="15" t="n"/>
      <c r="WOE93" s="248" t="n"/>
      <c r="WOF93" s="248" t="n"/>
      <c r="WOG93" s="240" t="n"/>
      <c r="WOH93" s="240" t="n"/>
      <c r="WOJ93" s="15" t="n"/>
      <c r="WOK93" s="15" t="n"/>
      <c r="WOL93" s="248" t="n"/>
      <c r="WOM93" s="248" t="n"/>
      <c r="WON93" s="240" t="n"/>
      <c r="WOO93" s="240" t="n"/>
      <c r="WOQ93" s="15" t="n"/>
      <c r="WOR93" s="15" t="n"/>
      <c r="WOS93" s="248" t="n"/>
      <c r="WOT93" s="248" t="n"/>
      <c r="WOU93" s="240" t="n"/>
      <c r="WOV93" s="240" t="n"/>
      <c r="WOX93" s="15" t="n"/>
      <c r="WOY93" s="15" t="n"/>
      <c r="WOZ93" s="248" t="n"/>
      <c r="WPA93" s="248" t="n"/>
      <c r="WPB93" s="240" t="n"/>
      <c r="WPC93" s="240" t="n"/>
      <c r="WPE93" s="15" t="n"/>
      <c r="WPF93" s="15" t="n"/>
      <c r="WPG93" s="248" t="n"/>
      <c r="WPH93" s="248" t="n"/>
      <c r="WPI93" s="240" t="n"/>
      <c r="WPJ93" s="240" t="n"/>
      <c r="WPL93" s="15" t="n"/>
      <c r="WPM93" s="15" t="n"/>
      <c r="WPN93" s="248" t="n"/>
      <c r="WPO93" s="248" t="n"/>
      <c r="WPP93" s="240" t="n"/>
      <c r="WPQ93" s="240" t="n"/>
      <c r="WPS93" s="15" t="n"/>
      <c r="WPT93" s="15" t="n"/>
      <c r="WPU93" s="248" t="n"/>
      <c r="WPV93" s="248" t="n"/>
      <c r="WPW93" s="240" t="n"/>
      <c r="WPX93" s="240" t="n"/>
      <c r="WPZ93" s="15" t="n"/>
      <c r="WQA93" s="15" t="n"/>
      <c r="WQB93" s="248" t="n"/>
      <c r="WQC93" s="248" t="n"/>
      <c r="WQD93" s="240" t="n"/>
      <c r="WQE93" s="240" t="n"/>
      <c r="WQG93" s="15" t="n"/>
      <c r="WQH93" s="15" t="n"/>
      <c r="WQI93" s="248" t="n"/>
      <c r="WQJ93" s="248" t="n"/>
      <c r="WQK93" s="240" t="n"/>
      <c r="WQL93" s="240" t="n"/>
      <c r="WQN93" s="15" t="n"/>
      <c r="WQO93" s="15" t="n"/>
      <c r="WQP93" s="248" t="n"/>
      <c r="WQQ93" s="248" t="n"/>
      <c r="WQR93" s="240" t="n"/>
      <c r="WQS93" s="240" t="n"/>
      <c r="WQU93" s="15" t="n"/>
      <c r="WQV93" s="15" t="n"/>
      <c r="WQW93" s="248" t="n"/>
      <c r="WQX93" s="248" t="n"/>
      <c r="WQY93" s="240" t="n"/>
      <c r="WQZ93" s="240" t="n"/>
      <c r="WRB93" s="15" t="n"/>
      <c r="WRC93" s="15" t="n"/>
      <c r="WRD93" s="248" t="n"/>
      <c r="WRE93" s="248" t="n"/>
      <c r="WRF93" s="240" t="n"/>
      <c r="WRG93" s="240" t="n"/>
      <c r="WRI93" s="15" t="n"/>
      <c r="WRJ93" s="15" t="n"/>
      <c r="WRK93" s="248" t="n"/>
      <c r="WRL93" s="248" t="n"/>
      <c r="WRM93" s="240" t="n"/>
      <c r="WRN93" s="240" t="n"/>
      <c r="WRP93" s="15" t="n"/>
      <c r="WRQ93" s="15" t="n"/>
      <c r="WRR93" s="248" t="n"/>
      <c r="WRS93" s="248" t="n"/>
      <c r="WRT93" s="240" t="n"/>
      <c r="WRU93" s="240" t="n"/>
      <c r="WRW93" s="15" t="n"/>
      <c r="WRX93" s="15" t="n"/>
      <c r="WRY93" s="248" t="n"/>
      <c r="WRZ93" s="248" t="n"/>
      <c r="WSA93" s="240" t="n"/>
      <c r="WSB93" s="240" t="n"/>
      <c r="WSD93" s="15" t="n"/>
      <c r="WSE93" s="15" t="n"/>
      <c r="WSF93" s="248" t="n"/>
      <c r="WSG93" s="248" t="n"/>
      <c r="WSH93" s="240" t="n"/>
      <c r="WSI93" s="240" t="n"/>
      <c r="WSK93" s="15" t="n"/>
      <c r="WSL93" s="15" t="n"/>
      <c r="WSM93" s="248" t="n"/>
      <c r="WSN93" s="248" t="n"/>
      <c r="WSO93" s="240" t="n"/>
      <c r="WSP93" s="240" t="n"/>
      <c r="WSR93" s="15" t="n"/>
      <c r="WSS93" s="15" t="n"/>
      <c r="WST93" s="248" t="n"/>
      <c r="WSU93" s="248" t="n"/>
      <c r="WSV93" s="240" t="n"/>
      <c r="WSW93" s="240" t="n"/>
      <c r="WSY93" s="15" t="n"/>
      <c r="WSZ93" s="15" t="n"/>
      <c r="WTA93" s="248" t="n"/>
      <c r="WTB93" s="248" t="n"/>
      <c r="WTC93" s="240" t="n"/>
      <c r="WTD93" s="240" t="n"/>
      <c r="WTF93" s="15" t="n"/>
      <c r="WTG93" s="15" t="n"/>
      <c r="WTH93" s="248" t="n"/>
      <c r="WTI93" s="248" t="n"/>
      <c r="WTJ93" s="240" t="n"/>
      <c r="WTK93" s="240" t="n"/>
      <c r="WTM93" s="15" t="n"/>
      <c r="WTN93" s="15" t="n"/>
      <c r="WTO93" s="248" t="n"/>
      <c r="WTP93" s="248" t="n"/>
      <c r="WTQ93" s="240" t="n"/>
      <c r="WTR93" s="240" t="n"/>
      <c r="WTT93" s="15" t="n"/>
      <c r="WTU93" s="15" t="n"/>
      <c r="WTV93" s="248" t="n"/>
      <c r="WTW93" s="248" t="n"/>
      <c r="WTX93" s="240" t="n"/>
      <c r="WTY93" s="240" t="n"/>
      <c r="WUA93" s="15" t="n"/>
      <c r="WUB93" s="15" t="n"/>
      <c r="WUC93" s="248" t="n"/>
      <c r="WUD93" s="248" t="n"/>
      <c r="WUE93" s="240" t="n"/>
      <c r="WUF93" s="240" t="n"/>
      <c r="WUH93" s="15" t="n"/>
      <c r="WUI93" s="15" t="n"/>
      <c r="WUJ93" s="248" t="n"/>
      <c r="WUK93" s="248" t="n"/>
      <c r="WUL93" s="240" t="n"/>
      <c r="WUM93" s="240" t="n"/>
      <c r="WUO93" s="15" t="n"/>
      <c r="WUP93" s="15" t="n"/>
      <c r="WUQ93" s="248" t="n"/>
      <c r="WUR93" s="248" t="n"/>
      <c r="WUS93" s="240" t="n"/>
      <c r="WUT93" s="240" t="n"/>
      <c r="WUV93" s="15" t="n"/>
      <c r="WUW93" s="15" t="n"/>
      <c r="WUX93" s="248" t="n"/>
      <c r="WUY93" s="248" t="n"/>
      <c r="WUZ93" s="240" t="n"/>
      <c r="WVA93" s="240" t="n"/>
      <c r="WVC93" s="15" t="n"/>
      <c r="WVD93" s="15" t="n"/>
      <c r="WVE93" s="248" t="n"/>
      <c r="WVF93" s="248" t="n"/>
      <c r="WVG93" s="240" t="n"/>
      <c r="WVH93" s="240" t="n"/>
      <c r="WVJ93" s="15" t="n"/>
      <c r="WVK93" s="15" t="n"/>
      <c r="WVL93" s="248" t="n"/>
      <c r="WVM93" s="248" t="n"/>
      <c r="WVN93" s="240" t="n"/>
      <c r="WVO93" s="240" t="n"/>
      <c r="WVQ93" s="15" t="n"/>
      <c r="WVR93" s="15" t="n"/>
      <c r="WVS93" s="248" t="n"/>
      <c r="WVT93" s="248" t="n"/>
      <c r="WVU93" s="240" t="n"/>
      <c r="WVV93" s="240" t="n"/>
      <c r="WVX93" s="15" t="n"/>
      <c r="WVY93" s="15" t="n"/>
      <c r="WVZ93" s="248" t="n"/>
      <c r="WWA93" s="248" t="n"/>
      <c r="WWB93" s="240" t="n"/>
      <c r="WWC93" s="240" t="n"/>
      <c r="WWE93" s="15" t="n"/>
      <c r="WWF93" s="15" t="n"/>
      <c r="WWG93" s="248" t="n"/>
      <c r="WWH93" s="248" t="n"/>
      <c r="WWI93" s="240" t="n"/>
      <c r="WWJ93" s="240" t="n"/>
      <c r="WWL93" s="15" t="n"/>
      <c r="WWM93" s="15" t="n"/>
      <c r="WWN93" s="248" t="n"/>
      <c r="WWO93" s="248" t="n"/>
      <c r="WWP93" s="240" t="n"/>
      <c r="WWQ93" s="240" t="n"/>
      <c r="WWS93" s="15" t="n"/>
      <c r="WWT93" s="15" t="n"/>
      <c r="WWU93" s="248" t="n"/>
      <c r="WWV93" s="248" t="n"/>
      <c r="WWW93" s="240" t="n"/>
      <c r="WWX93" s="240" t="n"/>
      <c r="WWZ93" s="15" t="n"/>
      <c r="WXA93" s="15" t="n"/>
      <c r="WXB93" s="248" t="n"/>
      <c r="WXC93" s="248" t="n"/>
      <c r="WXD93" s="240" t="n"/>
      <c r="WXE93" s="240" t="n"/>
      <c r="WXG93" s="15" t="n"/>
      <c r="WXH93" s="15" t="n"/>
      <c r="WXI93" s="248" t="n"/>
      <c r="WXJ93" s="248" t="n"/>
      <c r="WXK93" s="240" t="n"/>
      <c r="WXL93" s="240" t="n"/>
      <c r="WXN93" s="15" t="n"/>
      <c r="WXO93" s="15" t="n"/>
      <c r="WXP93" s="248" t="n"/>
      <c r="WXQ93" s="248" t="n"/>
      <c r="WXR93" s="240" t="n"/>
      <c r="WXS93" s="240" t="n"/>
      <c r="WXU93" s="15" t="n"/>
      <c r="WXV93" s="15" t="n"/>
      <c r="WXW93" s="248" t="n"/>
      <c r="WXX93" s="248" t="n"/>
      <c r="WXY93" s="240" t="n"/>
      <c r="WXZ93" s="240" t="n"/>
      <c r="WYB93" s="15" t="n"/>
      <c r="WYC93" s="15" t="n"/>
      <c r="WYD93" s="248" t="n"/>
      <c r="WYE93" s="248" t="n"/>
      <c r="WYF93" s="240" t="n"/>
      <c r="WYG93" s="240" t="n"/>
      <c r="WYI93" s="15" t="n"/>
      <c r="WYJ93" s="15" t="n"/>
      <c r="WYK93" s="248" t="n"/>
      <c r="WYL93" s="248" t="n"/>
      <c r="WYM93" s="240" t="n"/>
      <c r="WYN93" s="240" t="n"/>
      <c r="WYP93" s="15" t="n"/>
      <c r="WYQ93" s="15" t="n"/>
      <c r="WYR93" s="248" t="n"/>
      <c r="WYS93" s="248" t="n"/>
      <c r="WYT93" s="240" t="n"/>
      <c r="WYU93" s="240" t="n"/>
      <c r="WYW93" s="15" t="n"/>
      <c r="WYX93" s="15" t="n"/>
      <c r="WYY93" s="248" t="n"/>
      <c r="WYZ93" s="248" t="n"/>
      <c r="WZA93" s="240" t="n"/>
      <c r="WZB93" s="240" t="n"/>
      <c r="WZD93" s="15" t="n"/>
      <c r="WZE93" s="15" t="n"/>
      <c r="WZF93" s="248" t="n"/>
      <c r="WZG93" s="248" t="n"/>
      <c r="WZH93" s="240" t="n"/>
      <c r="WZI93" s="240" t="n"/>
      <c r="WZK93" s="15" t="n"/>
      <c r="WZL93" s="15" t="n"/>
      <c r="WZM93" s="248" t="n"/>
      <c r="WZN93" s="248" t="n"/>
      <c r="WZO93" s="240" t="n"/>
      <c r="WZP93" s="240" t="n"/>
      <c r="WZR93" s="15" t="n"/>
      <c r="WZS93" s="15" t="n"/>
      <c r="WZT93" s="248" t="n"/>
      <c r="WZU93" s="248" t="n"/>
      <c r="WZV93" s="240" t="n"/>
      <c r="WZW93" s="240" t="n"/>
      <c r="WZY93" s="15" t="n"/>
      <c r="WZZ93" s="15" t="n"/>
      <c r="XAA93" s="248" t="n"/>
      <c r="XAB93" s="248" t="n"/>
      <c r="XAC93" s="240" t="n"/>
      <c r="XAD93" s="240" t="n"/>
      <c r="XAF93" s="15" t="n"/>
      <c r="XAG93" s="15" t="n"/>
      <c r="XAH93" s="248" t="n"/>
      <c r="XAI93" s="248" t="n"/>
      <c r="XAJ93" s="240" t="n"/>
      <c r="XAK93" s="240" t="n"/>
      <c r="XAM93" s="15" t="n"/>
      <c r="XAN93" s="15" t="n"/>
      <c r="XAO93" s="248" t="n"/>
      <c r="XAP93" s="248" t="n"/>
      <c r="XAQ93" s="240" t="n"/>
      <c r="XAR93" s="240" t="n"/>
      <c r="XAT93" s="15" t="n"/>
      <c r="XAU93" s="15" t="n"/>
      <c r="XAV93" s="248" t="n"/>
      <c r="XAW93" s="248" t="n"/>
      <c r="XAX93" s="240" t="n"/>
      <c r="XAY93" s="240" t="n"/>
      <c r="XBA93" s="15" t="n"/>
      <c r="XBB93" s="15" t="n"/>
      <c r="XBC93" s="248" t="n"/>
      <c r="XBD93" s="248" t="n"/>
      <c r="XBE93" s="240" t="n"/>
      <c r="XBF93" s="240" t="n"/>
      <c r="XBH93" s="15" t="n"/>
      <c r="XBI93" s="15" t="n"/>
      <c r="XBJ93" s="248" t="n"/>
      <c r="XBK93" s="248" t="n"/>
      <c r="XBL93" s="240" t="n"/>
      <c r="XBM93" s="240" t="n"/>
      <c r="XBO93" s="15" t="n"/>
      <c r="XBP93" s="15" t="n"/>
      <c r="XBQ93" s="248" t="n"/>
      <c r="XBR93" s="248" t="n"/>
      <c r="XBS93" s="240" t="n"/>
      <c r="XBT93" s="240" t="n"/>
      <c r="XBV93" s="15" t="n"/>
      <c r="XBW93" s="15" t="n"/>
      <c r="XBX93" s="248" t="n"/>
      <c r="XBY93" s="248" t="n"/>
      <c r="XBZ93" s="240" t="n"/>
      <c r="XCA93" s="240" t="n"/>
      <c r="XCC93" s="15" t="n"/>
      <c r="XCD93" s="15" t="n"/>
      <c r="XCE93" s="248" t="n"/>
      <c r="XCF93" s="248" t="n"/>
      <c r="XCG93" s="240" t="n"/>
      <c r="XCH93" s="240" t="n"/>
      <c r="XCJ93" s="15" t="n"/>
      <c r="XCK93" s="15" t="n"/>
      <c r="XCL93" s="248" t="n"/>
      <c r="XCM93" s="248" t="n"/>
      <c r="XCN93" s="240" t="n"/>
      <c r="XCO93" s="240" t="n"/>
      <c r="XCQ93" s="15" t="n"/>
      <c r="XCR93" s="15" t="n"/>
      <c r="XCS93" s="248" t="n"/>
      <c r="XCT93" s="248" t="n"/>
      <c r="XCU93" s="240" t="n"/>
      <c r="XCV93" s="240" t="n"/>
      <c r="XCX93" s="15" t="n"/>
      <c r="XCY93" s="15" t="n"/>
      <c r="XCZ93" s="248" t="n"/>
      <c r="XDA93" s="248" t="n"/>
      <c r="XDB93" s="240" t="n"/>
      <c r="XDC93" s="240" t="n"/>
      <c r="XDE93" s="15" t="n"/>
      <c r="XDF93" s="15" t="n"/>
      <c r="XDG93" s="248" t="n"/>
      <c r="XDH93" s="248" t="n"/>
      <c r="XDI93" s="240" t="n"/>
      <c r="XDJ93" s="240" t="n"/>
      <c r="XDL93" s="15" t="n"/>
      <c r="XDM93" s="15" t="n"/>
      <c r="XDN93" s="248" t="n"/>
      <c r="XDO93" s="248" t="n"/>
      <c r="XDP93" s="240" t="n"/>
      <c r="XDQ93" s="240" t="n"/>
      <c r="XDS93" s="15" t="n"/>
      <c r="XDT93" s="15" t="n"/>
      <c r="XDU93" s="248" t="n"/>
      <c r="XDV93" s="248" t="n"/>
      <c r="XDW93" s="240" t="n"/>
      <c r="XDX93" s="240" t="n"/>
      <c r="XDZ93" s="15" t="n"/>
      <c r="XEA93" s="15" t="n"/>
      <c r="XEB93" s="248" t="n"/>
      <c r="XEC93" s="248" t="n"/>
      <c r="XED93" s="240" t="n"/>
      <c r="XEE93" s="240" t="n"/>
      <c r="XEG93" s="15" t="n"/>
      <c r="XEH93" s="15" t="n"/>
      <c r="XEI93" s="248" t="n"/>
      <c r="XEJ93" s="248" t="n"/>
      <c r="XEK93" s="240" t="n"/>
      <c r="XEL93" s="240" t="n"/>
      <c r="XEN93" s="15" t="n"/>
      <c r="XEO93" s="15" t="n"/>
      <c r="XEP93" s="248" t="n"/>
      <c r="XEQ93" s="248" t="n"/>
      <c r="XER93" s="240" t="n"/>
      <c r="XES93" s="240" t="n"/>
      <c r="XEU93" s="15" t="n"/>
      <c r="XEV93" s="15" t="n"/>
      <c r="XEW93" s="248" t="n"/>
      <c r="XEX93" s="248" t="n"/>
      <c r="XEY93" s="240" t="n"/>
      <c r="XEZ93" s="240" t="n"/>
      <c r="XFB93" s="15" t="n"/>
      <c r="XFC93" s="15" t="n"/>
      <c r="XFD93" s="248" t="n"/>
    </row>
    <row r="94">
      <c r="A94" s="41" t="inlineStr">
        <is>
          <t>Coverage L</t>
        </is>
      </c>
      <c r="B94" s="42" t="inlineStr">
        <is>
          <t>Care, Custody and Control</t>
        </is>
      </c>
      <c r="C94" s="42" t="n"/>
      <c r="D94" s="42" t="n"/>
      <c r="E94" s="253" t="n">
        <v>0</v>
      </c>
      <c r="F94" s="251">
        <f>E94</f>
        <v/>
      </c>
      <c r="G94" s="253" t="n"/>
      <c r="H94" s="253" t="n"/>
      <c r="I94" s="253" t="n"/>
      <c r="J94" s="253" t="n"/>
      <c r="K94" s="253" t="n"/>
      <c r="L94" s="154" t="n"/>
      <c r="M94" s="142">
        <f>L94</f>
        <v/>
      </c>
      <c r="N94" s="254" t="n"/>
      <c r="O94" s="93" t="n"/>
      <c r="P94" s="15" t="n"/>
      <c r="Q94" s="15" t="n"/>
      <c r="R94" s="248" t="n"/>
      <c r="S94" s="248" t="n"/>
      <c r="T94" s="240" t="n"/>
      <c r="U94" s="240" t="n"/>
      <c r="W94" s="15" t="n"/>
      <c r="X94" s="15" t="n"/>
      <c r="Y94" s="248" t="n"/>
      <c r="Z94" s="248" t="n"/>
      <c r="AA94" s="240" t="n"/>
      <c r="AB94" s="240" t="n"/>
      <c r="AD94" s="15" t="n"/>
      <c r="AE94" s="15" t="n"/>
      <c r="AF94" s="248" t="n"/>
      <c r="AG94" s="248" t="n"/>
      <c r="AH94" s="240" t="n"/>
      <c r="AI94" s="240" t="n"/>
      <c r="AK94" s="15" t="n"/>
      <c r="AL94" s="15" t="n"/>
      <c r="AM94" s="248" t="n"/>
      <c r="AN94" s="248" t="n"/>
      <c r="AO94" s="240" t="n"/>
      <c r="AP94" s="240" t="n"/>
      <c r="AR94" s="15" t="n"/>
      <c r="AS94" s="15" t="n"/>
      <c r="AT94" s="248" t="n"/>
      <c r="AU94" s="248" t="n"/>
      <c r="AV94" s="240" t="n"/>
      <c r="AW94" s="240" t="n"/>
      <c r="AY94" s="15" t="n"/>
      <c r="AZ94" s="15" t="n"/>
      <c r="BA94" s="248" t="n"/>
      <c r="BB94" s="248" t="n"/>
      <c r="BC94" s="240" t="n"/>
      <c r="BD94" s="240" t="n"/>
      <c r="BF94" s="15" t="n"/>
      <c r="BG94" s="15" t="n"/>
      <c r="BH94" s="248" t="n"/>
      <c r="BI94" s="248" t="n"/>
      <c r="BJ94" s="240" t="n"/>
      <c r="BK94" s="240" t="n"/>
      <c r="BM94" s="15" t="n"/>
      <c r="BN94" s="15" t="n"/>
      <c r="BO94" s="248" t="n"/>
      <c r="BP94" s="248" t="n"/>
      <c r="BQ94" s="240" t="n"/>
      <c r="BR94" s="240" t="n"/>
      <c r="BT94" s="15" t="n"/>
      <c r="BU94" s="15" t="n"/>
      <c r="BV94" s="248" t="n"/>
      <c r="BW94" s="248" t="n"/>
      <c r="BX94" s="240" t="n"/>
      <c r="BY94" s="240" t="n"/>
      <c r="CA94" s="15" t="n"/>
      <c r="CB94" s="15" t="n"/>
      <c r="CC94" s="248" t="n"/>
      <c r="CD94" s="248" t="n"/>
      <c r="CE94" s="240" t="n"/>
      <c r="CF94" s="240" t="n"/>
      <c r="CH94" s="15" t="n"/>
      <c r="CI94" s="15" t="n"/>
      <c r="CJ94" s="248" t="n"/>
      <c r="CK94" s="248" t="n"/>
      <c r="CL94" s="240" t="n"/>
      <c r="CM94" s="240" t="n"/>
      <c r="CO94" s="15" t="n"/>
      <c r="CP94" s="15" t="n"/>
      <c r="CQ94" s="248" t="n"/>
      <c r="CR94" s="248" t="n"/>
      <c r="CS94" s="240" t="n"/>
      <c r="CT94" s="240" t="n"/>
      <c r="CV94" s="15" t="n"/>
      <c r="CW94" s="15" t="n"/>
      <c r="CX94" s="248" t="n"/>
      <c r="CY94" s="248" t="n"/>
      <c r="CZ94" s="240" t="n"/>
      <c r="DA94" s="240" t="n"/>
      <c r="DC94" s="15" t="n"/>
      <c r="DD94" s="15" t="n"/>
      <c r="DE94" s="248" t="n"/>
      <c r="DF94" s="248" t="n"/>
      <c r="DG94" s="240" t="n"/>
      <c r="DH94" s="240" t="n"/>
      <c r="DJ94" s="15" t="n"/>
      <c r="DK94" s="15" t="n"/>
      <c r="DL94" s="248" t="n"/>
      <c r="DM94" s="248" t="n"/>
      <c r="DN94" s="240" t="n"/>
      <c r="DO94" s="240" t="n"/>
      <c r="DQ94" s="15" t="n"/>
      <c r="DR94" s="15" t="n"/>
      <c r="DS94" s="248" t="n"/>
      <c r="DT94" s="248" t="n"/>
      <c r="DU94" s="240" t="n"/>
      <c r="DV94" s="240" t="n"/>
      <c r="DX94" s="15" t="n"/>
      <c r="DY94" s="15" t="n"/>
      <c r="DZ94" s="248" t="n"/>
      <c r="EA94" s="248" t="n"/>
      <c r="EB94" s="240" t="n"/>
      <c r="EC94" s="240" t="n"/>
      <c r="EE94" s="15" t="n"/>
      <c r="EF94" s="15" t="n"/>
      <c r="EG94" s="248" t="n"/>
      <c r="EH94" s="248" t="n"/>
      <c r="EI94" s="240" t="n"/>
      <c r="EJ94" s="240" t="n"/>
      <c r="EL94" s="15" t="n"/>
      <c r="EM94" s="15" t="n"/>
      <c r="EN94" s="248" t="n"/>
      <c r="EO94" s="248" t="n"/>
      <c r="EP94" s="240" t="n"/>
      <c r="EQ94" s="240" t="n"/>
      <c r="ES94" s="15" t="n"/>
      <c r="ET94" s="15" t="n"/>
      <c r="EU94" s="248" t="n"/>
      <c r="EV94" s="248" t="n"/>
      <c r="EW94" s="240" t="n"/>
      <c r="EX94" s="240" t="n"/>
      <c r="EZ94" s="15" t="n"/>
      <c r="FA94" s="15" t="n"/>
      <c r="FB94" s="248" t="n"/>
      <c r="FC94" s="248" t="n"/>
      <c r="FD94" s="240" t="n"/>
      <c r="FE94" s="240" t="n"/>
      <c r="FG94" s="15" t="n"/>
      <c r="FH94" s="15" t="n"/>
      <c r="FI94" s="248" t="n"/>
      <c r="FJ94" s="248" t="n"/>
      <c r="FK94" s="240" t="n"/>
      <c r="FL94" s="240" t="n"/>
      <c r="FN94" s="15" t="n"/>
      <c r="FO94" s="15" t="n"/>
      <c r="FP94" s="248" t="n"/>
      <c r="FQ94" s="248" t="n"/>
      <c r="FR94" s="240" t="n"/>
      <c r="FS94" s="240" t="n"/>
      <c r="FU94" s="15" t="n"/>
      <c r="FV94" s="15" t="n"/>
      <c r="FW94" s="248" t="n"/>
      <c r="FX94" s="248" t="n"/>
      <c r="FY94" s="240" t="n"/>
      <c r="FZ94" s="240" t="n"/>
      <c r="GB94" s="15" t="n"/>
      <c r="GC94" s="15" t="n"/>
      <c r="GD94" s="248" t="n"/>
      <c r="GE94" s="248" t="n"/>
      <c r="GF94" s="240" t="n"/>
      <c r="GG94" s="240" t="n"/>
      <c r="GI94" s="15" t="n"/>
      <c r="GJ94" s="15" t="n"/>
      <c r="GK94" s="248" t="n"/>
      <c r="GL94" s="248" t="n"/>
      <c r="GM94" s="240" t="n"/>
      <c r="GN94" s="240" t="n"/>
      <c r="GP94" s="15" t="n"/>
      <c r="GQ94" s="15" t="n"/>
      <c r="GR94" s="248" t="n"/>
      <c r="GS94" s="248" t="n"/>
      <c r="GT94" s="240" t="n"/>
      <c r="GU94" s="240" t="n"/>
      <c r="GW94" s="15" t="n"/>
      <c r="GX94" s="15" t="n"/>
      <c r="GY94" s="248" t="n"/>
      <c r="GZ94" s="248" t="n"/>
      <c r="HA94" s="240" t="n"/>
      <c r="HB94" s="240" t="n"/>
      <c r="HD94" s="15" t="n"/>
      <c r="HE94" s="15" t="n"/>
      <c r="HF94" s="248" t="n"/>
      <c r="HG94" s="248" t="n"/>
      <c r="HH94" s="240" t="n"/>
      <c r="HI94" s="240" t="n"/>
      <c r="HK94" s="15" t="n"/>
      <c r="HL94" s="15" t="n"/>
      <c r="HM94" s="248" t="n"/>
      <c r="HN94" s="248" t="n"/>
      <c r="HO94" s="240" t="n"/>
      <c r="HP94" s="240" t="n"/>
      <c r="HR94" s="15" t="n"/>
      <c r="HS94" s="15" t="n"/>
      <c r="HT94" s="248" t="n"/>
      <c r="HU94" s="248" t="n"/>
      <c r="HV94" s="240" t="n"/>
      <c r="HW94" s="240" t="n"/>
      <c r="HY94" s="15" t="n"/>
      <c r="HZ94" s="15" t="n"/>
      <c r="IA94" s="248" t="n"/>
      <c r="IB94" s="248" t="n"/>
      <c r="IC94" s="240" t="n"/>
      <c r="ID94" s="240" t="n"/>
      <c r="IF94" s="15" t="n"/>
      <c r="IG94" s="15" t="n"/>
      <c r="IH94" s="248" t="n"/>
      <c r="II94" s="248" t="n"/>
      <c r="IJ94" s="240" t="n"/>
      <c r="IK94" s="240" t="n"/>
      <c r="IM94" s="15" t="n"/>
      <c r="IN94" s="15" t="n"/>
      <c r="IO94" s="248" t="n"/>
      <c r="IP94" s="248" t="n"/>
      <c r="IQ94" s="240" t="n"/>
      <c r="IR94" s="240" t="n"/>
      <c r="IT94" s="15" t="n"/>
      <c r="IU94" s="15" t="n"/>
      <c r="IV94" s="248" t="n"/>
      <c r="IW94" s="248" t="n"/>
      <c r="IX94" s="240" t="n"/>
      <c r="IY94" s="240" t="n"/>
      <c r="JA94" s="15" t="n"/>
      <c r="JB94" s="15" t="n"/>
      <c r="JC94" s="248" t="n"/>
      <c r="JD94" s="248" t="n"/>
      <c r="JE94" s="240" t="n"/>
      <c r="JF94" s="240" t="n"/>
      <c r="JH94" s="15" t="n"/>
      <c r="JI94" s="15" t="n"/>
      <c r="JJ94" s="248" t="n"/>
      <c r="JK94" s="248" t="n"/>
      <c r="JL94" s="240" t="n"/>
      <c r="JM94" s="240" t="n"/>
      <c r="JO94" s="15" t="n"/>
      <c r="JP94" s="15" t="n"/>
      <c r="JQ94" s="248" t="n"/>
      <c r="JR94" s="248" t="n"/>
      <c r="JS94" s="240" t="n"/>
      <c r="JT94" s="240" t="n"/>
      <c r="JV94" s="15" t="n"/>
      <c r="JW94" s="15" t="n"/>
      <c r="JX94" s="248" t="n"/>
      <c r="JY94" s="248" t="n"/>
      <c r="JZ94" s="240" t="n"/>
      <c r="KA94" s="240" t="n"/>
      <c r="KC94" s="15" t="n"/>
      <c r="KD94" s="15" t="n"/>
      <c r="KE94" s="248" t="n"/>
      <c r="KF94" s="248" t="n"/>
      <c r="KG94" s="240" t="n"/>
      <c r="KH94" s="240" t="n"/>
      <c r="KJ94" s="15" t="n"/>
      <c r="KK94" s="15" t="n"/>
      <c r="KL94" s="248" t="n"/>
      <c r="KM94" s="248" t="n"/>
      <c r="KN94" s="240" t="n"/>
      <c r="KO94" s="240" t="n"/>
      <c r="KQ94" s="15" t="n"/>
      <c r="KR94" s="15" t="n"/>
      <c r="KS94" s="248" t="n"/>
      <c r="KT94" s="248" t="n"/>
      <c r="KU94" s="240" t="n"/>
      <c r="KV94" s="240" t="n"/>
      <c r="KX94" s="15" t="n"/>
      <c r="KY94" s="15" t="n"/>
      <c r="KZ94" s="248" t="n"/>
      <c r="LA94" s="248" t="n"/>
      <c r="LB94" s="240" t="n"/>
      <c r="LC94" s="240" t="n"/>
      <c r="LE94" s="15" t="n"/>
      <c r="LF94" s="15" t="n"/>
      <c r="LG94" s="248" t="n"/>
      <c r="LH94" s="248" t="n"/>
      <c r="LI94" s="240" t="n"/>
      <c r="LJ94" s="240" t="n"/>
      <c r="LL94" s="15" t="n"/>
      <c r="LM94" s="15" t="n"/>
      <c r="LN94" s="248" t="n"/>
      <c r="LO94" s="248" t="n"/>
      <c r="LP94" s="240" t="n"/>
      <c r="LQ94" s="240" t="n"/>
      <c r="LS94" s="15" t="n"/>
      <c r="LT94" s="15" t="n"/>
      <c r="LU94" s="248" t="n"/>
      <c r="LV94" s="248" t="n"/>
      <c r="LW94" s="240" t="n"/>
      <c r="LX94" s="240" t="n"/>
      <c r="LZ94" s="15" t="n"/>
      <c r="MA94" s="15" t="n"/>
      <c r="MB94" s="248" t="n"/>
      <c r="MC94" s="248" t="n"/>
      <c r="MD94" s="240" t="n"/>
      <c r="ME94" s="240" t="n"/>
      <c r="MG94" s="15" t="n"/>
      <c r="MH94" s="15" t="n"/>
      <c r="MI94" s="248" t="n"/>
      <c r="MJ94" s="248" t="n"/>
      <c r="MK94" s="240" t="n"/>
      <c r="ML94" s="240" t="n"/>
      <c r="MN94" s="15" t="n"/>
      <c r="MO94" s="15" t="n"/>
      <c r="MP94" s="248" t="n"/>
      <c r="MQ94" s="248" t="n"/>
      <c r="MR94" s="240" t="n"/>
      <c r="MS94" s="240" t="n"/>
      <c r="MU94" s="15" t="n"/>
      <c r="MV94" s="15" t="n"/>
      <c r="MW94" s="248" t="n"/>
      <c r="MX94" s="248" t="n"/>
      <c r="MY94" s="240" t="n"/>
      <c r="MZ94" s="240" t="n"/>
      <c r="NB94" s="15" t="n"/>
      <c r="NC94" s="15" t="n"/>
      <c r="ND94" s="248" t="n"/>
      <c r="NE94" s="248" t="n"/>
      <c r="NF94" s="240" t="n"/>
      <c r="NG94" s="240" t="n"/>
      <c r="NI94" s="15" t="n"/>
      <c r="NJ94" s="15" t="n"/>
      <c r="NK94" s="248" t="n"/>
      <c r="NL94" s="248" t="n"/>
      <c r="NM94" s="240" t="n"/>
      <c r="NN94" s="240" t="n"/>
      <c r="NP94" s="15" t="n"/>
      <c r="NQ94" s="15" t="n"/>
      <c r="NR94" s="248" t="n"/>
      <c r="NS94" s="248" t="n"/>
      <c r="NT94" s="240" t="n"/>
      <c r="NU94" s="240" t="n"/>
      <c r="NW94" s="15" t="n"/>
      <c r="NX94" s="15" t="n"/>
      <c r="NY94" s="248" t="n"/>
      <c r="NZ94" s="248" t="n"/>
      <c r="OA94" s="240" t="n"/>
      <c r="OB94" s="240" t="n"/>
      <c r="OD94" s="15" t="n"/>
      <c r="OE94" s="15" t="n"/>
      <c r="OF94" s="248" t="n"/>
      <c r="OG94" s="248" t="n"/>
      <c r="OH94" s="240" t="n"/>
      <c r="OI94" s="240" t="n"/>
      <c r="OK94" s="15" t="n"/>
      <c r="OL94" s="15" t="n"/>
      <c r="OM94" s="248" t="n"/>
      <c r="ON94" s="248" t="n"/>
      <c r="OO94" s="240" t="n"/>
      <c r="OP94" s="240" t="n"/>
      <c r="OR94" s="15" t="n"/>
      <c r="OS94" s="15" t="n"/>
      <c r="OT94" s="248" t="n"/>
      <c r="OU94" s="248" t="n"/>
      <c r="OV94" s="240" t="n"/>
      <c r="OW94" s="240" t="n"/>
      <c r="OY94" s="15" t="n"/>
      <c r="OZ94" s="15" t="n"/>
      <c r="PA94" s="248" t="n"/>
      <c r="PB94" s="248" t="n"/>
      <c r="PC94" s="240" t="n"/>
      <c r="PD94" s="240" t="n"/>
      <c r="PF94" s="15" t="n"/>
      <c r="PG94" s="15" t="n"/>
      <c r="PH94" s="248" t="n"/>
      <c r="PI94" s="248" t="n"/>
      <c r="PJ94" s="240" t="n"/>
      <c r="PK94" s="240" t="n"/>
      <c r="PM94" s="15" t="n"/>
      <c r="PN94" s="15" t="n"/>
      <c r="PO94" s="248" t="n"/>
      <c r="PP94" s="248" t="n"/>
      <c r="PQ94" s="240" t="n"/>
      <c r="PR94" s="240" t="n"/>
      <c r="PT94" s="15" t="n"/>
      <c r="PU94" s="15" t="n"/>
      <c r="PV94" s="248" t="n"/>
      <c r="PW94" s="248" t="n"/>
      <c r="PX94" s="240" t="n"/>
      <c r="PY94" s="240" t="n"/>
      <c r="QA94" s="15" t="n"/>
      <c r="QB94" s="15" t="n"/>
      <c r="QC94" s="248" t="n"/>
      <c r="QD94" s="248" t="n"/>
      <c r="QE94" s="240" t="n"/>
      <c r="QF94" s="240" t="n"/>
      <c r="QH94" s="15" t="n"/>
      <c r="QI94" s="15" t="n"/>
      <c r="QJ94" s="248" t="n"/>
      <c r="QK94" s="248" t="n"/>
      <c r="QL94" s="240" t="n"/>
      <c r="QM94" s="240" t="n"/>
      <c r="QO94" s="15" t="n"/>
      <c r="QP94" s="15" t="n"/>
      <c r="QQ94" s="248" t="n"/>
      <c r="QR94" s="248" t="n"/>
      <c r="QS94" s="240" t="n"/>
      <c r="QT94" s="240" t="n"/>
      <c r="QV94" s="15" t="n"/>
      <c r="QW94" s="15" t="n"/>
      <c r="QX94" s="248" t="n"/>
      <c r="QY94" s="248" t="n"/>
      <c r="QZ94" s="240" t="n"/>
      <c r="RA94" s="240" t="n"/>
      <c r="RC94" s="15" t="n"/>
      <c r="RD94" s="15" t="n"/>
      <c r="RE94" s="248" t="n"/>
      <c r="RF94" s="248" t="n"/>
      <c r="RG94" s="240" t="n"/>
      <c r="RH94" s="240" t="n"/>
      <c r="RJ94" s="15" t="n"/>
      <c r="RK94" s="15" t="n"/>
      <c r="RL94" s="248" t="n"/>
      <c r="RM94" s="248" t="n"/>
      <c r="RN94" s="240" t="n"/>
      <c r="RO94" s="240" t="n"/>
      <c r="RQ94" s="15" t="n"/>
      <c r="RR94" s="15" t="n"/>
      <c r="RS94" s="248" t="n"/>
      <c r="RT94" s="248" t="n"/>
      <c r="RU94" s="240" t="n"/>
      <c r="RV94" s="240" t="n"/>
      <c r="RX94" s="15" t="n"/>
      <c r="RY94" s="15" t="n"/>
      <c r="RZ94" s="248" t="n"/>
      <c r="SA94" s="248" t="n"/>
      <c r="SB94" s="240" t="n"/>
      <c r="SC94" s="240" t="n"/>
      <c r="SE94" s="15" t="n"/>
      <c r="SF94" s="15" t="n"/>
      <c r="SG94" s="248" t="n"/>
      <c r="SH94" s="248" t="n"/>
      <c r="SI94" s="240" t="n"/>
      <c r="SJ94" s="240" t="n"/>
      <c r="SL94" s="15" t="n"/>
      <c r="SM94" s="15" t="n"/>
      <c r="SN94" s="248" t="n"/>
      <c r="SO94" s="248" t="n"/>
      <c r="SP94" s="240" t="n"/>
      <c r="SQ94" s="240" t="n"/>
      <c r="SS94" s="15" t="n"/>
      <c r="ST94" s="15" t="n"/>
      <c r="SU94" s="248" t="n"/>
      <c r="SV94" s="248" t="n"/>
      <c r="SW94" s="240" t="n"/>
      <c r="SX94" s="240" t="n"/>
      <c r="SZ94" s="15" t="n"/>
      <c r="TA94" s="15" t="n"/>
      <c r="TB94" s="248" t="n"/>
      <c r="TC94" s="248" t="n"/>
      <c r="TD94" s="240" t="n"/>
      <c r="TE94" s="240" t="n"/>
      <c r="TG94" s="15" t="n"/>
      <c r="TH94" s="15" t="n"/>
      <c r="TI94" s="248" t="n"/>
      <c r="TJ94" s="248" t="n"/>
      <c r="TK94" s="240" t="n"/>
      <c r="TL94" s="240" t="n"/>
      <c r="TN94" s="15" t="n"/>
      <c r="TO94" s="15" t="n"/>
      <c r="TP94" s="248" t="n"/>
      <c r="TQ94" s="248" t="n"/>
      <c r="TR94" s="240" t="n"/>
      <c r="TS94" s="240" t="n"/>
      <c r="TU94" s="15" t="n"/>
      <c r="TV94" s="15" t="n"/>
      <c r="TW94" s="248" t="n"/>
      <c r="TX94" s="248" t="n"/>
      <c r="TY94" s="240" t="n"/>
      <c r="TZ94" s="240" t="n"/>
      <c r="UB94" s="15" t="n"/>
      <c r="UC94" s="15" t="n"/>
      <c r="UD94" s="248" t="n"/>
      <c r="UE94" s="248" t="n"/>
      <c r="UF94" s="240" t="n"/>
      <c r="UG94" s="240" t="n"/>
      <c r="UI94" s="15" t="n"/>
      <c r="UJ94" s="15" t="n"/>
      <c r="UK94" s="248" t="n"/>
      <c r="UL94" s="248" t="n"/>
      <c r="UM94" s="240" t="n"/>
      <c r="UN94" s="240" t="n"/>
      <c r="UP94" s="15" t="n"/>
      <c r="UQ94" s="15" t="n"/>
      <c r="UR94" s="248" t="n"/>
      <c r="US94" s="248" t="n"/>
      <c r="UT94" s="240" t="n"/>
      <c r="UU94" s="240" t="n"/>
      <c r="UW94" s="15" t="n"/>
      <c r="UX94" s="15" t="n"/>
      <c r="UY94" s="248" t="n"/>
      <c r="UZ94" s="248" t="n"/>
      <c r="VA94" s="240" t="n"/>
      <c r="VB94" s="240" t="n"/>
      <c r="VD94" s="15" t="n"/>
      <c r="VE94" s="15" t="n"/>
      <c r="VF94" s="248" t="n"/>
      <c r="VG94" s="248" t="n"/>
      <c r="VH94" s="240" t="n"/>
      <c r="VI94" s="240" t="n"/>
      <c r="VK94" s="15" t="n"/>
      <c r="VL94" s="15" t="n"/>
      <c r="VM94" s="248" t="n"/>
      <c r="VN94" s="248" t="n"/>
      <c r="VO94" s="240" t="n"/>
      <c r="VP94" s="240" t="n"/>
      <c r="VR94" s="15" t="n"/>
      <c r="VS94" s="15" t="n"/>
      <c r="VT94" s="248" t="n"/>
      <c r="VU94" s="248" t="n"/>
      <c r="VV94" s="240" t="n"/>
      <c r="VW94" s="240" t="n"/>
      <c r="VY94" s="15" t="n"/>
      <c r="VZ94" s="15" t="n"/>
      <c r="WA94" s="248" t="n"/>
      <c r="WB94" s="248" t="n"/>
      <c r="WC94" s="240" t="n"/>
      <c r="WD94" s="240" t="n"/>
      <c r="WF94" s="15" t="n"/>
      <c r="WG94" s="15" t="n"/>
      <c r="WH94" s="248" t="n"/>
      <c r="WI94" s="248" t="n"/>
      <c r="WJ94" s="240" t="n"/>
      <c r="WK94" s="240" t="n"/>
      <c r="WM94" s="15" t="n"/>
      <c r="WN94" s="15" t="n"/>
      <c r="WO94" s="248" t="n"/>
      <c r="WP94" s="248" t="n"/>
      <c r="WQ94" s="240" t="n"/>
      <c r="WR94" s="240" t="n"/>
      <c r="WT94" s="15" t="n"/>
      <c r="WU94" s="15" t="n"/>
      <c r="WV94" s="248" t="n"/>
      <c r="WW94" s="248" t="n"/>
      <c r="WX94" s="240" t="n"/>
      <c r="WY94" s="240" t="n"/>
      <c r="XA94" s="15" t="n"/>
      <c r="XB94" s="15" t="n"/>
      <c r="XC94" s="248" t="n"/>
      <c r="XD94" s="248" t="n"/>
      <c r="XE94" s="240" t="n"/>
      <c r="XF94" s="240" t="n"/>
      <c r="XH94" s="15" t="n"/>
      <c r="XI94" s="15" t="n"/>
      <c r="XJ94" s="248" t="n"/>
      <c r="XK94" s="248" t="n"/>
      <c r="XL94" s="240" t="n"/>
      <c r="XM94" s="240" t="n"/>
      <c r="XO94" s="15" t="n"/>
      <c r="XP94" s="15" t="n"/>
      <c r="XQ94" s="248" t="n"/>
      <c r="XR94" s="248" t="n"/>
      <c r="XS94" s="240" t="n"/>
      <c r="XT94" s="240" t="n"/>
      <c r="XV94" s="15" t="n"/>
      <c r="XW94" s="15" t="n"/>
      <c r="XX94" s="248" t="n"/>
      <c r="XY94" s="248" t="n"/>
      <c r="XZ94" s="240" t="n"/>
      <c r="YA94" s="240" t="n"/>
      <c r="YC94" s="15" t="n"/>
      <c r="YD94" s="15" t="n"/>
      <c r="YE94" s="248" t="n"/>
      <c r="YF94" s="248" t="n"/>
      <c r="YG94" s="240" t="n"/>
      <c r="YH94" s="240" t="n"/>
      <c r="YJ94" s="15" t="n"/>
      <c r="YK94" s="15" t="n"/>
      <c r="YL94" s="248" t="n"/>
      <c r="YM94" s="248" t="n"/>
      <c r="YN94" s="240" t="n"/>
      <c r="YO94" s="240" t="n"/>
      <c r="YQ94" s="15" t="n"/>
      <c r="YR94" s="15" t="n"/>
      <c r="YS94" s="248" t="n"/>
      <c r="YT94" s="248" t="n"/>
      <c r="YU94" s="240" t="n"/>
      <c r="YV94" s="240" t="n"/>
      <c r="YX94" s="15" t="n"/>
      <c r="YY94" s="15" t="n"/>
      <c r="YZ94" s="248" t="n"/>
      <c r="ZA94" s="248" t="n"/>
      <c r="ZB94" s="240" t="n"/>
      <c r="ZC94" s="240" t="n"/>
      <c r="ZE94" s="15" t="n"/>
      <c r="ZF94" s="15" t="n"/>
      <c r="ZG94" s="248" t="n"/>
      <c r="ZH94" s="248" t="n"/>
      <c r="ZI94" s="240" t="n"/>
      <c r="ZJ94" s="240" t="n"/>
      <c r="ZL94" s="15" t="n"/>
      <c r="ZM94" s="15" t="n"/>
      <c r="ZN94" s="248" t="n"/>
      <c r="ZO94" s="248" t="n"/>
      <c r="ZP94" s="240" t="n"/>
      <c r="ZQ94" s="240" t="n"/>
      <c r="ZS94" s="15" t="n"/>
      <c r="ZT94" s="15" t="n"/>
      <c r="ZU94" s="248" t="n"/>
      <c r="ZV94" s="248" t="n"/>
      <c r="ZW94" s="240" t="n"/>
      <c r="ZX94" s="240" t="n"/>
      <c r="ZZ94" s="15" t="n"/>
      <c r="AAA94" s="15" t="n"/>
      <c r="AAB94" s="248" t="n"/>
      <c r="AAC94" s="248" t="n"/>
      <c r="AAD94" s="240" t="n"/>
      <c r="AAE94" s="240" t="n"/>
      <c r="AAG94" s="15" t="n"/>
      <c r="AAH94" s="15" t="n"/>
      <c r="AAI94" s="248" t="n"/>
      <c r="AAJ94" s="248" t="n"/>
      <c r="AAK94" s="240" t="n"/>
      <c r="AAL94" s="240" t="n"/>
      <c r="AAN94" s="15" t="n"/>
      <c r="AAO94" s="15" t="n"/>
      <c r="AAP94" s="248" t="n"/>
      <c r="AAQ94" s="248" t="n"/>
      <c r="AAR94" s="240" t="n"/>
      <c r="AAS94" s="240" t="n"/>
      <c r="AAU94" s="15" t="n"/>
      <c r="AAV94" s="15" t="n"/>
      <c r="AAW94" s="248" t="n"/>
      <c r="AAX94" s="248" t="n"/>
      <c r="AAY94" s="240" t="n"/>
      <c r="AAZ94" s="240" t="n"/>
      <c r="ABB94" s="15" t="n"/>
      <c r="ABC94" s="15" t="n"/>
      <c r="ABD94" s="248" t="n"/>
      <c r="ABE94" s="248" t="n"/>
      <c r="ABF94" s="240" t="n"/>
      <c r="ABG94" s="240" t="n"/>
      <c r="ABI94" s="15" t="n"/>
      <c r="ABJ94" s="15" t="n"/>
      <c r="ABK94" s="248" t="n"/>
      <c r="ABL94" s="248" t="n"/>
      <c r="ABM94" s="240" t="n"/>
      <c r="ABN94" s="240" t="n"/>
      <c r="ABP94" s="15" t="n"/>
      <c r="ABQ94" s="15" t="n"/>
      <c r="ABR94" s="248" t="n"/>
      <c r="ABS94" s="248" t="n"/>
      <c r="ABT94" s="240" t="n"/>
      <c r="ABU94" s="240" t="n"/>
      <c r="ABW94" s="15" t="n"/>
      <c r="ABX94" s="15" t="n"/>
      <c r="ABY94" s="248" t="n"/>
      <c r="ABZ94" s="248" t="n"/>
      <c r="ACA94" s="240" t="n"/>
      <c r="ACB94" s="240" t="n"/>
      <c r="ACD94" s="15" t="n"/>
      <c r="ACE94" s="15" t="n"/>
      <c r="ACF94" s="248" t="n"/>
      <c r="ACG94" s="248" t="n"/>
      <c r="ACH94" s="240" t="n"/>
      <c r="ACI94" s="240" t="n"/>
      <c r="ACK94" s="15" t="n"/>
      <c r="ACL94" s="15" t="n"/>
      <c r="ACM94" s="248" t="n"/>
      <c r="ACN94" s="248" t="n"/>
      <c r="ACO94" s="240" t="n"/>
      <c r="ACP94" s="240" t="n"/>
      <c r="ACR94" s="15" t="n"/>
      <c r="ACS94" s="15" t="n"/>
      <c r="ACT94" s="248" t="n"/>
      <c r="ACU94" s="248" t="n"/>
      <c r="ACV94" s="240" t="n"/>
      <c r="ACW94" s="240" t="n"/>
      <c r="ACY94" s="15" t="n"/>
      <c r="ACZ94" s="15" t="n"/>
      <c r="ADA94" s="248" t="n"/>
      <c r="ADB94" s="248" t="n"/>
      <c r="ADC94" s="240" t="n"/>
      <c r="ADD94" s="240" t="n"/>
      <c r="ADF94" s="15" t="n"/>
      <c r="ADG94" s="15" t="n"/>
      <c r="ADH94" s="248" t="n"/>
      <c r="ADI94" s="248" t="n"/>
      <c r="ADJ94" s="240" t="n"/>
      <c r="ADK94" s="240" t="n"/>
      <c r="ADM94" s="15" t="n"/>
      <c r="ADN94" s="15" t="n"/>
      <c r="ADO94" s="248" t="n"/>
      <c r="ADP94" s="248" t="n"/>
      <c r="ADQ94" s="240" t="n"/>
      <c r="ADR94" s="240" t="n"/>
      <c r="ADT94" s="15" t="n"/>
      <c r="ADU94" s="15" t="n"/>
      <c r="ADV94" s="248" t="n"/>
      <c r="ADW94" s="248" t="n"/>
      <c r="ADX94" s="240" t="n"/>
      <c r="ADY94" s="240" t="n"/>
      <c r="AEA94" s="15" t="n"/>
      <c r="AEB94" s="15" t="n"/>
      <c r="AEC94" s="248" t="n"/>
      <c r="AED94" s="248" t="n"/>
      <c r="AEE94" s="240" t="n"/>
      <c r="AEF94" s="240" t="n"/>
      <c r="AEH94" s="15" t="n"/>
      <c r="AEI94" s="15" t="n"/>
      <c r="AEJ94" s="248" t="n"/>
      <c r="AEK94" s="248" t="n"/>
      <c r="AEL94" s="240" t="n"/>
      <c r="AEM94" s="240" t="n"/>
      <c r="AEO94" s="15" t="n"/>
      <c r="AEP94" s="15" t="n"/>
      <c r="AEQ94" s="248" t="n"/>
      <c r="AER94" s="248" t="n"/>
      <c r="AES94" s="240" t="n"/>
      <c r="AET94" s="240" t="n"/>
      <c r="AEV94" s="15" t="n"/>
      <c r="AEW94" s="15" t="n"/>
      <c r="AEX94" s="248" t="n"/>
      <c r="AEY94" s="248" t="n"/>
      <c r="AEZ94" s="240" t="n"/>
      <c r="AFA94" s="240" t="n"/>
      <c r="AFC94" s="15" t="n"/>
      <c r="AFD94" s="15" t="n"/>
      <c r="AFE94" s="248" t="n"/>
      <c r="AFF94" s="248" t="n"/>
      <c r="AFG94" s="240" t="n"/>
      <c r="AFH94" s="240" t="n"/>
      <c r="AFJ94" s="15" t="n"/>
      <c r="AFK94" s="15" t="n"/>
      <c r="AFL94" s="248" t="n"/>
      <c r="AFM94" s="248" t="n"/>
      <c r="AFN94" s="240" t="n"/>
      <c r="AFO94" s="240" t="n"/>
      <c r="AFQ94" s="15" t="n"/>
      <c r="AFR94" s="15" t="n"/>
      <c r="AFS94" s="248" t="n"/>
      <c r="AFT94" s="248" t="n"/>
      <c r="AFU94" s="240" t="n"/>
      <c r="AFV94" s="240" t="n"/>
      <c r="AFX94" s="15" t="n"/>
      <c r="AFY94" s="15" t="n"/>
      <c r="AFZ94" s="248" t="n"/>
      <c r="AGA94" s="248" t="n"/>
      <c r="AGB94" s="240" t="n"/>
      <c r="AGC94" s="240" t="n"/>
      <c r="AGE94" s="15" t="n"/>
      <c r="AGF94" s="15" t="n"/>
      <c r="AGG94" s="248" t="n"/>
      <c r="AGH94" s="248" t="n"/>
      <c r="AGI94" s="240" t="n"/>
      <c r="AGJ94" s="240" t="n"/>
      <c r="AGL94" s="15" t="n"/>
      <c r="AGM94" s="15" t="n"/>
      <c r="AGN94" s="248" t="n"/>
      <c r="AGO94" s="248" t="n"/>
      <c r="AGP94" s="240" t="n"/>
      <c r="AGQ94" s="240" t="n"/>
      <c r="AGS94" s="15" t="n"/>
      <c r="AGT94" s="15" t="n"/>
      <c r="AGU94" s="248" t="n"/>
      <c r="AGV94" s="248" t="n"/>
      <c r="AGW94" s="240" t="n"/>
      <c r="AGX94" s="240" t="n"/>
      <c r="AGZ94" s="15" t="n"/>
      <c r="AHA94" s="15" t="n"/>
      <c r="AHB94" s="248" t="n"/>
      <c r="AHC94" s="248" t="n"/>
      <c r="AHD94" s="240" t="n"/>
      <c r="AHE94" s="240" t="n"/>
      <c r="AHG94" s="15" t="n"/>
      <c r="AHH94" s="15" t="n"/>
      <c r="AHI94" s="248" t="n"/>
      <c r="AHJ94" s="248" t="n"/>
      <c r="AHK94" s="240" t="n"/>
      <c r="AHL94" s="240" t="n"/>
      <c r="AHN94" s="15" t="n"/>
      <c r="AHO94" s="15" t="n"/>
      <c r="AHP94" s="248" t="n"/>
      <c r="AHQ94" s="248" t="n"/>
      <c r="AHR94" s="240" t="n"/>
      <c r="AHS94" s="240" t="n"/>
      <c r="AHU94" s="15" t="n"/>
      <c r="AHV94" s="15" t="n"/>
      <c r="AHW94" s="248" t="n"/>
      <c r="AHX94" s="248" t="n"/>
      <c r="AHY94" s="240" t="n"/>
      <c r="AHZ94" s="240" t="n"/>
      <c r="AIB94" s="15" t="n"/>
      <c r="AIC94" s="15" t="n"/>
      <c r="AID94" s="248" t="n"/>
      <c r="AIE94" s="248" t="n"/>
      <c r="AIF94" s="240" t="n"/>
      <c r="AIG94" s="240" t="n"/>
      <c r="AII94" s="15" t="n"/>
      <c r="AIJ94" s="15" t="n"/>
      <c r="AIK94" s="248" t="n"/>
      <c r="AIL94" s="248" t="n"/>
      <c r="AIM94" s="240" t="n"/>
      <c r="AIN94" s="240" t="n"/>
      <c r="AIP94" s="15" t="n"/>
      <c r="AIQ94" s="15" t="n"/>
      <c r="AIR94" s="248" t="n"/>
      <c r="AIS94" s="248" t="n"/>
      <c r="AIT94" s="240" t="n"/>
      <c r="AIU94" s="240" t="n"/>
      <c r="AIW94" s="15" t="n"/>
      <c r="AIX94" s="15" t="n"/>
      <c r="AIY94" s="248" t="n"/>
      <c r="AIZ94" s="248" t="n"/>
      <c r="AJA94" s="240" t="n"/>
      <c r="AJB94" s="240" t="n"/>
      <c r="AJD94" s="15" t="n"/>
      <c r="AJE94" s="15" t="n"/>
      <c r="AJF94" s="248" t="n"/>
      <c r="AJG94" s="248" t="n"/>
      <c r="AJH94" s="240" t="n"/>
      <c r="AJI94" s="240" t="n"/>
      <c r="AJK94" s="15" t="n"/>
      <c r="AJL94" s="15" t="n"/>
      <c r="AJM94" s="248" t="n"/>
      <c r="AJN94" s="248" t="n"/>
      <c r="AJO94" s="240" t="n"/>
      <c r="AJP94" s="240" t="n"/>
      <c r="AJR94" s="15" t="n"/>
      <c r="AJS94" s="15" t="n"/>
      <c r="AJT94" s="248" t="n"/>
      <c r="AJU94" s="248" t="n"/>
      <c r="AJV94" s="240" t="n"/>
      <c r="AJW94" s="240" t="n"/>
      <c r="AJY94" s="15" t="n"/>
      <c r="AJZ94" s="15" t="n"/>
      <c r="AKA94" s="248" t="n"/>
      <c r="AKB94" s="248" t="n"/>
      <c r="AKC94" s="240" t="n"/>
      <c r="AKD94" s="240" t="n"/>
      <c r="AKF94" s="15" t="n"/>
      <c r="AKG94" s="15" t="n"/>
      <c r="AKH94" s="248" t="n"/>
      <c r="AKI94" s="248" t="n"/>
      <c r="AKJ94" s="240" t="n"/>
      <c r="AKK94" s="240" t="n"/>
      <c r="AKM94" s="15" t="n"/>
      <c r="AKN94" s="15" t="n"/>
      <c r="AKO94" s="248" t="n"/>
      <c r="AKP94" s="248" t="n"/>
      <c r="AKQ94" s="240" t="n"/>
      <c r="AKR94" s="240" t="n"/>
      <c r="AKT94" s="15" t="n"/>
      <c r="AKU94" s="15" t="n"/>
      <c r="AKV94" s="248" t="n"/>
      <c r="AKW94" s="248" t="n"/>
      <c r="AKX94" s="240" t="n"/>
      <c r="AKY94" s="240" t="n"/>
      <c r="ALA94" s="15" t="n"/>
      <c r="ALB94" s="15" t="n"/>
      <c r="ALC94" s="248" t="n"/>
      <c r="ALD94" s="248" t="n"/>
      <c r="ALE94" s="240" t="n"/>
      <c r="ALF94" s="240" t="n"/>
      <c r="ALH94" s="15" t="n"/>
      <c r="ALI94" s="15" t="n"/>
      <c r="ALJ94" s="248" t="n"/>
      <c r="ALK94" s="248" t="n"/>
      <c r="ALL94" s="240" t="n"/>
      <c r="ALM94" s="240" t="n"/>
      <c r="ALO94" s="15" t="n"/>
      <c r="ALP94" s="15" t="n"/>
      <c r="ALQ94" s="248" t="n"/>
      <c r="ALR94" s="248" t="n"/>
      <c r="ALS94" s="240" t="n"/>
      <c r="ALT94" s="240" t="n"/>
      <c r="ALV94" s="15" t="n"/>
      <c r="ALW94" s="15" t="n"/>
      <c r="ALX94" s="248" t="n"/>
      <c r="ALY94" s="248" t="n"/>
      <c r="ALZ94" s="240" t="n"/>
      <c r="AMA94" s="240" t="n"/>
      <c r="AMC94" s="15" t="n"/>
      <c r="AMD94" s="15" t="n"/>
      <c r="AME94" s="248" t="n"/>
      <c r="AMF94" s="248" t="n"/>
      <c r="AMG94" s="240" t="n"/>
      <c r="AMH94" s="240" t="n"/>
      <c r="AMJ94" s="15" t="n"/>
      <c r="AMK94" s="15" t="n"/>
      <c r="AML94" s="248" t="n"/>
      <c r="AMM94" s="248" t="n"/>
      <c r="AMN94" s="240" t="n"/>
      <c r="AMO94" s="240" t="n"/>
      <c r="AMQ94" s="15" t="n"/>
      <c r="AMR94" s="15" t="n"/>
      <c r="AMS94" s="248" t="n"/>
      <c r="AMT94" s="248" t="n"/>
      <c r="AMU94" s="240" t="n"/>
      <c r="AMV94" s="240" t="n"/>
      <c r="AMX94" s="15" t="n"/>
      <c r="AMY94" s="15" t="n"/>
      <c r="AMZ94" s="248" t="n"/>
      <c r="ANA94" s="248" t="n"/>
      <c r="ANB94" s="240" t="n"/>
      <c r="ANC94" s="240" t="n"/>
      <c r="ANE94" s="15" t="n"/>
      <c r="ANF94" s="15" t="n"/>
      <c r="ANG94" s="248" t="n"/>
      <c r="ANH94" s="248" t="n"/>
      <c r="ANI94" s="240" t="n"/>
      <c r="ANJ94" s="240" t="n"/>
      <c r="ANL94" s="15" t="n"/>
      <c r="ANM94" s="15" t="n"/>
      <c r="ANN94" s="248" t="n"/>
      <c r="ANO94" s="248" t="n"/>
      <c r="ANP94" s="240" t="n"/>
      <c r="ANQ94" s="240" t="n"/>
      <c r="ANS94" s="15" t="n"/>
      <c r="ANT94" s="15" t="n"/>
      <c r="ANU94" s="248" t="n"/>
      <c r="ANV94" s="248" t="n"/>
      <c r="ANW94" s="240" t="n"/>
      <c r="ANX94" s="240" t="n"/>
      <c r="ANZ94" s="15" t="n"/>
      <c r="AOA94" s="15" t="n"/>
      <c r="AOB94" s="248" t="n"/>
      <c r="AOC94" s="248" t="n"/>
      <c r="AOD94" s="240" t="n"/>
      <c r="AOE94" s="240" t="n"/>
      <c r="AOG94" s="15" t="n"/>
      <c r="AOH94" s="15" t="n"/>
      <c r="AOI94" s="248" t="n"/>
      <c r="AOJ94" s="248" t="n"/>
      <c r="AOK94" s="240" t="n"/>
      <c r="AOL94" s="240" t="n"/>
      <c r="AON94" s="15" t="n"/>
      <c r="AOO94" s="15" t="n"/>
      <c r="AOP94" s="248" t="n"/>
      <c r="AOQ94" s="248" t="n"/>
      <c r="AOR94" s="240" t="n"/>
      <c r="AOS94" s="240" t="n"/>
      <c r="AOU94" s="15" t="n"/>
      <c r="AOV94" s="15" t="n"/>
      <c r="AOW94" s="248" t="n"/>
      <c r="AOX94" s="248" t="n"/>
      <c r="AOY94" s="240" t="n"/>
      <c r="AOZ94" s="240" t="n"/>
      <c r="APB94" s="15" t="n"/>
      <c r="APC94" s="15" t="n"/>
      <c r="APD94" s="248" t="n"/>
      <c r="APE94" s="248" t="n"/>
      <c r="APF94" s="240" t="n"/>
      <c r="APG94" s="240" t="n"/>
      <c r="API94" s="15" t="n"/>
      <c r="APJ94" s="15" t="n"/>
      <c r="APK94" s="248" t="n"/>
      <c r="APL94" s="248" t="n"/>
      <c r="APM94" s="240" t="n"/>
      <c r="APN94" s="240" t="n"/>
      <c r="APP94" s="15" t="n"/>
      <c r="APQ94" s="15" t="n"/>
      <c r="APR94" s="248" t="n"/>
      <c r="APS94" s="248" t="n"/>
      <c r="APT94" s="240" t="n"/>
      <c r="APU94" s="240" t="n"/>
      <c r="APW94" s="15" t="n"/>
      <c r="APX94" s="15" t="n"/>
      <c r="APY94" s="248" t="n"/>
      <c r="APZ94" s="248" t="n"/>
      <c r="AQA94" s="240" t="n"/>
      <c r="AQB94" s="240" t="n"/>
      <c r="AQD94" s="15" t="n"/>
      <c r="AQE94" s="15" t="n"/>
      <c r="AQF94" s="248" t="n"/>
      <c r="AQG94" s="248" t="n"/>
      <c r="AQH94" s="240" t="n"/>
      <c r="AQI94" s="240" t="n"/>
      <c r="AQK94" s="15" t="n"/>
      <c r="AQL94" s="15" t="n"/>
      <c r="AQM94" s="248" t="n"/>
      <c r="AQN94" s="248" t="n"/>
      <c r="AQO94" s="240" t="n"/>
      <c r="AQP94" s="240" t="n"/>
      <c r="AQR94" s="15" t="n"/>
      <c r="AQS94" s="15" t="n"/>
      <c r="AQT94" s="248" t="n"/>
      <c r="AQU94" s="248" t="n"/>
      <c r="AQV94" s="240" t="n"/>
      <c r="AQW94" s="240" t="n"/>
      <c r="AQY94" s="15" t="n"/>
      <c r="AQZ94" s="15" t="n"/>
      <c r="ARA94" s="248" t="n"/>
      <c r="ARB94" s="248" t="n"/>
      <c r="ARC94" s="240" t="n"/>
      <c r="ARD94" s="240" t="n"/>
      <c r="ARF94" s="15" t="n"/>
      <c r="ARG94" s="15" t="n"/>
      <c r="ARH94" s="248" t="n"/>
      <c r="ARI94" s="248" t="n"/>
      <c r="ARJ94" s="240" t="n"/>
      <c r="ARK94" s="240" t="n"/>
      <c r="ARM94" s="15" t="n"/>
      <c r="ARN94" s="15" t="n"/>
      <c r="ARO94" s="248" t="n"/>
      <c r="ARP94" s="248" t="n"/>
      <c r="ARQ94" s="240" t="n"/>
      <c r="ARR94" s="240" t="n"/>
      <c r="ART94" s="15" t="n"/>
      <c r="ARU94" s="15" t="n"/>
      <c r="ARV94" s="248" t="n"/>
      <c r="ARW94" s="248" t="n"/>
      <c r="ARX94" s="240" t="n"/>
      <c r="ARY94" s="240" t="n"/>
      <c r="ASA94" s="15" t="n"/>
      <c r="ASB94" s="15" t="n"/>
      <c r="ASC94" s="248" t="n"/>
      <c r="ASD94" s="248" t="n"/>
      <c r="ASE94" s="240" t="n"/>
      <c r="ASF94" s="240" t="n"/>
      <c r="ASH94" s="15" t="n"/>
      <c r="ASI94" s="15" t="n"/>
      <c r="ASJ94" s="248" t="n"/>
      <c r="ASK94" s="248" t="n"/>
      <c r="ASL94" s="240" t="n"/>
      <c r="ASM94" s="240" t="n"/>
      <c r="ASO94" s="15" t="n"/>
      <c r="ASP94" s="15" t="n"/>
      <c r="ASQ94" s="248" t="n"/>
      <c r="ASR94" s="248" t="n"/>
      <c r="ASS94" s="240" t="n"/>
      <c r="AST94" s="240" t="n"/>
      <c r="ASV94" s="15" t="n"/>
      <c r="ASW94" s="15" t="n"/>
      <c r="ASX94" s="248" t="n"/>
      <c r="ASY94" s="248" t="n"/>
      <c r="ASZ94" s="240" t="n"/>
      <c r="ATA94" s="240" t="n"/>
      <c r="ATC94" s="15" t="n"/>
      <c r="ATD94" s="15" t="n"/>
      <c r="ATE94" s="248" t="n"/>
      <c r="ATF94" s="248" t="n"/>
      <c r="ATG94" s="240" t="n"/>
      <c r="ATH94" s="240" t="n"/>
      <c r="ATJ94" s="15" t="n"/>
      <c r="ATK94" s="15" t="n"/>
      <c r="ATL94" s="248" t="n"/>
      <c r="ATM94" s="248" t="n"/>
      <c r="ATN94" s="240" t="n"/>
      <c r="ATO94" s="240" t="n"/>
      <c r="ATQ94" s="15" t="n"/>
      <c r="ATR94" s="15" t="n"/>
      <c r="ATS94" s="248" t="n"/>
      <c r="ATT94" s="248" t="n"/>
      <c r="ATU94" s="240" t="n"/>
      <c r="ATV94" s="240" t="n"/>
      <c r="ATX94" s="15" t="n"/>
      <c r="ATY94" s="15" t="n"/>
      <c r="ATZ94" s="248" t="n"/>
      <c r="AUA94" s="248" t="n"/>
      <c r="AUB94" s="240" t="n"/>
      <c r="AUC94" s="240" t="n"/>
      <c r="AUE94" s="15" t="n"/>
      <c r="AUF94" s="15" t="n"/>
      <c r="AUG94" s="248" t="n"/>
      <c r="AUH94" s="248" t="n"/>
      <c r="AUI94" s="240" t="n"/>
      <c r="AUJ94" s="240" t="n"/>
      <c r="AUL94" s="15" t="n"/>
      <c r="AUM94" s="15" t="n"/>
      <c r="AUN94" s="248" t="n"/>
      <c r="AUO94" s="248" t="n"/>
      <c r="AUP94" s="240" t="n"/>
      <c r="AUQ94" s="240" t="n"/>
      <c r="AUS94" s="15" t="n"/>
      <c r="AUT94" s="15" t="n"/>
      <c r="AUU94" s="248" t="n"/>
      <c r="AUV94" s="248" t="n"/>
      <c r="AUW94" s="240" t="n"/>
      <c r="AUX94" s="240" t="n"/>
      <c r="AUZ94" s="15" t="n"/>
      <c r="AVA94" s="15" t="n"/>
      <c r="AVB94" s="248" t="n"/>
      <c r="AVC94" s="248" t="n"/>
      <c r="AVD94" s="240" t="n"/>
      <c r="AVE94" s="240" t="n"/>
      <c r="AVG94" s="15" t="n"/>
      <c r="AVH94" s="15" t="n"/>
      <c r="AVI94" s="248" t="n"/>
      <c r="AVJ94" s="248" t="n"/>
      <c r="AVK94" s="240" t="n"/>
      <c r="AVL94" s="240" t="n"/>
      <c r="AVN94" s="15" t="n"/>
      <c r="AVO94" s="15" t="n"/>
      <c r="AVP94" s="248" t="n"/>
      <c r="AVQ94" s="248" t="n"/>
      <c r="AVR94" s="240" t="n"/>
      <c r="AVS94" s="240" t="n"/>
      <c r="AVU94" s="15" t="n"/>
      <c r="AVV94" s="15" t="n"/>
      <c r="AVW94" s="248" t="n"/>
      <c r="AVX94" s="248" t="n"/>
      <c r="AVY94" s="240" t="n"/>
      <c r="AVZ94" s="240" t="n"/>
      <c r="AWB94" s="15" t="n"/>
      <c r="AWC94" s="15" t="n"/>
      <c r="AWD94" s="248" t="n"/>
      <c r="AWE94" s="248" t="n"/>
      <c r="AWF94" s="240" t="n"/>
      <c r="AWG94" s="240" t="n"/>
      <c r="AWI94" s="15" t="n"/>
      <c r="AWJ94" s="15" t="n"/>
      <c r="AWK94" s="248" t="n"/>
      <c r="AWL94" s="248" t="n"/>
      <c r="AWM94" s="240" t="n"/>
      <c r="AWN94" s="240" t="n"/>
      <c r="AWP94" s="15" t="n"/>
      <c r="AWQ94" s="15" t="n"/>
      <c r="AWR94" s="248" t="n"/>
      <c r="AWS94" s="248" t="n"/>
      <c r="AWT94" s="240" t="n"/>
      <c r="AWU94" s="240" t="n"/>
      <c r="AWW94" s="15" t="n"/>
      <c r="AWX94" s="15" t="n"/>
      <c r="AWY94" s="248" t="n"/>
      <c r="AWZ94" s="248" t="n"/>
      <c r="AXA94" s="240" t="n"/>
      <c r="AXB94" s="240" t="n"/>
      <c r="AXD94" s="15" t="n"/>
      <c r="AXE94" s="15" t="n"/>
      <c r="AXF94" s="248" t="n"/>
      <c r="AXG94" s="248" t="n"/>
      <c r="AXH94" s="240" t="n"/>
      <c r="AXI94" s="240" t="n"/>
      <c r="AXK94" s="15" t="n"/>
      <c r="AXL94" s="15" t="n"/>
      <c r="AXM94" s="248" t="n"/>
      <c r="AXN94" s="248" t="n"/>
      <c r="AXO94" s="240" t="n"/>
      <c r="AXP94" s="240" t="n"/>
      <c r="AXR94" s="15" t="n"/>
      <c r="AXS94" s="15" t="n"/>
      <c r="AXT94" s="248" t="n"/>
      <c r="AXU94" s="248" t="n"/>
      <c r="AXV94" s="240" t="n"/>
      <c r="AXW94" s="240" t="n"/>
      <c r="AXY94" s="15" t="n"/>
      <c r="AXZ94" s="15" t="n"/>
      <c r="AYA94" s="248" t="n"/>
      <c r="AYB94" s="248" t="n"/>
      <c r="AYC94" s="240" t="n"/>
      <c r="AYD94" s="240" t="n"/>
      <c r="AYF94" s="15" t="n"/>
      <c r="AYG94" s="15" t="n"/>
      <c r="AYH94" s="248" t="n"/>
      <c r="AYI94" s="248" t="n"/>
      <c r="AYJ94" s="240" t="n"/>
      <c r="AYK94" s="240" t="n"/>
      <c r="AYM94" s="15" t="n"/>
      <c r="AYN94" s="15" t="n"/>
      <c r="AYO94" s="248" t="n"/>
      <c r="AYP94" s="248" t="n"/>
      <c r="AYQ94" s="240" t="n"/>
      <c r="AYR94" s="240" t="n"/>
      <c r="AYT94" s="15" t="n"/>
      <c r="AYU94" s="15" t="n"/>
      <c r="AYV94" s="248" t="n"/>
      <c r="AYW94" s="248" t="n"/>
      <c r="AYX94" s="240" t="n"/>
      <c r="AYY94" s="240" t="n"/>
      <c r="AZA94" s="15" t="n"/>
      <c r="AZB94" s="15" t="n"/>
      <c r="AZC94" s="248" t="n"/>
      <c r="AZD94" s="248" t="n"/>
      <c r="AZE94" s="240" t="n"/>
      <c r="AZF94" s="240" t="n"/>
      <c r="AZH94" s="15" t="n"/>
      <c r="AZI94" s="15" t="n"/>
      <c r="AZJ94" s="248" t="n"/>
      <c r="AZK94" s="248" t="n"/>
      <c r="AZL94" s="240" t="n"/>
      <c r="AZM94" s="240" t="n"/>
      <c r="AZO94" s="15" t="n"/>
      <c r="AZP94" s="15" t="n"/>
      <c r="AZQ94" s="248" t="n"/>
      <c r="AZR94" s="248" t="n"/>
      <c r="AZS94" s="240" t="n"/>
      <c r="AZT94" s="240" t="n"/>
      <c r="AZV94" s="15" t="n"/>
      <c r="AZW94" s="15" t="n"/>
      <c r="AZX94" s="248" t="n"/>
      <c r="AZY94" s="248" t="n"/>
      <c r="AZZ94" s="240" t="n"/>
      <c r="BAA94" s="240" t="n"/>
      <c r="BAC94" s="15" t="n"/>
      <c r="BAD94" s="15" t="n"/>
      <c r="BAE94" s="248" t="n"/>
      <c r="BAF94" s="248" t="n"/>
      <c r="BAG94" s="240" t="n"/>
      <c r="BAH94" s="240" t="n"/>
      <c r="BAJ94" s="15" t="n"/>
      <c r="BAK94" s="15" t="n"/>
      <c r="BAL94" s="248" t="n"/>
      <c r="BAM94" s="248" t="n"/>
      <c r="BAN94" s="240" t="n"/>
      <c r="BAO94" s="240" t="n"/>
      <c r="BAQ94" s="15" t="n"/>
      <c r="BAR94" s="15" t="n"/>
      <c r="BAS94" s="248" t="n"/>
      <c r="BAT94" s="248" t="n"/>
      <c r="BAU94" s="240" t="n"/>
      <c r="BAV94" s="240" t="n"/>
      <c r="BAX94" s="15" t="n"/>
      <c r="BAY94" s="15" t="n"/>
      <c r="BAZ94" s="248" t="n"/>
      <c r="BBA94" s="248" t="n"/>
      <c r="BBB94" s="240" t="n"/>
      <c r="BBC94" s="240" t="n"/>
      <c r="BBE94" s="15" t="n"/>
      <c r="BBF94" s="15" t="n"/>
      <c r="BBG94" s="248" t="n"/>
      <c r="BBH94" s="248" t="n"/>
      <c r="BBI94" s="240" t="n"/>
      <c r="BBJ94" s="240" t="n"/>
      <c r="BBL94" s="15" t="n"/>
      <c r="BBM94" s="15" t="n"/>
      <c r="BBN94" s="248" t="n"/>
      <c r="BBO94" s="248" t="n"/>
      <c r="BBP94" s="240" t="n"/>
      <c r="BBQ94" s="240" t="n"/>
      <c r="BBS94" s="15" t="n"/>
      <c r="BBT94" s="15" t="n"/>
      <c r="BBU94" s="248" t="n"/>
      <c r="BBV94" s="248" t="n"/>
      <c r="BBW94" s="240" t="n"/>
      <c r="BBX94" s="240" t="n"/>
      <c r="BBZ94" s="15" t="n"/>
      <c r="BCA94" s="15" t="n"/>
      <c r="BCB94" s="248" t="n"/>
      <c r="BCC94" s="248" t="n"/>
      <c r="BCD94" s="240" t="n"/>
      <c r="BCE94" s="240" t="n"/>
      <c r="BCG94" s="15" t="n"/>
      <c r="BCH94" s="15" t="n"/>
      <c r="BCI94" s="248" t="n"/>
      <c r="BCJ94" s="248" t="n"/>
      <c r="BCK94" s="240" t="n"/>
      <c r="BCL94" s="240" t="n"/>
      <c r="BCN94" s="15" t="n"/>
      <c r="BCO94" s="15" t="n"/>
      <c r="BCP94" s="248" t="n"/>
      <c r="BCQ94" s="248" t="n"/>
      <c r="BCR94" s="240" t="n"/>
      <c r="BCS94" s="240" t="n"/>
      <c r="BCU94" s="15" t="n"/>
      <c r="BCV94" s="15" t="n"/>
      <c r="BCW94" s="248" t="n"/>
      <c r="BCX94" s="248" t="n"/>
      <c r="BCY94" s="240" t="n"/>
      <c r="BCZ94" s="240" t="n"/>
      <c r="BDB94" s="15" t="n"/>
      <c r="BDC94" s="15" t="n"/>
      <c r="BDD94" s="248" t="n"/>
      <c r="BDE94" s="248" t="n"/>
      <c r="BDF94" s="240" t="n"/>
      <c r="BDG94" s="240" t="n"/>
      <c r="BDI94" s="15" t="n"/>
      <c r="BDJ94" s="15" t="n"/>
      <c r="BDK94" s="248" t="n"/>
      <c r="BDL94" s="248" t="n"/>
      <c r="BDM94" s="240" t="n"/>
      <c r="BDN94" s="240" t="n"/>
      <c r="BDP94" s="15" t="n"/>
      <c r="BDQ94" s="15" t="n"/>
      <c r="BDR94" s="248" t="n"/>
      <c r="BDS94" s="248" t="n"/>
      <c r="BDT94" s="240" t="n"/>
      <c r="BDU94" s="240" t="n"/>
      <c r="BDW94" s="15" t="n"/>
      <c r="BDX94" s="15" t="n"/>
      <c r="BDY94" s="248" t="n"/>
      <c r="BDZ94" s="248" t="n"/>
      <c r="BEA94" s="240" t="n"/>
      <c r="BEB94" s="240" t="n"/>
      <c r="BED94" s="15" t="n"/>
      <c r="BEE94" s="15" t="n"/>
      <c r="BEF94" s="248" t="n"/>
      <c r="BEG94" s="248" t="n"/>
      <c r="BEH94" s="240" t="n"/>
      <c r="BEI94" s="240" t="n"/>
      <c r="BEK94" s="15" t="n"/>
      <c r="BEL94" s="15" t="n"/>
      <c r="BEM94" s="248" t="n"/>
      <c r="BEN94" s="248" t="n"/>
      <c r="BEO94" s="240" t="n"/>
      <c r="BEP94" s="240" t="n"/>
      <c r="BER94" s="15" t="n"/>
      <c r="BES94" s="15" t="n"/>
      <c r="BET94" s="248" t="n"/>
      <c r="BEU94" s="248" t="n"/>
      <c r="BEV94" s="240" t="n"/>
      <c r="BEW94" s="240" t="n"/>
      <c r="BEY94" s="15" t="n"/>
      <c r="BEZ94" s="15" t="n"/>
      <c r="BFA94" s="248" t="n"/>
      <c r="BFB94" s="248" t="n"/>
      <c r="BFC94" s="240" t="n"/>
      <c r="BFD94" s="240" t="n"/>
      <c r="BFF94" s="15" t="n"/>
      <c r="BFG94" s="15" t="n"/>
      <c r="BFH94" s="248" t="n"/>
      <c r="BFI94" s="248" t="n"/>
      <c r="BFJ94" s="240" t="n"/>
      <c r="BFK94" s="240" t="n"/>
      <c r="BFM94" s="15" t="n"/>
      <c r="BFN94" s="15" t="n"/>
      <c r="BFO94" s="248" t="n"/>
      <c r="BFP94" s="248" t="n"/>
      <c r="BFQ94" s="240" t="n"/>
      <c r="BFR94" s="240" t="n"/>
      <c r="BFT94" s="15" t="n"/>
      <c r="BFU94" s="15" t="n"/>
      <c r="BFV94" s="248" t="n"/>
      <c r="BFW94" s="248" t="n"/>
      <c r="BFX94" s="240" t="n"/>
      <c r="BFY94" s="240" t="n"/>
      <c r="BGA94" s="15" t="n"/>
      <c r="BGB94" s="15" t="n"/>
      <c r="BGC94" s="248" t="n"/>
      <c r="BGD94" s="248" t="n"/>
      <c r="BGE94" s="240" t="n"/>
      <c r="BGF94" s="240" t="n"/>
      <c r="BGH94" s="15" t="n"/>
      <c r="BGI94" s="15" t="n"/>
      <c r="BGJ94" s="248" t="n"/>
      <c r="BGK94" s="248" t="n"/>
      <c r="BGL94" s="240" t="n"/>
      <c r="BGM94" s="240" t="n"/>
      <c r="BGO94" s="15" t="n"/>
      <c r="BGP94" s="15" t="n"/>
      <c r="BGQ94" s="248" t="n"/>
      <c r="BGR94" s="248" t="n"/>
      <c r="BGS94" s="240" t="n"/>
      <c r="BGT94" s="240" t="n"/>
      <c r="BGV94" s="15" t="n"/>
      <c r="BGW94" s="15" t="n"/>
      <c r="BGX94" s="248" t="n"/>
      <c r="BGY94" s="248" t="n"/>
      <c r="BGZ94" s="240" t="n"/>
      <c r="BHA94" s="240" t="n"/>
      <c r="BHC94" s="15" t="n"/>
      <c r="BHD94" s="15" t="n"/>
      <c r="BHE94" s="248" t="n"/>
      <c r="BHF94" s="248" t="n"/>
      <c r="BHG94" s="240" t="n"/>
      <c r="BHH94" s="240" t="n"/>
      <c r="BHJ94" s="15" t="n"/>
      <c r="BHK94" s="15" t="n"/>
      <c r="BHL94" s="248" t="n"/>
      <c r="BHM94" s="248" t="n"/>
      <c r="BHN94" s="240" t="n"/>
      <c r="BHO94" s="240" t="n"/>
      <c r="BHQ94" s="15" t="n"/>
      <c r="BHR94" s="15" t="n"/>
      <c r="BHS94" s="248" t="n"/>
      <c r="BHT94" s="248" t="n"/>
      <c r="BHU94" s="240" t="n"/>
      <c r="BHV94" s="240" t="n"/>
      <c r="BHX94" s="15" t="n"/>
      <c r="BHY94" s="15" t="n"/>
      <c r="BHZ94" s="248" t="n"/>
      <c r="BIA94" s="248" t="n"/>
      <c r="BIB94" s="240" t="n"/>
      <c r="BIC94" s="240" t="n"/>
      <c r="BIE94" s="15" t="n"/>
      <c r="BIF94" s="15" t="n"/>
      <c r="BIG94" s="248" t="n"/>
      <c r="BIH94" s="248" t="n"/>
      <c r="BII94" s="240" t="n"/>
      <c r="BIJ94" s="240" t="n"/>
      <c r="BIL94" s="15" t="n"/>
      <c r="BIM94" s="15" t="n"/>
      <c r="BIN94" s="248" t="n"/>
      <c r="BIO94" s="248" t="n"/>
      <c r="BIP94" s="240" t="n"/>
      <c r="BIQ94" s="240" t="n"/>
      <c r="BIS94" s="15" t="n"/>
      <c r="BIT94" s="15" t="n"/>
      <c r="BIU94" s="248" t="n"/>
      <c r="BIV94" s="248" t="n"/>
      <c r="BIW94" s="240" t="n"/>
      <c r="BIX94" s="240" t="n"/>
      <c r="BIZ94" s="15" t="n"/>
      <c r="BJA94" s="15" t="n"/>
      <c r="BJB94" s="248" t="n"/>
      <c r="BJC94" s="248" t="n"/>
      <c r="BJD94" s="240" t="n"/>
      <c r="BJE94" s="240" t="n"/>
      <c r="BJG94" s="15" t="n"/>
      <c r="BJH94" s="15" t="n"/>
      <c r="BJI94" s="248" t="n"/>
      <c r="BJJ94" s="248" t="n"/>
      <c r="BJK94" s="240" t="n"/>
      <c r="BJL94" s="240" t="n"/>
      <c r="BJN94" s="15" t="n"/>
      <c r="BJO94" s="15" t="n"/>
      <c r="BJP94" s="248" t="n"/>
      <c r="BJQ94" s="248" t="n"/>
      <c r="BJR94" s="240" t="n"/>
      <c r="BJS94" s="240" t="n"/>
      <c r="BJU94" s="15" t="n"/>
      <c r="BJV94" s="15" t="n"/>
      <c r="BJW94" s="248" t="n"/>
      <c r="BJX94" s="248" t="n"/>
      <c r="BJY94" s="240" t="n"/>
      <c r="BJZ94" s="240" t="n"/>
      <c r="BKB94" s="15" t="n"/>
      <c r="BKC94" s="15" t="n"/>
      <c r="BKD94" s="248" t="n"/>
      <c r="BKE94" s="248" t="n"/>
      <c r="BKF94" s="240" t="n"/>
      <c r="BKG94" s="240" t="n"/>
      <c r="BKI94" s="15" t="n"/>
      <c r="BKJ94" s="15" t="n"/>
      <c r="BKK94" s="248" t="n"/>
      <c r="BKL94" s="248" t="n"/>
      <c r="BKM94" s="240" t="n"/>
      <c r="BKN94" s="240" t="n"/>
      <c r="BKP94" s="15" t="n"/>
      <c r="BKQ94" s="15" t="n"/>
      <c r="BKR94" s="248" t="n"/>
      <c r="BKS94" s="248" t="n"/>
      <c r="BKT94" s="240" t="n"/>
      <c r="BKU94" s="240" t="n"/>
      <c r="BKW94" s="15" t="n"/>
      <c r="BKX94" s="15" t="n"/>
      <c r="BKY94" s="248" t="n"/>
      <c r="BKZ94" s="248" t="n"/>
      <c r="BLA94" s="240" t="n"/>
      <c r="BLB94" s="240" t="n"/>
      <c r="BLD94" s="15" t="n"/>
      <c r="BLE94" s="15" t="n"/>
      <c r="BLF94" s="248" t="n"/>
      <c r="BLG94" s="248" t="n"/>
      <c r="BLH94" s="240" t="n"/>
      <c r="BLI94" s="240" t="n"/>
      <c r="BLK94" s="15" t="n"/>
      <c r="BLL94" s="15" t="n"/>
      <c r="BLM94" s="248" t="n"/>
      <c r="BLN94" s="248" t="n"/>
      <c r="BLO94" s="240" t="n"/>
      <c r="BLP94" s="240" t="n"/>
      <c r="BLR94" s="15" t="n"/>
      <c r="BLS94" s="15" t="n"/>
      <c r="BLT94" s="248" t="n"/>
      <c r="BLU94" s="248" t="n"/>
      <c r="BLV94" s="240" t="n"/>
      <c r="BLW94" s="240" t="n"/>
      <c r="BLY94" s="15" t="n"/>
      <c r="BLZ94" s="15" t="n"/>
      <c r="BMA94" s="248" t="n"/>
      <c r="BMB94" s="248" t="n"/>
      <c r="BMC94" s="240" t="n"/>
      <c r="BMD94" s="240" t="n"/>
      <c r="BMF94" s="15" t="n"/>
      <c r="BMG94" s="15" t="n"/>
      <c r="BMH94" s="248" t="n"/>
      <c r="BMI94" s="248" t="n"/>
      <c r="BMJ94" s="240" t="n"/>
      <c r="BMK94" s="240" t="n"/>
      <c r="BMM94" s="15" t="n"/>
      <c r="BMN94" s="15" t="n"/>
      <c r="BMO94" s="248" t="n"/>
      <c r="BMP94" s="248" t="n"/>
      <c r="BMQ94" s="240" t="n"/>
      <c r="BMR94" s="240" t="n"/>
      <c r="BMT94" s="15" t="n"/>
      <c r="BMU94" s="15" t="n"/>
      <c r="BMV94" s="248" t="n"/>
      <c r="BMW94" s="248" t="n"/>
      <c r="BMX94" s="240" t="n"/>
      <c r="BMY94" s="240" t="n"/>
      <c r="BNA94" s="15" t="n"/>
      <c r="BNB94" s="15" t="n"/>
      <c r="BNC94" s="248" t="n"/>
      <c r="BND94" s="248" t="n"/>
      <c r="BNE94" s="240" t="n"/>
      <c r="BNF94" s="240" t="n"/>
      <c r="BNH94" s="15" t="n"/>
      <c r="BNI94" s="15" t="n"/>
      <c r="BNJ94" s="248" t="n"/>
      <c r="BNK94" s="248" t="n"/>
      <c r="BNL94" s="240" t="n"/>
      <c r="BNM94" s="240" t="n"/>
      <c r="BNO94" s="15" t="n"/>
      <c r="BNP94" s="15" t="n"/>
      <c r="BNQ94" s="248" t="n"/>
      <c r="BNR94" s="248" t="n"/>
      <c r="BNS94" s="240" t="n"/>
      <c r="BNT94" s="240" t="n"/>
      <c r="BNV94" s="15" t="n"/>
      <c r="BNW94" s="15" t="n"/>
      <c r="BNX94" s="248" t="n"/>
      <c r="BNY94" s="248" t="n"/>
      <c r="BNZ94" s="240" t="n"/>
      <c r="BOA94" s="240" t="n"/>
      <c r="BOC94" s="15" t="n"/>
      <c r="BOD94" s="15" t="n"/>
      <c r="BOE94" s="248" t="n"/>
      <c r="BOF94" s="248" t="n"/>
      <c r="BOG94" s="240" t="n"/>
      <c r="BOH94" s="240" t="n"/>
      <c r="BOJ94" s="15" t="n"/>
      <c r="BOK94" s="15" t="n"/>
      <c r="BOL94" s="248" t="n"/>
      <c r="BOM94" s="248" t="n"/>
      <c r="BON94" s="240" t="n"/>
      <c r="BOO94" s="240" t="n"/>
      <c r="BOQ94" s="15" t="n"/>
      <c r="BOR94" s="15" t="n"/>
      <c r="BOS94" s="248" t="n"/>
      <c r="BOT94" s="248" t="n"/>
      <c r="BOU94" s="240" t="n"/>
      <c r="BOV94" s="240" t="n"/>
      <c r="BOX94" s="15" t="n"/>
      <c r="BOY94" s="15" t="n"/>
      <c r="BOZ94" s="248" t="n"/>
      <c r="BPA94" s="248" t="n"/>
      <c r="BPB94" s="240" t="n"/>
      <c r="BPC94" s="240" t="n"/>
      <c r="BPE94" s="15" t="n"/>
      <c r="BPF94" s="15" t="n"/>
      <c r="BPG94" s="248" t="n"/>
      <c r="BPH94" s="248" t="n"/>
      <c r="BPI94" s="240" t="n"/>
      <c r="BPJ94" s="240" t="n"/>
      <c r="BPL94" s="15" t="n"/>
      <c r="BPM94" s="15" t="n"/>
      <c r="BPN94" s="248" t="n"/>
      <c r="BPO94" s="248" t="n"/>
      <c r="BPP94" s="240" t="n"/>
      <c r="BPQ94" s="240" t="n"/>
      <c r="BPS94" s="15" t="n"/>
      <c r="BPT94" s="15" t="n"/>
      <c r="BPU94" s="248" t="n"/>
      <c r="BPV94" s="248" t="n"/>
      <c r="BPW94" s="240" t="n"/>
      <c r="BPX94" s="240" t="n"/>
      <c r="BPZ94" s="15" t="n"/>
      <c r="BQA94" s="15" t="n"/>
      <c r="BQB94" s="248" t="n"/>
      <c r="BQC94" s="248" t="n"/>
      <c r="BQD94" s="240" t="n"/>
      <c r="BQE94" s="240" t="n"/>
      <c r="BQG94" s="15" t="n"/>
      <c r="BQH94" s="15" t="n"/>
      <c r="BQI94" s="248" t="n"/>
      <c r="BQJ94" s="248" t="n"/>
      <c r="BQK94" s="240" t="n"/>
      <c r="BQL94" s="240" t="n"/>
      <c r="BQN94" s="15" t="n"/>
      <c r="BQO94" s="15" t="n"/>
      <c r="BQP94" s="248" t="n"/>
      <c r="BQQ94" s="248" t="n"/>
      <c r="BQR94" s="240" t="n"/>
      <c r="BQS94" s="240" t="n"/>
      <c r="BQU94" s="15" t="n"/>
      <c r="BQV94" s="15" t="n"/>
      <c r="BQW94" s="248" t="n"/>
      <c r="BQX94" s="248" t="n"/>
      <c r="BQY94" s="240" t="n"/>
      <c r="BQZ94" s="240" t="n"/>
      <c r="BRB94" s="15" t="n"/>
      <c r="BRC94" s="15" t="n"/>
      <c r="BRD94" s="248" t="n"/>
      <c r="BRE94" s="248" t="n"/>
      <c r="BRF94" s="240" t="n"/>
      <c r="BRG94" s="240" t="n"/>
      <c r="BRI94" s="15" t="n"/>
      <c r="BRJ94" s="15" t="n"/>
      <c r="BRK94" s="248" t="n"/>
      <c r="BRL94" s="248" t="n"/>
      <c r="BRM94" s="240" t="n"/>
      <c r="BRN94" s="240" t="n"/>
      <c r="BRP94" s="15" t="n"/>
      <c r="BRQ94" s="15" t="n"/>
      <c r="BRR94" s="248" t="n"/>
      <c r="BRS94" s="248" t="n"/>
      <c r="BRT94" s="240" t="n"/>
      <c r="BRU94" s="240" t="n"/>
      <c r="BRW94" s="15" t="n"/>
      <c r="BRX94" s="15" t="n"/>
      <c r="BRY94" s="248" t="n"/>
      <c r="BRZ94" s="248" t="n"/>
      <c r="BSA94" s="240" t="n"/>
      <c r="BSB94" s="240" t="n"/>
      <c r="BSD94" s="15" t="n"/>
      <c r="BSE94" s="15" t="n"/>
      <c r="BSF94" s="248" t="n"/>
      <c r="BSG94" s="248" t="n"/>
      <c r="BSH94" s="240" t="n"/>
      <c r="BSI94" s="240" t="n"/>
      <c r="BSK94" s="15" t="n"/>
      <c r="BSL94" s="15" t="n"/>
      <c r="BSM94" s="248" t="n"/>
      <c r="BSN94" s="248" t="n"/>
      <c r="BSO94" s="240" t="n"/>
      <c r="BSP94" s="240" t="n"/>
      <c r="BSR94" s="15" t="n"/>
      <c r="BSS94" s="15" t="n"/>
      <c r="BST94" s="248" t="n"/>
      <c r="BSU94" s="248" t="n"/>
      <c r="BSV94" s="240" t="n"/>
      <c r="BSW94" s="240" t="n"/>
      <c r="BSY94" s="15" t="n"/>
      <c r="BSZ94" s="15" t="n"/>
      <c r="BTA94" s="248" t="n"/>
      <c r="BTB94" s="248" t="n"/>
      <c r="BTC94" s="240" t="n"/>
      <c r="BTD94" s="240" t="n"/>
      <c r="BTF94" s="15" t="n"/>
      <c r="BTG94" s="15" t="n"/>
      <c r="BTH94" s="248" t="n"/>
      <c r="BTI94" s="248" t="n"/>
      <c r="BTJ94" s="240" t="n"/>
      <c r="BTK94" s="240" t="n"/>
      <c r="BTM94" s="15" t="n"/>
      <c r="BTN94" s="15" t="n"/>
      <c r="BTO94" s="248" t="n"/>
      <c r="BTP94" s="248" t="n"/>
      <c r="BTQ94" s="240" t="n"/>
      <c r="BTR94" s="240" t="n"/>
      <c r="BTT94" s="15" t="n"/>
      <c r="BTU94" s="15" t="n"/>
      <c r="BTV94" s="248" t="n"/>
      <c r="BTW94" s="248" t="n"/>
      <c r="BTX94" s="240" t="n"/>
      <c r="BTY94" s="240" t="n"/>
      <c r="BUA94" s="15" t="n"/>
      <c r="BUB94" s="15" t="n"/>
      <c r="BUC94" s="248" t="n"/>
      <c r="BUD94" s="248" t="n"/>
      <c r="BUE94" s="240" t="n"/>
      <c r="BUF94" s="240" t="n"/>
      <c r="BUH94" s="15" t="n"/>
      <c r="BUI94" s="15" t="n"/>
      <c r="BUJ94" s="248" t="n"/>
      <c r="BUK94" s="248" t="n"/>
      <c r="BUL94" s="240" t="n"/>
      <c r="BUM94" s="240" t="n"/>
      <c r="BUO94" s="15" t="n"/>
      <c r="BUP94" s="15" t="n"/>
      <c r="BUQ94" s="248" t="n"/>
      <c r="BUR94" s="248" t="n"/>
      <c r="BUS94" s="240" t="n"/>
      <c r="BUT94" s="240" t="n"/>
      <c r="BUV94" s="15" t="n"/>
      <c r="BUW94" s="15" t="n"/>
      <c r="BUX94" s="248" t="n"/>
      <c r="BUY94" s="248" t="n"/>
      <c r="BUZ94" s="240" t="n"/>
      <c r="BVA94" s="240" t="n"/>
      <c r="BVC94" s="15" t="n"/>
      <c r="BVD94" s="15" t="n"/>
      <c r="BVE94" s="248" t="n"/>
      <c r="BVF94" s="248" t="n"/>
      <c r="BVG94" s="240" t="n"/>
      <c r="BVH94" s="240" t="n"/>
      <c r="BVJ94" s="15" t="n"/>
      <c r="BVK94" s="15" t="n"/>
      <c r="BVL94" s="248" t="n"/>
      <c r="BVM94" s="248" t="n"/>
      <c r="BVN94" s="240" t="n"/>
      <c r="BVO94" s="240" t="n"/>
      <c r="BVQ94" s="15" t="n"/>
      <c r="BVR94" s="15" t="n"/>
      <c r="BVS94" s="248" t="n"/>
      <c r="BVT94" s="248" t="n"/>
      <c r="BVU94" s="240" t="n"/>
      <c r="BVV94" s="240" t="n"/>
      <c r="BVX94" s="15" t="n"/>
      <c r="BVY94" s="15" t="n"/>
      <c r="BVZ94" s="248" t="n"/>
      <c r="BWA94" s="248" t="n"/>
      <c r="BWB94" s="240" t="n"/>
      <c r="BWC94" s="240" t="n"/>
      <c r="BWE94" s="15" t="n"/>
      <c r="BWF94" s="15" t="n"/>
      <c r="BWG94" s="248" t="n"/>
      <c r="BWH94" s="248" t="n"/>
      <c r="BWI94" s="240" t="n"/>
      <c r="BWJ94" s="240" t="n"/>
      <c r="BWL94" s="15" t="n"/>
      <c r="BWM94" s="15" t="n"/>
      <c r="BWN94" s="248" t="n"/>
      <c r="BWO94" s="248" t="n"/>
      <c r="BWP94" s="240" t="n"/>
      <c r="BWQ94" s="240" t="n"/>
      <c r="BWS94" s="15" t="n"/>
      <c r="BWT94" s="15" t="n"/>
      <c r="BWU94" s="248" t="n"/>
      <c r="BWV94" s="248" t="n"/>
      <c r="BWW94" s="240" t="n"/>
      <c r="BWX94" s="240" t="n"/>
      <c r="BWZ94" s="15" t="n"/>
      <c r="BXA94" s="15" t="n"/>
      <c r="BXB94" s="248" t="n"/>
      <c r="BXC94" s="248" t="n"/>
      <c r="BXD94" s="240" t="n"/>
      <c r="BXE94" s="240" t="n"/>
      <c r="BXG94" s="15" t="n"/>
      <c r="BXH94" s="15" t="n"/>
      <c r="BXI94" s="248" t="n"/>
      <c r="BXJ94" s="248" t="n"/>
      <c r="BXK94" s="240" t="n"/>
      <c r="BXL94" s="240" t="n"/>
      <c r="BXN94" s="15" t="n"/>
      <c r="BXO94" s="15" t="n"/>
      <c r="BXP94" s="248" t="n"/>
      <c r="BXQ94" s="248" t="n"/>
      <c r="BXR94" s="240" t="n"/>
      <c r="BXS94" s="240" t="n"/>
      <c r="BXU94" s="15" t="n"/>
      <c r="BXV94" s="15" t="n"/>
      <c r="BXW94" s="248" t="n"/>
      <c r="BXX94" s="248" t="n"/>
      <c r="BXY94" s="240" t="n"/>
      <c r="BXZ94" s="240" t="n"/>
      <c r="BYB94" s="15" t="n"/>
      <c r="BYC94" s="15" t="n"/>
      <c r="BYD94" s="248" t="n"/>
      <c r="BYE94" s="248" t="n"/>
      <c r="BYF94" s="240" t="n"/>
      <c r="BYG94" s="240" t="n"/>
      <c r="BYI94" s="15" t="n"/>
      <c r="BYJ94" s="15" t="n"/>
      <c r="BYK94" s="248" t="n"/>
      <c r="BYL94" s="248" t="n"/>
      <c r="BYM94" s="240" t="n"/>
      <c r="BYN94" s="240" t="n"/>
      <c r="BYP94" s="15" t="n"/>
      <c r="BYQ94" s="15" t="n"/>
      <c r="BYR94" s="248" t="n"/>
      <c r="BYS94" s="248" t="n"/>
      <c r="BYT94" s="240" t="n"/>
      <c r="BYU94" s="240" t="n"/>
      <c r="BYW94" s="15" t="n"/>
      <c r="BYX94" s="15" t="n"/>
      <c r="BYY94" s="248" t="n"/>
      <c r="BYZ94" s="248" t="n"/>
      <c r="BZA94" s="240" t="n"/>
      <c r="BZB94" s="240" t="n"/>
      <c r="BZD94" s="15" t="n"/>
      <c r="BZE94" s="15" t="n"/>
      <c r="BZF94" s="248" t="n"/>
      <c r="BZG94" s="248" t="n"/>
      <c r="BZH94" s="240" t="n"/>
      <c r="BZI94" s="240" t="n"/>
      <c r="BZK94" s="15" t="n"/>
      <c r="BZL94" s="15" t="n"/>
      <c r="BZM94" s="248" t="n"/>
      <c r="BZN94" s="248" t="n"/>
      <c r="BZO94" s="240" t="n"/>
      <c r="BZP94" s="240" t="n"/>
      <c r="BZR94" s="15" t="n"/>
      <c r="BZS94" s="15" t="n"/>
      <c r="BZT94" s="248" t="n"/>
      <c r="BZU94" s="248" t="n"/>
      <c r="BZV94" s="240" t="n"/>
      <c r="BZW94" s="240" t="n"/>
      <c r="BZY94" s="15" t="n"/>
      <c r="BZZ94" s="15" t="n"/>
      <c r="CAA94" s="248" t="n"/>
      <c r="CAB94" s="248" t="n"/>
      <c r="CAC94" s="240" t="n"/>
      <c r="CAD94" s="240" t="n"/>
      <c r="CAF94" s="15" t="n"/>
      <c r="CAG94" s="15" t="n"/>
      <c r="CAH94" s="248" t="n"/>
      <c r="CAI94" s="248" t="n"/>
      <c r="CAJ94" s="240" t="n"/>
      <c r="CAK94" s="240" t="n"/>
      <c r="CAM94" s="15" t="n"/>
      <c r="CAN94" s="15" t="n"/>
      <c r="CAO94" s="248" t="n"/>
      <c r="CAP94" s="248" t="n"/>
      <c r="CAQ94" s="240" t="n"/>
      <c r="CAR94" s="240" t="n"/>
      <c r="CAT94" s="15" t="n"/>
      <c r="CAU94" s="15" t="n"/>
      <c r="CAV94" s="248" t="n"/>
      <c r="CAW94" s="248" t="n"/>
      <c r="CAX94" s="240" t="n"/>
      <c r="CAY94" s="240" t="n"/>
      <c r="CBA94" s="15" t="n"/>
      <c r="CBB94" s="15" t="n"/>
      <c r="CBC94" s="248" t="n"/>
      <c r="CBD94" s="248" t="n"/>
      <c r="CBE94" s="240" t="n"/>
      <c r="CBF94" s="240" t="n"/>
      <c r="CBH94" s="15" t="n"/>
      <c r="CBI94" s="15" t="n"/>
      <c r="CBJ94" s="248" t="n"/>
      <c r="CBK94" s="248" t="n"/>
      <c r="CBL94" s="240" t="n"/>
      <c r="CBM94" s="240" t="n"/>
      <c r="CBO94" s="15" t="n"/>
      <c r="CBP94" s="15" t="n"/>
      <c r="CBQ94" s="248" t="n"/>
      <c r="CBR94" s="248" t="n"/>
      <c r="CBS94" s="240" t="n"/>
      <c r="CBT94" s="240" t="n"/>
      <c r="CBV94" s="15" t="n"/>
      <c r="CBW94" s="15" t="n"/>
      <c r="CBX94" s="248" t="n"/>
      <c r="CBY94" s="248" t="n"/>
      <c r="CBZ94" s="240" t="n"/>
      <c r="CCA94" s="240" t="n"/>
      <c r="CCC94" s="15" t="n"/>
      <c r="CCD94" s="15" t="n"/>
      <c r="CCE94" s="248" t="n"/>
      <c r="CCF94" s="248" t="n"/>
      <c r="CCG94" s="240" t="n"/>
      <c r="CCH94" s="240" t="n"/>
      <c r="CCJ94" s="15" t="n"/>
      <c r="CCK94" s="15" t="n"/>
      <c r="CCL94" s="248" t="n"/>
      <c r="CCM94" s="248" t="n"/>
      <c r="CCN94" s="240" t="n"/>
      <c r="CCO94" s="240" t="n"/>
      <c r="CCQ94" s="15" t="n"/>
      <c r="CCR94" s="15" t="n"/>
      <c r="CCS94" s="248" t="n"/>
      <c r="CCT94" s="248" t="n"/>
      <c r="CCU94" s="240" t="n"/>
      <c r="CCV94" s="240" t="n"/>
      <c r="CCX94" s="15" t="n"/>
      <c r="CCY94" s="15" t="n"/>
      <c r="CCZ94" s="248" t="n"/>
      <c r="CDA94" s="248" t="n"/>
      <c r="CDB94" s="240" t="n"/>
      <c r="CDC94" s="240" t="n"/>
      <c r="CDE94" s="15" t="n"/>
      <c r="CDF94" s="15" t="n"/>
      <c r="CDG94" s="248" t="n"/>
      <c r="CDH94" s="248" t="n"/>
      <c r="CDI94" s="240" t="n"/>
      <c r="CDJ94" s="240" t="n"/>
      <c r="CDL94" s="15" t="n"/>
      <c r="CDM94" s="15" t="n"/>
      <c r="CDN94" s="248" t="n"/>
      <c r="CDO94" s="248" t="n"/>
      <c r="CDP94" s="240" t="n"/>
      <c r="CDQ94" s="240" t="n"/>
      <c r="CDS94" s="15" t="n"/>
      <c r="CDT94" s="15" t="n"/>
      <c r="CDU94" s="248" t="n"/>
      <c r="CDV94" s="248" t="n"/>
      <c r="CDW94" s="240" t="n"/>
      <c r="CDX94" s="240" t="n"/>
      <c r="CDZ94" s="15" t="n"/>
      <c r="CEA94" s="15" t="n"/>
      <c r="CEB94" s="248" t="n"/>
      <c r="CEC94" s="248" t="n"/>
      <c r="CED94" s="240" t="n"/>
      <c r="CEE94" s="240" t="n"/>
      <c r="CEG94" s="15" t="n"/>
      <c r="CEH94" s="15" t="n"/>
      <c r="CEI94" s="248" t="n"/>
      <c r="CEJ94" s="248" t="n"/>
      <c r="CEK94" s="240" t="n"/>
      <c r="CEL94" s="240" t="n"/>
      <c r="CEN94" s="15" t="n"/>
      <c r="CEO94" s="15" t="n"/>
      <c r="CEP94" s="248" t="n"/>
      <c r="CEQ94" s="248" t="n"/>
      <c r="CER94" s="240" t="n"/>
      <c r="CES94" s="240" t="n"/>
      <c r="CEU94" s="15" t="n"/>
      <c r="CEV94" s="15" t="n"/>
      <c r="CEW94" s="248" t="n"/>
      <c r="CEX94" s="248" t="n"/>
      <c r="CEY94" s="240" t="n"/>
      <c r="CEZ94" s="240" t="n"/>
      <c r="CFB94" s="15" t="n"/>
      <c r="CFC94" s="15" t="n"/>
      <c r="CFD94" s="248" t="n"/>
      <c r="CFE94" s="248" t="n"/>
      <c r="CFF94" s="240" t="n"/>
      <c r="CFG94" s="240" t="n"/>
      <c r="CFI94" s="15" t="n"/>
      <c r="CFJ94" s="15" t="n"/>
      <c r="CFK94" s="248" t="n"/>
      <c r="CFL94" s="248" t="n"/>
      <c r="CFM94" s="240" t="n"/>
      <c r="CFN94" s="240" t="n"/>
      <c r="CFP94" s="15" t="n"/>
      <c r="CFQ94" s="15" t="n"/>
      <c r="CFR94" s="248" t="n"/>
      <c r="CFS94" s="248" t="n"/>
      <c r="CFT94" s="240" t="n"/>
      <c r="CFU94" s="240" t="n"/>
      <c r="CFW94" s="15" t="n"/>
      <c r="CFX94" s="15" t="n"/>
      <c r="CFY94" s="248" t="n"/>
      <c r="CFZ94" s="248" t="n"/>
      <c r="CGA94" s="240" t="n"/>
      <c r="CGB94" s="240" t="n"/>
      <c r="CGD94" s="15" t="n"/>
      <c r="CGE94" s="15" t="n"/>
      <c r="CGF94" s="248" t="n"/>
      <c r="CGG94" s="248" t="n"/>
      <c r="CGH94" s="240" t="n"/>
      <c r="CGI94" s="240" t="n"/>
      <c r="CGK94" s="15" t="n"/>
      <c r="CGL94" s="15" t="n"/>
      <c r="CGM94" s="248" t="n"/>
      <c r="CGN94" s="248" t="n"/>
      <c r="CGO94" s="240" t="n"/>
      <c r="CGP94" s="240" t="n"/>
      <c r="CGR94" s="15" t="n"/>
      <c r="CGS94" s="15" t="n"/>
      <c r="CGT94" s="248" t="n"/>
      <c r="CGU94" s="248" t="n"/>
      <c r="CGV94" s="240" t="n"/>
      <c r="CGW94" s="240" t="n"/>
      <c r="CGY94" s="15" t="n"/>
      <c r="CGZ94" s="15" t="n"/>
      <c r="CHA94" s="248" t="n"/>
      <c r="CHB94" s="248" t="n"/>
      <c r="CHC94" s="240" t="n"/>
      <c r="CHD94" s="240" t="n"/>
      <c r="CHF94" s="15" t="n"/>
      <c r="CHG94" s="15" t="n"/>
      <c r="CHH94" s="248" t="n"/>
      <c r="CHI94" s="248" t="n"/>
      <c r="CHJ94" s="240" t="n"/>
      <c r="CHK94" s="240" t="n"/>
      <c r="CHM94" s="15" t="n"/>
      <c r="CHN94" s="15" t="n"/>
      <c r="CHO94" s="248" t="n"/>
      <c r="CHP94" s="248" t="n"/>
      <c r="CHQ94" s="240" t="n"/>
      <c r="CHR94" s="240" t="n"/>
      <c r="CHT94" s="15" t="n"/>
      <c r="CHU94" s="15" t="n"/>
      <c r="CHV94" s="248" t="n"/>
      <c r="CHW94" s="248" t="n"/>
      <c r="CHX94" s="240" t="n"/>
      <c r="CHY94" s="240" t="n"/>
      <c r="CIA94" s="15" t="n"/>
      <c r="CIB94" s="15" t="n"/>
      <c r="CIC94" s="248" t="n"/>
      <c r="CID94" s="248" t="n"/>
      <c r="CIE94" s="240" t="n"/>
      <c r="CIF94" s="240" t="n"/>
      <c r="CIH94" s="15" t="n"/>
      <c r="CII94" s="15" t="n"/>
      <c r="CIJ94" s="248" t="n"/>
      <c r="CIK94" s="248" t="n"/>
      <c r="CIL94" s="240" t="n"/>
      <c r="CIM94" s="240" t="n"/>
      <c r="CIO94" s="15" t="n"/>
      <c r="CIP94" s="15" t="n"/>
      <c r="CIQ94" s="248" t="n"/>
      <c r="CIR94" s="248" t="n"/>
      <c r="CIS94" s="240" t="n"/>
      <c r="CIT94" s="240" t="n"/>
      <c r="CIV94" s="15" t="n"/>
      <c r="CIW94" s="15" t="n"/>
      <c r="CIX94" s="248" t="n"/>
      <c r="CIY94" s="248" t="n"/>
      <c r="CIZ94" s="240" t="n"/>
      <c r="CJA94" s="240" t="n"/>
      <c r="CJC94" s="15" t="n"/>
      <c r="CJD94" s="15" t="n"/>
      <c r="CJE94" s="248" t="n"/>
      <c r="CJF94" s="248" t="n"/>
      <c r="CJG94" s="240" t="n"/>
      <c r="CJH94" s="240" t="n"/>
      <c r="CJJ94" s="15" t="n"/>
      <c r="CJK94" s="15" t="n"/>
      <c r="CJL94" s="248" t="n"/>
      <c r="CJM94" s="248" t="n"/>
      <c r="CJN94" s="240" t="n"/>
      <c r="CJO94" s="240" t="n"/>
      <c r="CJQ94" s="15" t="n"/>
      <c r="CJR94" s="15" t="n"/>
      <c r="CJS94" s="248" t="n"/>
      <c r="CJT94" s="248" t="n"/>
      <c r="CJU94" s="240" t="n"/>
      <c r="CJV94" s="240" t="n"/>
      <c r="CJX94" s="15" t="n"/>
      <c r="CJY94" s="15" t="n"/>
      <c r="CJZ94" s="248" t="n"/>
      <c r="CKA94" s="248" t="n"/>
      <c r="CKB94" s="240" t="n"/>
      <c r="CKC94" s="240" t="n"/>
      <c r="CKE94" s="15" t="n"/>
      <c r="CKF94" s="15" t="n"/>
      <c r="CKG94" s="248" t="n"/>
      <c r="CKH94" s="248" t="n"/>
      <c r="CKI94" s="240" t="n"/>
      <c r="CKJ94" s="240" t="n"/>
      <c r="CKL94" s="15" t="n"/>
      <c r="CKM94" s="15" t="n"/>
      <c r="CKN94" s="248" t="n"/>
      <c r="CKO94" s="248" t="n"/>
      <c r="CKP94" s="240" t="n"/>
      <c r="CKQ94" s="240" t="n"/>
      <c r="CKS94" s="15" t="n"/>
      <c r="CKT94" s="15" t="n"/>
      <c r="CKU94" s="248" t="n"/>
      <c r="CKV94" s="248" t="n"/>
      <c r="CKW94" s="240" t="n"/>
      <c r="CKX94" s="240" t="n"/>
      <c r="CKZ94" s="15" t="n"/>
      <c r="CLA94" s="15" t="n"/>
      <c r="CLB94" s="248" t="n"/>
      <c r="CLC94" s="248" t="n"/>
      <c r="CLD94" s="240" t="n"/>
      <c r="CLE94" s="240" t="n"/>
      <c r="CLG94" s="15" t="n"/>
      <c r="CLH94" s="15" t="n"/>
      <c r="CLI94" s="248" t="n"/>
      <c r="CLJ94" s="248" t="n"/>
      <c r="CLK94" s="240" t="n"/>
      <c r="CLL94" s="240" t="n"/>
      <c r="CLN94" s="15" t="n"/>
      <c r="CLO94" s="15" t="n"/>
      <c r="CLP94" s="248" t="n"/>
      <c r="CLQ94" s="248" t="n"/>
      <c r="CLR94" s="240" t="n"/>
      <c r="CLS94" s="240" t="n"/>
      <c r="CLU94" s="15" t="n"/>
      <c r="CLV94" s="15" t="n"/>
      <c r="CLW94" s="248" t="n"/>
      <c r="CLX94" s="248" t="n"/>
      <c r="CLY94" s="240" t="n"/>
      <c r="CLZ94" s="240" t="n"/>
      <c r="CMB94" s="15" t="n"/>
      <c r="CMC94" s="15" t="n"/>
      <c r="CMD94" s="248" t="n"/>
      <c r="CME94" s="248" t="n"/>
      <c r="CMF94" s="240" t="n"/>
      <c r="CMG94" s="240" t="n"/>
      <c r="CMI94" s="15" t="n"/>
      <c r="CMJ94" s="15" t="n"/>
      <c r="CMK94" s="248" t="n"/>
      <c r="CML94" s="248" t="n"/>
      <c r="CMM94" s="240" t="n"/>
      <c r="CMN94" s="240" t="n"/>
      <c r="CMP94" s="15" t="n"/>
      <c r="CMQ94" s="15" t="n"/>
      <c r="CMR94" s="248" t="n"/>
      <c r="CMS94" s="248" t="n"/>
      <c r="CMT94" s="240" t="n"/>
      <c r="CMU94" s="240" t="n"/>
      <c r="CMW94" s="15" t="n"/>
      <c r="CMX94" s="15" t="n"/>
      <c r="CMY94" s="248" t="n"/>
      <c r="CMZ94" s="248" t="n"/>
      <c r="CNA94" s="240" t="n"/>
      <c r="CNB94" s="240" t="n"/>
      <c r="CND94" s="15" t="n"/>
      <c r="CNE94" s="15" t="n"/>
      <c r="CNF94" s="248" t="n"/>
      <c r="CNG94" s="248" t="n"/>
      <c r="CNH94" s="240" t="n"/>
      <c r="CNI94" s="240" t="n"/>
      <c r="CNK94" s="15" t="n"/>
      <c r="CNL94" s="15" t="n"/>
      <c r="CNM94" s="248" t="n"/>
      <c r="CNN94" s="248" t="n"/>
      <c r="CNO94" s="240" t="n"/>
      <c r="CNP94" s="240" t="n"/>
      <c r="CNR94" s="15" t="n"/>
      <c r="CNS94" s="15" t="n"/>
      <c r="CNT94" s="248" t="n"/>
      <c r="CNU94" s="248" t="n"/>
      <c r="CNV94" s="240" t="n"/>
      <c r="CNW94" s="240" t="n"/>
      <c r="CNY94" s="15" t="n"/>
      <c r="CNZ94" s="15" t="n"/>
      <c r="COA94" s="248" t="n"/>
      <c r="COB94" s="248" t="n"/>
      <c r="COC94" s="240" t="n"/>
      <c r="COD94" s="240" t="n"/>
      <c r="COF94" s="15" t="n"/>
      <c r="COG94" s="15" t="n"/>
      <c r="COH94" s="248" t="n"/>
      <c r="COI94" s="248" t="n"/>
      <c r="COJ94" s="240" t="n"/>
      <c r="COK94" s="240" t="n"/>
      <c r="COM94" s="15" t="n"/>
      <c r="CON94" s="15" t="n"/>
      <c r="COO94" s="248" t="n"/>
      <c r="COP94" s="248" t="n"/>
      <c r="COQ94" s="240" t="n"/>
      <c r="COR94" s="240" t="n"/>
      <c r="COT94" s="15" t="n"/>
      <c r="COU94" s="15" t="n"/>
      <c r="COV94" s="248" t="n"/>
      <c r="COW94" s="248" t="n"/>
      <c r="COX94" s="240" t="n"/>
      <c r="COY94" s="240" t="n"/>
      <c r="CPA94" s="15" t="n"/>
      <c r="CPB94" s="15" t="n"/>
      <c r="CPC94" s="248" t="n"/>
      <c r="CPD94" s="248" t="n"/>
      <c r="CPE94" s="240" t="n"/>
      <c r="CPF94" s="240" t="n"/>
      <c r="CPH94" s="15" t="n"/>
      <c r="CPI94" s="15" t="n"/>
      <c r="CPJ94" s="248" t="n"/>
      <c r="CPK94" s="248" t="n"/>
      <c r="CPL94" s="240" t="n"/>
      <c r="CPM94" s="240" t="n"/>
      <c r="CPO94" s="15" t="n"/>
      <c r="CPP94" s="15" t="n"/>
      <c r="CPQ94" s="248" t="n"/>
      <c r="CPR94" s="248" t="n"/>
      <c r="CPS94" s="240" t="n"/>
      <c r="CPT94" s="240" t="n"/>
      <c r="CPV94" s="15" t="n"/>
      <c r="CPW94" s="15" t="n"/>
      <c r="CPX94" s="248" t="n"/>
      <c r="CPY94" s="248" t="n"/>
      <c r="CPZ94" s="240" t="n"/>
      <c r="CQA94" s="240" t="n"/>
      <c r="CQC94" s="15" t="n"/>
      <c r="CQD94" s="15" t="n"/>
      <c r="CQE94" s="248" t="n"/>
      <c r="CQF94" s="248" t="n"/>
      <c r="CQG94" s="240" t="n"/>
      <c r="CQH94" s="240" t="n"/>
      <c r="CQJ94" s="15" t="n"/>
      <c r="CQK94" s="15" t="n"/>
      <c r="CQL94" s="248" t="n"/>
      <c r="CQM94" s="248" t="n"/>
      <c r="CQN94" s="240" t="n"/>
      <c r="CQO94" s="240" t="n"/>
      <c r="CQQ94" s="15" t="n"/>
      <c r="CQR94" s="15" t="n"/>
      <c r="CQS94" s="248" t="n"/>
      <c r="CQT94" s="248" t="n"/>
      <c r="CQU94" s="240" t="n"/>
      <c r="CQV94" s="240" t="n"/>
      <c r="CQX94" s="15" t="n"/>
      <c r="CQY94" s="15" t="n"/>
      <c r="CQZ94" s="248" t="n"/>
      <c r="CRA94" s="248" t="n"/>
      <c r="CRB94" s="240" t="n"/>
      <c r="CRC94" s="240" t="n"/>
      <c r="CRE94" s="15" t="n"/>
      <c r="CRF94" s="15" t="n"/>
      <c r="CRG94" s="248" t="n"/>
      <c r="CRH94" s="248" t="n"/>
      <c r="CRI94" s="240" t="n"/>
      <c r="CRJ94" s="240" t="n"/>
      <c r="CRL94" s="15" t="n"/>
      <c r="CRM94" s="15" t="n"/>
      <c r="CRN94" s="248" t="n"/>
      <c r="CRO94" s="248" t="n"/>
      <c r="CRP94" s="240" t="n"/>
      <c r="CRQ94" s="240" t="n"/>
      <c r="CRS94" s="15" t="n"/>
      <c r="CRT94" s="15" t="n"/>
      <c r="CRU94" s="248" t="n"/>
      <c r="CRV94" s="248" t="n"/>
      <c r="CRW94" s="240" t="n"/>
      <c r="CRX94" s="240" t="n"/>
      <c r="CRZ94" s="15" t="n"/>
      <c r="CSA94" s="15" t="n"/>
      <c r="CSB94" s="248" t="n"/>
      <c r="CSC94" s="248" t="n"/>
      <c r="CSD94" s="240" t="n"/>
      <c r="CSE94" s="240" t="n"/>
      <c r="CSG94" s="15" t="n"/>
      <c r="CSH94" s="15" t="n"/>
      <c r="CSI94" s="248" t="n"/>
      <c r="CSJ94" s="248" t="n"/>
      <c r="CSK94" s="240" t="n"/>
      <c r="CSL94" s="240" t="n"/>
      <c r="CSN94" s="15" t="n"/>
      <c r="CSO94" s="15" t="n"/>
      <c r="CSP94" s="248" t="n"/>
      <c r="CSQ94" s="248" t="n"/>
      <c r="CSR94" s="240" t="n"/>
      <c r="CSS94" s="240" t="n"/>
      <c r="CSU94" s="15" t="n"/>
      <c r="CSV94" s="15" t="n"/>
      <c r="CSW94" s="248" t="n"/>
      <c r="CSX94" s="248" t="n"/>
      <c r="CSY94" s="240" t="n"/>
      <c r="CSZ94" s="240" t="n"/>
      <c r="CTB94" s="15" t="n"/>
      <c r="CTC94" s="15" t="n"/>
      <c r="CTD94" s="248" t="n"/>
      <c r="CTE94" s="248" t="n"/>
      <c r="CTF94" s="240" t="n"/>
      <c r="CTG94" s="240" t="n"/>
      <c r="CTI94" s="15" t="n"/>
      <c r="CTJ94" s="15" t="n"/>
      <c r="CTK94" s="248" t="n"/>
      <c r="CTL94" s="248" t="n"/>
      <c r="CTM94" s="240" t="n"/>
      <c r="CTN94" s="240" t="n"/>
      <c r="CTP94" s="15" t="n"/>
      <c r="CTQ94" s="15" t="n"/>
      <c r="CTR94" s="248" t="n"/>
      <c r="CTS94" s="248" t="n"/>
      <c r="CTT94" s="240" t="n"/>
      <c r="CTU94" s="240" t="n"/>
      <c r="CTW94" s="15" t="n"/>
      <c r="CTX94" s="15" t="n"/>
      <c r="CTY94" s="248" t="n"/>
      <c r="CTZ94" s="248" t="n"/>
      <c r="CUA94" s="240" t="n"/>
      <c r="CUB94" s="240" t="n"/>
      <c r="CUD94" s="15" t="n"/>
      <c r="CUE94" s="15" t="n"/>
      <c r="CUF94" s="248" t="n"/>
      <c r="CUG94" s="248" t="n"/>
      <c r="CUH94" s="240" t="n"/>
      <c r="CUI94" s="240" t="n"/>
      <c r="CUK94" s="15" t="n"/>
      <c r="CUL94" s="15" t="n"/>
      <c r="CUM94" s="248" t="n"/>
      <c r="CUN94" s="248" t="n"/>
      <c r="CUO94" s="240" t="n"/>
      <c r="CUP94" s="240" t="n"/>
      <c r="CUR94" s="15" t="n"/>
      <c r="CUS94" s="15" t="n"/>
      <c r="CUT94" s="248" t="n"/>
      <c r="CUU94" s="248" t="n"/>
      <c r="CUV94" s="240" t="n"/>
      <c r="CUW94" s="240" t="n"/>
      <c r="CUY94" s="15" t="n"/>
      <c r="CUZ94" s="15" t="n"/>
      <c r="CVA94" s="248" t="n"/>
      <c r="CVB94" s="248" t="n"/>
      <c r="CVC94" s="240" t="n"/>
      <c r="CVD94" s="240" t="n"/>
      <c r="CVF94" s="15" t="n"/>
      <c r="CVG94" s="15" t="n"/>
      <c r="CVH94" s="248" t="n"/>
      <c r="CVI94" s="248" t="n"/>
      <c r="CVJ94" s="240" t="n"/>
      <c r="CVK94" s="240" t="n"/>
      <c r="CVM94" s="15" t="n"/>
      <c r="CVN94" s="15" t="n"/>
      <c r="CVO94" s="248" t="n"/>
      <c r="CVP94" s="248" t="n"/>
      <c r="CVQ94" s="240" t="n"/>
      <c r="CVR94" s="240" t="n"/>
      <c r="CVT94" s="15" t="n"/>
      <c r="CVU94" s="15" t="n"/>
      <c r="CVV94" s="248" t="n"/>
      <c r="CVW94" s="248" t="n"/>
      <c r="CVX94" s="240" t="n"/>
      <c r="CVY94" s="240" t="n"/>
      <c r="CWA94" s="15" t="n"/>
      <c r="CWB94" s="15" t="n"/>
      <c r="CWC94" s="248" t="n"/>
      <c r="CWD94" s="248" t="n"/>
      <c r="CWE94" s="240" t="n"/>
      <c r="CWF94" s="240" t="n"/>
      <c r="CWH94" s="15" t="n"/>
      <c r="CWI94" s="15" t="n"/>
      <c r="CWJ94" s="248" t="n"/>
      <c r="CWK94" s="248" t="n"/>
      <c r="CWL94" s="240" t="n"/>
      <c r="CWM94" s="240" t="n"/>
      <c r="CWO94" s="15" t="n"/>
      <c r="CWP94" s="15" t="n"/>
      <c r="CWQ94" s="248" t="n"/>
      <c r="CWR94" s="248" t="n"/>
      <c r="CWS94" s="240" t="n"/>
      <c r="CWT94" s="240" t="n"/>
      <c r="CWV94" s="15" t="n"/>
      <c r="CWW94" s="15" t="n"/>
      <c r="CWX94" s="248" t="n"/>
      <c r="CWY94" s="248" t="n"/>
      <c r="CWZ94" s="240" t="n"/>
      <c r="CXA94" s="240" t="n"/>
      <c r="CXC94" s="15" t="n"/>
      <c r="CXD94" s="15" t="n"/>
      <c r="CXE94" s="248" t="n"/>
      <c r="CXF94" s="248" t="n"/>
      <c r="CXG94" s="240" t="n"/>
      <c r="CXH94" s="240" t="n"/>
      <c r="CXJ94" s="15" t="n"/>
      <c r="CXK94" s="15" t="n"/>
      <c r="CXL94" s="248" t="n"/>
      <c r="CXM94" s="248" t="n"/>
      <c r="CXN94" s="240" t="n"/>
      <c r="CXO94" s="240" t="n"/>
      <c r="CXQ94" s="15" t="n"/>
      <c r="CXR94" s="15" t="n"/>
      <c r="CXS94" s="248" t="n"/>
      <c r="CXT94" s="248" t="n"/>
      <c r="CXU94" s="240" t="n"/>
      <c r="CXV94" s="240" t="n"/>
      <c r="CXX94" s="15" t="n"/>
      <c r="CXY94" s="15" t="n"/>
      <c r="CXZ94" s="248" t="n"/>
      <c r="CYA94" s="248" t="n"/>
      <c r="CYB94" s="240" t="n"/>
      <c r="CYC94" s="240" t="n"/>
      <c r="CYE94" s="15" t="n"/>
      <c r="CYF94" s="15" t="n"/>
      <c r="CYG94" s="248" t="n"/>
      <c r="CYH94" s="248" t="n"/>
      <c r="CYI94" s="240" t="n"/>
      <c r="CYJ94" s="240" t="n"/>
      <c r="CYL94" s="15" t="n"/>
      <c r="CYM94" s="15" t="n"/>
      <c r="CYN94" s="248" t="n"/>
      <c r="CYO94" s="248" t="n"/>
      <c r="CYP94" s="240" t="n"/>
      <c r="CYQ94" s="240" t="n"/>
      <c r="CYS94" s="15" t="n"/>
      <c r="CYT94" s="15" t="n"/>
      <c r="CYU94" s="248" t="n"/>
      <c r="CYV94" s="248" t="n"/>
      <c r="CYW94" s="240" t="n"/>
      <c r="CYX94" s="240" t="n"/>
      <c r="CYZ94" s="15" t="n"/>
      <c r="CZA94" s="15" t="n"/>
      <c r="CZB94" s="248" t="n"/>
      <c r="CZC94" s="248" t="n"/>
      <c r="CZD94" s="240" t="n"/>
      <c r="CZE94" s="240" t="n"/>
      <c r="CZG94" s="15" t="n"/>
      <c r="CZH94" s="15" t="n"/>
      <c r="CZI94" s="248" t="n"/>
      <c r="CZJ94" s="248" t="n"/>
      <c r="CZK94" s="240" t="n"/>
      <c r="CZL94" s="240" t="n"/>
      <c r="CZN94" s="15" t="n"/>
      <c r="CZO94" s="15" t="n"/>
      <c r="CZP94" s="248" t="n"/>
      <c r="CZQ94" s="248" t="n"/>
      <c r="CZR94" s="240" t="n"/>
      <c r="CZS94" s="240" t="n"/>
      <c r="CZU94" s="15" t="n"/>
      <c r="CZV94" s="15" t="n"/>
      <c r="CZW94" s="248" t="n"/>
      <c r="CZX94" s="248" t="n"/>
      <c r="CZY94" s="240" t="n"/>
      <c r="CZZ94" s="240" t="n"/>
      <c r="DAB94" s="15" t="n"/>
      <c r="DAC94" s="15" t="n"/>
      <c r="DAD94" s="248" t="n"/>
      <c r="DAE94" s="248" t="n"/>
      <c r="DAF94" s="240" t="n"/>
      <c r="DAG94" s="240" t="n"/>
      <c r="DAI94" s="15" t="n"/>
      <c r="DAJ94" s="15" t="n"/>
      <c r="DAK94" s="248" t="n"/>
      <c r="DAL94" s="248" t="n"/>
      <c r="DAM94" s="240" t="n"/>
      <c r="DAN94" s="240" t="n"/>
      <c r="DAP94" s="15" t="n"/>
      <c r="DAQ94" s="15" t="n"/>
      <c r="DAR94" s="248" t="n"/>
      <c r="DAS94" s="248" t="n"/>
      <c r="DAT94" s="240" t="n"/>
      <c r="DAU94" s="240" t="n"/>
      <c r="DAW94" s="15" t="n"/>
      <c r="DAX94" s="15" t="n"/>
      <c r="DAY94" s="248" t="n"/>
      <c r="DAZ94" s="248" t="n"/>
      <c r="DBA94" s="240" t="n"/>
      <c r="DBB94" s="240" t="n"/>
      <c r="DBD94" s="15" t="n"/>
      <c r="DBE94" s="15" t="n"/>
      <c r="DBF94" s="248" t="n"/>
      <c r="DBG94" s="248" t="n"/>
      <c r="DBH94" s="240" t="n"/>
      <c r="DBI94" s="240" t="n"/>
      <c r="DBK94" s="15" t="n"/>
      <c r="DBL94" s="15" t="n"/>
      <c r="DBM94" s="248" t="n"/>
      <c r="DBN94" s="248" t="n"/>
      <c r="DBO94" s="240" t="n"/>
      <c r="DBP94" s="240" t="n"/>
      <c r="DBR94" s="15" t="n"/>
      <c r="DBS94" s="15" t="n"/>
      <c r="DBT94" s="248" t="n"/>
      <c r="DBU94" s="248" t="n"/>
      <c r="DBV94" s="240" t="n"/>
      <c r="DBW94" s="240" t="n"/>
      <c r="DBY94" s="15" t="n"/>
      <c r="DBZ94" s="15" t="n"/>
      <c r="DCA94" s="248" t="n"/>
      <c r="DCB94" s="248" t="n"/>
      <c r="DCC94" s="240" t="n"/>
      <c r="DCD94" s="240" t="n"/>
      <c r="DCF94" s="15" t="n"/>
      <c r="DCG94" s="15" t="n"/>
      <c r="DCH94" s="248" t="n"/>
      <c r="DCI94" s="248" t="n"/>
      <c r="DCJ94" s="240" t="n"/>
      <c r="DCK94" s="240" t="n"/>
      <c r="DCM94" s="15" t="n"/>
      <c r="DCN94" s="15" t="n"/>
      <c r="DCO94" s="248" t="n"/>
      <c r="DCP94" s="248" t="n"/>
      <c r="DCQ94" s="240" t="n"/>
      <c r="DCR94" s="240" t="n"/>
      <c r="DCT94" s="15" t="n"/>
      <c r="DCU94" s="15" t="n"/>
      <c r="DCV94" s="248" t="n"/>
      <c r="DCW94" s="248" t="n"/>
      <c r="DCX94" s="240" t="n"/>
      <c r="DCY94" s="240" t="n"/>
      <c r="DDA94" s="15" t="n"/>
      <c r="DDB94" s="15" t="n"/>
      <c r="DDC94" s="248" t="n"/>
      <c r="DDD94" s="248" t="n"/>
      <c r="DDE94" s="240" t="n"/>
      <c r="DDF94" s="240" t="n"/>
      <c r="DDH94" s="15" t="n"/>
      <c r="DDI94" s="15" t="n"/>
      <c r="DDJ94" s="248" t="n"/>
      <c r="DDK94" s="248" t="n"/>
      <c r="DDL94" s="240" t="n"/>
      <c r="DDM94" s="240" t="n"/>
      <c r="DDO94" s="15" t="n"/>
      <c r="DDP94" s="15" t="n"/>
      <c r="DDQ94" s="248" t="n"/>
      <c r="DDR94" s="248" t="n"/>
      <c r="DDS94" s="240" t="n"/>
      <c r="DDT94" s="240" t="n"/>
      <c r="DDV94" s="15" t="n"/>
      <c r="DDW94" s="15" t="n"/>
      <c r="DDX94" s="248" t="n"/>
      <c r="DDY94" s="248" t="n"/>
      <c r="DDZ94" s="240" t="n"/>
      <c r="DEA94" s="240" t="n"/>
      <c r="DEC94" s="15" t="n"/>
      <c r="DED94" s="15" t="n"/>
      <c r="DEE94" s="248" t="n"/>
      <c r="DEF94" s="248" t="n"/>
      <c r="DEG94" s="240" t="n"/>
      <c r="DEH94" s="240" t="n"/>
      <c r="DEJ94" s="15" t="n"/>
      <c r="DEK94" s="15" t="n"/>
      <c r="DEL94" s="248" t="n"/>
      <c r="DEM94" s="248" t="n"/>
      <c r="DEN94" s="240" t="n"/>
      <c r="DEO94" s="240" t="n"/>
      <c r="DEQ94" s="15" t="n"/>
      <c r="DER94" s="15" t="n"/>
      <c r="DES94" s="248" t="n"/>
      <c r="DET94" s="248" t="n"/>
      <c r="DEU94" s="240" t="n"/>
      <c r="DEV94" s="240" t="n"/>
      <c r="DEX94" s="15" t="n"/>
      <c r="DEY94" s="15" t="n"/>
      <c r="DEZ94" s="248" t="n"/>
      <c r="DFA94" s="248" t="n"/>
      <c r="DFB94" s="240" t="n"/>
      <c r="DFC94" s="240" t="n"/>
      <c r="DFE94" s="15" t="n"/>
      <c r="DFF94" s="15" t="n"/>
      <c r="DFG94" s="248" t="n"/>
      <c r="DFH94" s="248" t="n"/>
      <c r="DFI94" s="240" t="n"/>
      <c r="DFJ94" s="240" t="n"/>
      <c r="DFL94" s="15" t="n"/>
      <c r="DFM94" s="15" t="n"/>
      <c r="DFN94" s="248" t="n"/>
      <c r="DFO94" s="248" t="n"/>
      <c r="DFP94" s="240" t="n"/>
      <c r="DFQ94" s="240" t="n"/>
      <c r="DFS94" s="15" t="n"/>
      <c r="DFT94" s="15" t="n"/>
      <c r="DFU94" s="248" t="n"/>
      <c r="DFV94" s="248" t="n"/>
      <c r="DFW94" s="240" t="n"/>
      <c r="DFX94" s="240" t="n"/>
      <c r="DFZ94" s="15" t="n"/>
      <c r="DGA94" s="15" t="n"/>
      <c r="DGB94" s="248" t="n"/>
      <c r="DGC94" s="248" t="n"/>
      <c r="DGD94" s="240" t="n"/>
      <c r="DGE94" s="240" t="n"/>
      <c r="DGG94" s="15" t="n"/>
      <c r="DGH94" s="15" t="n"/>
      <c r="DGI94" s="248" t="n"/>
      <c r="DGJ94" s="248" t="n"/>
      <c r="DGK94" s="240" t="n"/>
      <c r="DGL94" s="240" t="n"/>
      <c r="DGN94" s="15" t="n"/>
      <c r="DGO94" s="15" t="n"/>
      <c r="DGP94" s="248" t="n"/>
      <c r="DGQ94" s="248" t="n"/>
      <c r="DGR94" s="240" t="n"/>
      <c r="DGS94" s="240" t="n"/>
      <c r="DGU94" s="15" t="n"/>
      <c r="DGV94" s="15" t="n"/>
      <c r="DGW94" s="248" t="n"/>
      <c r="DGX94" s="248" t="n"/>
      <c r="DGY94" s="240" t="n"/>
      <c r="DGZ94" s="240" t="n"/>
      <c r="DHB94" s="15" t="n"/>
      <c r="DHC94" s="15" t="n"/>
      <c r="DHD94" s="248" t="n"/>
      <c r="DHE94" s="248" t="n"/>
      <c r="DHF94" s="240" t="n"/>
      <c r="DHG94" s="240" t="n"/>
      <c r="DHI94" s="15" t="n"/>
      <c r="DHJ94" s="15" t="n"/>
      <c r="DHK94" s="248" t="n"/>
      <c r="DHL94" s="248" t="n"/>
      <c r="DHM94" s="240" t="n"/>
      <c r="DHN94" s="240" t="n"/>
      <c r="DHP94" s="15" t="n"/>
      <c r="DHQ94" s="15" t="n"/>
      <c r="DHR94" s="248" t="n"/>
      <c r="DHS94" s="248" t="n"/>
      <c r="DHT94" s="240" t="n"/>
      <c r="DHU94" s="240" t="n"/>
      <c r="DHW94" s="15" t="n"/>
      <c r="DHX94" s="15" t="n"/>
      <c r="DHY94" s="248" t="n"/>
      <c r="DHZ94" s="248" t="n"/>
      <c r="DIA94" s="240" t="n"/>
      <c r="DIB94" s="240" t="n"/>
      <c r="DID94" s="15" t="n"/>
      <c r="DIE94" s="15" t="n"/>
      <c r="DIF94" s="248" t="n"/>
      <c r="DIG94" s="248" t="n"/>
      <c r="DIH94" s="240" t="n"/>
      <c r="DII94" s="240" t="n"/>
      <c r="DIK94" s="15" t="n"/>
      <c r="DIL94" s="15" t="n"/>
      <c r="DIM94" s="248" t="n"/>
      <c r="DIN94" s="248" t="n"/>
      <c r="DIO94" s="240" t="n"/>
      <c r="DIP94" s="240" t="n"/>
      <c r="DIR94" s="15" t="n"/>
      <c r="DIS94" s="15" t="n"/>
      <c r="DIT94" s="248" t="n"/>
      <c r="DIU94" s="248" t="n"/>
      <c r="DIV94" s="240" t="n"/>
      <c r="DIW94" s="240" t="n"/>
      <c r="DIY94" s="15" t="n"/>
      <c r="DIZ94" s="15" t="n"/>
      <c r="DJA94" s="248" t="n"/>
      <c r="DJB94" s="248" t="n"/>
      <c r="DJC94" s="240" t="n"/>
      <c r="DJD94" s="240" t="n"/>
      <c r="DJF94" s="15" t="n"/>
      <c r="DJG94" s="15" t="n"/>
      <c r="DJH94" s="248" t="n"/>
      <c r="DJI94" s="248" t="n"/>
      <c r="DJJ94" s="240" t="n"/>
      <c r="DJK94" s="240" t="n"/>
      <c r="DJM94" s="15" t="n"/>
      <c r="DJN94" s="15" t="n"/>
      <c r="DJO94" s="248" t="n"/>
      <c r="DJP94" s="248" t="n"/>
      <c r="DJQ94" s="240" t="n"/>
      <c r="DJR94" s="240" t="n"/>
      <c r="DJT94" s="15" t="n"/>
      <c r="DJU94" s="15" t="n"/>
      <c r="DJV94" s="248" t="n"/>
      <c r="DJW94" s="248" t="n"/>
      <c r="DJX94" s="240" t="n"/>
      <c r="DJY94" s="240" t="n"/>
      <c r="DKA94" s="15" t="n"/>
      <c r="DKB94" s="15" t="n"/>
      <c r="DKC94" s="248" t="n"/>
      <c r="DKD94" s="248" t="n"/>
      <c r="DKE94" s="240" t="n"/>
      <c r="DKF94" s="240" t="n"/>
      <c r="DKH94" s="15" t="n"/>
      <c r="DKI94" s="15" t="n"/>
      <c r="DKJ94" s="248" t="n"/>
      <c r="DKK94" s="248" t="n"/>
      <c r="DKL94" s="240" t="n"/>
      <c r="DKM94" s="240" t="n"/>
      <c r="DKO94" s="15" t="n"/>
      <c r="DKP94" s="15" t="n"/>
      <c r="DKQ94" s="248" t="n"/>
      <c r="DKR94" s="248" t="n"/>
      <c r="DKS94" s="240" t="n"/>
      <c r="DKT94" s="240" t="n"/>
      <c r="DKV94" s="15" t="n"/>
      <c r="DKW94" s="15" t="n"/>
      <c r="DKX94" s="248" t="n"/>
      <c r="DKY94" s="248" t="n"/>
      <c r="DKZ94" s="240" t="n"/>
      <c r="DLA94" s="240" t="n"/>
      <c r="DLC94" s="15" t="n"/>
      <c r="DLD94" s="15" t="n"/>
      <c r="DLE94" s="248" t="n"/>
      <c r="DLF94" s="248" t="n"/>
      <c r="DLG94" s="240" t="n"/>
      <c r="DLH94" s="240" t="n"/>
      <c r="DLJ94" s="15" t="n"/>
      <c r="DLK94" s="15" t="n"/>
      <c r="DLL94" s="248" t="n"/>
      <c r="DLM94" s="248" t="n"/>
      <c r="DLN94" s="240" t="n"/>
      <c r="DLO94" s="240" t="n"/>
      <c r="DLQ94" s="15" t="n"/>
      <c r="DLR94" s="15" t="n"/>
      <c r="DLS94" s="248" t="n"/>
      <c r="DLT94" s="248" t="n"/>
      <c r="DLU94" s="240" t="n"/>
      <c r="DLV94" s="240" t="n"/>
      <c r="DLX94" s="15" t="n"/>
      <c r="DLY94" s="15" t="n"/>
      <c r="DLZ94" s="248" t="n"/>
      <c r="DMA94" s="248" t="n"/>
      <c r="DMB94" s="240" t="n"/>
      <c r="DMC94" s="240" t="n"/>
      <c r="DME94" s="15" t="n"/>
      <c r="DMF94" s="15" t="n"/>
      <c r="DMG94" s="248" t="n"/>
      <c r="DMH94" s="248" t="n"/>
      <c r="DMI94" s="240" t="n"/>
      <c r="DMJ94" s="240" t="n"/>
      <c r="DML94" s="15" t="n"/>
      <c r="DMM94" s="15" t="n"/>
      <c r="DMN94" s="248" t="n"/>
      <c r="DMO94" s="248" t="n"/>
      <c r="DMP94" s="240" t="n"/>
      <c r="DMQ94" s="240" t="n"/>
      <c r="DMS94" s="15" t="n"/>
      <c r="DMT94" s="15" t="n"/>
      <c r="DMU94" s="248" t="n"/>
      <c r="DMV94" s="248" t="n"/>
      <c r="DMW94" s="240" t="n"/>
      <c r="DMX94" s="240" t="n"/>
      <c r="DMZ94" s="15" t="n"/>
      <c r="DNA94" s="15" t="n"/>
      <c r="DNB94" s="248" t="n"/>
      <c r="DNC94" s="248" t="n"/>
      <c r="DND94" s="240" t="n"/>
      <c r="DNE94" s="240" t="n"/>
      <c r="DNG94" s="15" t="n"/>
      <c r="DNH94" s="15" t="n"/>
      <c r="DNI94" s="248" t="n"/>
      <c r="DNJ94" s="248" t="n"/>
      <c r="DNK94" s="240" t="n"/>
      <c r="DNL94" s="240" t="n"/>
      <c r="DNN94" s="15" t="n"/>
      <c r="DNO94" s="15" t="n"/>
      <c r="DNP94" s="248" t="n"/>
      <c r="DNQ94" s="248" t="n"/>
      <c r="DNR94" s="240" t="n"/>
      <c r="DNS94" s="240" t="n"/>
      <c r="DNU94" s="15" t="n"/>
      <c r="DNV94" s="15" t="n"/>
      <c r="DNW94" s="248" t="n"/>
      <c r="DNX94" s="248" t="n"/>
      <c r="DNY94" s="240" t="n"/>
      <c r="DNZ94" s="240" t="n"/>
      <c r="DOB94" s="15" t="n"/>
      <c r="DOC94" s="15" t="n"/>
      <c r="DOD94" s="248" t="n"/>
      <c r="DOE94" s="248" t="n"/>
      <c r="DOF94" s="240" t="n"/>
      <c r="DOG94" s="240" t="n"/>
      <c r="DOI94" s="15" t="n"/>
      <c r="DOJ94" s="15" t="n"/>
      <c r="DOK94" s="248" t="n"/>
      <c r="DOL94" s="248" t="n"/>
      <c r="DOM94" s="240" t="n"/>
      <c r="DON94" s="240" t="n"/>
      <c r="DOP94" s="15" t="n"/>
      <c r="DOQ94" s="15" t="n"/>
      <c r="DOR94" s="248" t="n"/>
      <c r="DOS94" s="248" t="n"/>
      <c r="DOT94" s="240" t="n"/>
      <c r="DOU94" s="240" t="n"/>
      <c r="DOW94" s="15" t="n"/>
      <c r="DOX94" s="15" t="n"/>
      <c r="DOY94" s="248" t="n"/>
      <c r="DOZ94" s="248" t="n"/>
      <c r="DPA94" s="240" t="n"/>
      <c r="DPB94" s="240" t="n"/>
      <c r="DPD94" s="15" t="n"/>
      <c r="DPE94" s="15" t="n"/>
      <c r="DPF94" s="248" t="n"/>
      <c r="DPG94" s="248" t="n"/>
      <c r="DPH94" s="240" t="n"/>
      <c r="DPI94" s="240" t="n"/>
      <c r="DPK94" s="15" t="n"/>
      <c r="DPL94" s="15" t="n"/>
      <c r="DPM94" s="248" t="n"/>
      <c r="DPN94" s="248" t="n"/>
      <c r="DPO94" s="240" t="n"/>
      <c r="DPP94" s="240" t="n"/>
      <c r="DPR94" s="15" t="n"/>
      <c r="DPS94" s="15" t="n"/>
      <c r="DPT94" s="248" t="n"/>
      <c r="DPU94" s="248" t="n"/>
      <c r="DPV94" s="240" t="n"/>
      <c r="DPW94" s="240" t="n"/>
      <c r="DPY94" s="15" t="n"/>
      <c r="DPZ94" s="15" t="n"/>
      <c r="DQA94" s="248" t="n"/>
      <c r="DQB94" s="248" t="n"/>
      <c r="DQC94" s="240" t="n"/>
      <c r="DQD94" s="240" t="n"/>
      <c r="DQF94" s="15" t="n"/>
      <c r="DQG94" s="15" t="n"/>
      <c r="DQH94" s="248" t="n"/>
      <c r="DQI94" s="248" t="n"/>
      <c r="DQJ94" s="240" t="n"/>
      <c r="DQK94" s="240" t="n"/>
      <c r="DQM94" s="15" t="n"/>
      <c r="DQN94" s="15" t="n"/>
      <c r="DQO94" s="248" t="n"/>
      <c r="DQP94" s="248" t="n"/>
      <c r="DQQ94" s="240" t="n"/>
      <c r="DQR94" s="240" t="n"/>
      <c r="DQT94" s="15" t="n"/>
      <c r="DQU94" s="15" t="n"/>
      <c r="DQV94" s="248" t="n"/>
      <c r="DQW94" s="248" t="n"/>
      <c r="DQX94" s="240" t="n"/>
      <c r="DQY94" s="240" t="n"/>
      <c r="DRA94" s="15" t="n"/>
      <c r="DRB94" s="15" t="n"/>
      <c r="DRC94" s="248" t="n"/>
      <c r="DRD94" s="248" t="n"/>
      <c r="DRE94" s="240" t="n"/>
      <c r="DRF94" s="240" t="n"/>
      <c r="DRH94" s="15" t="n"/>
      <c r="DRI94" s="15" t="n"/>
      <c r="DRJ94" s="248" t="n"/>
      <c r="DRK94" s="248" t="n"/>
      <c r="DRL94" s="240" t="n"/>
      <c r="DRM94" s="240" t="n"/>
      <c r="DRO94" s="15" t="n"/>
      <c r="DRP94" s="15" t="n"/>
      <c r="DRQ94" s="248" t="n"/>
      <c r="DRR94" s="248" t="n"/>
      <c r="DRS94" s="240" t="n"/>
      <c r="DRT94" s="240" t="n"/>
      <c r="DRV94" s="15" t="n"/>
      <c r="DRW94" s="15" t="n"/>
      <c r="DRX94" s="248" t="n"/>
      <c r="DRY94" s="248" t="n"/>
      <c r="DRZ94" s="240" t="n"/>
      <c r="DSA94" s="240" t="n"/>
      <c r="DSC94" s="15" t="n"/>
      <c r="DSD94" s="15" t="n"/>
      <c r="DSE94" s="248" t="n"/>
      <c r="DSF94" s="248" t="n"/>
      <c r="DSG94" s="240" t="n"/>
      <c r="DSH94" s="240" t="n"/>
      <c r="DSJ94" s="15" t="n"/>
      <c r="DSK94" s="15" t="n"/>
      <c r="DSL94" s="248" t="n"/>
      <c r="DSM94" s="248" t="n"/>
      <c r="DSN94" s="240" t="n"/>
      <c r="DSO94" s="240" t="n"/>
      <c r="DSQ94" s="15" t="n"/>
      <c r="DSR94" s="15" t="n"/>
      <c r="DSS94" s="248" t="n"/>
      <c r="DST94" s="248" t="n"/>
      <c r="DSU94" s="240" t="n"/>
      <c r="DSV94" s="240" t="n"/>
      <c r="DSX94" s="15" t="n"/>
      <c r="DSY94" s="15" t="n"/>
      <c r="DSZ94" s="248" t="n"/>
      <c r="DTA94" s="248" t="n"/>
      <c r="DTB94" s="240" t="n"/>
      <c r="DTC94" s="240" t="n"/>
      <c r="DTE94" s="15" t="n"/>
      <c r="DTF94" s="15" t="n"/>
      <c r="DTG94" s="248" t="n"/>
      <c r="DTH94" s="248" t="n"/>
      <c r="DTI94" s="240" t="n"/>
      <c r="DTJ94" s="240" t="n"/>
      <c r="DTL94" s="15" t="n"/>
      <c r="DTM94" s="15" t="n"/>
      <c r="DTN94" s="248" t="n"/>
      <c r="DTO94" s="248" t="n"/>
      <c r="DTP94" s="240" t="n"/>
      <c r="DTQ94" s="240" t="n"/>
      <c r="DTS94" s="15" t="n"/>
      <c r="DTT94" s="15" t="n"/>
      <c r="DTU94" s="248" t="n"/>
      <c r="DTV94" s="248" t="n"/>
      <c r="DTW94" s="240" t="n"/>
      <c r="DTX94" s="240" t="n"/>
      <c r="DTZ94" s="15" t="n"/>
      <c r="DUA94" s="15" t="n"/>
      <c r="DUB94" s="248" t="n"/>
      <c r="DUC94" s="248" t="n"/>
      <c r="DUD94" s="240" t="n"/>
      <c r="DUE94" s="240" t="n"/>
      <c r="DUG94" s="15" t="n"/>
      <c r="DUH94" s="15" t="n"/>
      <c r="DUI94" s="248" t="n"/>
      <c r="DUJ94" s="248" t="n"/>
      <c r="DUK94" s="240" t="n"/>
      <c r="DUL94" s="240" t="n"/>
      <c r="DUN94" s="15" t="n"/>
      <c r="DUO94" s="15" t="n"/>
      <c r="DUP94" s="248" t="n"/>
      <c r="DUQ94" s="248" t="n"/>
      <c r="DUR94" s="240" t="n"/>
      <c r="DUS94" s="240" t="n"/>
      <c r="DUU94" s="15" t="n"/>
      <c r="DUV94" s="15" t="n"/>
      <c r="DUW94" s="248" t="n"/>
      <c r="DUX94" s="248" t="n"/>
      <c r="DUY94" s="240" t="n"/>
      <c r="DUZ94" s="240" t="n"/>
      <c r="DVB94" s="15" t="n"/>
      <c r="DVC94" s="15" t="n"/>
      <c r="DVD94" s="248" t="n"/>
      <c r="DVE94" s="248" t="n"/>
      <c r="DVF94" s="240" t="n"/>
      <c r="DVG94" s="240" t="n"/>
      <c r="DVI94" s="15" t="n"/>
      <c r="DVJ94" s="15" t="n"/>
      <c r="DVK94" s="248" t="n"/>
      <c r="DVL94" s="248" t="n"/>
      <c r="DVM94" s="240" t="n"/>
      <c r="DVN94" s="240" t="n"/>
      <c r="DVP94" s="15" t="n"/>
      <c r="DVQ94" s="15" t="n"/>
      <c r="DVR94" s="248" t="n"/>
      <c r="DVS94" s="248" t="n"/>
      <c r="DVT94" s="240" t="n"/>
      <c r="DVU94" s="240" t="n"/>
      <c r="DVW94" s="15" t="n"/>
      <c r="DVX94" s="15" t="n"/>
      <c r="DVY94" s="248" t="n"/>
      <c r="DVZ94" s="248" t="n"/>
      <c r="DWA94" s="240" t="n"/>
      <c r="DWB94" s="240" t="n"/>
      <c r="DWD94" s="15" t="n"/>
      <c r="DWE94" s="15" t="n"/>
      <c r="DWF94" s="248" t="n"/>
      <c r="DWG94" s="248" t="n"/>
      <c r="DWH94" s="240" t="n"/>
      <c r="DWI94" s="240" t="n"/>
      <c r="DWK94" s="15" t="n"/>
      <c r="DWL94" s="15" t="n"/>
      <c r="DWM94" s="248" t="n"/>
      <c r="DWN94" s="248" t="n"/>
      <c r="DWO94" s="240" t="n"/>
      <c r="DWP94" s="240" t="n"/>
      <c r="DWR94" s="15" t="n"/>
      <c r="DWS94" s="15" t="n"/>
      <c r="DWT94" s="248" t="n"/>
      <c r="DWU94" s="248" t="n"/>
      <c r="DWV94" s="240" t="n"/>
      <c r="DWW94" s="240" t="n"/>
      <c r="DWY94" s="15" t="n"/>
      <c r="DWZ94" s="15" t="n"/>
      <c r="DXA94" s="248" t="n"/>
      <c r="DXB94" s="248" t="n"/>
      <c r="DXC94" s="240" t="n"/>
      <c r="DXD94" s="240" t="n"/>
      <c r="DXF94" s="15" t="n"/>
      <c r="DXG94" s="15" t="n"/>
      <c r="DXH94" s="248" t="n"/>
      <c r="DXI94" s="248" t="n"/>
      <c r="DXJ94" s="240" t="n"/>
      <c r="DXK94" s="240" t="n"/>
      <c r="DXM94" s="15" t="n"/>
      <c r="DXN94" s="15" t="n"/>
      <c r="DXO94" s="248" t="n"/>
      <c r="DXP94" s="248" t="n"/>
      <c r="DXQ94" s="240" t="n"/>
      <c r="DXR94" s="240" t="n"/>
      <c r="DXT94" s="15" t="n"/>
      <c r="DXU94" s="15" t="n"/>
      <c r="DXV94" s="248" t="n"/>
      <c r="DXW94" s="248" t="n"/>
      <c r="DXX94" s="240" t="n"/>
      <c r="DXY94" s="240" t="n"/>
      <c r="DYA94" s="15" t="n"/>
      <c r="DYB94" s="15" t="n"/>
      <c r="DYC94" s="248" t="n"/>
      <c r="DYD94" s="248" t="n"/>
      <c r="DYE94" s="240" t="n"/>
      <c r="DYF94" s="240" t="n"/>
      <c r="DYH94" s="15" t="n"/>
      <c r="DYI94" s="15" t="n"/>
      <c r="DYJ94" s="248" t="n"/>
      <c r="DYK94" s="248" t="n"/>
      <c r="DYL94" s="240" t="n"/>
      <c r="DYM94" s="240" t="n"/>
      <c r="DYO94" s="15" t="n"/>
      <c r="DYP94" s="15" t="n"/>
      <c r="DYQ94" s="248" t="n"/>
      <c r="DYR94" s="248" t="n"/>
      <c r="DYS94" s="240" t="n"/>
      <c r="DYT94" s="240" t="n"/>
      <c r="DYV94" s="15" t="n"/>
      <c r="DYW94" s="15" t="n"/>
      <c r="DYX94" s="248" t="n"/>
      <c r="DYY94" s="248" t="n"/>
      <c r="DYZ94" s="240" t="n"/>
      <c r="DZA94" s="240" t="n"/>
      <c r="DZC94" s="15" t="n"/>
      <c r="DZD94" s="15" t="n"/>
      <c r="DZE94" s="248" t="n"/>
      <c r="DZF94" s="248" t="n"/>
      <c r="DZG94" s="240" t="n"/>
      <c r="DZH94" s="240" t="n"/>
      <c r="DZJ94" s="15" t="n"/>
      <c r="DZK94" s="15" t="n"/>
      <c r="DZL94" s="248" t="n"/>
      <c r="DZM94" s="248" t="n"/>
      <c r="DZN94" s="240" t="n"/>
      <c r="DZO94" s="240" t="n"/>
      <c r="DZQ94" s="15" t="n"/>
      <c r="DZR94" s="15" t="n"/>
      <c r="DZS94" s="248" t="n"/>
      <c r="DZT94" s="248" t="n"/>
      <c r="DZU94" s="240" t="n"/>
      <c r="DZV94" s="240" t="n"/>
      <c r="DZX94" s="15" t="n"/>
      <c r="DZY94" s="15" t="n"/>
      <c r="DZZ94" s="248" t="n"/>
      <c r="EAA94" s="248" t="n"/>
      <c r="EAB94" s="240" t="n"/>
      <c r="EAC94" s="240" t="n"/>
      <c r="EAE94" s="15" t="n"/>
      <c r="EAF94" s="15" t="n"/>
      <c r="EAG94" s="248" t="n"/>
      <c r="EAH94" s="248" t="n"/>
      <c r="EAI94" s="240" t="n"/>
      <c r="EAJ94" s="240" t="n"/>
      <c r="EAL94" s="15" t="n"/>
      <c r="EAM94" s="15" t="n"/>
      <c r="EAN94" s="248" t="n"/>
      <c r="EAO94" s="248" t="n"/>
      <c r="EAP94" s="240" t="n"/>
      <c r="EAQ94" s="240" t="n"/>
      <c r="EAS94" s="15" t="n"/>
      <c r="EAT94" s="15" t="n"/>
      <c r="EAU94" s="248" t="n"/>
      <c r="EAV94" s="248" t="n"/>
      <c r="EAW94" s="240" t="n"/>
      <c r="EAX94" s="240" t="n"/>
      <c r="EAZ94" s="15" t="n"/>
      <c r="EBA94" s="15" t="n"/>
      <c r="EBB94" s="248" t="n"/>
      <c r="EBC94" s="248" t="n"/>
      <c r="EBD94" s="240" t="n"/>
      <c r="EBE94" s="240" t="n"/>
      <c r="EBG94" s="15" t="n"/>
      <c r="EBH94" s="15" t="n"/>
      <c r="EBI94" s="248" t="n"/>
      <c r="EBJ94" s="248" t="n"/>
      <c r="EBK94" s="240" t="n"/>
      <c r="EBL94" s="240" t="n"/>
      <c r="EBN94" s="15" t="n"/>
      <c r="EBO94" s="15" t="n"/>
      <c r="EBP94" s="248" t="n"/>
      <c r="EBQ94" s="248" t="n"/>
      <c r="EBR94" s="240" t="n"/>
      <c r="EBS94" s="240" t="n"/>
      <c r="EBU94" s="15" t="n"/>
      <c r="EBV94" s="15" t="n"/>
      <c r="EBW94" s="248" t="n"/>
      <c r="EBX94" s="248" t="n"/>
      <c r="EBY94" s="240" t="n"/>
      <c r="EBZ94" s="240" t="n"/>
      <c r="ECB94" s="15" t="n"/>
      <c r="ECC94" s="15" t="n"/>
      <c r="ECD94" s="248" t="n"/>
      <c r="ECE94" s="248" t="n"/>
      <c r="ECF94" s="240" t="n"/>
      <c r="ECG94" s="240" t="n"/>
      <c r="ECI94" s="15" t="n"/>
      <c r="ECJ94" s="15" t="n"/>
      <c r="ECK94" s="248" t="n"/>
      <c r="ECL94" s="248" t="n"/>
      <c r="ECM94" s="240" t="n"/>
      <c r="ECN94" s="240" t="n"/>
      <c r="ECP94" s="15" t="n"/>
      <c r="ECQ94" s="15" t="n"/>
      <c r="ECR94" s="248" t="n"/>
      <c r="ECS94" s="248" t="n"/>
      <c r="ECT94" s="240" t="n"/>
      <c r="ECU94" s="240" t="n"/>
      <c r="ECW94" s="15" t="n"/>
      <c r="ECX94" s="15" t="n"/>
      <c r="ECY94" s="248" t="n"/>
      <c r="ECZ94" s="248" t="n"/>
      <c r="EDA94" s="240" t="n"/>
      <c r="EDB94" s="240" t="n"/>
      <c r="EDD94" s="15" t="n"/>
      <c r="EDE94" s="15" t="n"/>
      <c r="EDF94" s="248" t="n"/>
      <c r="EDG94" s="248" t="n"/>
      <c r="EDH94" s="240" t="n"/>
      <c r="EDI94" s="240" t="n"/>
      <c r="EDK94" s="15" t="n"/>
      <c r="EDL94" s="15" t="n"/>
      <c r="EDM94" s="248" t="n"/>
      <c r="EDN94" s="248" t="n"/>
      <c r="EDO94" s="240" t="n"/>
      <c r="EDP94" s="240" t="n"/>
      <c r="EDR94" s="15" t="n"/>
      <c r="EDS94" s="15" t="n"/>
      <c r="EDT94" s="248" t="n"/>
      <c r="EDU94" s="248" t="n"/>
      <c r="EDV94" s="240" t="n"/>
      <c r="EDW94" s="240" t="n"/>
      <c r="EDY94" s="15" t="n"/>
      <c r="EDZ94" s="15" t="n"/>
      <c r="EEA94" s="248" t="n"/>
      <c r="EEB94" s="248" t="n"/>
      <c r="EEC94" s="240" t="n"/>
      <c r="EED94" s="240" t="n"/>
      <c r="EEF94" s="15" t="n"/>
      <c r="EEG94" s="15" t="n"/>
      <c r="EEH94" s="248" t="n"/>
      <c r="EEI94" s="248" t="n"/>
      <c r="EEJ94" s="240" t="n"/>
      <c r="EEK94" s="240" t="n"/>
      <c r="EEM94" s="15" t="n"/>
      <c r="EEN94" s="15" t="n"/>
      <c r="EEO94" s="248" t="n"/>
      <c r="EEP94" s="248" t="n"/>
      <c r="EEQ94" s="240" t="n"/>
      <c r="EER94" s="240" t="n"/>
      <c r="EET94" s="15" t="n"/>
      <c r="EEU94" s="15" t="n"/>
      <c r="EEV94" s="248" t="n"/>
      <c r="EEW94" s="248" t="n"/>
      <c r="EEX94" s="240" t="n"/>
      <c r="EEY94" s="240" t="n"/>
      <c r="EFA94" s="15" t="n"/>
      <c r="EFB94" s="15" t="n"/>
      <c r="EFC94" s="248" t="n"/>
      <c r="EFD94" s="248" t="n"/>
      <c r="EFE94" s="240" t="n"/>
      <c r="EFF94" s="240" t="n"/>
      <c r="EFH94" s="15" t="n"/>
      <c r="EFI94" s="15" t="n"/>
      <c r="EFJ94" s="248" t="n"/>
      <c r="EFK94" s="248" t="n"/>
      <c r="EFL94" s="240" t="n"/>
      <c r="EFM94" s="240" t="n"/>
      <c r="EFO94" s="15" t="n"/>
      <c r="EFP94" s="15" t="n"/>
      <c r="EFQ94" s="248" t="n"/>
      <c r="EFR94" s="248" t="n"/>
      <c r="EFS94" s="240" t="n"/>
      <c r="EFT94" s="240" t="n"/>
      <c r="EFV94" s="15" t="n"/>
      <c r="EFW94" s="15" t="n"/>
      <c r="EFX94" s="248" t="n"/>
      <c r="EFY94" s="248" t="n"/>
      <c r="EFZ94" s="240" t="n"/>
      <c r="EGA94" s="240" t="n"/>
      <c r="EGC94" s="15" t="n"/>
      <c r="EGD94" s="15" t="n"/>
      <c r="EGE94" s="248" t="n"/>
      <c r="EGF94" s="248" t="n"/>
      <c r="EGG94" s="240" t="n"/>
      <c r="EGH94" s="240" t="n"/>
      <c r="EGJ94" s="15" t="n"/>
      <c r="EGK94" s="15" t="n"/>
      <c r="EGL94" s="248" t="n"/>
      <c r="EGM94" s="248" t="n"/>
      <c r="EGN94" s="240" t="n"/>
      <c r="EGO94" s="240" t="n"/>
      <c r="EGQ94" s="15" t="n"/>
      <c r="EGR94" s="15" t="n"/>
      <c r="EGS94" s="248" t="n"/>
      <c r="EGT94" s="248" t="n"/>
      <c r="EGU94" s="240" t="n"/>
      <c r="EGV94" s="240" t="n"/>
      <c r="EGX94" s="15" t="n"/>
      <c r="EGY94" s="15" t="n"/>
      <c r="EGZ94" s="248" t="n"/>
      <c r="EHA94" s="248" t="n"/>
      <c r="EHB94" s="240" t="n"/>
      <c r="EHC94" s="240" t="n"/>
      <c r="EHE94" s="15" t="n"/>
      <c r="EHF94" s="15" t="n"/>
      <c r="EHG94" s="248" t="n"/>
      <c r="EHH94" s="248" t="n"/>
      <c r="EHI94" s="240" t="n"/>
      <c r="EHJ94" s="240" t="n"/>
      <c r="EHL94" s="15" t="n"/>
      <c r="EHM94" s="15" t="n"/>
      <c r="EHN94" s="248" t="n"/>
      <c r="EHO94" s="248" t="n"/>
      <c r="EHP94" s="240" t="n"/>
      <c r="EHQ94" s="240" t="n"/>
      <c r="EHS94" s="15" t="n"/>
      <c r="EHT94" s="15" t="n"/>
      <c r="EHU94" s="248" t="n"/>
      <c r="EHV94" s="248" t="n"/>
      <c r="EHW94" s="240" t="n"/>
      <c r="EHX94" s="240" t="n"/>
      <c r="EHZ94" s="15" t="n"/>
      <c r="EIA94" s="15" t="n"/>
      <c r="EIB94" s="248" t="n"/>
      <c r="EIC94" s="248" t="n"/>
      <c r="EID94" s="240" t="n"/>
      <c r="EIE94" s="240" t="n"/>
      <c r="EIG94" s="15" t="n"/>
      <c r="EIH94" s="15" t="n"/>
      <c r="EII94" s="248" t="n"/>
      <c r="EIJ94" s="248" t="n"/>
      <c r="EIK94" s="240" t="n"/>
      <c r="EIL94" s="240" t="n"/>
      <c r="EIN94" s="15" t="n"/>
      <c r="EIO94" s="15" t="n"/>
      <c r="EIP94" s="248" t="n"/>
      <c r="EIQ94" s="248" t="n"/>
      <c r="EIR94" s="240" t="n"/>
      <c r="EIS94" s="240" t="n"/>
      <c r="EIU94" s="15" t="n"/>
      <c r="EIV94" s="15" t="n"/>
      <c r="EIW94" s="248" t="n"/>
      <c r="EIX94" s="248" t="n"/>
      <c r="EIY94" s="240" t="n"/>
      <c r="EIZ94" s="240" t="n"/>
      <c r="EJB94" s="15" t="n"/>
      <c r="EJC94" s="15" t="n"/>
      <c r="EJD94" s="248" t="n"/>
      <c r="EJE94" s="248" t="n"/>
      <c r="EJF94" s="240" t="n"/>
      <c r="EJG94" s="240" t="n"/>
      <c r="EJI94" s="15" t="n"/>
      <c r="EJJ94" s="15" t="n"/>
      <c r="EJK94" s="248" t="n"/>
      <c r="EJL94" s="248" t="n"/>
      <c r="EJM94" s="240" t="n"/>
      <c r="EJN94" s="240" t="n"/>
      <c r="EJP94" s="15" t="n"/>
      <c r="EJQ94" s="15" t="n"/>
      <c r="EJR94" s="248" t="n"/>
      <c r="EJS94" s="248" t="n"/>
      <c r="EJT94" s="240" t="n"/>
      <c r="EJU94" s="240" t="n"/>
      <c r="EJW94" s="15" t="n"/>
      <c r="EJX94" s="15" t="n"/>
      <c r="EJY94" s="248" t="n"/>
      <c r="EJZ94" s="248" t="n"/>
      <c r="EKA94" s="240" t="n"/>
      <c r="EKB94" s="240" t="n"/>
      <c r="EKD94" s="15" t="n"/>
      <c r="EKE94" s="15" t="n"/>
      <c r="EKF94" s="248" t="n"/>
      <c r="EKG94" s="248" t="n"/>
      <c r="EKH94" s="240" t="n"/>
      <c r="EKI94" s="240" t="n"/>
      <c r="EKK94" s="15" t="n"/>
      <c r="EKL94" s="15" t="n"/>
      <c r="EKM94" s="248" t="n"/>
      <c r="EKN94" s="248" t="n"/>
      <c r="EKO94" s="240" t="n"/>
      <c r="EKP94" s="240" t="n"/>
      <c r="EKR94" s="15" t="n"/>
      <c r="EKS94" s="15" t="n"/>
      <c r="EKT94" s="248" t="n"/>
      <c r="EKU94" s="248" t="n"/>
      <c r="EKV94" s="240" t="n"/>
      <c r="EKW94" s="240" t="n"/>
      <c r="EKY94" s="15" t="n"/>
      <c r="EKZ94" s="15" t="n"/>
      <c r="ELA94" s="248" t="n"/>
      <c r="ELB94" s="248" t="n"/>
      <c r="ELC94" s="240" t="n"/>
      <c r="ELD94" s="240" t="n"/>
      <c r="ELF94" s="15" t="n"/>
      <c r="ELG94" s="15" t="n"/>
      <c r="ELH94" s="248" t="n"/>
      <c r="ELI94" s="248" t="n"/>
      <c r="ELJ94" s="240" t="n"/>
      <c r="ELK94" s="240" t="n"/>
      <c r="ELM94" s="15" t="n"/>
      <c r="ELN94" s="15" t="n"/>
      <c r="ELO94" s="248" t="n"/>
      <c r="ELP94" s="248" t="n"/>
      <c r="ELQ94" s="240" t="n"/>
      <c r="ELR94" s="240" t="n"/>
      <c r="ELT94" s="15" t="n"/>
      <c r="ELU94" s="15" t="n"/>
      <c r="ELV94" s="248" t="n"/>
      <c r="ELW94" s="248" t="n"/>
      <c r="ELX94" s="240" t="n"/>
      <c r="ELY94" s="240" t="n"/>
      <c r="EMA94" s="15" t="n"/>
      <c r="EMB94" s="15" t="n"/>
      <c r="EMC94" s="248" t="n"/>
      <c r="EMD94" s="248" t="n"/>
      <c r="EME94" s="240" t="n"/>
      <c r="EMF94" s="240" t="n"/>
      <c r="EMH94" s="15" t="n"/>
      <c r="EMI94" s="15" t="n"/>
      <c r="EMJ94" s="248" t="n"/>
      <c r="EMK94" s="248" t="n"/>
      <c r="EML94" s="240" t="n"/>
      <c r="EMM94" s="240" t="n"/>
      <c r="EMO94" s="15" t="n"/>
      <c r="EMP94" s="15" t="n"/>
      <c r="EMQ94" s="248" t="n"/>
      <c r="EMR94" s="248" t="n"/>
      <c r="EMS94" s="240" t="n"/>
      <c r="EMT94" s="240" t="n"/>
      <c r="EMV94" s="15" t="n"/>
      <c r="EMW94" s="15" t="n"/>
      <c r="EMX94" s="248" t="n"/>
      <c r="EMY94" s="248" t="n"/>
      <c r="EMZ94" s="240" t="n"/>
      <c r="ENA94" s="240" t="n"/>
      <c r="ENC94" s="15" t="n"/>
      <c r="END94" s="15" t="n"/>
      <c r="ENE94" s="248" t="n"/>
      <c r="ENF94" s="248" t="n"/>
      <c r="ENG94" s="240" t="n"/>
      <c r="ENH94" s="240" t="n"/>
      <c r="ENJ94" s="15" t="n"/>
      <c r="ENK94" s="15" t="n"/>
      <c r="ENL94" s="248" t="n"/>
      <c r="ENM94" s="248" t="n"/>
      <c r="ENN94" s="240" t="n"/>
      <c r="ENO94" s="240" t="n"/>
      <c r="ENQ94" s="15" t="n"/>
      <c r="ENR94" s="15" t="n"/>
      <c r="ENS94" s="248" t="n"/>
      <c r="ENT94" s="248" t="n"/>
      <c r="ENU94" s="240" t="n"/>
      <c r="ENV94" s="240" t="n"/>
      <c r="ENX94" s="15" t="n"/>
      <c r="ENY94" s="15" t="n"/>
      <c r="ENZ94" s="248" t="n"/>
      <c r="EOA94" s="248" t="n"/>
      <c r="EOB94" s="240" t="n"/>
      <c r="EOC94" s="240" t="n"/>
      <c r="EOE94" s="15" t="n"/>
      <c r="EOF94" s="15" t="n"/>
      <c r="EOG94" s="248" t="n"/>
      <c r="EOH94" s="248" t="n"/>
      <c r="EOI94" s="240" t="n"/>
      <c r="EOJ94" s="240" t="n"/>
      <c r="EOL94" s="15" t="n"/>
      <c r="EOM94" s="15" t="n"/>
      <c r="EON94" s="248" t="n"/>
      <c r="EOO94" s="248" t="n"/>
      <c r="EOP94" s="240" t="n"/>
      <c r="EOQ94" s="240" t="n"/>
      <c r="EOS94" s="15" t="n"/>
      <c r="EOT94" s="15" t="n"/>
      <c r="EOU94" s="248" t="n"/>
      <c r="EOV94" s="248" t="n"/>
      <c r="EOW94" s="240" t="n"/>
      <c r="EOX94" s="240" t="n"/>
      <c r="EOZ94" s="15" t="n"/>
      <c r="EPA94" s="15" t="n"/>
      <c r="EPB94" s="248" t="n"/>
      <c r="EPC94" s="248" t="n"/>
      <c r="EPD94" s="240" t="n"/>
      <c r="EPE94" s="240" t="n"/>
      <c r="EPG94" s="15" t="n"/>
      <c r="EPH94" s="15" t="n"/>
      <c r="EPI94" s="248" t="n"/>
      <c r="EPJ94" s="248" t="n"/>
      <c r="EPK94" s="240" t="n"/>
      <c r="EPL94" s="240" t="n"/>
      <c r="EPN94" s="15" t="n"/>
      <c r="EPO94" s="15" t="n"/>
      <c r="EPP94" s="248" t="n"/>
      <c r="EPQ94" s="248" t="n"/>
      <c r="EPR94" s="240" t="n"/>
      <c r="EPS94" s="240" t="n"/>
      <c r="EPU94" s="15" t="n"/>
      <c r="EPV94" s="15" t="n"/>
      <c r="EPW94" s="248" t="n"/>
      <c r="EPX94" s="248" t="n"/>
      <c r="EPY94" s="240" t="n"/>
      <c r="EPZ94" s="240" t="n"/>
      <c r="EQB94" s="15" t="n"/>
      <c r="EQC94" s="15" t="n"/>
      <c r="EQD94" s="248" t="n"/>
      <c r="EQE94" s="248" t="n"/>
      <c r="EQF94" s="240" t="n"/>
      <c r="EQG94" s="240" t="n"/>
      <c r="EQI94" s="15" t="n"/>
      <c r="EQJ94" s="15" t="n"/>
      <c r="EQK94" s="248" t="n"/>
      <c r="EQL94" s="248" t="n"/>
      <c r="EQM94" s="240" t="n"/>
      <c r="EQN94" s="240" t="n"/>
      <c r="EQP94" s="15" t="n"/>
      <c r="EQQ94" s="15" t="n"/>
      <c r="EQR94" s="248" t="n"/>
      <c r="EQS94" s="248" t="n"/>
      <c r="EQT94" s="240" t="n"/>
      <c r="EQU94" s="240" t="n"/>
      <c r="EQW94" s="15" t="n"/>
      <c r="EQX94" s="15" t="n"/>
      <c r="EQY94" s="248" t="n"/>
      <c r="EQZ94" s="248" t="n"/>
      <c r="ERA94" s="240" t="n"/>
      <c r="ERB94" s="240" t="n"/>
      <c r="ERD94" s="15" t="n"/>
      <c r="ERE94" s="15" t="n"/>
      <c r="ERF94" s="248" t="n"/>
      <c r="ERG94" s="248" t="n"/>
      <c r="ERH94" s="240" t="n"/>
      <c r="ERI94" s="240" t="n"/>
      <c r="ERK94" s="15" t="n"/>
      <c r="ERL94" s="15" t="n"/>
      <c r="ERM94" s="248" t="n"/>
      <c r="ERN94" s="248" t="n"/>
      <c r="ERO94" s="240" t="n"/>
      <c r="ERP94" s="240" t="n"/>
      <c r="ERR94" s="15" t="n"/>
      <c r="ERS94" s="15" t="n"/>
      <c r="ERT94" s="248" t="n"/>
      <c r="ERU94" s="248" t="n"/>
      <c r="ERV94" s="240" t="n"/>
      <c r="ERW94" s="240" t="n"/>
      <c r="ERY94" s="15" t="n"/>
      <c r="ERZ94" s="15" t="n"/>
      <c r="ESA94" s="248" t="n"/>
      <c r="ESB94" s="248" t="n"/>
      <c r="ESC94" s="240" t="n"/>
      <c r="ESD94" s="240" t="n"/>
      <c r="ESF94" s="15" t="n"/>
      <c r="ESG94" s="15" t="n"/>
      <c r="ESH94" s="248" t="n"/>
      <c r="ESI94" s="248" t="n"/>
      <c r="ESJ94" s="240" t="n"/>
      <c r="ESK94" s="240" t="n"/>
      <c r="ESM94" s="15" t="n"/>
      <c r="ESN94" s="15" t="n"/>
      <c r="ESO94" s="248" t="n"/>
      <c r="ESP94" s="248" t="n"/>
      <c r="ESQ94" s="240" t="n"/>
      <c r="ESR94" s="240" t="n"/>
      <c r="EST94" s="15" t="n"/>
      <c r="ESU94" s="15" t="n"/>
      <c r="ESV94" s="248" t="n"/>
      <c r="ESW94" s="248" t="n"/>
      <c r="ESX94" s="240" t="n"/>
      <c r="ESY94" s="240" t="n"/>
      <c r="ETA94" s="15" t="n"/>
      <c r="ETB94" s="15" t="n"/>
      <c r="ETC94" s="248" t="n"/>
      <c r="ETD94" s="248" t="n"/>
      <c r="ETE94" s="240" t="n"/>
      <c r="ETF94" s="240" t="n"/>
      <c r="ETH94" s="15" t="n"/>
      <c r="ETI94" s="15" t="n"/>
      <c r="ETJ94" s="248" t="n"/>
      <c r="ETK94" s="248" t="n"/>
      <c r="ETL94" s="240" t="n"/>
      <c r="ETM94" s="240" t="n"/>
      <c r="ETO94" s="15" t="n"/>
      <c r="ETP94" s="15" t="n"/>
      <c r="ETQ94" s="248" t="n"/>
      <c r="ETR94" s="248" t="n"/>
      <c r="ETS94" s="240" t="n"/>
      <c r="ETT94" s="240" t="n"/>
      <c r="ETV94" s="15" t="n"/>
      <c r="ETW94" s="15" t="n"/>
      <c r="ETX94" s="248" t="n"/>
      <c r="ETY94" s="248" t="n"/>
      <c r="ETZ94" s="240" t="n"/>
      <c r="EUA94" s="240" t="n"/>
      <c r="EUC94" s="15" t="n"/>
      <c r="EUD94" s="15" t="n"/>
      <c r="EUE94" s="248" t="n"/>
      <c r="EUF94" s="248" t="n"/>
      <c r="EUG94" s="240" t="n"/>
      <c r="EUH94" s="240" t="n"/>
      <c r="EUJ94" s="15" t="n"/>
      <c r="EUK94" s="15" t="n"/>
      <c r="EUL94" s="248" t="n"/>
      <c r="EUM94" s="248" t="n"/>
      <c r="EUN94" s="240" t="n"/>
      <c r="EUO94" s="240" t="n"/>
      <c r="EUQ94" s="15" t="n"/>
      <c r="EUR94" s="15" t="n"/>
      <c r="EUS94" s="248" t="n"/>
      <c r="EUT94" s="248" t="n"/>
      <c r="EUU94" s="240" t="n"/>
      <c r="EUV94" s="240" t="n"/>
      <c r="EUX94" s="15" t="n"/>
      <c r="EUY94" s="15" t="n"/>
      <c r="EUZ94" s="248" t="n"/>
      <c r="EVA94" s="248" t="n"/>
      <c r="EVB94" s="240" t="n"/>
      <c r="EVC94" s="240" t="n"/>
      <c r="EVE94" s="15" t="n"/>
      <c r="EVF94" s="15" t="n"/>
      <c r="EVG94" s="248" t="n"/>
      <c r="EVH94" s="248" t="n"/>
      <c r="EVI94" s="240" t="n"/>
      <c r="EVJ94" s="240" t="n"/>
      <c r="EVL94" s="15" t="n"/>
      <c r="EVM94" s="15" t="n"/>
      <c r="EVN94" s="248" t="n"/>
      <c r="EVO94" s="248" t="n"/>
      <c r="EVP94" s="240" t="n"/>
      <c r="EVQ94" s="240" t="n"/>
      <c r="EVS94" s="15" t="n"/>
      <c r="EVT94" s="15" t="n"/>
      <c r="EVU94" s="248" t="n"/>
      <c r="EVV94" s="248" t="n"/>
      <c r="EVW94" s="240" t="n"/>
      <c r="EVX94" s="240" t="n"/>
      <c r="EVZ94" s="15" t="n"/>
      <c r="EWA94" s="15" t="n"/>
      <c r="EWB94" s="248" t="n"/>
      <c r="EWC94" s="248" t="n"/>
      <c r="EWD94" s="240" t="n"/>
      <c r="EWE94" s="240" t="n"/>
      <c r="EWG94" s="15" t="n"/>
      <c r="EWH94" s="15" t="n"/>
      <c r="EWI94" s="248" t="n"/>
      <c r="EWJ94" s="248" t="n"/>
      <c r="EWK94" s="240" t="n"/>
      <c r="EWL94" s="240" t="n"/>
      <c r="EWN94" s="15" t="n"/>
      <c r="EWO94" s="15" t="n"/>
      <c r="EWP94" s="248" t="n"/>
      <c r="EWQ94" s="248" t="n"/>
      <c r="EWR94" s="240" t="n"/>
      <c r="EWS94" s="240" t="n"/>
      <c r="EWU94" s="15" t="n"/>
      <c r="EWV94" s="15" t="n"/>
      <c r="EWW94" s="248" t="n"/>
      <c r="EWX94" s="248" t="n"/>
      <c r="EWY94" s="240" t="n"/>
      <c r="EWZ94" s="240" t="n"/>
      <c r="EXB94" s="15" t="n"/>
      <c r="EXC94" s="15" t="n"/>
      <c r="EXD94" s="248" t="n"/>
      <c r="EXE94" s="248" t="n"/>
      <c r="EXF94" s="240" t="n"/>
      <c r="EXG94" s="240" t="n"/>
      <c r="EXI94" s="15" t="n"/>
      <c r="EXJ94" s="15" t="n"/>
      <c r="EXK94" s="248" t="n"/>
      <c r="EXL94" s="248" t="n"/>
      <c r="EXM94" s="240" t="n"/>
      <c r="EXN94" s="240" t="n"/>
      <c r="EXP94" s="15" t="n"/>
      <c r="EXQ94" s="15" t="n"/>
      <c r="EXR94" s="248" t="n"/>
      <c r="EXS94" s="248" t="n"/>
      <c r="EXT94" s="240" t="n"/>
      <c r="EXU94" s="240" t="n"/>
      <c r="EXW94" s="15" t="n"/>
      <c r="EXX94" s="15" t="n"/>
      <c r="EXY94" s="248" t="n"/>
      <c r="EXZ94" s="248" t="n"/>
      <c r="EYA94" s="240" t="n"/>
      <c r="EYB94" s="240" t="n"/>
      <c r="EYD94" s="15" t="n"/>
      <c r="EYE94" s="15" t="n"/>
      <c r="EYF94" s="248" t="n"/>
      <c r="EYG94" s="248" t="n"/>
      <c r="EYH94" s="240" t="n"/>
      <c r="EYI94" s="240" t="n"/>
      <c r="EYK94" s="15" t="n"/>
      <c r="EYL94" s="15" t="n"/>
      <c r="EYM94" s="248" t="n"/>
      <c r="EYN94" s="248" t="n"/>
      <c r="EYO94" s="240" t="n"/>
      <c r="EYP94" s="240" t="n"/>
      <c r="EYR94" s="15" t="n"/>
      <c r="EYS94" s="15" t="n"/>
      <c r="EYT94" s="248" t="n"/>
      <c r="EYU94" s="248" t="n"/>
      <c r="EYV94" s="240" t="n"/>
      <c r="EYW94" s="240" t="n"/>
      <c r="EYY94" s="15" t="n"/>
      <c r="EYZ94" s="15" t="n"/>
      <c r="EZA94" s="248" t="n"/>
      <c r="EZB94" s="248" t="n"/>
      <c r="EZC94" s="240" t="n"/>
      <c r="EZD94" s="240" t="n"/>
      <c r="EZF94" s="15" t="n"/>
      <c r="EZG94" s="15" t="n"/>
      <c r="EZH94" s="248" t="n"/>
      <c r="EZI94" s="248" t="n"/>
      <c r="EZJ94" s="240" t="n"/>
      <c r="EZK94" s="240" t="n"/>
      <c r="EZM94" s="15" t="n"/>
      <c r="EZN94" s="15" t="n"/>
      <c r="EZO94" s="248" t="n"/>
      <c r="EZP94" s="248" t="n"/>
      <c r="EZQ94" s="240" t="n"/>
      <c r="EZR94" s="240" t="n"/>
      <c r="EZT94" s="15" t="n"/>
      <c r="EZU94" s="15" t="n"/>
      <c r="EZV94" s="248" t="n"/>
      <c r="EZW94" s="248" t="n"/>
      <c r="EZX94" s="240" t="n"/>
      <c r="EZY94" s="240" t="n"/>
      <c r="FAA94" s="15" t="n"/>
      <c r="FAB94" s="15" t="n"/>
      <c r="FAC94" s="248" t="n"/>
      <c r="FAD94" s="248" t="n"/>
      <c r="FAE94" s="240" t="n"/>
      <c r="FAF94" s="240" t="n"/>
      <c r="FAH94" s="15" t="n"/>
      <c r="FAI94" s="15" t="n"/>
      <c r="FAJ94" s="248" t="n"/>
      <c r="FAK94" s="248" t="n"/>
      <c r="FAL94" s="240" t="n"/>
      <c r="FAM94" s="240" t="n"/>
      <c r="FAO94" s="15" t="n"/>
      <c r="FAP94" s="15" t="n"/>
      <c r="FAQ94" s="248" t="n"/>
      <c r="FAR94" s="248" t="n"/>
      <c r="FAS94" s="240" t="n"/>
      <c r="FAT94" s="240" t="n"/>
      <c r="FAV94" s="15" t="n"/>
      <c r="FAW94" s="15" t="n"/>
      <c r="FAX94" s="248" t="n"/>
      <c r="FAY94" s="248" t="n"/>
      <c r="FAZ94" s="240" t="n"/>
      <c r="FBA94" s="240" t="n"/>
      <c r="FBC94" s="15" t="n"/>
      <c r="FBD94" s="15" t="n"/>
      <c r="FBE94" s="248" t="n"/>
      <c r="FBF94" s="248" t="n"/>
      <c r="FBG94" s="240" t="n"/>
      <c r="FBH94" s="240" t="n"/>
      <c r="FBJ94" s="15" t="n"/>
      <c r="FBK94" s="15" t="n"/>
      <c r="FBL94" s="248" t="n"/>
      <c r="FBM94" s="248" t="n"/>
      <c r="FBN94" s="240" t="n"/>
      <c r="FBO94" s="240" t="n"/>
      <c r="FBQ94" s="15" t="n"/>
      <c r="FBR94" s="15" t="n"/>
      <c r="FBS94" s="248" t="n"/>
      <c r="FBT94" s="248" t="n"/>
      <c r="FBU94" s="240" t="n"/>
      <c r="FBV94" s="240" t="n"/>
      <c r="FBX94" s="15" t="n"/>
      <c r="FBY94" s="15" t="n"/>
      <c r="FBZ94" s="248" t="n"/>
      <c r="FCA94" s="248" t="n"/>
      <c r="FCB94" s="240" t="n"/>
      <c r="FCC94" s="240" t="n"/>
      <c r="FCE94" s="15" t="n"/>
      <c r="FCF94" s="15" t="n"/>
      <c r="FCG94" s="248" t="n"/>
      <c r="FCH94" s="248" t="n"/>
      <c r="FCI94" s="240" t="n"/>
      <c r="FCJ94" s="240" t="n"/>
      <c r="FCL94" s="15" t="n"/>
      <c r="FCM94" s="15" t="n"/>
      <c r="FCN94" s="248" t="n"/>
      <c r="FCO94" s="248" t="n"/>
      <c r="FCP94" s="240" t="n"/>
      <c r="FCQ94" s="240" t="n"/>
      <c r="FCS94" s="15" t="n"/>
      <c r="FCT94" s="15" t="n"/>
      <c r="FCU94" s="248" t="n"/>
      <c r="FCV94" s="248" t="n"/>
      <c r="FCW94" s="240" t="n"/>
      <c r="FCX94" s="240" t="n"/>
      <c r="FCZ94" s="15" t="n"/>
      <c r="FDA94" s="15" t="n"/>
      <c r="FDB94" s="248" t="n"/>
      <c r="FDC94" s="248" t="n"/>
      <c r="FDD94" s="240" t="n"/>
      <c r="FDE94" s="240" t="n"/>
      <c r="FDG94" s="15" t="n"/>
      <c r="FDH94" s="15" t="n"/>
      <c r="FDI94" s="248" t="n"/>
      <c r="FDJ94" s="248" t="n"/>
      <c r="FDK94" s="240" t="n"/>
      <c r="FDL94" s="240" t="n"/>
      <c r="FDN94" s="15" t="n"/>
      <c r="FDO94" s="15" t="n"/>
      <c r="FDP94" s="248" t="n"/>
      <c r="FDQ94" s="248" t="n"/>
      <c r="FDR94" s="240" t="n"/>
      <c r="FDS94" s="240" t="n"/>
      <c r="FDU94" s="15" t="n"/>
      <c r="FDV94" s="15" t="n"/>
      <c r="FDW94" s="248" t="n"/>
      <c r="FDX94" s="248" t="n"/>
      <c r="FDY94" s="240" t="n"/>
      <c r="FDZ94" s="240" t="n"/>
      <c r="FEB94" s="15" t="n"/>
      <c r="FEC94" s="15" t="n"/>
      <c r="FED94" s="248" t="n"/>
      <c r="FEE94" s="248" t="n"/>
      <c r="FEF94" s="240" t="n"/>
      <c r="FEG94" s="240" t="n"/>
      <c r="FEI94" s="15" t="n"/>
      <c r="FEJ94" s="15" t="n"/>
      <c r="FEK94" s="248" t="n"/>
      <c r="FEL94" s="248" t="n"/>
      <c r="FEM94" s="240" t="n"/>
      <c r="FEN94" s="240" t="n"/>
      <c r="FEP94" s="15" t="n"/>
      <c r="FEQ94" s="15" t="n"/>
      <c r="FER94" s="248" t="n"/>
      <c r="FES94" s="248" t="n"/>
      <c r="FET94" s="240" t="n"/>
      <c r="FEU94" s="240" t="n"/>
      <c r="FEW94" s="15" t="n"/>
      <c r="FEX94" s="15" t="n"/>
      <c r="FEY94" s="248" t="n"/>
      <c r="FEZ94" s="248" t="n"/>
      <c r="FFA94" s="240" t="n"/>
      <c r="FFB94" s="240" t="n"/>
      <c r="FFD94" s="15" t="n"/>
      <c r="FFE94" s="15" t="n"/>
      <c r="FFF94" s="248" t="n"/>
      <c r="FFG94" s="248" t="n"/>
      <c r="FFH94" s="240" t="n"/>
      <c r="FFI94" s="240" t="n"/>
      <c r="FFK94" s="15" t="n"/>
      <c r="FFL94" s="15" t="n"/>
      <c r="FFM94" s="248" t="n"/>
      <c r="FFN94" s="248" t="n"/>
      <c r="FFO94" s="240" t="n"/>
      <c r="FFP94" s="240" t="n"/>
      <c r="FFR94" s="15" t="n"/>
      <c r="FFS94" s="15" t="n"/>
      <c r="FFT94" s="248" t="n"/>
      <c r="FFU94" s="248" t="n"/>
      <c r="FFV94" s="240" t="n"/>
      <c r="FFW94" s="240" t="n"/>
      <c r="FFY94" s="15" t="n"/>
      <c r="FFZ94" s="15" t="n"/>
      <c r="FGA94" s="248" t="n"/>
      <c r="FGB94" s="248" t="n"/>
      <c r="FGC94" s="240" t="n"/>
      <c r="FGD94" s="240" t="n"/>
      <c r="FGF94" s="15" t="n"/>
      <c r="FGG94" s="15" t="n"/>
      <c r="FGH94" s="248" t="n"/>
      <c r="FGI94" s="248" t="n"/>
      <c r="FGJ94" s="240" t="n"/>
      <c r="FGK94" s="240" t="n"/>
      <c r="FGM94" s="15" t="n"/>
      <c r="FGN94" s="15" t="n"/>
      <c r="FGO94" s="248" t="n"/>
      <c r="FGP94" s="248" t="n"/>
      <c r="FGQ94" s="240" t="n"/>
      <c r="FGR94" s="240" t="n"/>
      <c r="FGT94" s="15" t="n"/>
      <c r="FGU94" s="15" t="n"/>
      <c r="FGV94" s="248" t="n"/>
      <c r="FGW94" s="248" t="n"/>
      <c r="FGX94" s="240" t="n"/>
      <c r="FGY94" s="240" t="n"/>
      <c r="FHA94" s="15" t="n"/>
      <c r="FHB94" s="15" t="n"/>
      <c r="FHC94" s="248" t="n"/>
      <c r="FHD94" s="248" t="n"/>
      <c r="FHE94" s="240" t="n"/>
      <c r="FHF94" s="240" t="n"/>
      <c r="FHH94" s="15" t="n"/>
      <c r="FHI94" s="15" t="n"/>
      <c r="FHJ94" s="248" t="n"/>
      <c r="FHK94" s="248" t="n"/>
      <c r="FHL94" s="240" t="n"/>
      <c r="FHM94" s="240" t="n"/>
      <c r="FHO94" s="15" t="n"/>
      <c r="FHP94" s="15" t="n"/>
      <c r="FHQ94" s="248" t="n"/>
      <c r="FHR94" s="248" t="n"/>
      <c r="FHS94" s="240" t="n"/>
      <c r="FHT94" s="240" t="n"/>
      <c r="FHV94" s="15" t="n"/>
      <c r="FHW94" s="15" t="n"/>
      <c r="FHX94" s="248" t="n"/>
      <c r="FHY94" s="248" t="n"/>
      <c r="FHZ94" s="240" t="n"/>
      <c r="FIA94" s="240" t="n"/>
      <c r="FIC94" s="15" t="n"/>
      <c r="FID94" s="15" t="n"/>
      <c r="FIE94" s="248" t="n"/>
      <c r="FIF94" s="248" t="n"/>
      <c r="FIG94" s="240" t="n"/>
      <c r="FIH94" s="240" t="n"/>
      <c r="FIJ94" s="15" t="n"/>
      <c r="FIK94" s="15" t="n"/>
      <c r="FIL94" s="248" t="n"/>
      <c r="FIM94" s="248" t="n"/>
      <c r="FIN94" s="240" t="n"/>
      <c r="FIO94" s="240" t="n"/>
      <c r="FIQ94" s="15" t="n"/>
      <c r="FIR94" s="15" t="n"/>
      <c r="FIS94" s="248" t="n"/>
      <c r="FIT94" s="248" t="n"/>
      <c r="FIU94" s="240" t="n"/>
      <c r="FIV94" s="240" t="n"/>
      <c r="FIX94" s="15" t="n"/>
      <c r="FIY94" s="15" t="n"/>
      <c r="FIZ94" s="248" t="n"/>
      <c r="FJA94" s="248" t="n"/>
      <c r="FJB94" s="240" t="n"/>
      <c r="FJC94" s="240" t="n"/>
      <c r="FJE94" s="15" t="n"/>
      <c r="FJF94" s="15" t="n"/>
      <c r="FJG94" s="248" t="n"/>
      <c r="FJH94" s="248" t="n"/>
      <c r="FJI94" s="240" t="n"/>
      <c r="FJJ94" s="240" t="n"/>
      <c r="FJL94" s="15" t="n"/>
      <c r="FJM94" s="15" t="n"/>
      <c r="FJN94" s="248" t="n"/>
      <c r="FJO94" s="248" t="n"/>
      <c r="FJP94" s="240" t="n"/>
      <c r="FJQ94" s="240" t="n"/>
      <c r="FJS94" s="15" t="n"/>
      <c r="FJT94" s="15" t="n"/>
      <c r="FJU94" s="248" t="n"/>
      <c r="FJV94" s="248" t="n"/>
      <c r="FJW94" s="240" t="n"/>
      <c r="FJX94" s="240" t="n"/>
      <c r="FJZ94" s="15" t="n"/>
      <c r="FKA94" s="15" t="n"/>
      <c r="FKB94" s="248" t="n"/>
      <c r="FKC94" s="248" t="n"/>
      <c r="FKD94" s="240" t="n"/>
      <c r="FKE94" s="240" t="n"/>
      <c r="FKG94" s="15" t="n"/>
      <c r="FKH94" s="15" t="n"/>
      <c r="FKI94" s="248" t="n"/>
      <c r="FKJ94" s="248" t="n"/>
      <c r="FKK94" s="240" t="n"/>
      <c r="FKL94" s="240" t="n"/>
      <c r="FKN94" s="15" t="n"/>
      <c r="FKO94" s="15" t="n"/>
      <c r="FKP94" s="248" t="n"/>
      <c r="FKQ94" s="248" t="n"/>
      <c r="FKR94" s="240" t="n"/>
      <c r="FKS94" s="240" t="n"/>
      <c r="FKU94" s="15" t="n"/>
      <c r="FKV94" s="15" t="n"/>
      <c r="FKW94" s="248" t="n"/>
      <c r="FKX94" s="248" t="n"/>
      <c r="FKY94" s="240" t="n"/>
      <c r="FKZ94" s="240" t="n"/>
      <c r="FLB94" s="15" t="n"/>
      <c r="FLC94" s="15" t="n"/>
      <c r="FLD94" s="248" t="n"/>
      <c r="FLE94" s="248" t="n"/>
      <c r="FLF94" s="240" t="n"/>
      <c r="FLG94" s="240" t="n"/>
      <c r="FLI94" s="15" t="n"/>
      <c r="FLJ94" s="15" t="n"/>
      <c r="FLK94" s="248" t="n"/>
      <c r="FLL94" s="248" t="n"/>
      <c r="FLM94" s="240" t="n"/>
      <c r="FLN94" s="240" t="n"/>
      <c r="FLP94" s="15" t="n"/>
      <c r="FLQ94" s="15" t="n"/>
      <c r="FLR94" s="248" t="n"/>
      <c r="FLS94" s="248" t="n"/>
      <c r="FLT94" s="240" t="n"/>
      <c r="FLU94" s="240" t="n"/>
      <c r="FLW94" s="15" t="n"/>
      <c r="FLX94" s="15" t="n"/>
      <c r="FLY94" s="248" t="n"/>
      <c r="FLZ94" s="248" t="n"/>
      <c r="FMA94" s="240" t="n"/>
      <c r="FMB94" s="240" t="n"/>
      <c r="FMD94" s="15" t="n"/>
      <c r="FME94" s="15" t="n"/>
      <c r="FMF94" s="248" t="n"/>
      <c r="FMG94" s="248" t="n"/>
      <c r="FMH94" s="240" t="n"/>
      <c r="FMI94" s="240" t="n"/>
      <c r="FMK94" s="15" t="n"/>
      <c r="FML94" s="15" t="n"/>
      <c r="FMM94" s="248" t="n"/>
      <c r="FMN94" s="248" t="n"/>
      <c r="FMO94" s="240" t="n"/>
      <c r="FMP94" s="240" t="n"/>
      <c r="FMR94" s="15" t="n"/>
      <c r="FMS94" s="15" t="n"/>
      <c r="FMT94" s="248" t="n"/>
      <c r="FMU94" s="248" t="n"/>
      <c r="FMV94" s="240" t="n"/>
      <c r="FMW94" s="240" t="n"/>
      <c r="FMY94" s="15" t="n"/>
      <c r="FMZ94" s="15" t="n"/>
      <c r="FNA94" s="248" t="n"/>
      <c r="FNB94" s="248" t="n"/>
      <c r="FNC94" s="240" t="n"/>
      <c r="FND94" s="240" t="n"/>
      <c r="FNF94" s="15" t="n"/>
      <c r="FNG94" s="15" t="n"/>
      <c r="FNH94" s="248" t="n"/>
      <c r="FNI94" s="248" t="n"/>
      <c r="FNJ94" s="240" t="n"/>
      <c r="FNK94" s="240" t="n"/>
      <c r="FNM94" s="15" t="n"/>
      <c r="FNN94" s="15" t="n"/>
      <c r="FNO94" s="248" t="n"/>
      <c r="FNP94" s="248" t="n"/>
      <c r="FNQ94" s="240" t="n"/>
      <c r="FNR94" s="240" t="n"/>
      <c r="FNT94" s="15" t="n"/>
      <c r="FNU94" s="15" t="n"/>
      <c r="FNV94" s="248" t="n"/>
      <c r="FNW94" s="248" t="n"/>
      <c r="FNX94" s="240" t="n"/>
      <c r="FNY94" s="240" t="n"/>
      <c r="FOA94" s="15" t="n"/>
      <c r="FOB94" s="15" t="n"/>
      <c r="FOC94" s="248" t="n"/>
      <c r="FOD94" s="248" t="n"/>
      <c r="FOE94" s="240" t="n"/>
      <c r="FOF94" s="240" t="n"/>
      <c r="FOH94" s="15" t="n"/>
      <c r="FOI94" s="15" t="n"/>
      <c r="FOJ94" s="248" t="n"/>
      <c r="FOK94" s="248" t="n"/>
      <c r="FOL94" s="240" t="n"/>
      <c r="FOM94" s="240" t="n"/>
      <c r="FOO94" s="15" t="n"/>
      <c r="FOP94" s="15" t="n"/>
      <c r="FOQ94" s="248" t="n"/>
      <c r="FOR94" s="248" t="n"/>
      <c r="FOS94" s="240" t="n"/>
      <c r="FOT94" s="240" t="n"/>
      <c r="FOV94" s="15" t="n"/>
      <c r="FOW94" s="15" t="n"/>
      <c r="FOX94" s="248" t="n"/>
      <c r="FOY94" s="248" t="n"/>
      <c r="FOZ94" s="240" t="n"/>
      <c r="FPA94" s="240" t="n"/>
      <c r="FPC94" s="15" t="n"/>
      <c r="FPD94" s="15" t="n"/>
      <c r="FPE94" s="248" t="n"/>
      <c r="FPF94" s="248" t="n"/>
      <c r="FPG94" s="240" t="n"/>
      <c r="FPH94" s="240" t="n"/>
      <c r="FPJ94" s="15" t="n"/>
      <c r="FPK94" s="15" t="n"/>
      <c r="FPL94" s="248" t="n"/>
      <c r="FPM94" s="248" t="n"/>
      <c r="FPN94" s="240" t="n"/>
      <c r="FPO94" s="240" t="n"/>
      <c r="FPQ94" s="15" t="n"/>
      <c r="FPR94" s="15" t="n"/>
      <c r="FPS94" s="248" t="n"/>
      <c r="FPT94" s="248" t="n"/>
      <c r="FPU94" s="240" t="n"/>
      <c r="FPV94" s="240" t="n"/>
      <c r="FPX94" s="15" t="n"/>
      <c r="FPY94" s="15" t="n"/>
      <c r="FPZ94" s="248" t="n"/>
      <c r="FQA94" s="248" t="n"/>
      <c r="FQB94" s="240" t="n"/>
      <c r="FQC94" s="240" t="n"/>
      <c r="FQE94" s="15" t="n"/>
      <c r="FQF94" s="15" t="n"/>
      <c r="FQG94" s="248" t="n"/>
      <c r="FQH94" s="248" t="n"/>
      <c r="FQI94" s="240" t="n"/>
      <c r="FQJ94" s="240" t="n"/>
      <c r="FQL94" s="15" t="n"/>
      <c r="FQM94" s="15" t="n"/>
      <c r="FQN94" s="248" t="n"/>
      <c r="FQO94" s="248" t="n"/>
      <c r="FQP94" s="240" t="n"/>
      <c r="FQQ94" s="240" t="n"/>
      <c r="FQS94" s="15" t="n"/>
      <c r="FQT94" s="15" t="n"/>
      <c r="FQU94" s="248" t="n"/>
      <c r="FQV94" s="248" t="n"/>
      <c r="FQW94" s="240" t="n"/>
      <c r="FQX94" s="240" t="n"/>
      <c r="FQZ94" s="15" t="n"/>
      <c r="FRA94" s="15" t="n"/>
      <c r="FRB94" s="248" t="n"/>
      <c r="FRC94" s="248" t="n"/>
      <c r="FRD94" s="240" t="n"/>
      <c r="FRE94" s="240" t="n"/>
      <c r="FRG94" s="15" t="n"/>
      <c r="FRH94" s="15" t="n"/>
      <c r="FRI94" s="248" t="n"/>
      <c r="FRJ94" s="248" t="n"/>
      <c r="FRK94" s="240" t="n"/>
      <c r="FRL94" s="240" t="n"/>
      <c r="FRN94" s="15" t="n"/>
      <c r="FRO94" s="15" t="n"/>
      <c r="FRP94" s="248" t="n"/>
      <c r="FRQ94" s="248" t="n"/>
      <c r="FRR94" s="240" t="n"/>
      <c r="FRS94" s="240" t="n"/>
      <c r="FRU94" s="15" t="n"/>
      <c r="FRV94" s="15" t="n"/>
      <c r="FRW94" s="248" t="n"/>
      <c r="FRX94" s="248" t="n"/>
      <c r="FRY94" s="240" t="n"/>
      <c r="FRZ94" s="240" t="n"/>
      <c r="FSB94" s="15" t="n"/>
      <c r="FSC94" s="15" t="n"/>
      <c r="FSD94" s="248" t="n"/>
      <c r="FSE94" s="248" t="n"/>
      <c r="FSF94" s="240" t="n"/>
      <c r="FSG94" s="240" t="n"/>
      <c r="FSI94" s="15" t="n"/>
      <c r="FSJ94" s="15" t="n"/>
      <c r="FSK94" s="248" t="n"/>
      <c r="FSL94" s="248" t="n"/>
      <c r="FSM94" s="240" t="n"/>
      <c r="FSN94" s="240" t="n"/>
      <c r="FSP94" s="15" t="n"/>
      <c r="FSQ94" s="15" t="n"/>
      <c r="FSR94" s="248" t="n"/>
      <c r="FSS94" s="248" t="n"/>
      <c r="FST94" s="240" t="n"/>
      <c r="FSU94" s="240" t="n"/>
      <c r="FSW94" s="15" t="n"/>
      <c r="FSX94" s="15" t="n"/>
      <c r="FSY94" s="248" t="n"/>
      <c r="FSZ94" s="248" t="n"/>
      <c r="FTA94" s="240" t="n"/>
      <c r="FTB94" s="240" t="n"/>
      <c r="FTD94" s="15" t="n"/>
      <c r="FTE94" s="15" t="n"/>
      <c r="FTF94" s="248" t="n"/>
      <c r="FTG94" s="248" t="n"/>
      <c r="FTH94" s="240" t="n"/>
      <c r="FTI94" s="240" t="n"/>
      <c r="FTK94" s="15" t="n"/>
      <c r="FTL94" s="15" t="n"/>
      <c r="FTM94" s="248" t="n"/>
      <c r="FTN94" s="248" t="n"/>
      <c r="FTO94" s="240" t="n"/>
      <c r="FTP94" s="240" t="n"/>
      <c r="FTR94" s="15" t="n"/>
      <c r="FTS94" s="15" t="n"/>
      <c r="FTT94" s="248" t="n"/>
      <c r="FTU94" s="248" t="n"/>
      <c r="FTV94" s="240" t="n"/>
      <c r="FTW94" s="240" t="n"/>
      <c r="FTY94" s="15" t="n"/>
      <c r="FTZ94" s="15" t="n"/>
      <c r="FUA94" s="248" t="n"/>
      <c r="FUB94" s="248" t="n"/>
      <c r="FUC94" s="240" t="n"/>
      <c r="FUD94" s="240" t="n"/>
      <c r="FUF94" s="15" t="n"/>
      <c r="FUG94" s="15" t="n"/>
      <c r="FUH94" s="248" t="n"/>
      <c r="FUI94" s="248" t="n"/>
      <c r="FUJ94" s="240" t="n"/>
      <c r="FUK94" s="240" t="n"/>
      <c r="FUM94" s="15" t="n"/>
      <c r="FUN94" s="15" t="n"/>
      <c r="FUO94" s="248" t="n"/>
      <c r="FUP94" s="248" t="n"/>
      <c r="FUQ94" s="240" t="n"/>
      <c r="FUR94" s="240" t="n"/>
      <c r="FUT94" s="15" t="n"/>
      <c r="FUU94" s="15" t="n"/>
      <c r="FUV94" s="248" t="n"/>
      <c r="FUW94" s="248" t="n"/>
      <c r="FUX94" s="240" t="n"/>
      <c r="FUY94" s="240" t="n"/>
      <c r="FVA94" s="15" t="n"/>
      <c r="FVB94" s="15" t="n"/>
      <c r="FVC94" s="248" t="n"/>
      <c r="FVD94" s="248" t="n"/>
      <c r="FVE94" s="240" t="n"/>
      <c r="FVF94" s="240" t="n"/>
      <c r="FVH94" s="15" t="n"/>
      <c r="FVI94" s="15" t="n"/>
      <c r="FVJ94" s="248" t="n"/>
      <c r="FVK94" s="248" t="n"/>
      <c r="FVL94" s="240" t="n"/>
      <c r="FVM94" s="240" t="n"/>
      <c r="FVO94" s="15" t="n"/>
      <c r="FVP94" s="15" t="n"/>
      <c r="FVQ94" s="248" t="n"/>
      <c r="FVR94" s="248" t="n"/>
      <c r="FVS94" s="240" t="n"/>
      <c r="FVT94" s="240" t="n"/>
      <c r="FVV94" s="15" t="n"/>
      <c r="FVW94" s="15" t="n"/>
      <c r="FVX94" s="248" t="n"/>
      <c r="FVY94" s="248" t="n"/>
      <c r="FVZ94" s="240" t="n"/>
      <c r="FWA94" s="240" t="n"/>
      <c r="FWC94" s="15" t="n"/>
      <c r="FWD94" s="15" t="n"/>
      <c r="FWE94" s="248" t="n"/>
      <c r="FWF94" s="248" t="n"/>
      <c r="FWG94" s="240" t="n"/>
      <c r="FWH94" s="240" t="n"/>
      <c r="FWJ94" s="15" t="n"/>
      <c r="FWK94" s="15" t="n"/>
      <c r="FWL94" s="248" t="n"/>
      <c r="FWM94" s="248" t="n"/>
      <c r="FWN94" s="240" t="n"/>
      <c r="FWO94" s="240" t="n"/>
      <c r="FWQ94" s="15" t="n"/>
      <c r="FWR94" s="15" t="n"/>
      <c r="FWS94" s="248" t="n"/>
      <c r="FWT94" s="248" t="n"/>
      <c r="FWU94" s="240" t="n"/>
      <c r="FWV94" s="240" t="n"/>
      <c r="FWX94" s="15" t="n"/>
      <c r="FWY94" s="15" t="n"/>
      <c r="FWZ94" s="248" t="n"/>
      <c r="FXA94" s="248" t="n"/>
      <c r="FXB94" s="240" t="n"/>
      <c r="FXC94" s="240" t="n"/>
      <c r="FXE94" s="15" t="n"/>
      <c r="FXF94" s="15" t="n"/>
      <c r="FXG94" s="248" t="n"/>
      <c r="FXH94" s="248" t="n"/>
      <c r="FXI94" s="240" t="n"/>
      <c r="FXJ94" s="240" t="n"/>
      <c r="FXL94" s="15" t="n"/>
      <c r="FXM94" s="15" t="n"/>
      <c r="FXN94" s="248" t="n"/>
      <c r="FXO94" s="248" t="n"/>
      <c r="FXP94" s="240" t="n"/>
      <c r="FXQ94" s="240" t="n"/>
      <c r="FXS94" s="15" t="n"/>
      <c r="FXT94" s="15" t="n"/>
      <c r="FXU94" s="248" t="n"/>
      <c r="FXV94" s="248" t="n"/>
      <c r="FXW94" s="240" t="n"/>
      <c r="FXX94" s="240" t="n"/>
      <c r="FXZ94" s="15" t="n"/>
      <c r="FYA94" s="15" t="n"/>
      <c r="FYB94" s="248" t="n"/>
      <c r="FYC94" s="248" t="n"/>
      <c r="FYD94" s="240" t="n"/>
      <c r="FYE94" s="240" t="n"/>
      <c r="FYG94" s="15" t="n"/>
      <c r="FYH94" s="15" t="n"/>
      <c r="FYI94" s="248" t="n"/>
      <c r="FYJ94" s="248" t="n"/>
      <c r="FYK94" s="240" t="n"/>
      <c r="FYL94" s="240" t="n"/>
      <c r="FYN94" s="15" t="n"/>
      <c r="FYO94" s="15" t="n"/>
      <c r="FYP94" s="248" t="n"/>
      <c r="FYQ94" s="248" t="n"/>
      <c r="FYR94" s="240" t="n"/>
      <c r="FYS94" s="240" t="n"/>
      <c r="FYU94" s="15" t="n"/>
      <c r="FYV94" s="15" t="n"/>
      <c r="FYW94" s="248" t="n"/>
      <c r="FYX94" s="248" t="n"/>
      <c r="FYY94" s="240" t="n"/>
      <c r="FYZ94" s="240" t="n"/>
      <c r="FZB94" s="15" t="n"/>
      <c r="FZC94" s="15" t="n"/>
      <c r="FZD94" s="248" t="n"/>
      <c r="FZE94" s="248" t="n"/>
      <c r="FZF94" s="240" t="n"/>
      <c r="FZG94" s="240" t="n"/>
      <c r="FZI94" s="15" t="n"/>
      <c r="FZJ94" s="15" t="n"/>
      <c r="FZK94" s="248" t="n"/>
      <c r="FZL94" s="248" t="n"/>
      <c r="FZM94" s="240" t="n"/>
      <c r="FZN94" s="240" t="n"/>
      <c r="FZP94" s="15" t="n"/>
      <c r="FZQ94" s="15" t="n"/>
      <c r="FZR94" s="248" t="n"/>
      <c r="FZS94" s="248" t="n"/>
      <c r="FZT94" s="240" t="n"/>
      <c r="FZU94" s="240" t="n"/>
      <c r="FZW94" s="15" t="n"/>
      <c r="FZX94" s="15" t="n"/>
      <c r="FZY94" s="248" t="n"/>
      <c r="FZZ94" s="248" t="n"/>
      <c r="GAA94" s="240" t="n"/>
      <c r="GAB94" s="240" t="n"/>
      <c r="GAD94" s="15" t="n"/>
      <c r="GAE94" s="15" t="n"/>
      <c r="GAF94" s="248" t="n"/>
      <c r="GAG94" s="248" t="n"/>
      <c r="GAH94" s="240" t="n"/>
      <c r="GAI94" s="240" t="n"/>
      <c r="GAK94" s="15" t="n"/>
      <c r="GAL94" s="15" t="n"/>
      <c r="GAM94" s="248" t="n"/>
      <c r="GAN94" s="248" t="n"/>
      <c r="GAO94" s="240" t="n"/>
      <c r="GAP94" s="240" t="n"/>
      <c r="GAR94" s="15" t="n"/>
      <c r="GAS94" s="15" t="n"/>
      <c r="GAT94" s="248" t="n"/>
      <c r="GAU94" s="248" t="n"/>
      <c r="GAV94" s="240" t="n"/>
      <c r="GAW94" s="240" t="n"/>
      <c r="GAY94" s="15" t="n"/>
      <c r="GAZ94" s="15" t="n"/>
      <c r="GBA94" s="248" t="n"/>
      <c r="GBB94" s="248" t="n"/>
      <c r="GBC94" s="240" t="n"/>
      <c r="GBD94" s="240" t="n"/>
      <c r="GBF94" s="15" t="n"/>
      <c r="GBG94" s="15" t="n"/>
      <c r="GBH94" s="248" t="n"/>
      <c r="GBI94" s="248" t="n"/>
      <c r="GBJ94" s="240" t="n"/>
      <c r="GBK94" s="240" t="n"/>
      <c r="GBM94" s="15" t="n"/>
      <c r="GBN94" s="15" t="n"/>
      <c r="GBO94" s="248" t="n"/>
      <c r="GBP94" s="248" t="n"/>
      <c r="GBQ94" s="240" t="n"/>
      <c r="GBR94" s="240" t="n"/>
      <c r="GBT94" s="15" t="n"/>
      <c r="GBU94" s="15" t="n"/>
      <c r="GBV94" s="248" t="n"/>
      <c r="GBW94" s="248" t="n"/>
      <c r="GBX94" s="240" t="n"/>
      <c r="GBY94" s="240" t="n"/>
      <c r="GCA94" s="15" t="n"/>
      <c r="GCB94" s="15" t="n"/>
      <c r="GCC94" s="248" t="n"/>
      <c r="GCD94" s="248" t="n"/>
      <c r="GCE94" s="240" t="n"/>
      <c r="GCF94" s="240" t="n"/>
      <c r="GCH94" s="15" t="n"/>
      <c r="GCI94" s="15" t="n"/>
      <c r="GCJ94" s="248" t="n"/>
      <c r="GCK94" s="248" t="n"/>
      <c r="GCL94" s="240" t="n"/>
      <c r="GCM94" s="240" t="n"/>
      <c r="GCO94" s="15" t="n"/>
      <c r="GCP94" s="15" t="n"/>
      <c r="GCQ94" s="248" t="n"/>
      <c r="GCR94" s="248" t="n"/>
      <c r="GCS94" s="240" t="n"/>
      <c r="GCT94" s="240" t="n"/>
      <c r="GCV94" s="15" t="n"/>
      <c r="GCW94" s="15" t="n"/>
      <c r="GCX94" s="248" t="n"/>
      <c r="GCY94" s="248" t="n"/>
      <c r="GCZ94" s="240" t="n"/>
      <c r="GDA94" s="240" t="n"/>
      <c r="GDC94" s="15" t="n"/>
      <c r="GDD94" s="15" t="n"/>
      <c r="GDE94" s="248" t="n"/>
      <c r="GDF94" s="248" t="n"/>
      <c r="GDG94" s="240" t="n"/>
      <c r="GDH94" s="240" t="n"/>
      <c r="GDJ94" s="15" t="n"/>
      <c r="GDK94" s="15" t="n"/>
      <c r="GDL94" s="248" t="n"/>
      <c r="GDM94" s="248" t="n"/>
      <c r="GDN94" s="240" t="n"/>
      <c r="GDO94" s="240" t="n"/>
      <c r="GDQ94" s="15" t="n"/>
      <c r="GDR94" s="15" t="n"/>
      <c r="GDS94" s="248" t="n"/>
      <c r="GDT94" s="248" t="n"/>
      <c r="GDU94" s="240" t="n"/>
      <c r="GDV94" s="240" t="n"/>
      <c r="GDX94" s="15" t="n"/>
      <c r="GDY94" s="15" t="n"/>
      <c r="GDZ94" s="248" t="n"/>
      <c r="GEA94" s="248" t="n"/>
      <c r="GEB94" s="240" t="n"/>
      <c r="GEC94" s="240" t="n"/>
      <c r="GEE94" s="15" t="n"/>
      <c r="GEF94" s="15" t="n"/>
      <c r="GEG94" s="248" t="n"/>
      <c r="GEH94" s="248" t="n"/>
      <c r="GEI94" s="240" t="n"/>
      <c r="GEJ94" s="240" t="n"/>
      <c r="GEL94" s="15" t="n"/>
      <c r="GEM94" s="15" t="n"/>
      <c r="GEN94" s="248" t="n"/>
      <c r="GEO94" s="248" t="n"/>
      <c r="GEP94" s="240" t="n"/>
      <c r="GEQ94" s="240" t="n"/>
      <c r="GES94" s="15" t="n"/>
      <c r="GET94" s="15" t="n"/>
      <c r="GEU94" s="248" t="n"/>
      <c r="GEV94" s="248" t="n"/>
      <c r="GEW94" s="240" t="n"/>
      <c r="GEX94" s="240" t="n"/>
      <c r="GEZ94" s="15" t="n"/>
      <c r="GFA94" s="15" t="n"/>
      <c r="GFB94" s="248" t="n"/>
      <c r="GFC94" s="248" t="n"/>
      <c r="GFD94" s="240" t="n"/>
      <c r="GFE94" s="240" t="n"/>
      <c r="GFG94" s="15" t="n"/>
      <c r="GFH94" s="15" t="n"/>
      <c r="GFI94" s="248" t="n"/>
      <c r="GFJ94" s="248" t="n"/>
      <c r="GFK94" s="240" t="n"/>
      <c r="GFL94" s="240" t="n"/>
      <c r="GFN94" s="15" t="n"/>
      <c r="GFO94" s="15" t="n"/>
      <c r="GFP94" s="248" t="n"/>
      <c r="GFQ94" s="248" t="n"/>
      <c r="GFR94" s="240" t="n"/>
      <c r="GFS94" s="240" t="n"/>
      <c r="GFU94" s="15" t="n"/>
      <c r="GFV94" s="15" t="n"/>
      <c r="GFW94" s="248" t="n"/>
      <c r="GFX94" s="248" t="n"/>
      <c r="GFY94" s="240" t="n"/>
      <c r="GFZ94" s="240" t="n"/>
      <c r="GGB94" s="15" t="n"/>
      <c r="GGC94" s="15" t="n"/>
      <c r="GGD94" s="248" t="n"/>
      <c r="GGE94" s="248" t="n"/>
      <c r="GGF94" s="240" t="n"/>
      <c r="GGG94" s="240" t="n"/>
      <c r="GGI94" s="15" t="n"/>
      <c r="GGJ94" s="15" t="n"/>
      <c r="GGK94" s="248" t="n"/>
      <c r="GGL94" s="248" t="n"/>
      <c r="GGM94" s="240" t="n"/>
      <c r="GGN94" s="240" t="n"/>
      <c r="GGP94" s="15" t="n"/>
      <c r="GGQ94" s="15" t="n"/>
      <c r="GGR94" s="248" t="n"/>
      <c r="GGS94" s="248" t="n"/>
      <c r="GGT94" s="240" t="n"/>
      <c r="GGU94" s="240" t="n"/>
      <c r="GGW94" s="15" t="n"/>
      <c r="GGX94" s="15" t="n"/>
      <c r="GGY94" s="248" t="n"/>
      <c r="GGZ94" s="248" t="n"/>
      <c r="GHA94" s="240" t="n"/>
      <c r="GHB94" s="240" t="n"/>
      <c r="GHD94" s="15" t="n"/>
      <c r="GHE94" s="15" t="n"/>
      <c r="GHF94" s="248" t="n"/>
      <c r="GHG94" s="248" t="n"/>
      <c r="GHH94" s="240" t="n"/>
      <c r="GHI94" s="240" t="n"/>
      <c r="GHK94" s="15" t="n"/>
      <c r="GHL94" s="15" t="n"/>
      <c r="GHM94" s="248" t="n"/>
      <c r="GHN94" s="248" t="n"/>
      <c r="GHO94" s="240" t="n"/>
      <c r="GHP94" s="240" t="n"/>
      <c r="GHR94" s="15" t="n"/>
      <c r="GHS94" s="15" t="n"/>
      <c r="GHT94" s="248" t="n"/>
      <c r="GHU94" s="248" t="n"/>
      <c r="GHV94" s="240" t="n"/>
      <c r="GHW94" s="240" t="n"/>
      <c r="GHY94" s="15" t="n"/>
      <c r="GHZ94" s="15" t="n"/>
      <c r="GIA94" s="248" t="n"/>
      <c r="GIB94" s="248" t="n"/>
      <c r="GIC94" s="240" t="n"/>
      <c r="GID94" s="240" t="n"/>
      <c r="GIF94" s="15" t="n"/>
      <c r="GIG94" s="15" t="n"/>
      <c r="GIH94" s="248" t="n"/>
      <c r="GII94" s="248" t="n"/>
      <c r="GIJ94" s="240" t="n"/>
      <c r="GIK94" s="240" t="n"/>
      <c r="GIM94" s="15" t="n"/>
      <c r="GIN94" s="15" t="n"/>
      <c r="GIO94" s="248" t="n"/>
      <c r="GIP94" s="248" t="n"/>
      <c r="GIQ94" s="240" t="n"/>
      <c r="GIR94" s="240" t="n"/>
      <c r="GIT94" s="15" t="n"/>
      <c r="GIU94" s="15" t="n"/>
      <c r="GIV94" s="248" t="n"/>
      <c r="GIW94" s="248" t="n"/>
      <c r="GIX94" s="240" t="n"/>
      <c r="GIY94" s="240" t="n"/>
      <c r="GJA94" s="15" t="n"/>
      <c r="GJB94" s="15" t="n"/>
      <c r="GJC94" s="248" t="n"/>
      <c r="GJD94" s="248" t="n"/>
      <c r="GJE94" s="240" t="n"/>
      <c r="GJF94" s="240" t="n"/>
      <c r="GJH94" s="15" t="n"/>
      <c r="GJI94" s="15" t="n"/>
      <c r="GJJ94" s="248" t="n"/>
      <c r="GJK94" s="248" t="n"/>
      <c r="GJL94" s="240" t="n"/>
      <c r="GJM94" s="240" t="n"/>
      <c r="GJO94" s="15" t="n"/>
      <c r="GJP94" s="15" t="n"/>
      <c r="GJQ94" s="248" t="n"/>
      <c r="GJR94" s="248" t="n"/>
      <c r="GJS94" s="240" t="n"/>
      <c r="GJT94" s="240" t="n"/>
      <c r="GJV94" s="15" t="n"/>
      <c r="GJW94" s="15" t="n"/>
      <c r="GJX94" s="248" t="n"/>
      <c r="GJY94" s="248" t="n"/>
      <c r="GJZ94" s="240" t="n"/>
      <c r="GKA94" s="240" t="n"/>
      <c r="GKC94" s="15" t="n"/>
      <c r="GKD94" s="15" t="n"/>
      <c r="GKE94" s="248" t="n"/>
      <c r="GKF94" s="248" t="n"/>
      <c r="GKG94" s="240" t="n"/>
      <c r="GKH94" s="240" t="n"/>
      <c r="GKJ94" s="15" t="n"/>
      <c r="GKK94" s="15" t="n"/>
      <c r="GKL94" s="248" t="n"/>
      <c r="GKM94" s="248" t="n"/>
      <c r="GKN94" s="240" t="n"/>
      <c r="GKO94" s="240" t="n"/>
      <c r="GKQ94" s="15" t="n"/>
      <c r="GKR94" s="15" t="n"/>
      <c r="GKS94" s="248" t="n"/>
      <c r="GKT94" s="248" t="n"/>
      <c r="GKU94" s="240" t="n"/>
      <c r="GKV94" s="240" t="n"/>
      <c r="GKX94" s="15" t="n"/>
      <c r="GKY94" s="15" t="n"/>
      <c r="GKZ94" s="248" t="n"/>
      <c r="GLA94" s="248" t="n"/>
      <c r="GLB94" s="240" t="n"/>
      <c r="GLC94" s="240" t="n"/>
      <c r="GLE94" s="15" t="n"/>
      <c r="GLF94" s="15" t="n"/>
      <c r="GLG94" s="248" t="n"/>
      <c r="GLH94" s="248" t="n"/>
      <c r="GLI94" s="240" t="n"/>
      <c r="GLJ94" s="240" t="n"/>
      <c r="GLL94" s="15" t="n"/>
      <c r="GLM94" s="15" t="n"/>
      <c r="GLN94" s="248" t="n"/>
      <c r="GLO94" s="248" t="n"/>
      <c r="GLP94" s="240" t="n"/>
      <c r="GLQ94" s="240" t="n"/>
      <c r="GLS94" s="15" t="n"/>
      <c r="GLT94" s="15" t="n"/>
      <c r="GLU94" s="248" t="n"/>
      <c r="GLV94" s="248" t="n"/>
      <c r="GLW94" s="240" t="n"/>
      <c r="GLX94" s="240" t="n"/>
      <c r="GLZ94" s="15" t="n"/>
      <c r="GMA94" s="15" t="n"/>
      <c r="GMB94" s="248" t="n"/>
      <c r="GMC94" s="248" t="n"/>
      <c r="GMD94" s="240" t="n"/>
      <c r="GME94" s="240" t="n"/>
      <c r="GMG94" s="15" t="n"/>
      <c r="GMH94" s="15" t="n"/>
      <c r="GMI94" s="248" t="n"/>
      <c r="GMJ94" s="248" t="n"/>
      <c r="GMK94" s="240" t="n"/>
      <c r="GML94" s="240" t="n"/>
      <c r="GMN94" s="15" t="n"/>
      <c r="GMO94" s="15" t="n"/>
      <c r="GMP94" s="248" t="n"/>
      <c r="GMQ94" s="248" t="n"/>
      <c r="GMR94" s="240" t="n"/>
      <c r="GMS94" s="240" t="n"/>
      <c r="GMU94" s="15" t="n"/>
      <c r="GMV94" s="15" t="n"/>
      <c r="GMW94" s="248" t="n"/>
      <c r="GMX94" s="248" t="n"/>
      <c r="GMY94" s="240" t="n"/>
      <c r="GMZ94" s="240" t="n"/>
      <c r="GNB94" s="15" t="n"/>
      <c r="GNC94" s="15" t="n"/>
      <c r="GND94" s="248" t="n"/>
      <c r="GNE94" s="248" t="n"/>
      <c r="GNF94" s="240" t="n"/>
      <c r="GNG94" s="240" t="n"/>
      <c r="GNI94" s="15" t="n"/>
      <c r="GNJ94" s="15" t="n"/>
      <c r="GNK94" s="248" t="n"/>
      <c r="GNL94" s="248" t="n"/>
      <c r="GNM94" s="240" t="n"/>
      <c r="GNN94" s="240" t="n"/>
      <c r="GNP94" s="15" t="n"/>
      <c r="GNQ94" s="15" t="n"/>
      <c r="GNR94" s="248" t="n"/>
      <c r="GNS94" s="248" t="n"/>
      <c r="GNT94" s="240" t="n"/>
      <c r="GNU94" s="240" t="n"/>
      <c r="GNW94" s="15" t="n"/>
      <c r="GNX94" s="15" t="n"/>
      <c r="GNY94" s="248" t="n"/>
      <c r="GNZ94" s="248" t="n"/>
      <c r="GOA94" s="240" t="n"/>
      <c r="GOB94" s="240" t="n"/>
      <c r="GOD94" s="15" t="n"/>
      <c r="GOE94" s="15" t="n"/>
      <c r="GOF94" s="248" t="n"/>
      <c r="GOG94" s="248" t="n"/>
      <c r="GOH94" s="240" t="n"/>
      <c r="GOI94" s="240" t="n"/>
      <c r="GOK94" s="15" t="n"/>
      <c r="GOL94" s="15" t="n"/>
      <c r="GOM94" s="248" t="n"/>
      <c r="GON94" s="248" t="n"/>
      <c r="GOO94" s="240" t="n"/>
      <c r="GOP94" s="240" t="n"/>
      <c r="GOR94" s="15" t="n"/>
      <c r="GOS94" s="15" t="n"/>
      <c r="GOT94" s="248" t="n"/>
      <c r="GOU94" s="248" t="n"/>
      <c r="GOV94" s="240" t="n"/>
      <c r="GOW94" s="240" t="n"/>
      <c r="GOY94" s="15" t="n"/>
      <c r="GOZ94" s="15" t="n"/>
      <c r="GPA94" s="248" t="n"/>
      <c r="GPB94" s="248" t="n"/>
      <c r="GPC94" s="240" t="n"/>
      <c r="GPD94" s="240" t="n"/>
      <c r="GPF94" s="15" t="n"/>
      <c r="GPG94" s="15" t="n"/>
      <c r="GPH94" s="248" t="n"/>
      <c r="GPI94" s="248" t="n"/>
      <c r="GPJ94" s="240" t="n"/>
      <c r="GPK94" s="240" t="n"/>
      <c r="GPM94" s="15" t="n"/>
      <c r="GPN94" s="15" t="n"/>
      <c r="GPO94" s="248" t="n"/>
      <c r="GPP94" s="248" t="n"/>
      <c r="GPQ94" s="240" t="n"/>
      <c r="GPR94" s="240" t="n"/>
      <c r="GPT94" s="15" t="n"/>
      <c r="GPU94" s="15" t="n"/>
      <c r="GPV94" s="248" t="n"/>
      <c r="GPW94" s="248" t="n"/>
      <c r="GPX94" s="240" t="n"/>
      <c r="GPY94" s="240" t="n"/>
      <c r="GQA94" s="15" t="n"/>
      <c r="GQB94" s="15" t="n"/>
      <c r="GQC94" s="248" t="n"/>
      <c r="GQD94" s="248" t="n"/>
      <c r="GQE94" s="240" t="n"/>
      <c r="GQF94" s="240" t="n"/>
      <c r="GQH94" s="15" t="n"/>
      <c r="GQI94" s="15" t="n"/>
      <c r="GQJ94" s="248" t="n"/>
      <c r="GQK94" s="248" t="n"/>
      <c r="GQL94" s="240" t="n"/>
      <c r="GQM94" s="240" t="n"/>
      <c r="GQO94" s="15" t="n"/>
      <c r="GQP94" s="15" t="n"/>
      <c r="GQQ94" s="248" t="n"/>
      <c r="GQR94" s="248" t="n"/>
      <c r="GQS94" s="240" t="n"/>
      <c r="GQT94" s="240" t="n"/>
      <c r="GQV94" s="15" t="n"/>
      <c r="GQW94" s="15" t="n"/>
      <c r="GQX94" s="248" t="n"/>
      <c r="GQY94" s="248" t="n"/>
      <c r="GQZ94" s="240" t="n"/>
      <c r="GRA94" s="240" t="n"/>
      <c r="GRC94" s="15" t="n"/>
      <c r="GRD94" s="15" t="n"/>
      <c r="GRE94" s="248" t="n"/>
      <c r="GRF94" s="248" t="n"/>
      <c r="GRG94" s="240" t="n"/>
      <c r="GRH94" s="240" t="n"/>
      <c r="GRJ94" s="15" t="n"/>
      <c r="GRK94" s="15" t="n"/>
      <c r="GRL94" s="248" t="n"/>
      <c r="GRM94" s="248" t="n"/>
      <c r="GRN94" s="240" t="n"/>
      <c r="GRO94" s="240" t="n"/>
      <c r="GRQ94" s="15" t="n"/>
      <c r="GRR94" s="15" t="n"/>
      <c r="GRS94" s="248" t="n"/>
      <c r="GRT94" s="248" t="n"/>
      <c r="GRU94" s="240" t="n"/>
      <c r="GRV94" s="240" t="n"/>
      <c r="GRX94" s="15" t="n"/>
      <c r="GRY94" s="15" t="n"/>
      <c r="GRZ94" s="248" t="n"/>
      <c r="GSA94" s="248" t="n"/>
      <c r="GSB94" s="240" t="n"/>
      <c r="GSC94" s="240" t="n"/>
      <c r="GSE94" s="15" t="n"/>
      <c r="GSF94" s="15" t="n"/>
      <c r="GSG94" s="248" t="n"/>
      <c r="GSH94" s="248" t="n"/>
      <c r="GSI94" s="240" t="n"/>
      <c r="GSJ94" s="240" t="n"/>
      <c r="GSL94" s="15" t="n"/>
      <c r="GSM94" s="15" t="n"/>
      <c r="GSN94" s="248" t="n"/>
      <c r="GSO94" s="248" t="n"/>
      <c r="GSP94" s="240" t="n"/>
      <c r="GSQ94" s="240" t="n"/>
      <c r="GSS94" s="15" t="n"/>
      <c r="GST94" s="15" t="n"/>
      <c r="GSU94" s="248" t="n"/>
      <c r="GSV94" s="248" t="n"/>
      <c r="GSW94" s="240" t="n"/>
      <c r="GSX94" s="240" t="n"/>
      <c r="GSZ94" s="15" t="n"/>
      <c r="GTA94" s="15" t="n"/>
      <c r="GTB94" s="248" t="n"/>
      <c r="GTC94" s="248" t="n"/>
      <c r="GTD94" s="240" t="n"/>
      <c r="GTE94" s="240" t="n"/>
      <c r="GTG94" s="15" t="n"/>
      <c r="GTH94" s="15" t="n"/>
      <c r="GTI94" s="248" t="n"/>
      <c r="GTJ94" s="248" t="n"/>
      <c r="GTK94" s="240" t="n"/>
      <c r="GTL94" s="240" t="n"/>
      <c r="GTN94" s="15" t="n"/>
      <c r="GTO94" s="15" t="n"/>
      <c r="GTP94" s="248" t="n"/>
      <c r="GTQ94" s="248" t="n"/>
      <c r="GTR94" s="240" t="n"/>
      <c r="GTS94" s="240" t="n"/>
      <c r="GTU94" s="15" t="n"/>
      <c r="GTV94" s="15" t="n"/>
      <c r="GTW94" s="248" t="n"/>
      <c r="GTX94" s="248" t="n"/>
      <c r="GTY94" s="240" t="n"/>
      <c r="GTZ94" s="240" t="n"/>
      <c r="GUB94" s="15" t="n"/>
      <c r="GUC94" s="15" t="n"/>
      <c r="GUD94" s="248" t="n"/>
      <c r="GUE94" s="248" t="n"/>
      <c r="GUF94" s="240" t="n"/>
      <c r="GUG94" s="240" t="n"/>
      <c r="GUI94" s="15" t="n"/>
      <c r="GUJ94" s="15" t="n"/>
      <c r="GUK94" s="248" t="n"/>
      <c r="GUL94" s="248" t="n"/>
      <c r="GUM94" s="240" t="n"/>
      <c r="GUN94" s="240" t="n"/>
      <c r="GUP94" s="15" t="n"/>
      <c r="GUQ94" s="15" t="n"/>
      <c r="GUR94" s="248" t="n"/>
      <c r="GUS94" s="248" t="n"/>
      <c r="GUT94" s="240" t="n"/>
      <c r="GUU94" s="240" t="n"/>
      <c r="GUW94" s="15" t="n"/>
      <c r="GUX94" s="15" t="n"/>
      <c r="GUY94" s="248" t="n"/>
      <c r="GUZ94" s="248" t="n"/>
      <c r="GVA94" s="240" t="n"/>
      <c r="GVB94" s="240" t="n"/>
      <c r="GVD94" s="15" t="n"/>
      <c r="GVE94" s="15" t="n"/>
      <c r="GVF94" s="248" t="n"/>
      <c r="GVG94" s="248" t="n"/>
      <c r="GVH94" s="240" t="n"/>
      <c r="GVI94" s="240" t="n"/>
      <c r="GVK94" s="15" t="n"/>
      <c r="GVL94" s="15" t="n"/>
      <c r="GVM94" s="248" t="n"/>
      <c r="GVN94" s="248" t="n"/>
      <c r="GVO94" s="240" t="n"/>
      <c r="GVP94" s="240" t="n"/>
      <c r="GVR94" s="15" t="n"/>
      <c r="GVS94" s="15" t="n"/>
      <c r="GVT94" s="248" t="n"/>
      <c r="GVU94" s="248" t="n"/>
      <c r="GVV94" s="240" t="n"/>
      <c r="GVW94" s="240" t="n"/>
      <c r="GVY94" s="15" t="n"/>
      <c r="GVZ94" s="15" t="n"/>
      <c r="GWA94" s="248" t="n"/>
      <c r="GWB94" s="248" t="n"/>
      <c r="GWC94" s="240" t="n"/>
      <c r="GWD94" s="240" t="n"/>
      <c r="GWF94" s="15" t="n"/>
      <c r="GWG94" s="15" t="n"/>
      <c r="GWH94" s="248" t="n"/>
      <c r="GWI94" s="248" t="n"/>
      <c r="GWJ94" s="240" t="n"/>
      <c r="GWK94" s="240" t="n"/>
      <c r="GWM94" s="15" t="n"/>
      <c r="GWN94" s="15" t="n"/>
      <c r="GWO94" s="248" t="n"/>
      <c r="GWP94" s="248" t="n"/>
      <c r="GWQ94" s="240" t="n"/>
      <c r="GWR94" s="240" t="n"/>
      <c r="GWT94" s="15" t="n"/>
      <c r="GWU94" s="15" t="n"/>
      <c r="GWV94" s="248" t="n"/>
      <c r="GWW94" s="248" t="n"/>
      <c r="GWX94" s="240" t="n"/>
      <c r="GWY94" s="240" t="n"/>
      <c r="GXA94" s="15" t="n"/>
      <c r="GXB94" s="15" t="n"/>
      <c r="GXC94" s="248" t="n"/>
      <c r="GXD94" s="248" t="n"/>
      <c r="GXE94" s="240" t="n"/>
      <c r="GXF94" s="240" t="n"/>
      <c r="GXH94" s="15" t="n"/>
      <c r="GXI94" s="15" t="n"/>
      <c r="GXJ94" s="248" t="n"/>
      <c r="GXK94" s="248" t="n"/>
      <c r="GXL94" s="240" t="n"/>
      <c r="GXM94" s="240" t="n"/>
      <c r="GXO94" s="15" t="n"/>
      <c r="GXP94" s="15" t="n"/>
      <c r="GXQ94" s="248" t="n"/>
      <c r="GXR94" s="248" t="n"/>
      <c r="GXS94" s="240" t="n"/>
      <c r="GXT94" s="240" t="n"/>
      <c r="GXV94" s="15" t="n"/>
      <c r="GXW94" s="15" t="n"/>
      <c r="GXX94" s="248" t="n"/>
      <c r="GXY94" s="248" t="n"/>
      <c r="GXZ94" s="240" t="n"/>
      <c r="GYA94" s="240" t="n"/>
      <c r="GYC94" s="15" t="n"/>
      <c r="GYD94" s="15" t="n"/>
      <c r="GYE94" s="248" t="n"/>
      <c r="GYF94" s="248" t="n"/>
      <c r="GYG94" s="240" t="n"/>
      <c r="GYH94" s="240" t="n"/>
      <c r="GYJ94" s="15" t="n"/>
      <c r="GYK94" s="15" t="n"/>
      <c r="GYL94" s="248" t="n"/>
      <c r="GYM94" s="248" t="n"/>
      <c r="GYN94" s="240" t="n"/>
      <c r="GYO94" s="240" t="n"/>
      <c r="GYQ94" s="15" t="n"/>
      <c r="GYR94" s="15" t="n"/>
      <c r="GYS94" s="248" t="n"/>
      <c r="GYT94" s="248" t="n"/>
      <c r="GYU94" s="240" t="n"/>
      <c r="GYV94" s="240" t="n"/>
      <c r="GYX94" s="15" t="n"/>
      <c r="GYY94" s="15" t="n"/>
      <c r="GYZ94" s="248" t="n"/>
      <c r="GZA94" s="248" t="n"/>
      <c r="GZB94" s="240" t="n"/>
      <c r="GZC94" s="240" t="n"/>
      <c r="GZE94" s="15" t="n"/>
      <c r="GZF94" s="15" t="n"/>
      <c r="GZG94" s="248" t="n"/>
      <c r="GZH94" s="248" t="n"/>
      <c r="GZI94" s="240" t="n"/>
      <c r="GZJ94" s="240" t="n"/>
      <c r="GZL94" s="15" t="n"/>
      <c r="GZM94" s="15" t="n"/>
      <c r="GZN94" s="248" t="n"/>
      <c r="GZO94" s="248" t="n"/>
      <c r="GZP94" s="240" t="n"/>
      <c r="GZQ94" s="240" t="n"/>
      <c r="GZS94" s="15" t="n"/>
      <c r="GZT94" s="15" t="n"/>
      <c r="GZU94" s="248" t="n"/>
      <c r="GZV94" s="248" t="n"/>
      <c r="GZW94" s="240" t="n"/>
      <c r="GZX94" s="240" t="n"/>
      <c r="GZZ94" s="15" t="n"/>
      <c r="HAA94" s="15" t="n"/>
      <c r="HAB94" s="248" t="n"/>
      <c r="HAC94" s="248" t="n"/>
      <c r="HAD94" s="240" t="n"/>
      <c r="HAE94" s="240" t="n"/>
      <c r="HAG94" s="15" t="n"/>
      <c r="HAH94" s="15" t="n"/>
      <c r="HAI94" s="248" t="n"/>
      <c r="HAJ94" s="248" t="n"/>
      <c r="HAK94" s="240" t="n"/>
      <c r="HAL94" s="240" t="n"/>
      <c r="HAN94" s="15" t="n"/>
      <c r="HAO94" s="15" t="n"/>
      <c r="HAP94" s="248" t="n"/>
      <c r="HAQ94" s="248" t="n"/>
      <c r="HAR94" s="240" t="n"/>
      <c r="HAS94" s="240" t="n"/>
      <c r="HAU94" s="15" t="n"/>
      <c r="HAV94" s="15" t="n"/>
      <c r="HAW94" s="248" t="n"/>
      <c r="HAX94" s="248" t="n"/>
      <c r="HAY94" s="240" t="n"/>
      <c r="HAZ94" s="240" t="n"/>
      <c r="HBB94" s="15" t="n"/>
      <c r="HBC94" s="15" t="n"/>
      <c r="HBD94" s="248" t="n"/>
      <c r="HBE94" s="248" t="n"/>
      <c r="HBF94" s="240" t="n"/>
      <c r="HBG94" s="240" t="n"/>
      <c r="HBI94" s="15" t="n"/>
      <c r="HBJ94" s="15" t="n"/>
      <c r="HBK94" s="248" t="n"/>
      <c r="HBL94" s="248" t="n"/>
      <c r="HBM94" s="240" t="n"/>
      <c r="HBN94" s="240" t="n"/>
      <c r="HBP94" s="15" t="n"/>
      <c r="HBQ94" s="15" t="n"/>
      <c r="HBR94" s="248" t="n"/>
      <c r="HBS94" s="248" t="n"/>
      <c r="HBT94" s="240" t="n"/>
      <c r="HBU94" s="240" t="n"/>
      <c r="HBW94" s="15" t="n"/>
      <c r="HBX94" s="15" t="n"/>
      <c r="HBY94" s="248" t="n"/>
      <c r="HBZ94" s="248" t="n"/>
      <c r="HCA94" s="240" t="n"/>
      <c r="HCB94" s="240" t="n"/>
      <c r="HCD94" s="15" t="n"/>
      <c r="HCE94" s="15" t="n"/>
      <c r="HCF94" s="248" t="n"/>
      <c r="HCG94" s="248" t="n"/>
      <c r="HCH94" s="240" t="n"/>
      <c r="HCI94" s="240" t="n"/>
      <c r="HCK94" s="15" t="n"/>
      <c r="HCL94" s="15" t="n"/>
      <c r="HCM94" s="248" t="n"/>
      <c r="HCN94" s="248" t="n"/>
      <c r="HCO94" s="240" t="n"/>
      <c r="HCP94" s="240" t="n"/>
      <c r="HCR94" s="15" t="n"/>
      <c r="HCS94" s="15" t="n"/>
      <c r="HCT94" s="248" t="n"/>
      <c r="HCU94" s="248" t="n"/>
      <c r="HCV94" s="240" t="n"/>
      <c r="HCW94" s="240" t="n"/>
      <c r="HCY94" s="15" t="n"/>
      <c r="HCZ94" s="15" t="n"/>
      <c r="HDA94" s="248" t="n"/>
      <c r="HDB94" s="248" t="n"/>
      <c r="HDC94" s="240" t="n"/>
      <c r="HDD94" s="240" t="n"/>
      <c r="HDF94" s="15" t="n"/>
      <c r="HDG94" s="15" t="n"/>
      <c r="HDH94" s="248" t="n"/>
      <c r="HDI94" s="248" t="n"/>
      <c r="HDJ94" s="240" t="n"/>
      <c r="HDK94" s="240" t="n"/>
      <c r="HDM94" s="15" t="n"/>
      <c r="HDN94" s="15" t="n"/>
      <c r="HDO94" s="248" t="n"/>
      <c r="HDP94" s="248" t="n"/>
      <c r="HDQ94" s="240" t="n"/>
      <c r="HDR94" s="240" t="n"/>
      <c r="HDT94" s="15" t="n"/>
      <c r="HDU94" s="15" t="n"/>
      <c r="HDV94" s="248" t="n"/>
      <c r="HDW94" s="248" t="n"/>
      <c r="HDX94" s="240" t="n"/>
      <c r="HDY94" s="240" t="n"/>
      <c r="HEA94" s="15" t="n"/>
      <c r="HEB94" s="15" t="n"/>
      <c r="HEC94" s="248" t="n"/>
      <c r="HED94" s="248" t="n"/>
      <c r="HEE94" s="240" t="n"/>
      <c r="HEF94" s="240" t="n"/>
      <c r="HEH94" s="15" t="n"/>
      <c r="HEI94" s="15" t="n"/>
      <c r="HEJ94" s="248" t="n"/>
      <c r="HEK94" s="248" t="n"/>
      <c r="HEL94" s="240" t="n"/>
      <c r="HEM94" s="240" t="n"/>
      <c r="HEO94" s="15" t="n"/>
      <c r="HEP94" s="15" t="n"/>
      <c r="HEQ94" s="248" t="n"/>
      <c r="HER94" s="248" t="n"/>
      <c r="HES94" s="240" t="n"/>
      <c r="HET94" s="240" t="n"/>
      <c r="HEV94" s="15" t="n"/>
      <c r="HEW94" s="15" t="n"/>
      <c r="HEX94" s="248" t="n"/>
      <c r="HEY94" s="248" t="n"/>
      <c r="HEZ94" s="240" t="n"/>
      <c r="HFA94" s="240" t="n"/>
      <c r="HFC94" s="15" t="n"/>
      <c r="HFD94" s="15" t="n"/>
      <c r="HFE94" s="248" t="n"/>
      <c r="HFF94" s="248" t="n"/>
      <c r="HFG94" s="240" t="n"/>
      <c r="HFH94" s="240" t="n"/>
      <c r="HFJ94" s="15" t="n"/>
      <c r="HFK94" s="15" t="n"/>
      <c r="HFL94" s="248" t="n"/>
      <c r="HFM94" s="248" t="n"/>
      <c r="HFN94" s="240" t="n"/>
      <c r="HFO94" s="240" t="n"/>
      <c r="HFQ94" s="15" t="n"/>
      <c r="HFR94" s="15" t="n"/>
      <c r="HFS94" s="248" t="n"/>
      <c r="HFT94" s="248" t="n"/>
      <c r="HFU94" s="240" t="n"/>
      <c r="HFV94" s="240" t="n"/>
      <c r="HFX94" s="15" t="n"/>
      <c r="HFY94" s="15" t="n"/>
      <c r="HFZ94" s="248" t="n"/>
      <c r="HGA94" s="248" t="n"/>
      <c r="HGB94" s="240" t="n"/>
      <c r="HGC94" s="240" t="n"/>
      <c r="HGE94" s="15" t="n"/>
      <c r="HGF94" s="15" t="n"/>
      <c r="HGG94" s="248" t="n"/>
      <c r="HGH94" s="248" t="n"/>
      <c r="HGI94" s="240" t="n"/>
      <c r="HGJ94" s="240" t="n"/>
      <c r="HGL94" s="15" t="n"/>
      <c r="HGM94" s="15" t="n"/>
      <c r="HGN94" s="248" t="n"/>
      <c r="HGO94" s="248" t="n"/>
      <c r="HGP94" s="240" t="n"/>
      <c r="HGQ94" s="240" t="n"/>
      <c r="HGS94" s="15" t="n"/>
      <c r="HGT94" s="15" t="n"/>
      <c r="HGU94" s="248" t="n"/>
      <c r="HGV94" s="248" t="n"/>
      <c r="HGW94" s="240" t="n"/>
      <c r="HGX94" s="240" t="n"/>
      <c r="HGZ94" s="15" t="n"/>
      <c r="HHA94" s="15" t="n"/>
      <c r="HHB94" s="248" t="n"/>
      <c r="HHC94" s="248" t="n"/>
      <c r="HHD94" s="240" t="n"/>
      <c r="HHE94" s="240" t="n"/>
      <c r="HHG94" s="15" t="n"/>
      <c r="HHH94" s="15" t="n"/>
      <c r="HHI94" s="248" t="n"/>
      <c r="HHJ94" s="248" t="n"/>
      <c r="HHK94" s="240" t="n"/>
      <c r="HHL94" s="240" t="n"/>
      <c r="HHN94" s="15" t="n"/>
      <c r="HHO94" s="15" t="n"/>
      <c r="HHP94" s="248" t="n"/>
      <c r="HHQ94" s="248" t="n"/>
      <c r="HHR94" s="240" t="n"/>
      <c r="HHS94" s="240" t="n"/>
      <c r="HHU94" s="15" t="n"/>
      <c r="HHV94" s="15" t="n"/>
      <c r="HHW94" s="248" t="n"/>
      <c r="HHX94" s="248" t="n"/>
      <c r="HHY94" s="240" t="n"/>
      <c r="HHZ94" s="240" t="n"/>
      <c r="HIB94" s="15" t="n"/>
      <c r="HIC94" s="15" t="n"/>
      <c r="HID94" s="248" t="n"/>
      <c r="HIE94" s="248" t="n"/>
      <c r="HIF94" s="240" t="n"/>
      <c r="HIG94" s="240" t="n"/>
      <c r="HII94" s="15" t="n"/>
      <c r="HIJ94" s="15" t="n"/>
      <c r="HIK94" s="248" t="n"/>
      <c r="HIL94" s="248" t="n"/>
      <c r="HIM94" s="240" t="n"/>
      <c r="HIN94" s="240" t="n"/>
      <c r="HIP94" s="15" t="n"/>
      <c r="HIQ94" s="15" t="n"/>
      <c r="HIR94" s="248" t="n"/>
      <c r="HIS94" s="248" t="n"/>
      <c r="HIT94" s="240" t="n"/>
      <c r="HIU94" s="240" t="n"/>
      <c r="HIW94" s="15" t="n"/>
      <c r="HIX94" s="15" t="n"/>
      <c r="HIY94" s="248" t="n"/>
      <c r="HIZ94" s="248" t="n"/>
      <c r="HJA94" s="240" t="n"/>
      <c r="HJB94" s="240" t="n"/>
      <c r="HJD94" s="15" t="n"/>
      <c r="HJE94" s="15" t="n"/>
      <c r="HJF94" s="248" t="n"/>
      <c r="HJG94" s="248" t="n"/>
      <c r="HJH94" s="240" t="n"/>
      <c r="HJI94" s="240" t="n"/>
      <c r="HJK94" s="15" t="n"/>
      <c r="HJL94" s="15" t="n"/>
      <c r="HJM94" s="248" t="n"/>
      <c r="HJN94" s="248" t="n"/>
      <c r="HJO94" s="240" t="n"/>
      <c r="HJP94" s="240" t="n"/>
      <c r="HJR94" s="15" t="n"/>
      <c r="HJS94" s="15" t="n"/>
      <c r="HJT94" s="248" t="n"/>
      <c r="HJU94" s="248" t="n"/>
      <c r="HJV94" s="240" t="n"/>
      <c r="HJW94" s="240" t="n"/>
      <c r="HJY94" s="15" t="n"/>
      <c r="HJZ94" s="15" t="n"/>
      <c r="HKA94" s="248" t="n"/>
      <c r="HKB94" s="248" t="n"/>
      <c r="HKC94" s="240" t="n"/>
      <c r="HKD94" s="240" t="n"/>
      <c r="HKF94" s="15" t="n"/>
      <c r="HKG94" s="15" t="n"/>
      <c r="HKH94" s="248" t="n"/>
      <c r="HKI94" s="248" t="n"/>
      <c r="HKJ94" s="240" t="n"/>
      <c r="HKK94" s="240" t="n"/>
      <c r="HKM94" s="15" t="n"/>
      <c r="HKN94" s="15" t="n"/>
      <c r="HKO94" s="248" t="n"/>
      <c r="HKP94" s="248" t="n"/>
      <c r="HKQ94" s="240" t="n"/>
      <c r="HKR94" s="240" t="n"/>
      <c r="HKT94" s="15" t="n"/>
      <c r="HKU94" s="15" t="n"/>
      <c r="HKV94" s="248" t="n"/>
      <c r="HKW94" s="248" t="n"/>
      <c r="HKX94" s="240" t="n"/>
      <c r="HKY94" s="240" t="n"/>
      <c r="HLA94" s="15" t="n"/>
      <c r="HLB94" s="15" t="n"/>
      <c r="HLC94" s="248" t="n"/>
      <c r="HLD94" s="248" t="n"/>
      <c r="HLE94" s="240" t="n"/>
      <c r="HLF94" s="240" t="n"/>
      <c r="HLH94" s="15" t="n"/>
      <c r="HLI94" s="15" t="n"/>
      <c r="HLJ94" s="248" t="n"/>
      <c r="HLK94" s="248" t="n"/>
      <c r="HLL94" s="240" t="n"/>
      <c r="HLM94" s="240" t="n"/>
      <c r="HLO94" s="15" t="n"/>
      <c r="HLP94" s="15" t="n"/>
      <c r="HLQ94" s="248" t="n"/>
      <c r="HLR94" s="248" t="n"/>
      <c r="HLS94" s="240" t="n"/>
      <c r="HLT94" s="240" t="n"/>
      <c r="HLV94" s="15" t="n"/>
      <c r="HLW94" s="15" t="n"/>
      <c r="HLX94" s="248" t="n"/>
      <c r="HLY94" s="248" t="n"/>
      <c r="HLZ94" s="240" t="n"/>
      <c r="HMA94" s="240" t="n"/>
      <c r="HMC94" s="15" t="n"/>
      <c r="HMD94" s="15" t="n"/>
      <c r="HME94" s="248" t="n"/>
      <c r="HMF94" s="248" t="n"/>
      <c r="HMG94" s="240" t="n"/>
      <c r="HMH94" s="240" t="n"/>
      <c r="HMJ94" s="15" t="n"/>
      <c r="HMK94" s="15" t="n"/>
      <c r="HML94" s="248" t="n"/>
      <c r="HMM94" s="248" t="n"/>
      <c r="HMN94" s="240" t="n"/>
      <c r="HMO94" s="240" t="n"/>
      <c r="HMQ94" s="15" t="n"/>
      <c r="HMR94" s="15" t="n"/>
      <c r="HMS94" s="248" t="n"/>
      <c r="HMT94" s="248" t="n"/>
      <c r="HMU94" s="240" t="n"/>
      <c r="HMV94" s="240" t="n"/>
      <c r="HMX94" s="15" t="n"/>
      <c r="HMY94" s="15" t="n"/>
      <c r="HMZ94" s="248" t="n"/>
      <c r="HNA94" s="248" t="n"/>
      <c r="HNB94" s="240" t="n"/>
      <c r="HNC94" s="240" t="n"/>
      <c r="HNE94" s="15" t="n"/>
      <c r="HNF94" s="15" t="n"/>
      <c r="HNG94" s="248" t="n"/>
      <c r="HNH94" s="248" t="n"/>
      <c r="HNI94" s="240" t="n"/>
      <c r="HNJ94" s="240" t="n"/>
      <c r="HNL94" s="15" t="n"/>
      <c r="HNM94" s="15" t="n"/>
      <c r="HNN94" s="248" t="n"/>
      <c r="HNO94" s="248" t="n"/>
      <c r="HNP94" s="240" t="n"/>
      <c r="HNQ94" s="240" t="n"/>
      <c r="HNS94" s="15" t="n"/>
      <c r="HNT94" s="15" t="n"/>
      <c r="HNU94" s="248" t="n"/>
      <c r="HNV94" s="248" t="n"/>
      <c r="HNW94" s="240" t="n"/>
      <c r="HNX94" s="240" t="n"/>
      <c r="HNZ94" s="15" t="n"/>
      <c r="HOA94" s="15" t="n"/>
      <c r="HOB94" s="248" t="n"/>
      <c r="HOC94" s="248" t="n"/>
      <c r="HOD94" s="240" t="n"/>
      <c r="HOE94" s="240" t="n"/>
      <c r="HOG94" s="15" t="n"/>
      <c r="HOH94" s="15" t="n"/>
      <c r="HOI94" s="248" t="n"/>
      <c r="HOJ94" s="248" t="n"/>
      <c r="HOK94" s="240" t="n"/>
      <c r="HOL94" s="240" t="n"/>
      <c r="HON94" s="15" t="n"/>
      <c r="HOO94" s="15" t="n"/>
      <c r="HOP94" s="248" t="n"/>
      <c r="HOQ94" s="248" t="n"/>
      <c r="HOR94" s="240" t="n"/>
      <c r="HOS94" s="240" t="n"/>
      <c r="HOU94" s="15" t="n"/>
      <c r="HOV94" s="15" t="n"/>
      <c r="HOW94" s="248" t="n"/>
      <c r="HOX94" s="248" t="n"/>
      <c r="HOY94" s="240" t="n"/>
      <c r="HOZ94" s="240" t="n"/>
      <c r="HPB94" s="15" t="n"/>
      <c r="HPC94" s="15" t="n"/>
      <c r="HPD94" s="248" t="n"/>
      <c r="HPE94" s="248" t="n"/>
      <c r="HPF94" s="240" t="n"/>
      <c r="HPG94" s="240" t="n"/>
      <c r="HPI94" s="15" t="n"/>
      <c r="HPJ94" s="15" t="n"/>
      <c r="HPK94" s="248" t="n"/>
      <c r="HPL94" s="248" t="n"/>
      <c r="HPM94" s="240" t="n"/>
      <c r="HPN94" s="240" t="n"/>
      <c r="HPP94" s="15" t="n"/>
      <c r="HPQ94" s="15" t="n"/>
      <c r="HPR94" s="248" t="n"/>
      <c r="HPS94" s="248" t="n"/>
      <c r="HPT94" s="240" t="n"/>
      <c r="HPU94" s="240" t="n"/>
      <c r="HPW94" s="15" t="n"/>
      <c r="HPX94" s="15" t="n"/>
      <c r="HPY94" s="248" t="n"/>
      <c r="HPZ94" s="248" t="n"/>
      <c r="HQA94" s="240" t="n"/>
      <c r="HQB94" s="240" t="n"/>
      <c r="HQD94" s="15" t="n"/>
      <c r="HQE94" s="15" t="n"/>
      <c r="HQF94" s="248" t="n"/>
      <c r="HQG94" s="248" t="n"/>
      <c r="HQH94" s="240" t="n"/>
      <c r="HQI94" s="240" t="n"/>
      <c r="HQK94" s="15" t="n"/>
      <c r="HQL94" s="15" t="n"/>
      <c r="HQM94" s="248" t="n"/>
      <c r="HQN94" s="248" t="n"/>
      <c r="HQO94" s="240" t="n"/>
      <c r="HQP94" s="240" t="n"/>
      <c r="HQR94" s="15" t="n"/>
      <c r="HQS94" s="15" t="n"/>
      <c r="HQT94" s="248" t="n"/>
      <c r="HQU94" s="248" t="n"/>
      <c r="HQV94" s="240" t="n"/>
      <c r="HQW94" s="240" t="n"/>
      <c r="HQY94" s="15" t="n"/>
      <c r="HQZ94" s="15" t="n"/>
      <c r="HRA94" s="248" t="n"/>
      <c r="HRB94" s="248" t="n"/>
      <c r="HRC94" s="240" t="n"/>
      <c r="HRD94" s="240" t="n"/>
      <c r="HRF94" s="15" t="n"/>
      <c r="HRG94" s="15" t="n"/>
      <c r="HRH94" s="248" t="n"/>
      <c r="HRI94" s="248" t="n"/>
      <c r="HRJ94" s="240" t="n"/>
      <c r="HRK94" s="240" t="n"/>
      <c r="HRM94" s="15" t="n"/>
      <c r="HRN94" s="15" t="n"/>
      <c r="HRO94" s="248" t="n"/>
      <c r="HRP94" s="248" t="n"/>
      <c r="HRQ94" s="240" t="n"/>
      <c r="HRR94" s="240" t="n"/>
      <c r="HRT94" s="15" t="n"/>
      <c r="HRU94" s="15" t="n"/>
      <c r="HRV94" s="248" t="n"/>
      <c r="HRW94" s="248" t="n"/>
      <c r="HRX94" s="240" t="n"/>
      <c r="HRY94" s="240" t="n"/>
      <c r="HSA94" s="15" t="n"/>
      <c r="HSB94" s="15" t="n"/>
      <c r="HSC94" s="248" t="n"/>
      <c r="HSD94" s="248" t="n"/>
      <c r="HSE94" s="240" t="n"/>
      <c r="HSF94" s="240" t="n"/>
      <c r="HSH94" s="15" t="n"/>
      <c r="HSI94" s="15" t="n"/>
      <c r="HSJ94" s="248" t="n"/>
      <c r="HSK94" s="248" t="n"/>
      <c r="HSL94" s="240" t="n"/>
      <c r="HSM94" s="240" t="n"/>
      <c r="HSO94" s="15" t="n"/>
      <c r="HSP94" s="15" t="n"/>
      <c r="HSQ94" s="248" t="n"/>
      <c r="HSR94" s="248" t="n"/>
      <c r="HSS94" s="240" t="n"/>
      <c r="HST94" s="240" t="n"/>
      <c r="HSV94" s="15" t="n"/>
      <c r="HSW94" s="15" t="n"/>
      <c r="HSX94" s="248" t="n"/>
      <c r="HSY94" s="248" t="n"/>
      <c r="HSZ94" s="240" t="n"/>
      <c r="HTA94" s="240" t="n"/>
      <c r="HTC94" s="15" t="n"/>
      <c r="HTD94" s="15" t="n"/>
      <c r="HTE94" s="248" t="n"/>
      <c r="HTF94" s="248" t="n"/>
      <c r="HTG94" s="240" t="n"/>
      <c r="HTH94" s="240" t="n"/>
      <c r="HTJ94" s="15" t="n"/>
      <c r="HTK94" s="15" t="n"/>
      <c r="HTL94" s="248" t="n"/>
      <c r="HTM94" s="248" t="n"/>
      <c r="HTN94" s="240" t="n"/>
      <c r="HTO94" s="240" t="n"/>
      <c r="HTQ94" s="15" t="n"/>
      <c r="HTR94" s="15" t="n"/>
      <c r="HTS94" s="248" t="n"/>
      <c r="HTT94" s="248" t="n"/>
      <c r="HTU94" s="240" t="n"/>
      <c r="HTV94" s="240" t="n"/>
      <c r="HTX94" s="15" t="n"/>
      <c r="HTY94" s="15" t="n"/>
      <c r="HTZ94" s="248" t="n"/>
      <c r="HUA94" s="248" t="n"/>
      <c r="HUB94" s="240" t="n"/>
      <c r="HUC94" s="240" t="n"/>
      <c r="HUE94" s="15" t="n"/>
      <c r="HUF94" s="15" t="n"/>
      <c r="HUG94" s="248" t="n"/>
      <c r="HUH94" s="248" t="n"/>
      <c r="HUI94" s="240" t="n"/>
      <c r="HUJ94" s="240" t="n"/>
      <c r="HUL94" s="15" t="n"/>
      <c r="HUM94" s="15" t="n"/>
      <c r="HUN94" s="248" t="n"/>
      <c r="HUO94" s="248" t="n"/>
      <c r="HUP94" s="240" t="n"/>
      <c r="HUQ94" s="240" t="n"/>
      <c r="HUS94" s="15" t="n"/>
      <c r="HUT94" s="15" t="n"/>
      <c r="HUU94" s="248" t="n"/>
      <c r="HUV94" s="248" t="n"/>
      <c r="HUW94" s="240" t="n"/>
      <c r="HUX94" s="240" t="n"/>
      <c r="HUZ94" s="15" t="n"/>
      <c r="HVA94" s="15" t="n"/>
      <c r="HVB94" s="248" t="n"/>
      <c r="HVC94" s="248" t="n"/>
      <c r="HVD94" s="240" t="n"/>
      <c r="HVE94" s="240" t="n"/>
      <c r="HVG94" s="15" t="n"/>
      <c r="HVH94" s="15" t="n"/>
      <c r="HVI94" s="248" t="n"/>
      <c r="HVJ94" s="248" t="n"/>
      <c r="HVK94" s="240" t="n"/>
      <c r="HVL94" s="240" t="n"/>
      <c r="HVN94" s="15" t="n"/>
      <c r="HVO94" s="15" t="n"/>
      <c r="HVP94" s="248" t="n"/>
      <c r="HVQ94" s="248" t="n"/>
      <c r="HVR94" s="240" t="n"/>
      <c r="HVS94" s="240" t="n"/>
      <c r="HVU94" s="15" t="n"/>
      <c r="HVV94" s="15" t="n"/>
      <c r="HVW94" s="248" t="n"/>
      <c r="HVX94" s="248" t="n"/>
      <c r="HVY94" s="240" t="n"/>
      <c r="HVZ94" s="240" t="n"/>
      <c r="HWB94" s="15" t="n"/>
      <c r="HWC94" s="15" t="n"/>
      <c r="HWD94" s="248" t="n"/>
      <c r="HWE94" s="248" t="n"/>
      <c r="HWF94" s="240" t="n"/>
      <c r="HWG94" s="240" t="n"/>
      <c r="HWI94" s="15" t="n"/>
      <c r="HWJ94" s="15" t="n"/>
      <c r="HWK94" s="248" t="n"/>
      <c r="HWL94" s="248" t="n"/>
      <c r="HWM94" s="240" t="n"/>
      <c r="HWN94" s="240" t="n"/>
      <c r="HWP94" s="15" t="n"/>
      <c r="HWQ94" s="15" t="n"/>
      <c r="HWR94" s="248" t="n"/>
      <c r="HWS94" s="248" t="n"/>
      <c r="HWT94" s="240" t="n"/>
      <c r="HWU94" s="240" t="n"/>
      <c r="HWW94" s="15" t="n"/>
      <c r="HWX94" s="15" t="n"/>
      <c r="HWY94" s="248" t="n"/>
      <c r="HWZ94" s="248" t="n"/>
      <c r="HXA94" s="240" t="n"/>
      <c r="HXB94" s="240" t="n"/>
      <c r="HXD94" s="15" t="n"/>
      <c r="HXE94" s="15" t="n"/>
      <c r="HXF94" s="248" t="n"/>
      <c r="HXG94" s="248" t="n"/>
      <c r="HXH94" s="240" t="n"/>
      <c r="HXI94" s="240" t="n"/>
      <c r="HXK94" s="15" t="n"/>
      <c r="HXL94" s="15" t="n"/>
      <c r="HXM94" s="248" t="n"/>
      <c r="HXN94" s="248" t="n"/>
      <c r="HXO94" s="240" t="n"/>
      <c r="HXP94" s="240" t="n"/>
      <c r="HXR94" s="15" t="n"/>
      <c r="HXS94" s="15" t="n"/>
      <c r="HXT94" s="248" t="n"/>
      <c r="HXU94" s="248" t="n"/>
      <c r="HXV94" s="240" t="n"/>
      <c r="HXW94" s="240" t="n"/>
      <c r="HXY94" s="15" t="n"/>
      <c r="HXZ94" s="15" t="n"/>
      <c r="HYA94" s="248" t="n"/>
      <c r="HYB94" s="248" t="n"/>
      <c r="HYC94" s="240" t="n"/>
      <c r="HYD94" s="240" t="n"/>
      <c r="HYF94" s="15" t="n"/>
      <c r="HYG94" s="15" t="n"/>
      <c r="HYH94" s="248" t="n"/>
      <c r="HYI94" s="248" t="n"/>
      <c r="HYJ94" s="240" t="n"/>
      <c r="HYK94" s="240" t="n"/>
      <c r="HYM94" s="15" t="n"/>
      <c r="HYN94" s="15" t="n"/>
      <c r="HYO94" s="248" t="n"/>
      <c r="HYP94" s="248" t="n"/>
      <c r="HYQ94" s="240" t="n"/>
      <c r="HYR94" s="240" t="n"/>
      <c r="HYT94" s="15" t="n"/>
      <c r="HYU94" s="15" t="n"/>
      <c r="HYV94" s="248" t="n"/>
      <c r="HYW94" s="248" t="n"/>
      <c r="HYX94" s="240" t="n"/>
      <c r="HYY94" s="240" t="n"/>
      <c r="HZA94" s="15" t="n"/>
      <c r="HZB94" s="15" t="n"/>
      <c r="HZC94" s="248" t="n"/>
      <c r="HZD94" s="248" t="n"/>
      <c r="HZE94" s="240" t="n"/>
      <c r="HZF94" s="240" t="n"/>
      <c r="HZH94" s="15" t="n"/>
      <c r="HZI94" s="15" t="n"/>
      <c r="HZJ94" s="248" t="n"/>
      <c r="HZK94" s="248" t="n"/>
      <c r="HZL94" s="240" t="n"/>
      <c r="HZM94" s="240" t="n"/>
      <c r="HZO94" s="15" t="n"/>
      <c r="HZP94" s="15" t="n"/>
      <c r="HZQ94" s="248" t="n"/>
      <c r="HZR94" s="248" t="n"/>
      <c r="HZS94" s="240" t="n"/>
      <c r="HZT94" s="240" t="n"/>
      <c r="HZV94" s="15" t="n"/>
      <c r="HZW94" s="15" t="n"/>
      <c r="HZX94" s="248" t="n"/>
      <c r="HZY94" s="248" t="n"/>
      <c r="HZZ94" s="240" t="n"/>
      <c r="IAA94" s="240" t="n"/>
      <c r="IAC94" s="15" t="n"/>
      <c r="IAD94" s="15" t="n"/>
      <c r="IAE94" s="248" t="n"/>
      <c r="IAF94" s="248" t="n"/>
      <c r="IAG94" s="240" t="n"/>
      <c r="IAH94" s="240" t="n"/>
      <c r="IAJ94" s="15" t="n"/>
      <c r="IAK94" s="15" t="n"/>
      <c r="IAL94" s="248" t="n"/>
      <c r="IAM94" s="248" t="n"/>
      <c r="IAN94" s="240" t="n"/>
      <c r="IAO94" s="240" t="n"/>
      <c r="IAQ94" s="15" t="n"/>
      <c r="IAR94" s="15" t="n"/>
      <c r="IAS94" s="248" t="n"/>
      <c r="IAT94" s="248" t="n"/>
      <c r="IAU94" s="240" t="n"/>
      <c r="IAV94" s="240" t="n"/>
      <c r="IAX94" s="15" t="n"/>
      <c r="IAY94" s="15" t="n"/>
      <c r="IAZ94" s="248" t="n"/>
      <c r="IBA94" s="248" t="n"/>
      <c r="IBB94" s="240" t="n"/>
      <c r="IBC94" s="240" t="n"/>
      <c r="IBE94" s="15" t="n"/>
      <c r="IBF94" s="15" t="n"/>
      <c r="IBG94" s="248" t="n"/>
      <c r="IBH94" s="248" t="n"/>
      <c r="IBI94" s="240" t="n"/>
      <c r="IBJ94" s="240" t="n"/>
      <c r="IBL94" s="15" t="n"/>
      <c r="IBM94" s="15" t="n"/>
      <c r="IBN94" s="248" t="n"/>
      <c r="IBO94" s="248" t="n"/>
      <c r="IBP94" s="240" t="n"/>
      <c r="IBQ94" s="240" t="n"/>
      <c r="IBS94" s="15" t="n"/>
      <c r="IBT94" s="15" t="n"/>
      <c r="IBU94" s="248" t="n"/>
      <c r="IBV94" s="248" t="n"/>
      <c r="IBW94" s="240" t="n"/>
      <c r="IBX94" s="240" t="n"/>
      <c r="IBZ94" s="15" t="n"/>
      <c r="ICA94" s="15" t="n"/>
      <c r="ICB94" s="248" t="n"/>
      <c r="ICC94" s="248" t="n"/>
      <c r="ICD94" s="240" t="n"/>
      <c r="ICE94" s="240" t="n"/>
      <c r="ICG94" s="15" t="n"/>
      <c r="ICH94" s="15" t="n"/>
      <c r="ICI94" s="248" t="n"/>
      <c r="ICJ94" s="248" t="n"/>
      <c r="ICK94" s="240" t="n"/>
      <c r="ICL94" s="240" t="n"/>
      <c r="ICN94" s="15" t="n"/>
      <c r="ICO94" s="15" t="n"/>
      <c r="ICP94" s="248" t="n"/>
      <c r="ICQ94" s="248" t="n"/>
      <c r="ICR94" s="240" t="n"/>
      <c r="ICS94" s="240" t="n"/>
      <c r="ICU94" s="15" t="n"/>
      <c r="ICV94" s="15" t="n"/>
      <c r="ICW94" s="248" t="n"/>
      <c r="ICX94" s="248" t="n"/>
      <c r="ICY94" s="240" t="n"/>
      <c r="ICZ94" s="240" t="n"/>
      <c r="IDB94" s="15" t="n"/>
      <c r="IDC94" s="15" t="n"/>
      <c r="IDD94" s="248" t="n"/>
      <c r="IDE94" s="248" t="n"/>
      <c r="IDF94" s="240" t="n"/>
      <c r="IDG94" s="240" t="n"/>
      <c r="IDI94" s="15" t="n"/>
      <c r="IDJ94" s="15" t="n"/>
      <c r="IDK94" s="248" t="n"/>
      <c r="IDL94" s="248" t="n"/>
      <c r="IDM94" s="240" t="n"/>
      <c r="IDN94" s="240" t="n"/>
      <c r="IDP94" s="15" t="n"/>
      <c r="IDQ94" s="15" t="n"/>
      <c r="IDR94" s="248" t="n"/>
      <c r="IDS94" s="248" t="n"/>
      <c r="IDT94" s="240" t="n"/>
      <c r="IDU94" s="240" t="n"/>
      <c r="IDW94" s="15" t="n"/>
      <c r="IDX94" s="15" t="n"/>
      <c r="IDY94" s="248" t="n"/>
      <c r="IDZ94" s="248" t="n"/>
      <c r="IEA94" s="240" t="n"/>
      <c r="IEB94" s="240" t="n"/>
      <c r="IED94" s="15" t="n"/>
      <c r="IEE94" s="15" t="n"/>
      <c r="IEF94" s="248" t="n"/>
      <c r="IEG94" s="248" t="n"/>
      <c r="IEH94" s="240" t="n"/>
      <c r="IEI94" s="240" t="n"/>
      <c r="IEK94" s="15" t="n"/>
      <c r="IEL94" s="15" t="n"/>
      <c r="IEM94" s="248" t="n"/>
      <c r="IEN94" s="248" t="n"/>
      <c r="IEO94" s="240" t="n"/>
      <c r="IEP94" s="240" t="n"/>
      <c r="IER94" s="15" t="n"/>
      <c r="IES94" s="15" t="n"/>
      <c r="IET94" s="248" t="n"/>
      <c r="IEU94" s="248" t="n"/>
      <c r="IEV94" s="240" t="n"/>
      <c r="IEW94" s="240" t="n"/>
      <c r="IEY94" s="15" t="n"/>
      <c r="IEZ94" s="15" t="n"/>
      <c r="IFA94" s="248" t="n"/>
      <c r="IFB94" s="248" t="n"/>
      <c r="IFC94" s="240" t="n"/>
      <c r="IFD94" s="240" t="n"/>
      <c r="IFF94" s="15" t="n"/>
      <c r="IFG94" s="15" t="n"/>
      <c r="IFH94" s="248" t="n"/>
      <c r="IFI94" s="248" t="n"/>
      <c r="IFJ94" s="240" t="n"/>
      <c r="IFK94" s="240" t="n"/>
      <c r="IFM94" s="15" t="n"/>
      <c r="IFN94" s="15" t="n"/>
      <c r="IFO94" s="248" t="n"/>
      <c r="IFP94" s="248" t="n"/>
      <c r="IFQ94" s="240" t="n"/>
      <c r="IFR94" s="240" t="n"/>
      <c r="IFT94" s="15" t="n"/>
      <c r="IFU94" s="15" t="n"/>
      <c r="IFV94" s="248" t="n"/>
      <c r="IFW94" s="248" t="n"/>
      <c r="IFX94" s="240" t="n"/>
      <c r="IFY94" s="240" t="n"/>
      <c r="IGA94" s="15" t="n"/>
      <c r="IGB94" s="15" t="n"/>
      <c r="IGC94" s="248" t="n"/>
      <c r="IGD94" s="248" t="n"/>
      <c r="IGE94" s="240" t="n"/>
      <c r="IGF94" s="240" t="n"/>
      <c r="IGH94" s="15" t="n"/>
      <c r="IGI94" s="15" t="n"/>
      <c r="IGJ94" s="248" t="n"/>
      <c r="IGK94" s="248" t="n"/>
      <c r="IGL94" s="240" t="n"/>
      <c r="IGM94" s="240" t="n"/>
      <c r="IGO94" s="15" t="n"/>
      <c r="IGP94" s="15" t="n"/>
      <c r="IGQ94" s="248" t="n"/>
      <c r="IGR94" s="248" t="n"/>
      <c r="IGS94" s="240" t="n"/>
      <c r="IGT94" s="240" t="n"/>
      <c r="IGV94" s="15" t="n"/>
      <c r="IGW94" s="15" t="n"/>
      <c r="IGX94" s="248" t="n"/>
      <c r="IGY94" s="248" t="n"/>
      <c r="IGZ94" s="240" t="n"/>
      <c r="IHA94" s="240" t="n"/>
      <c r="IHC94" s="15" t="n"/>
      <c r="IHD94" s="15" t="n"/>
      <c r="IHE94" s="248" t="n"/>
      <c r="IHF94" s="248" t="n"/>
      <c r="IHG94" s="240" t="n"/>
      <c r="IHH94" s="240" t="n"/>
      <c r="IHJ94" s="15" t="n"/>
      <c r="IHK94" s="15" t="n"/>
      <c r="IHL94" s="248" t="n"/>
      <c r="IHM94" s="248" t="n"/>
      <c r="IHN94" s="240" t="n"/>
      <c r="IHO94" s="240" t="n"/>
      <c r="IHQ94" s="15" t="n"/>
      <c r="IHR94" s="15" t="n"/>
      <c r="IHS94" s="248" t="n"/>
      <c r="IHT94" s="248" t="n"/>
      <c r="IHU94" s="240" t="n"/>
      <c r="IHV94" s="240" t="n"/>
      <c r="IHX94" s="15" t="n"/>
      <c r="IHY94" s="15" t="n"/>
      <c r="IHZ94" s="248" t="n"/>
      <c r="IIA94" s="248" t="n"/>
      <c r="IIB94" s="240" t="n"/>
      <c r="IIC94" s="240" t="n"/>
      <c r="IIE94" s="15" t="n"/>
      <c r="IIF94" s="15" t="n"/>
      <c r="IIG94" s="248" t="n"/>
      <c r="IIH94" s="248" t="n"/>
      <c r="III94" s="240" t="n"/>
      <c r="IIJ94" s="240" t="n"/>
      <c r="IIL94" s="15" t="n"/>
      <c r="IIM94" s="15" t="n"/>
      <c r="IIN94" s="248" t="n"/>
      <c r="IIO94" s="248" t="n"/>
      <c r="IIP94" s="240" t="n"/>
      <c r="IIQ94" s="240" t="n"/>
      <c r="IIS94" s="15" t="n"/>
      <c r="IIT94" s="15" t="n"/>
      <c r="IIU94" s="248" t="n"/>
      <c r="IIV94" s="248" t="n"/>
      <c r="IIW94" s="240" t="n"/>
      <c r="IIX94" s="240" t="n"/>
      <c r="IIZ94" s="15" t="n"/>
      <c r="IJA94" s="15" t="n"/>
      <c r="IJB94" s="248" t="n"/>
      <c r="IJC94" s="248" t="n"/>
      <c r="IJD94" s="240" t="n"/>
      <c r="IJE94" s="240" t="n"/>
      <c r="IJG94" s="15" t="n"/>
      <c r="IJH94" s="15" t="n"/>
      <c r="IJI94" s="248" t="n"/>
      <c r="IJJ94" s="248" t="n"/>
      <c r="IJK94" s="240" t="n"/>
      <c r="IJL94" s="240" t="n"/>
      <c r="IJN94" s="15" t="n"/>
      <c r="IJO94" s="15" t="n"/>
      <c r="IJP94" s="248" t="n"/>
      <c r="IJQ94" s="248" t="n"/>
      <c r="IJR94" s="240" t="n"/>
      <c r="IJS94" s="240" t="n"/>
      <c r="IJU94" s="15" t="n"/>
      <c r="IJV94" s="15" t="n"/>
      <c r="IJW94" s="248" t="n"/>
      <c r="IJX94" s="248" t="n"/>
      <c r="IJY94" s="240" t="n"/>
      <c r="IJZ94" s="240" t="n"/>
      <c r="IKB94" s="15" t="n"/>
      <c r="IKC94" s="15" t="n"/>
      <c r="IKD94" s="248" t="n"/>
      <c r="IKE94" s="248" t="n"/>
      <c r="IKF94" s="240" t="n"/>
      <c r="IKG94" s="240" t="n"/>
      <c r="IKI94" s="15" t="n"/>
      <c r="IKJ94" s="15" t="n"/>
      <c r="IKK94" s="248" t="n"/>
      <c r="IKL94" s="248" t="n"/>
      <c r="IKM94" s="240" t="n"/>
      <c r="IKN94" s="240" t="n"/>
      <c r="IKP94" s="15" t="n"/>
      <c r="IKQ94" s="15" t="n"/>
      <c r="IKR94" s="248" t="n"/>
      <c r="IKS94" s="248" t="n"/>
      <c r="IKT94" s="240" t="n"/>
      <c r="IKU94" s="240" t="n"/>
      <c r="IKW94" s="15" t="n"/>
      <c r="IKX94" s="15" t="n"/>
      <c r="IKY94" s="248" t="n"/>
      <c r="IKZ94" s="248" t="n"/>
      <c r="ILA94" s="240" t="n"/>
      <c r="ILB94" s="240" t="n"/>
      <c r="ILD94" s="15" t="n"/>
      <c r="ILE94" s="15" t="n"/>
      <c r="ILF94" s="248" t="n"/>
      <c r="ILG94" s="248" t="n"/>
      <c r="ILH94" s="240" t="n"/>
      <c r="ILI94" s="240" t="n"/>
      <c r="ILK94" s="15" t="n"/>
      <c r="ILL94" s="15" t="n"/>
      <c r="ILM94" s="248" t="n"/>
      <c r="ILN94" s="248" t="n"/>
      <c r="ILO94" s="240" t="n"/>
      <c r="ILP94" s="240" t="n"/>
      <c r="ILR94" s="15" t="n"/>
      <c r="ILS94" s="15" t="n"/>
      <c r="ILT94" s="248" t="n"/>
      <c r="ILU94" s="248" t="n"/>
      <c r="ILV94" s="240" t="n"/>
      <c r="ILW94" s="240" t="n"/>
      <c r="ILY94" s="15" t="n"/>
      <c r="ILZ94" s="15" t="n"/>
      <c r="IMA94" s="248" t="n"/>
      <c r="IMB94" s="248" t="n"/>
      <c r="IMC94" s="240" t="n"/>
      <c r="IMD94" s="240" t="n"/>
      <c r="IMF94" s="15" t="n"/>
      <c r="IMG94" s="15" t="n"/>
      <c r="IMH94" s="248" t="n"/>
      <c r="IMI94" s="248" t="n"/>
      <c r="IMJ94" s="240" t="n"/>
      <c r="IMK94" s="240" t="n"/>
      <c r="IMM94" s="15" t="n"/>
      <c r="IMN94" s="15" t="n"/>
      <c r="IMO94" s="248" t="n"/>
      <c r="IMP94" s="248" t="n"/>
      <c r="IMQ94" s="240" t="n"/>
      <c r="IMR94" s="240" t="n"/>
      <c r="IMT94" s="15" t="n"/>
      <c r="IMU94" s="15" t="n"/>
      <c r="IMV94" s="248" t="n"/>
      <c r="IMW94" s="248" t="n"/>
      <c r="IMX94" s="240" t="n"/>
      <c r="IMY94" s="240" t="n"/>
      <c r="INA94" s="15" t="n"/>
      <c r="INB94" s="15" t="n"/>
      <c r="INC94" s="248" t="n"/>
      <c r="IND94" s="248" t="n"/>
      <c r="INE94" s="240" t="n"/>
      <c r="INF94" s="240" t="n"/>
      <c r="INH94" s="15" t="n"/>
      <c r="INI94" s="15" t="n"/>
      <c r="INJ94" s="248" t="n"/>
      <c r="INK94" s="248" t="n"/>
      <c r="INL94" s="240" t="n"/>
      <c r="INM94" s="240" t="n"/>
      <c r="INO94" s="15" t="n"/>
      <c r="INP94" s="15" t="n"/>
      <c r="INQ94" s="248" t="n"/>
      <c r="INR94" s="248" t="n"/>
      <c r="INS94" s="240" t="n"/>
      <c r="INT94" s="240" t="n"/>
      <c r="INV94" s="15" t="n"/>
      <c r="INW94" s="15" t="n"/>
      <c r="INX94" s="248" t="n"/>
      <c r="INY94" s="248" t="n"/>
      <c r="INZ94" s="240" t="n"/>
      <c r="IOA94" s="240" t="n"/>
      <c r="IOC94" s="15" t="n"/>
      <c r="IOD94" s="15" t="n"/>
      <c r="IOE94" s="248" t="n"/>
      <c r="IOF94" s="248" t="n"/>
      <c r="IOG94" s="240" t="n"/>
      <c r="IOH94" s="240" t="n"/>
      <c r="IOJ94" s="15" t="n"/>
      <c r="IOK94" s="15" t="n"/>
      <c r="IOL94" s="248" t="n"/>
      <c r="IOM94" s="248" t="n"/>
      <c r="ION94" s="240" t="n"/>
      <c r="IOO94" s="240" t="n"/>
      <c r="IOQ94" s="15" t="n"/>
      <c r="IOR94" s="15" t="n"/>
      <c r="IOS94" s="248" t="n"/>
      <c r="IOT94" s="248" t="n"/>
      <c r="IOU94" s="240" t="n"/>
      <c r="IOV94" s="240" t="n"/>
      <c r="IOX94" s="15" t="n"/>
      <c r="IOY94" s="15" t="n"/>
      <c r="IOZ94" s="248" t="n"/>
      <c r="IPA94" s="248" t="n"/>
      <c r="IPB94" s="240" t="n"/>
      <c r="IPC94" s="240" t="n"/>
      <c r="IPE94" s="15" t="n"/>
      <c r="IPF94" s="15" t="n"/>
      <c r="IPG94" s="248" t="n"/>
      <c r="IPH94" s="248" t="n"/>
      <c r="IPI94" s="240" t="n"/>
      <c r="IPJ94" s="240" t="n"/>
      <c r="IPL94" s="15" t="n"/>
      <c r="IPM94" s="15" t="n"/>
      <c r="IPN94" s="248" t="n"/>
      <c r="IPO94" s="248" t="n"/>
      <c r="IPP94" s="240" t="n"/>
      <c r="IPQ94" s="240" t="n"/>
      <c r="IPS94" s="15" t="n"/>
      <c r="IPT94" s="15" t="n"/>
      <c r="IPU94" s="248" t="n"/>
      <c r="IPV94" s="248" t="n"/>
      <c r="IPW94" s="240" t="n"/>
      <c r="IPX94" s="240" t="n"/>
      <c r="IPZ94" s="15" t="n"/>
      <c r="IQA94" s="15" t="n"/>
      <c r="IQB94" s="248" t="n"/>
      <c r="IQC94" s="248" t="n"/>
      <c r="IQD94" s="240" t="n"/>
      <c r="IQE94" s="240" t="n"/>
      <c r="IQG94" s="15" t="n"/>
      <c r="IQH94" s="15" t="n"/>
      <c r="IQI94" s="248" t="n"/>
      <c r="IQJ94" s="248" t="n"/>
      <c r="IQK94" s="240" t="n"/>
      <c r="IQL94" s="240" t="n"/>
      <c r="IQN94" s="15" t="n"/>
      <c r="IQO94" s="15" t="n"/>
      <c r="IQP94" s="248" t="n"/>
      <c r="IQQ94" s="248" t="n"/>
      <c r="IQR94" s="240" t="n"/>
      <c r="IQS94" s="240" t="n"/>
      <c r="IQU94" s="15" t="n"/>
      <c r="IQV94" s="15" t="n"/>
      <c r="IQW94" s="248" t="n"/>
      <c r="IQX94" s="248" t="n"/>
      <c r="IQY94" s="240" t="n"/>
      <c r="IQZ94" s="240" t="n"/>
      <c r="IRB94" s="15" t="n"/>
      <c r="IRC94" s="15" t="n"/>
      <c r="IRD94" s="248" t="n"/>
      <c r="IRE94" s="248" t="n"/>
      <c r="IRF94" s="240" t="n"/>
      <c r="IRG94" s="240" t="n"/>
      <c r="IRI94" s="15" t="n"/>
      <c r="IRJ94" s="15" t="n"/>
      <c r="IRK94" s="248" t="n"/>
      <c r="IRL94" s="248" t="n"/>
      <c r="IRM94" s="240" t="n"/>
      <c r="IRN94" s="240" t="n"/>
      <c r="IRP94" s="15" t="n"/>
      <c r="IRQ94" s="15" t="n"/>
      <c r="IRR94" s="248" t="n"/>
      <c r="IRS94" s="248" t="n"/>
      <c r="IRT94" s="240" t="n"/>
      <c r="IRU94" s="240" t="n"/>
      <c r="IRW94" s="15" t="n"/>
      <c r="IRX94" s="15" t="n"/>
      <c r="IRY94" s="248" t="n"/>
      <c r="IRZ94" s="248" t="n"/>
      <c r="ISA94" s="240" t="n"/>
      <c r="ISB94" s="240" t="n"/>
      <c r="ISD94" s="15" t="n"/>
      <c r="ISE94" s="15" t="n"/>
      <c r="ISF94" s="248" t="n"/>
      <c r="ISG94" s="248" t="n"/>
      <c r="ISH94" s="240" t="n"/>
      <c r="ISI94" s="240" t="n"/>
      <c r="ISK94" s="15" t="n"/>
      <c r="ISL94" s="15" t="n"/>
      <c r="ISM94" s="248" t="n"/>
      <c r="ISN94" s="248" t="n"/>
      <c r="ISO94" s="240" t="n"/>
      <c r="ISP94" s="240" t="n"/>
      <c r="ISR94" s="15" t="n"/>
      <c r="ISS94" s="15" t="n"/>
      <c r="IST94" s="248" t="n"/>
      <c r="ISU94" s="248" t="n"/>
      <c r="ISV94" s="240" t="n"/>
      <c r="ISW94" s="240" t="n"/>
      <c r="ISY94" s="15" t="n"/>
      <c r="ISZ94" s="15" t="n"/>
      <c r="ITA94" s="248" t="n"/>
      <c r="ITB94" s="248" t="n"/>
      <c r="ITC94" s="240" t="n"/>
      <c r="ITD94" s="240" t="n"/>
      <c r="ITF94" s="15" t="n"/>
      <c r="ITG94" s="15" t="n"/>
      <c r="ITH94" s="248" t="n"/>
      <c r="ITI94" s="248" t="n"/>
      <c r="ITJ94" s="240" t="n"/>
      <c r="ITK94" s="240" t="n"/>
      <c r="ITM94" s="15" t="n"/>
      <c r="ITN94" s="15" t="n"/>
      <c r="ITO94" s="248" t="n"/>
      <c r="ITP94" s="248" t="n"/>
      <c r="ITQ94" s="240" t="n"/>
      <c r="ITR94" s="240" t="n"/>
      <c r="ITT94" s="15" t="n"/>
      <c r="ITU94" s="15" t="n"/>
      <c r="ITV94" s="248" t="n"/>
      <c r="ITW94" s="248" t="n"/>
      <c r="ITX94" s="240" t="n"/>
      <c r="ITY94" s="240" t="n"/>
      <c r="IUA94" s="15" t="n"/>
      <c r="IUB94" s="15" t="n"/>
      <c r="IUC94" s="248" t="n"/>
      <c r="IUD94" s="248" t="n"/>
      <c r="IUE94" s="240" t="n"/>
      <c r="IUF94" s="240" t="n"/>
      <c r="IUH94" s="15" t="n"/>
      <c r="IUI94" s="15" t="n"/>
      <c r="IUJ94" s="248" t="n"/>
      <c r="IUK94" s="248" t="n"/>
      <c r="IUL94" s="240" t="n"/>
      <c r="IUM94" s="240" t="n"/>
      <c r="IUO94" s="15" t="n"/>
      <c r="IUP94" s="15" t="n"/>
      <c r="IUQ94" s="248" t="n"/>
      <c r="IUR94" s="248" t="n"/>
      <c r="IUS94" s="240" t="n"/>
      <c r="IUT94" s="240" t="n"/>
      <c r="IUV94" s="15" t="n"/>
      <c r="IUW94" s="15" t="n"/>
      <c r="IUX94" s="248" t="n"/>
      <c r="IUY94" s="248" t="n"/>
      <c r="IUZ94" s="240" t="n"/>
      <c r="IVA94" s="240" t="n"/>
      <c r="IVC94" s="15" t="n"/>
      <c r="IVD94" s="15" t="n"/>
      <c r="IVE94" s="248" t="n"/>
      <c r="IVF94" s="248" t="n"/>
      <c r="IVG94" s="240" t="n"/>
      <c r="IVH94" s="240" t="n"/>
      <c r="IVJ94" s="15" t="n"/>
      <c r="IVK94" s="15" t="n"/>
      <c r="IVL94" s="248" t="n"/>
      <c r="IVM94" s="248" t="n"/>
      <c r="IVN94" s="240" t="n"/>
      <c r="IVO94" s="240" t="n"/>
      <c r="IVQ94" s="15" t="n"/>
      <c r="IVR94" s="15" t="n"/>
      <c r="IVS94" s="248" t="n"/>
      <c r="IVT94" s="248" t="n"/>
      <c r="IVU94" s="240" t="n"/>
      <c r="IVV94" s="240" t="n"/>
      <c r="IVX94" s="15" t="n"/>
      <c r="IVY94" s="15" t="n"/>
      <c r="IVZ94" s="248" t="n"/>
      <c r="IWA94" s="248" t="n"/>
      <c r="IWB94" s="240" t="n"/>
      <c r="IWC94" s="240" t="n"/>
      <c r="IWE94" s="15" t="n"/>
      <c r="IWF94" s="15" t="n"/>
      <c r="IWG94" s="248" t="n"/>
      <c r="IWH94" s="248" t="n"/>
      <c r="IWI94" s="240" t="n"/>
      <c r="IWJ94" s="240" t="n"/>
      <c r="IWL94" s="15" t="n"/>
      <c r="IWM94" s="15" t="n"/>
      <c r="IWN94" s="248" t="n"/>
      <c r="IWO94" s="248" t="n"/>
      <c r="IWP94" s="240" t="n"/>
      <c r="IWQ94" s="240" t="n"/>
      <c r="IWS94" s="15" t="n"/>
      <c r="IWT94" s="15" t="n"/>
      <c r="IWU94" s="248" t="n"/>
      <c r="IWV94" s="248" t="n"/>
      <c r="IWW94" s="240" t="n"/>
      <c r="IWX94" s="240" t="n"/>
      <c r="IWZ94" s="15" t="n"/>
      <c r="IXA94" s="15" t="n"/>
      <c r="IXB94" s="248" t="n"/>
      <c r="IXC94" s="248" t="n"/>
      <c r="IXD94" s="240" t="n"/>
      <c r="IXE94" s="240" t="n"/>
      <c r="IXG94" s="15" t="n"/>
      <c r="IXH94" s="15" t="n"/>
      <c r="IXI94" s="248" t="n"/>
      <c r="IXJ94" s="248" t="n"/>
      <c r="IXK94" s="240" t="n"/>
      <c r="IXL94" s="240" t="n"/>
      <c r="IXN94" s="15" t="n"/>
      <c r="IXO94" s="15" t="n"/>
      <c r="IXP94" s="248" t="n"/>
      <c r="IXQ94" s="248" t="n"/>
      <c r="IXR94" s="240" t="n"/>
      <c r="IXS94" s="240" t="n"/>
      <c r="IXU94" s="15" t="n"/>
      <c r="IXV94" s="15" t="n"/>
      <c r="IXW94" s="248" t="n"/>
      <c r="IXX94" s="248" t="n"/>
      <c r="IXY94" s="240" t="n"/>
      <c r="IXZ94" s="240" t="n"/>
      <c r="IYB94" s="15" t="n"/>
      <c r="IYC94" s="15" t="n"/>
      <c r="IYD94" s="248" t="n"/>
      <c r="IYE94" s="248" t="n"/>
      <c r="IYF94" s="240" t="n"/>
      <c r="IYG94" s="240" t="n"/>
      <c r="IYI94" s="15" t="n"/>
      <c r="IYJ94" s="15" t="n"/>
      <c r="IYK94" s="248" t="n"/>
      <c r="IYL94" s="248" t="n"/>
      <c r="IYM94" s="240" t="n"/>
      <c r="IYN94" s="240" t="n"/>
      <c r="IYP94" s="15" t="n"/>
      <c r="IYQ94" s="15" t="n"/>
      <c r="IYR94" s="248" t="n"/>
      <c r="IYS94" s="248" t="n"/>
      <c r="IYT94" s="240" t="n"/>
      <c r="IYU94" s="240" t="n"/>
      <c r="IYW94" s="15" t="n"/>
      <c r="IYX94" s="15" t="n"/>
      <c r="IYY94" s="248" t="n"/>
      <c r="IYZ94" s="248" t="n"/>
      <c r="IZA94" s="240" t="n"/>
      <c r="IZB94" s="240" t="n"/>
      <c r="IZD94" s="15" t="n"/>
      <c r="IZE94" s="15" t="n"/>
      <c r="IZF94" s="248" t="n"/>
      <c r="IZG94" s="248" t="n"/>
      <c r="IZH94" s="240" t="n"/>
      <c r="IZI94" s="240" t="n"/>
      <c r="IZK94" s="15" t="n"/>
      <c r="IZL94" s="15" t="n"/>
      <c r="IZM94" s="248" t="n"/>
      <c r="IZN94" s="248" t="n"/>
      <c r="IZO94" s="240" t="n"/>
      <c r="IZP94" s="240" t="n"/>
      <c r="IZR94" s="15" t="n"/>
      <c r="IZS94" s="15" t="n"/>
      <c r="IZT94" s="248" t="n"/>
      <c r="IZU94" s="248" t="n"/>
      <c r="IZV94" s="240" t="n"/>
      <c r="IZW94" s="240" t="n"/>
      <c r="IZY94" s="15" t="n"/>
      <c r="IZZ94" s="15" t="n"/>
      <c r="JAA94" s="248" t="n"/>
      <c r="JAB94" s="248" t="n"/>
      <c r="JAC94" s="240" t="n"/>
      <c r="JAD94" s="240" t="n"/>
      <c r="JAF94" s="15" t="n"/>
      <c r="JAG94" s="15" t="n"/>
      <c r="JAH94" s="248" t="n"/>
      <c r="JAI94" s="248" t="n"/>
      <c r="JAJ94" s="240" t="n"/>
      <c r="JAK94" s="240" t="n"/>
      <c r="JAM94" s="15" t="n"/>
      <c r="JAN94" s="15" t="n"/>
      <c r="JAO94" s="248" t="n"/>
      <c r="JAP94" s="248" t="n"/>
      <c r="JAQ94" s="240" t="n"/>
      <c r="JAR94" s="240" t="n"/>
      <c r="JAT94" s="15" t="n"/>
      <c r="JAU94" s="15" t="n"/>
      <c r="JAV94" s="248" t="n"/>
      <c r="JAW94" s="248" t="n"/>
      <c r="JAX94" s="240" t="n"/>
      <c r="JAY94" s="240" t="n"/>
      <c r="JBA94" s="15" t="n"/>
      <c r="JBB94" s="15" t="n"/>
      <c r="JBC94" s="248" t="n"/>
      <c r="JBD94" s="248" t="n"/>
      <c r="JBE94" s="240" t="n"/>
      <c r="JBF94" s="240" t="n"/>
      <c r="JBH94" s="15" t="n"/>
      <c r="JBI94" s="15" t="n"/>
      <c r="JBJ94" s="248" t="n"/>
      <c r="JBK94" s="248" t="n"/>
      <c r="JBL94" s="240" t="n"/>
      <c r="JBM94" s="240" t="n"/>
      <c r="JBO94" s="15" t="n"/>
      <c r="JBP94" s="15" t="n"/>
      <c r="JBQ94" s="248" t="n"/>
      <c r="JBR94" s="248" t="n"/>
      <c r="JBS94" s="240" t="n"/>
      <c r="JBT94" s="240" t="n"/>
      <c r="JBV94" s="15" t="n"/>
      <c r="JBW94" s="15" t="n"/>
      <c r="JBX94" s="248" t="n"/>
      <c r="JBY94" s="248" t="n"/>
      <c r="JBZ94" s="240" t="n"/>
      <c r="JCA94" s="240" t="n"/>
      <c r="JCC94" s="15" t="n"/>
      <c r="JCD94" s="15" t="n"/>
      <c r="JCE94" s="248" t="n"/>
      <c r="JCF94" s="248" t="n"/>
      <c r="JCG94" s="240" t="n"/>
      <c r="JCH94" s="240" t="n"/>
      <c r="JCJ94" s="15" t="n"/>
      <c r="JCK94" s="15" t="n"/>
      <c r="JCL94" s="248" t="n"/>
      <c r="JCM94" s="248" t="n"/>
      <c r="JCN94" s="240" t="n"/>
      <c r="JCO94" s="240" t="n"/>
      <c r="JCQ94" s="15" t="n"/>
      <c r="JCR94" s="15" t="n"/>
      <c r="JCS94" s="248" t="n"/>
      <c r="JCT94" s="248" t="n"/>
      <c r="JCU94" s="240" t="n"/>
      <c r="JCV94" s="240" t="n"/>
      <c r="JCX94" s="15" t="n"/>
      <c r="JCY94" s="15" t="n"/>
      <c r="JCZ94" s="248" t="n"/>
      <c r="JDA94" s="248" t="n"/>
      <c r="JDB94" s="240" t="n"/>
      <c r="JDC94" s="240" t="n"/>
      <c r="JDE94" s="15" t="n"/>
      <c r="JDF94" s="15" t="n"/>
      <c r="JDG94" s="248" t="n"/>
      <c r="JDH94" s="248" t="n"/>
      <c r="JDI94" s="240" t="n"/>
      <c r="JDJ94" s="240" t="n"/>
      <c r="JDL94" s="15" t="n"/>
      <c r="JDM94" s="15" t="n"/>
      <c r="JDN94" s="248" t="n"/>
      <c r="JDO94" s="248" t="n"/>
      <c r="JDP94" s="240" t="n"/>
      <c r="JDQ94" s="240" t="n"/>
      <c r="JDS94" s="15" t="n"/>
      <c r="JDT94" s="15" t="n"/>
      <c r="JDU94" s="248" t="n"/>
      <c r="JDV94" s="248" t="n"/>
      <c r="JDW94" s="240" t="n"/>
      <c r="JDX94" s="240" t="n"/>
      <c r="JDZ94" s="15" t="n"/>
      <c r="JEA94" s="15" t="n"/>
      <c r="JEB94" s="248" t="n"/>
      <c r="JEC94" s="248" t="n"/>
      <c r="JED94" s="240" t="n"/>
      <c r="JEE94" s="240" t="n"/>
      <c r="JEG94" s="15" t="n"/>
      <c r="JEH94" s="15" t="n"/>
      <c r="JEI94" s="248" t="n"/>
      <c r="JEJ94" s="248" t="n"/>
      <c r="JEK94" s="240" t="n"/>
      <c r="JEL94" s="240" t="n"/>
      <c r="JEN94" s="15" t="n"/>
      <c r="JEO94" s="15" t="n"/>
      <c r="JEP94" s="248" t="n"/>
      <c r="JEQ94" s="248" t="n"/>
      <c r="JER94" s="240" t="n"/>
      <c r="JES94" s="240" t="n"/>
      <c r="JEU94" s="15" t="n"/>
      <c r="JEV94" s="15" t="n"/>
      <c r="JEW94" s="248" t="n"/>
      <c r="JEX94" s="248" t="n"/>
      <c r="JEY94" s="240" t="n"/>
      <c r="JEZ94" s="240" t="n"/>
      <c r="JFB94" s="15" t="n"/>
      <c r="JFC94" s="15" t="n"/>
      <c r="JFD94" s="248" t="n"/>
      <c r="JFE94" s="248" t="n"/>
      <c r="JFF94" s="240" t="n"/>
      <c r="JFG94" s="240" t="n"/>
      <c r="JFI94" s="15" t="n"/>
      <c r="JFJ94" s="15" t="n"/>
      <c r="JFK94" s="248" t="n"/>
      <c r="JFL94" s="248" t="n"/>
      <c r="JFM94" s="240" t="n"/>
      <c r="JFN94" s="240" t="n"/>
      <c r="JFP94" s="15" t="n"/>
      <c r="JFQ94" s="15" t="n"/>
      <c r="JFR94" s="248" t="n"/>
      <c r="JFS94" s="248" t="n"/>
      <c r="JFT94" s="240" t="n"/>
      <c r="JFU94" s="240" t="n"/>
      <c r="JFW94" s="15" t="n"/>
      <c r="JFX94" s="15" t="n"/>
      <c r="JFY94" s="248" t="n"/>
      <c r="JFZ94" s="248" t="n"/>
      <c r="JGA94" s="240" t="n"/>
      <c r="JGB94" s="240" t="n"/>
      <c r="JGD94" s="15" t="n"/>
      <c r="JGE94" s="15" t="n"/>
      <c r="JGF94" s="248" t="n"/>
      <c r="JGG94" s="248" t="n"/>
      <c r="JGH94" s="240" t="n"/>
      <c r="JGI94" s="240" t="n"/>
      <c r="JGK94" s="15" t="n"/>
      <c r="JGL94" s="15" t="n"/>
      <c r="JGM94" s="248" t="n"/>
      <c r="JGN94" s="248" t="n"/>
      <c r="JGO94" s="240" t="n"/>
      <c r="JGP94" s="240" t="n"/>
      <c r="JGR94" s="15" t="n"/>
      <c r="JGS94" s="15" t="n"/>
      <c r="JGT94" s="248" t="n"/>
      <c r="JGU94" s="248" t="n"/>
      <c r="JGV94" s="240" t="n"/>
      <c r="JGW94" s="240" t="n"/>
      <c r="JGY94" s="15" t="n"/>
      <c r="JGZ94" s="15" t="n"/>
      <c r="JHA94" s="248" t="n"/>
      <c r="JHB94" s="248" t="n"/>
      <c r="JHC94" s="240" t="n"/>
      <c r="JHD94" s="240" t="n"/>
      <c r="JHF94" s="15" t="n"/>
      <c r="JHG94" s="15" t="n"/>
      <c r="JHH94" s="248" t="n"/>
      <c r="JHI94" s="248" t="n"/>
      <c r="JHJ94" s="240" t="n"/>
      <c r="JHK94" s="240" t="n"/>
      <c r="JHM94" s="15" t="n"/>
      <c r="JHN94" s="15" t="n"/>
      <c r="JHO94" s="248" t="n"/>
      <c r="JHP94" s="248" t="n"/>
      <c r="JHQ94" s="240" t="n"/>
      <c r="JHR94" s="240" t="n"/>
      <c r="JHT94" s="15" t="n"/>
      <c r="JHU94" s="15" t="n"/>
      <c r="JHV94" s="248" t="n"/>
      <c r="JHW94" s="248" t="n"/>
      <c r="JHX94" s="240" t="n"/>
      <c r="JHY94" s="240" t="n"/>
      <c r="JIA94" s="15" t="n"/>
      <c r="JIB94" s="15" t="n"/>
      <c r="JIC94" s="248" t="n"/>
      <c r="JID94" s="248" t="n"/>
      <c r="JIE94" s="240" t="n"/>
      <c r="JIF94" s="240" t="n"/>
      <c r="JIH94" s="15" t="n"/>
      <c r="JII94" s="15" t="n"/>
      <c r="JIJ94" s="248" t="n"/>
      <c r="JIK94" s="248" t="n"/>
      <c r="JIL94" s="240" t="n"/>
      <c r="JIM94" s="240" t="n"/>
      <c r="JIO94" s="15" t="n"/>
      <c r="JIP94" s="15" t="n"/>
      <c r="JIQ94" s="248" t="n"/>
      <c r="JIR94" s="248" t="n"/>
      <c r="JIS94" s="240" t="n"/>
      <c r="JIT94" s="240" t="n"/>
      <c r="JIV94" s="15" t="n"/>
      <c r="JIW94" s="15" t="n"/>
      <c r="JIX94" s="248" t="n"/>
      <c r="JIY94" s="248" t="n"/>
      <c r="JIZ94" s="240" t="n"/>
      <c r="JJA94" s="240" t="n"/>
      <c r="JJC94" s="15" t="n"/>
      <c r="JJD94" s="15" t="n"/>
      <c r="JJE94" s="248" t="n"/>
      <c r="JJF94" s="248" t="n"/>
      <c r="JJG94" s="240" t="n"/>
      <c r="JJH94" s="240" t="n"/>
      <c r="JJJ94" s="15" t="n"/>
      <c r="JJK94" s="15" t="n"/>
      <c r="JJL94" s="248" t="n"/>
      <c r="JJM94" s="248" t="n"/>
      <c r="JJN94" s="240" t="n"/>
      <c r="JJO94" s="240" t="n"/>
      <c r="JJQ94" s="15" t="n"/>
      <c r="JJR94" s="15" t="n"/>
      <c r="JJS94" s="248" t="n"/>
      <c r="JJT94" s="248" t="n"/>
      <c r="JJU94" s="240" t="n"/>
      <c r="JJV94" s="240" t="n"/>
      <c r="JJX94" s="15" t="n"/>
      <c r="JJY94" s="15" t="n"/>
      <c r="JJZ94" s="248" t="n"/>
      <c r="JKA94" s="248" t="n"/>
      <c r="JKB94" s="240" t="n"/>
      <c r="JKC94" s="240" t="n"/>
      <c r="JKE94" s="15" t="n"/>
      <c r="JKF94" s="15" t="n"/>
      <c r="JKG94" s="248" t="n"/>
      <c r="JKH94" s="248" t="n"/>
      <c r="JKI94" s="240" t="n"/>
      <c r="JKJ94" s="240" t="n"/>
      <c r="JKL94" s="15" t="n"/>
      <c r="JKM94" s="15" t="n"/>
      <c r="JKN94" s="248" t="n"/>
      <c r="JKO94" s="248" t="n"/>
      <c r="JKP94" s="240" t="n"/>
      <c r="JKQ94" s="240" t="n"/>
      <c r="JKS94" s="15" t="n"/>
      <c r="JKT94" s="15" t="n"/>
      <c r="JKU94" s="248" t="n"/>
      <c r="JKV94" s="248" t="n"/>
      <c r="JKW94" s="240" t="n"/>
      <c r="JKX94" s="240" t="n"/>
      <c r="JKZ94" s="15" t="n"/>
      <c r="JLA94" s="15" t="n"/>
      <c r="JLB94" s="248" t="n"/>
      <c r="JLC94" s="248" t="n"/>
      <c r="JLD94" s="240" t="n"/>
      <c r="JLE94" s="240" t="n"/>
      <c r="JLG94" s="15" t="n"/>
      <c r="JLH94" s="15" t="n"/>
      <c r="JLI94" s="248" t="n"/>
      <c r="JLJ94" s="248" t="n"/>
      <c r="JLK94" s="240" t="n"/>
      <c r="JLL94" s="240" t="n"/>
      <c r="JLN94" s="15" t="n"/>
      <c r="JLO94" s="15" t="n"/>
      <c r="JLP94" s="248" t="n"/>
      <c r="JLQ94" s="248" t="n"/>
      <c r="JLR94" s="240" t="n"/>
      <c r="JLS94" s="240" t="n"/>
      <c r="JLU94" s="15" t="n"/>
      <c r="JLV94" s="15" t="n"/>
      <c r="JLW94" s="248" t="n"/>
      <c r="JLX94" s="248" t="n"/>
      <c r="JLY94" s="240" t="n"/>
      <c r="JLZ94" s="240" t="n"/>
      <c r="JMB94" s="15" t="n"/>
      <c r="JMC94" s="15" t="n"/>
      <c r="JMD94" s="248" t="n"/>
      <c r="JME94" s="248" t="n"/>
      <c r="JMF94" s="240" t="n"/>
      <c r="JMG94" s="240" t="n"/>
      <c r="JMI94" s="15" t="n"/>
      <c r="JMJ94" s="15" t="n"/>
      <c r="JMK94" s="248" t="n"/>
      <c r="JML94" s="248" t="n"/>
      <c r="JMM94" s="240" t="n"/>
      <c r="JMN94" s="240" t="n"/>
      <c r="JMP94" s="15" t="n"/>
      <c r="JMQ94" s="15" t="n"/>
      <c r="JMR94" s="248" t="n"/>
      <c r="JMS94" s="248" t="n"/>
      <c r="JMT94" s="240" t="n"/>
      <c r="JMU94" s="240" t="n"/>
      <c r="JMW94" s="15" t="n"/>
      <c r="JMX94" s="15" t="n"/>
      <c r="JMY94" s="248" t="n"/>
      <c r="JMZ94" s="248" t="n"/>
      <c r="JNA94" s="240" t="n"/>
      <c r="JNB94" s="240" t="n"/>
      <c r="JND94" s="15" t="n"/>
      <c r="JNE94" s="15" t="n"/>
      <c r="JNF94" s="248" t="n"/>
      <c r="JNG94" s="248" t="n"/>
      <c r="JNH94" s="240" t="n"/>
      <c r="JNI94" s="240" t="n"/>
      <c r="JNK94" s="15" t="n"/>
      <c r="JNL94" s="15" t="n"/>
      <c r="JNM94" s="248" t="n"/>
      <c r="JNN94" s="248" t="n"/>
      <c r="JNO94" s="240" t="n"/>
      <c r="JNP94" s="240" t="n"/>
      <c r="JNR94" s="15" t="n"/>
      <c r="JNS94" s="15" t="n"/>
      <c r="JNT94" s="248" t="n"/>
      <c r="JNU94" s="248" t="n"/>
      <c r="JNV94" s="240" t="n"/>
      <c r="JNW94" s="240" t="n"/>
      <c r="JNY94" s="15" t="n"/>
      <c r="JNZ94" s="15" t="n"/>
      <c r="JOA94" s="248" t="n"/>
      <c r="JOB94" s="248" t="n"/>
      <c r="JOC94" s="240" t="n"/>
      <c r="JOD94" s="240" t="n"/>
      <c r="JOF94" s="15" t="n"/>
      <c r="JOG94" s="15" t="n"/>
      <c r="JOH94" s="248" t="n"/>
      <c r="JOI94" s="248" t="n"/>
      <c r="JOJ94" s="240" t="n"/>
      <c r="JOK94" s="240" t="n"/>
      <c r="JOM94" s="15" t="n"/>
      <c r="JON94" s="15" t="n"/>
      <c r="JOO94" s="248" t="n"/>
      <c r="JOP94" s="248" t="n"/>
      <c r="JOQ94" s="240" t="n"/>
      <c r="JOR94" s="240" t="n"/>
      <c r="JOT94" s="15" t="n"/>
      <c r="JOU94" s="15" t="n"/>
      <c r="JOV94" s="248" t="n"/>
      <c r="JOW94" s="248" t="n"/>
      <c r="JOX94" s="240" t="n"/>
      <c r="JOY94" s="240" t="n"/>
      <c r="JPA94" s="15" t="n"/>
      <c r="JPB94" s="15" t="n"/>
      <c r="JPC94" s="248" t="n"/>
      <c r="JPD94" s="248" t="n"/>
      <c r="JPE94" s="240" t="n"/>
      <c r="JPF94" s="240" t="n"/>
      <c r="JPH94" s="15" t="n"/>
      <c r="JPI94" s="15" t="n"/>
      <c r="JPJ94" s="248" t="n"/>
      <c r="JPK94" s="248" t="n"/>
      <c r="JPL94" s="240" t="n"/>
      <c r="JPM94" s="240" t="n"/>
      <c r="JPO94" s="15" t="n"/>
      <c r="JPP94" s="15" t="n"/>
      <c r="JPQ94" s="248" t="n"/>
      <c r="JPR94" s="248" t="n"/>
      <c r="JPS94" s="240" t="n"/>
      <c r="JPT94" s="240" t="n"/>
      <c r="JPV94" s="15" t="n"/>
      <c r="JPW94" s="15" t="n"/>
      <c r="JPX94" s="248" t="n"/>
      <c r="JPY94" s="248" t="n"/>
      <c r="JPZ94" s="240" t="n"/>
      <c r="JQA94" s="240" t="n"/>
      <c r="JQC94" s="15" t="n"/>
      <c r="JQD94" s="15" t="n"/>
      <c r="JQE94" s="248" t="n"/>
      <c r="JQF94" s="248" t="n"/>
      <c r="JQG94" s="240" t="n"/>
      <c r="JQH94" s="240" t="n"/>
      <c r="JQJ94" s="15" t="n"/>
      <c r="JQK94" s="15" t="n"/>
      <c r="JQL94" s="248" t="n"/>
      <c r="JQM94" s="248" t="n"/>
      <c r="JQN94" s="240" t="n"/>
      <c r="JQO94" s="240" t="n"/>
      <c r="JQQ94" s="15" t="n"/>
      <c r="JQR94" s="15" t="n"/>
      <c r="JQS94" s="248" t="n"/>
      <c r="JQT94" s="248" t="n"/>
      <c r="JQU94" s="240" t="n"/>
      <c r="JQV94" s="240" t="n"/>
      <c r="JQX94" s="15" t="n"/>
      <c r="JQY94" s="15" t="n"/>
      <c r="JQZ94" s="248" t="n"/>
      <c r="JRA94" s="248" t="n"/>
      <c r="JRB94" s="240" t="n"/>
      <c r="JRC94" s="240" t="n"/>
      <c r="JRE94" s="15" t="n"/>
      <c r="JRF94" s="15" t="n"/>
      <c r="JRG94" s="248" t="n"/>
      <c r="JRH94" s="248" t="n"/>
      <c r="JRI94" s="240" t="n"/>
      <c r="JRJ94" s="240" t="n"/>
      <c r="JRL94" s="15" t="n"/>
      <c r="JRM94" s="15" t="n"/>
      <c r="JRN94" s="248" t="n"/>
      <c r="JRO94" s="248" t="n"/>
      <c r="JRP94" s="240" t="n"/>
      <c r="JRQ94" s="240" t="n"/>
      <c r="JRS94" s="15" t="n"/>
      <c r="JRT94" s="15" t="n"/>
      <c r="JRU94" s="248" t="n"/>
      <c r="JRV94" s="248" t="n"/>
      <c r="JRW94" s="240" t="n"/>
      <c r="JRX94" s="240" t="n"/>
      <c r="JRZ94" s="15" t="n"/>
      <c r="JSA94" s="15" t="n"/>
      <c r="JSB94" s="248" t="n"/>
      <c r="JSC94" s="248" t="n"/>
      <c r="JSD94" s="240" t="n"/>
      <c r="JSE94" s="240" t="n"/>
      <c r="JSG94" s="15" t="n"/>
      <c r="JSH94" s="15" t="n"/>
      <c r="JSI94" s="248" t="n"/>
      <c r="JSJ94" s="248" t="n"/>
      <c r="JSK94" s="240" t="n"/>
      <c r="JSL94" s="240" t="n"/>
      <c r="JSN94" s="15" t="n"/>
      <c r="JSO94" s="15" t="n"/>
      <c r="JSP94" s="248" t="n"/>
      <c r="JSQ94" s="248" t="n"/>
      <c r="JSR94" s="240" t="n"/>
      <c r="JSS94" s="240" t="n"/>
      <c r="JSU94" s="15" t="n"/>
      <c r="JSV94" s="15" t="n"/>
      <c r="JSW94" s="248" t="n"/>
      <c r="JSX94" s="248" t="n"/>
      <c r="JSY94" s="240" t="n"/>
      <c r="JSZ94" s="240" t="n"/>
      <c r="JTB94" s="15" t="n"/>
      <c r="JTC94" s="15" t="n"/>
      <c r="JTD94" s="248" t="n"/>
      <c r="JTE94" s="248" t="n"/>
      <c r="JTF94" s="240" t="n"/>
      <c r="JTG94" s="240" t="n"/>
      <c r="JTI94" s="15" t="n"/>
      <c r="JTJ94" s="15" t="n"/>
      <c r="JTK94" s="248" t="n"/>
      <c r="JTL94" s="248" t="n"/>
      <c r="JTM94" s="240" t="n"/>
      <c r="JTN94" s="240" t="n"/>
      <c r="JTP94" s="15" t="n"/>
      <c r="JTQ94" s="15" t="n"/>
      <c r="JTR94" s="248" t="n"/>
      <c r="JTS94" s="248" t="n"/>
      <c r="JTT94" s="240" t="n"/>
      <c r="JTU94" s="240" t="n"/>
      <c r="JTW94" s="15" t="n"/>
      <c r="JTX94" s="15" t="n"/>
      <c r="JTY94" s="248" t="n"/>
      <c r="JTZ94" s="248" t="n"/>
      <c r="JUA94" s="240" t="n"/>
      <c r="JUB94" s="240" t="n"/>
      <c r="JUD94" s="15" t="n"/>
      <c r="JUE94" s="15" t="n"/>
      <c r="JUF94" s="248" t="n"/>
      <c r="JUG94" s="248" t="n"/>
      <c r="JUH94" s="240" t="n"/>
      <c r="JUI94" s="240" t="n"/>
      <c r="JUK94" s="15" t="n"/>
      <c r="JUL94" s="15" t="n"/>
      <c r="JUM94" s="248" t="n"/>
      <c r="JUN94" s="248" t="n"/>
      <c r="JUO94" s="240" t="n"/>
      <c r="JUP94" s="240" t="n"/>
      <c r="JUR94" s="15" t="n"/>
      <c r="JUS94" s="15" t="n"/>
      <c r="JUT94" s="248" t="n"/>
      <c r="JUU94" s="248" t="n"/>
      <c r="JUV94" s="240" t="n"/>
      <c r="JUW94" s="240" t="n"/>
      <c r="JUY94" s="15" t="n"/>
      <c r="JUZ94" s="15" t="n"/>
      <c r="JVA94" s="248" t="n"/>
      <c r="JVB94" s="248" t="n"/>
      <c r="JVC94" s="240" t="n"/>
      <c r="JVD94" s="240" t="n"/>
      <c r="JVF94" s="15" t="n"/>
      <c r="JVG94" s="15" t="n"/>
      <c r="JVH94" s="248" t="n"/>
      <c r="JVI94" s="248" t="n"/>
      <c r="JVJ94" s="240" t="n"/>
      <c r="JVK94" s="240" t="n"/>
      <c r="JVM94" s="15" t="n"/>
      <c r="JVN94" s="15" t="n"/>
      <c r="JVO94" s="248" t="n"/>
      <c r="JVP94" s="248" t="n"/>
      <c r="JVQ94" s="240" t="n"/>
      <c r="JVR94" s="240" t="n"/>
      <c r="JVT94" s="15" t="n"/>
      <c r="JVU94" s="15" t="n"/>
      <c r="JVV94" s="248" t="n"/>
      <c r="JVW94" s="248" t="n"/>
      <c r="JVX94" s="240" t="n"/>
      <c r="JVY94" s="240" t="n"/>
      <c r="JWA94" s="15" t="n"/>
      <c r="JWB94" s="15" t="n"/>
      <c r="JWC94" s="248" t="n"/>
      <c r="JWD94" s="248" t="n"/>
      <c r="JWE94" s="240" t="n"/>
      <c r="JWF94" s="240" t="n"/>
      <c r="JWH94" s="15" t="n"/>
      <c r="JWI94" s="15" t="n"/>
      <c r="JWJ94" s="248" t="n"/>
      <c r="JWK94" s="248" t="n"/>
      <c r="JWL94" s="240" t="n"/>
      <c r="JWM94" s="240" t="n"/>
      <c r="JWO94" s="15" t="n"/>
      <c r="JWP94" s="15" t="n"/>
      <c r="JWQ94" s="248" t="n"/>
      <c r="JWR94" s="248" t="n"/>
      <c r="JWS94" s="240" t="n"/>
      <c r="JWT94" s="240" t="n"/>
      <c r="JWV94" s="15" t="n"/>
      <c r="JWW94" s="15" t="n"/>
      <c r="JWX94" s="248" t="n"/>
      <c r="JWY94" s="248" t="n"/>
      <c r="JWZ94" s="240" t="n"/>
      <c r="JXA94" s="240" t="n"/>
      <c r="JXC94" s="15" t="n"/>
      <c r="JXD94" s="15" t="n"/>
      <c r="JXE94" s="248" t="n"/>
      <c r="JXF94" s="248" t="n"/>
      <c r="JXG94" s="240" t="n"/>
      <c r="JXH94" s="240" t="n"/>
      <c r="JXJ94" s="15" t="n"/>
      <c r="JXK94" s="15" t="n"/>
      <c r="JXL94" s="248" t="n"/>
      <c r="JXM94" s="248" t="n"/>
      <c r="JXN94" s="240" t="n"/>
      <c r="JXO94" s="240" t="n"/>
      <c r="JXQ94" s="15" t="n"/>
      <c r="JXR94" s="15" t="n"/>
      <c r="JXS94" s="248" t="n"/>
      <c r="JXT94" s="248" t="n"/>
      <c r="JXU94" s="240" t="n"/>
      <c r="JXV94" s="240" t="n"/>
      <c r="JXX94" s="15" t="n"/>
      <c r="JXY94" s="15" t="n"/>
      <c r="JXZ94" s="248" t="n"/>
      <c r="JYA94" s="248" t="n"/>
      <c r="JYB94" s="240" t="n"/>
      <c r="JYC94" s="240" t="n"/>
      <c r="JYE94" s="15" t="n"/>
      <c r="JYF94" s="15" t="n"/>
      <c r="JYG94" s="248" t="n"/>
      <c r="JYH94" s="248" t="n"/>
      <c r="JYI94" s="240" t="n"/>
      <c r="JYJ94" s="240" t="n"/>
      <c r="JYL94" s="15" t="n"/>
      <c r="JYM94" s="15" t="n"/>
      <c r="JYN94" s="248" t="n"/>
      <c r="JYO94" s="248" t="n"/>
      <c r="JYP94" s="240" t="n"/>
      <c r="JYQ94" s="240" t="n"/>
      <c r="JYS94" s="15" t="n"/>
      <c r="JYT94" s="15" t="n"/>
      <c r="JYU94" s="248" t="n"/>
      <c r="JYV94" s="248" t="n"/>
      <c r="JYW94" s="240" t="n"/>
      <c r="JYX94" s="240" t="n"/>
      <c r="JYZ94" s="15" t="n"/>
      <c r="JZA94" s="15" t="n"/>
      <c r="JZB94" s="248" t="n"/>
      <c r="JZC94" s="248" t="n"/>
      <c r="JZD94" s="240" t="n"/>
      <c r="JZE94" s="240" t="n"/>
      <c r="JZG94" s="15" t="n"/>
      <c r="JZH94" s="15" t="n"/>
      <c r="JZI94" s="248" t="n"/>
      <c r="JZJ94" s="248" t="n"/>
      <c r="JZK94" s="240" t="n"/>
      <c r="JZL94" s="240" t="n"/>
      <c r="JZN94" s="15" t="n"/>
      <c r="JZO94" s="15" t="n"/>
      <c r="JZP94" s="248" t="n"/>
      <c r="JZQ94" s="248" t="n"/>
      <c r="JZR94" s="240" t="n"/>
      <c r="JZS94" s="240" t="n"/>
      <c r="JZU94" s="15" t="n"/>
      <c r="JZV94" s="15" t="n"/>
      <c r="JZW94" s="248" t="n"/>
      <c r="JZX94" s="248" t="n"/>
      <c r="JZY94" s="240" t="n"/>
      <c r="JZZ94" s="240" t="n"/>
      <c r="KAB94" s="15" t="n"/>
      <c r="KAC94" s="15" t="n"/>
      <c r="KAD94" s="248" t="n"/>
      <c r="KAE94" s="248" t="n"/>
      <c r="KAF94" s="240" t="n"/>
      <c r="KAG94" s="240" t="n"/>
      <c r="KAI94" s="15" t="n"/>
      <c r="KAJ94" s="15" t="n"/>
      <c r="KAK94" s="248" t="n"/>
      <c r="KAL94" s="248" t="n"/>
      <c r="KAM94" s="240" t="n"/>
      <c r="KAN94" s="240" t="n"/>
      <c r="KAP94" s="15" t="n"/>
      <c r="KAQ94" s="15" t="n"/>
      <c r="KAR94" s="248" t="n"/>
      <c r="KAS94" s="248" t="n"/>
      <c r="KAT94" s="240" t="n"/>
      <c r="KAU94" s="240" t="n"/>
      <c r="KAW94" s="15" t="n"/>
      <c r="KAX94" s="15" t="n"/>
      <c r="KAY94" s="248" t="n"/>
      <c r="KAZ94" s="248" t="n"/>
      <c r="KBA94" s="240" t="n"/>
      <c r="KBB94" s="240" t="n"/>
      <c r="KBD94" s="15" t="n"/>
      <c r="KBE94" s="15" t="n"/>
      <c r="KBF94" s="248" t="n"/>
      <c r="KBG94" s="248" t="n"/>
      <c r="KBH94" s="240" t="n"/>
      <c r="KBI94" s="240" t="n"/>
      <c r="KBK94" s="15" t="n"/>
      <c r="KBL94" s="15" t="n"/>
      <c r="KBM94" s="248" t="n"/>
      <c r="KBN94" s="248" t="n"/>
      <c r="KBO94" s="240" t="n"/>
      <c r="KBP94" s="240" t="n"/>
      <c r="KBR94" s="15" t="n"/>
      <c r="KBS94" s="15" t="n"/>
      <c r="KBT94" s="248" t="n"/>
      <c r="KBU94" s="248" t="n"/>
      <c r="KBV94" s="240" t="n"/>
      <c r="KBW94" s="240" t="n"/>
      <c r="KBY94" s="15" t="n"/>
      <c r="KBZ94" s="15" t="n"/>
      <c r="KCA94" s="248" t="n"/>
      <c r="KCB94" s="248" t="n"/>
      <c r="KCC94" s="240" t="n"/>
      <c r="KCD94" s="240" t="n"/>
      <c r="KCF94" s="15" t="n"/>
      <c r="KCG94" s="15" t="n"/>
      <c r="KCH94" s="248" t="n"/>
      <c r="KCI94" s="248" t="n"/>
      <c r="KCJ94" s="240" t="n"/>
      <c r="KCK94" s="240" t="n"/>
      <c r="KCM94" s="15" t="n"/>
      <c r="KCN94" s="15" t="n"/>
      <c r="KCO94" s="248" t="n"/>
      <c r="KCP94" s="248" t="n"/>
      <c r="KCQ94" s="240" t="n"/>
      <c r="KCR94" s="240" t="n"/>
      <c r="KCT94" s="15" t="n"/>
      <c r="KCU94" s="15" t="n"/>
      <c r="KCV94" s="248" t="n"/>
      <c r="KCW94" s="248" t="n"/>
      <c r="KCX94" s="240" t="n"/>
      <c r="KCY94" s="240" t="n"/>
      <c r="KDA94" s="15" t="n"/>
      <c r="KDB94" s="15" t="n"/>
      <c r="KDC94" s="248" t="n"/>
      <c r="KDD94" s="248" t="n"/>
      <c r="KDE94" s="240" t="n"/>
      <c r="KDF94" s="240" t="n"/>
      <c r="KDH94" s="15" t="n"/>
      <c r="KDI94" s="15" t="n"/>
      <c r="KDJ94" s="248" t="n"/>
      <c r="KDK94" s="248" t="n"/>
      <c r="KDL94" s="240" t="n"/>
      <c r="KDM94" s="240" t="n"/>
      <c r="KDO94" s="15" t="n"/>
      <c r="KDP94" s="15" t="n"/>
      <c r="KDQ94" s="248" t="n"/>
      <c r="KDR94" s="248" t="n"/>
      <c r="KDS94" s="240" t="n"/>
      <c r="KDT94" s="240" t="n"/>
      <c r="KDV94" s="15" t="n"/>
      <c r="KDW94" s="15" t="n"/>
      <c r="KDX94" s="248" t="n"/>
      <c r="KDY94" s="248" t="n"/>
      <c r="KDZ94" s="240" t="n"/>
      <c r="KEA94" s="240" t="n"/>
      <c r="KEC94" s="15" t="n"/>
      <c r="KED94" s="15" t="n"/>
      <c r="KEE94" s="248" t="n"/>
      <c r="KEF94" s="248" t="n"/>
      <c r="KEG94" s="240" t="n"/>
      <c r="KEH94" s="240" t="n"/>
      <c r="KEJ94" s="15" t="n"/>
      <c r="KEK94" s="15" t="n"/>
      <c r="KEL94" s="248" t="n"/>
      <c r="KEM94" s="248" t="n"/>
      <c r="KEN94" s="240" t="n"/>
      <c r="KEO94" s="240" t="n"/>
      <c r="KEQ94" s="15" t="n"/>
      <c r="KER94" s="15" t="n"/>
      <c r="KES94" s="248" t="n"/>
      <c r="KET94" s="248" t="n"/>
      <c r="KEU94" s="240" t="n"/>
      <c r="KEV94" s="240" t="n"/>
      <c r="KEX94" s="15" t="n"/>
      <c r="KEY94" s="15" t="n"/>
      <c r="KEZ94" s="248" t="n"/>
      <c r="KFA94" s="248" t="n"/>
      <c r="KFB94" s="240" t="n"/>
      <c r="KFC94" s="240" t="n"/>
      <c r="KFE94" s="15" t="n"/>
      <c r="KFF94" s="15" t="n"/>
      <c r="KFG94" s="248" t="n"/>
      <c r="KFH94" s="248" t="n"/>
      <c r="KFI94" s="240" t="n"/>
      <c r="KFJ94" s="240" t="n"/>
      <c r="KFL94" s="15" t="n"/>
      <c r="KFM94" s="15" t="n"/>
      <c r="KFN94" s="248" t="n"/>
      <c r="KFO94" s="248" t="n"/>
      <c r="KFP94" s="240" t="n"/>
      <c r="KFQ94" s="240" t="n"/>
      <c r="KFS94" s="15" t="n"/>
      <c r="KFT94" s="15" t="n"/>
      <c r="KFU94" s="248" t="n"/>
      <c r="KFV94" s="248" t="n"/>
      <c r="KFW94" s="240" t="n"/>
      <c r="KFX94" s="240" t="n"/>
      <c r="KFZ94" s="15" t="n"/>
      <c r="KGA94" s="15" t="n"/>
      <c r="KGB94" s="248" t="n"/>
      <c r="KGC94" s="248" t="n"/>
      <c r="KGD94" s="240" t="n"/>
      <c r="KGE94" s="240" t="n"/>
      <c r="KGG94" s="15" t="n"/>
      <c r="KGH94" s="15" t="n"/>
      <c r="KGI94" s="248" t="n"/>
      <c r="KGJ94" s="248" t="n"/>
      <c r="KGK94" s="240" t="n"/>
      <c r="KGL94" s="240" t="n"/>
      <c r="KGN94" s="15" t="n"/>
      <c r="KGO94" s="15" t="n"/>
      <c r="KGP94" s="248" t="n"/>
      <c r="KGQ94" s="248" t="n"/>
      <c r="KGR94" s="240" t="n"/>
      <c r="KGS94" s="240" t="n"/>
      <c r="KGU94" s="15" t="n"/>
      <c r="KGV94" s="15" t="n"/>
      <c r="KGW94" s="248" t="n"/>
      <c r="KGX94" s="248" t="n"/>
      <c r="KGY94" s="240" t="n"/>
      <c r="KGZ94" s="240" t="n"/>
      <c r="KHB94" s="15" t="n"/>
      <c r="KHC94" s="15" t="n"/>
      <c r="KHD94" s="248" t="n"/>
      <c r="KHE94" s="248" t="n"/>
      <c r="KHF94" s="240" t="n"/>
      <c r="KHG94" s="240" t="n"/>
      <c r="KHI94" s="15" t="n"/>
      <c r="KHJ94" s="15" t="n"/>
      <c r="KHK94" s="248" t="n"/>
      <c r="KHL94" s="248" t="n"/>
      <c r="KHM94" s="240" t="n"/>
      <c r="KHN94" s="240" t="n"/>
      <c r="KHP94" s="15" t="n"/>
      <c r="KHQ94" s="15" t="n"/>
      <c r="KHR94" s="248" t="n"/>
      <c r="KHS94" s="248" t="n"/>
      <c r="KHT94" s="240" t="n"/>
      <c r="KHU94" s="240" t="n"/>
      <c r="KHW94" s="15" t="n"/>
      <c r="KHX94" s="15" t="n"/>
      <c r="KHY94" s="248" t="n"/>
      <c r="KHZ94" s="248" t="n"/>
      <c r="KIA94" s="240" t="n"/>
      <c r="KIB94" s="240" t="n"/>
      <c r="KID94" s="15" t="n"/>
      <c r="KIE94" s="15" t="n"/>
      <c r="KIF94" s="248" t="n"/>
      <c r="KIG94" s="248" t="n"/>
      <c r="KIH94" s="240" t="n"/>
      <c r="KII94" s="240" t="n"/>
      <c r="KIK94" s="15" t="n"/>
      <c r="KIL94" s="15" t="n"/>
      <c r="KIM94" s="248" t="n"/>
      <c r="KIN94" s="248" t="n"/>
      <c r="KIO94" s="240" t="n"/>
      <c r="KIP94" s="240" t="n"/>
      <c r="KIR94" s="15" t="n"/>
      <c r="KIS94" s="15" t="n"/>
      <c r="KIT94" s="248" t="n"/>
      <c r="KIU94" s="248" t="n"/>
      <c r="KIV94" s="240" t="n"/>
      <c r="KIW94" s="240" t="n"/>
      <c r="KIY94" s="15" t="n"/>
      <c r="KIZ94" s="15" t="n"/>
      <c r="KJA94" s="248" t="n"/>
      <c r="KJB94" s="248" t="n"/>
      <c r="KJC94" s="240" t="n"/>
      <c r="KJD94" s="240" t="n"/>
      <c r="KJF94" s="15" t="n"/>
      <c r="KJG94" s="15" t="n"/>
      <c r="KJH94" s="248" t="n"/>
      <c r="KJI94" s="248" t="n"/>
      <c r="KJJ94" s="240" t="n"/>
      <c r="KJK94" s="240" t="n"/>
      <c r="KJM94" s="15" t="n"/>
      <c r="KJN94" s="15" t="n"/>
      <c r="KJO94" s="248" t="n"/>
      <c r="KJP94" s="248" t="n"/>
      <c r="KJQ94" s="240" t="n"/>
      <c r="KJR94" s="240" t="n"/>
      <c r="KJT94" s="15" t="n"/>
      <c r="KJU94" s="15" t="n"/>
      <c r="KJV94" s="248" t="n"/>
      <c r="KJW94" s="248" t="n"/>
      <c r="KJX94" s="240" t="n"/>
      <c r="KJY94" s="240" t="n"/>
      <c r="KKA94" s="15" t="n"/>
      <c r="KKB94" s="15" t="n"/>
      <c r="KKC94" s="248" t="n"/>
      <c r="KKD94" s="248" t="n"/>
      <c r="KKE94" s="240" t="n"/>
      <c r="KKF94" s="240" t="n"/>
      <c r="KKH94" s="15" t="n"/>
      <c r="KKI94" s="15" t="n"/>
      <c r="KKJ94" s="248" t="n"/>
      <c r="KKK94" s="248" t="n"/>
      <c r="KKL94" s="240" t="n"/>
      <c r="KKM94" s="240" t="n"/>
      <c r="KKO94" s="15" t="n"/>
      <c r="KKP94" s="15" t="n"/>
      <c r="KKQ94" s="248" t="n"/>
      <c r="KKR94" s="248" t="n"/>
      <c r="KKS94" s="240" t="n"/>
      <c r="KKT94" s="240" t="n"/>
      <c r="KKV94" s="15" t="n"/>
      <c r="KKW94" s="15" t="n"/>
      <c r="KKX94" s="248" t="n"/>
      <c r="KKY94" s="248" t="n"/>
      <c r="KKZ94" s="240" t="n"/>
      <c r="KLA94" s="240" t="n"/>
      <c r="KLC94" s="15" t="n"/>
      <c r="KLD94" s="15" t="n"/>
      <c r="KLE94" s="248" t="n"/>
      <c r="KLF94" s="248" t="n"/>
      <c r="KLG94" s="240" t="n"/>
      <c r="KLH94" s="240" t="n"/>
      <c r="KLJ94" s="15" t="n"/>
      <c r="KLK94" s="15" t="n"/>
      <c r="KLL94" s="248" t="n"/>
      <c r="KLM94" s="248" t="n"/>
      <c r="KLN94" s="240" t="n"/>
      <c r="KLO94" s="240" t="n"/>
      <c r="KLQ94" s="15" t="n"/>
      <c r="KLR94" s="15" t="n"/>
      <c r="KLS94" s="248" t="n"/>
      <c r="KLT94" s="248" t="n"/>
      <c r="KLU94" s="240" t="n"/>
      <c r="KLV94" s="240" t="n"/>
      <c r="KLX94" s="15" t="n"/>
      <c r="KLY94" s="15" t="n"/>
      <c r="KLZ94" s="248" t="n"/>
      <c r="KMA94" s="248" t="n"/>
      <c r="KMB94" s="240" t="n"/>
      <c r="KMC94" s="240" t="n"/>
      <c r="KME94" s="15" t="n"/>
      <c r="KMF94" s="15" t="n"/>
      <c r="KMG94" s="248" t="n"/>
      <c r="KMH94" s="248" t="n"/>
      <c r="KMI94" s="240" t="n"/>
      <c r="KMJ94" s="240" t="n"/>
      <c r="KML94" s="15" t="n"/>
      <c r="KMM94" s="15" t="n"/>
      <c r="KMN94" s="248" t="n"/>
      <c r="KMO94" s="248" t="n"/>
      <c r="KMP94" s="240" t="n"/>
      <c r="KMQ94" s="240" t="n"/>
      <c r="KMS94" s="15" t="n"/>
      <c r="KMT94" s="15" t="n"/>
      <c r="KMU94" s="248" t="n"/>
      <c r="KMV94" s="248" t="n"/>
      <c r="KMW94" s="240" t="n"/>
      <c r="KMX94" s="240" t="n"/>
      <c r="KMZ94" s="15" t="n"/>
      <c r="KNA94" s="15" t="n"/>
      <c r="KNB94" s="248" t="n"/>
      <c r="KNC94" s="248" t="n"/>
      <c r="KND94" s="240" t="n"/>
      <c r="KNE94" s="240" t="n"/>
      <c r="KNG94" s="15" t="n"/>
      <c r="KNH94" s="15" t="n"/>
      <c r="KNI94" s="248" t="n"/>
      <c r="KNJ94" s="248" t="n"/>
      <c r="KNK94" s="240" t="n"/>
      <c r="KNL94" s="240" t="n"/>
      <c r="KNN94" s="15" t="n"/>
      <c r="KNO94" s="15" t="n"/>
      <c r="KNP94" s="248" t="n"/>
      <c r="KNQ94" s="248" t="n"/>
      <c r="KNR94" s="240" t="n"/>
      <c r="KNS94" s="240" t="n"/>
      <c r="KNU94" s="15" t="n"/>
      <c r="KNV94" s="15" t="n"/>
      <c r="KNW94" s="248" t="n"/>
      <c r="KNX94" s="248" t="n"/>
      <c r="KNY94" s="240" t="n"/>
      <c r="KNZ94" s="240" t="n"/>
      <c r="KOB94" s="15" t="n"/>
      <c r="KOC94" s="15" t="n"/>
      <c r="KOD94" s="248" t="n"/>
      <c r="KOE94" s="248" t="n"/>
      <c r="KOF94" s="240" t="n"/>
      <c r="KOG94" s="240" t="n"/>
      <c r="KOI94" s="15" t="n"/>
      <c r="KOJ94" s="15" t="n"/>
      <c r="KOK94" s="248" t="n"/>
      <c r="KOL94" s="248" t="n"/>
      <c r="KOM94" s="240" t="n"/>
      <c r="KON94" s="240" t="n"/>
      <c r="KOP94" s="15" t="n"/>
      <c r="KOQ94" s="15" t="n"/>
      <c r="KOR94" s="248" t="n"/>
      <c r="KOS94" s="248" t="n"/>
      <c r="KOT94" s="240" t="n"/>
      <c r="KOU94" s="240" t="n"/>
      <c r="KOW94" s="15" t="n"/>
      <c r="KOX94" s="15" t="n"/>
      <c r="KOY94" s="248" t="n"/>
      <c r="KOZ94" s="248" t="n"/>
      <c r="KPA94" s="240" t="n"/>
      <c r="KPB94" s="240" t="n"/>
      <c r="KPD94" s="15" t="n"/>
      <c r="KPE94" s="15" t="n"/>
      <c r="KPF94" s="248" t="n"/>
      <c r="KPG94" s="248" t="n"/>
      <c r="KPH94" s="240" t="n"/>
      <c r="KPI94" s="240" t="n"/>
      <c r="KPK94" s="15" t="n"/>
      <c r="KPL94" s="15" t="n"/>
      <c r="KPM94" s="248" t="n"/>
      <c r="KPN94" s="248" t="n"/>
      <c r="KPO94" s="240" t="n"/>
      <c r="KPP94" s="240" t="n"/>
      <c r="KPR94" s="15" t="n"/>
      <c r="KPS94" s="15" t="n"/>
      <c r="KPT94" s="248" t="n"/>
      <c r="KPU94" s="248" t="n"/>
      <c r="KPV94" s="240" t="n"/>
      <c r="KPW94" s="240" t="n"/>
      <c r="KPY94" s="15" t="n"/>
      <c r="KPZ94" s="15" t="n"/>
      <c r="KQA94" s="248" t="n"/>
      <c r="KQB94" s="248" t="n"/>
      <c r="KQC94" s="240" t="n"/>
      <c r="KQD94" s="240" t="n"/>
      <c r="KQF94" s="15" t="n"/>
      <c r="KQG94" s="15" t="n"/>
      <c r="KQH94" s="248" t="n"/>
      <c r="KQI94" s="248" t="n"/>
      <c r="KQJ94" s="240" t="n"/>
      <c r="KQK94" s="240" t="n"/>
      <c r="KQM94" s="15" t="n"/>
      <c r="KQN94" s="15" t="n"/>
      <c r="KQO94" s="248" t="n"/>
      <c r="KQP94" s="248" t="n"/>
      <c r="KQQ94" s="240" t="n"/>
      <c r="KQR94" s="240" t="n"/>
      <c r="KQT94" s="15" t="n"/>
      <c r="KQU94" s="15" t="n"/>
      <c r="KQV94" s="248" t="n"/>
      <c r="KQW94" s="248" t="n"/>
      <c r="KQX94" s="240" t="n"/>
      <c r="KQY94" s="240" t="n"/>
      <c r="KRA94" s="15" t="n"/>
      <c r="KRB94" s="15" t="n"/>
      <c r="KRC94" s="248" t="n"/>
      <c r="KRD94" s="248" t="n"/>
      <c r="KRE94" s="240" t="n"/>
      <c r="KRF94" s="240" t="n"/>
      <c r="KRH94" s="15" t="n"/>
      <c r="KRI94" s="15" t="n"/>
      <c r="KRJ94" s="248" t="n"/>
      <c r="KRK94" s="248" t="n"/>
      <c r="KRL94" s="240" t="n"/>
      <c r="KRM94" s="240" t="n"/>
      <c r="KRO94" s="15" t="n"/>
      <c r="KRP94" s="15" t="n"/>
      <c r="KRQ94" s="248" t="n"/>
      <c r="KRR94" s="248" t="n"/>
      <c r="KRS94" s="240" t="n"/>
      <c r="KRT94" s="240" t="n"/>
      <c r="KRV94" s="15" t="n"/>
      <c r="KRW94" s="15" t="n"/>
      <c r="KRX94" s="248" t="n"/>
      <c r="KRY94" s="248" t="n"/>
      <c r="KRZ94" s="240" t="n"/>
      <c r="KSA94" s="240" t="n"/>
      <c r="KSC94" s="15" t="n"/>
      <c r="KSD94" s="15" t="n"/>
      <c r="KSE94" s="248" t="n"/>
      <c r="KSF94" s="248" t="n"/>
      <c r="KSG94" s="240" t="n"/>
      <c r="KSH94" s="240" t="n"/>
      <c r="KSJ94" s="15" t="n"/>
      <c r="KSK94" s="15" t="n"/>
      <c r="KSL94" s="248" t="n"/>
      <c r="KSM94" s="248" t="n"/>
      <c r="KSN94" s="240" t="n"/>
      <c r="KSO94" s="240" t="n"/>
      <c r="KSQ94" s="15" t="n"/>
      <c r="KSR94" s="15" t="n"/>
      <c r="KSS94" s="248" t="n"/>
      <c r="KST94" s="248" t="n"/>
      <c r="KSU94" s="240" t="n"/>
      <c r="KSV94" s="240" t="n"/>
      <c r="KSX94" s="15" t="n"/>
      <c r="KSY94" s="15" t="n"/>
      <c r="KSZ94" s="248" t="n"/>
      <c r="KTA94" s="248" t="n"/>
      <c r="KTB94" s="240" t="n"/>
      <c r="KTC94" s="240" t="n"/>
      <c r="KTE94" s="15" t="n"/>
      <c r="KTF94" s="15" t="n"/>
      <c r="KTG94" s="248" t="n"/>
      <c r="KTH94" s="248" t="n"/>
      <c r="KTI94" s="240" t="n"/>
      <c r="KTJ94" s="240" t="n"/>
      <c r="KTL94" s="15" t="n"/>
      <c r="KTM94" s="15" t="n"/>
      <c r="KTN94" s="248" t="n"/>
      <c r="KTO94" s="248" t="n"/>
      <c r="KTP94" s="240" t="n"/>
      <c r="KTQ94" s="240" t="n"/>
      <c r="KTS94" s="15" t="n"/>
      <c r="KTT94" s="15" t="n"/>
      <c r="KTU94" s="248" t="n"/>
      <c r="KTV94" s="248" t="n"/>
      <c r="KTW94" s="240" t="n"/>
      <c r="KTX94" s="240" t="n"/>
      <c r="KTZ94" s="15" t="n"/>
      <c r="KUA94" s="15" t="n"/>
      <c r="KUB94" s="248" t="n"/>
      <c r="KUC94" s="248" t="n"/>
      <c r="KUD94" s="240" t="n"/>
      <c r="KUE94" s="240" t="n"/>
      <c r="KUG94" s="15" t="n"/>
      <c r="KUH94" s="15" t="n"/>
      <c r="KUI94" s="248" t="n"/>
      <c r="KUJ94" s="248" t="n"/>
      <c r="KUK94" s="240" t="n"/>
      <c r="KUL94" s="240" t="n"/>
      <c r="KUN94" s="15" t="n"/>
      <c r="KUO94" s="15" t="n"/>
      <c r="KUP94" s="248" t="n"/>
      <c r="KUQ94" s="248" t="n"/>
      <c r="KUR94" s="240" t="n"/>
      <c r="KUS94" s="240" t="n"/>
      <c r="KUU94" s="15" t="n"/>
      <c r="KUV94" s="15" t="n"/>
      <c r="KUW94" s="248" t="n"/>
      <c r="KUX94" s="248" t="n"/>
      <c r="KUY94" s="240" t="n"/>
      <c r="KUZ94" s="240" t="n"/>
      <c r="KVB94" s="15" t="n"/>
      <c r="KVC94" s="15" t="n"/>
      <c r="KVD94" s="248" t="n"/>
      <c r="KVE94" s="248" t="n"/>
      <c r="KVF94" s="240" t="n"/>
      <c r="KVG94" s="240" t="n"/>
      <c r="KVI94" s="15" t="n"/>
      <c r="KVJ94" s="15" t="n"/>
      <c r="KVK94" s="248" t="n"/>
      <c r="KVL94" s="248" t="n"/>
      <c r="KVM94" s="240" t="n"/>
      <c r="KVN94" s="240" t="n"/>
      <c r="KVP94" s="15" t="n"/>
      <c r="KVQ94" s="15" t="n"/>
      <c r="KVR94" s="248" t="n"/>
      <c r="KVS94" s="248" t="n"/>
      <c r="KVT94" s="240" t="n"/>
      <c r="KVU94" s="240" t="n"/>
      <c r="KVW94" s="15" t="n"/>
      <c r="KVX94" s="15" t="n"/>
      <c r="KVY94" s="248" t="n"/>
      <c r="KVZ94" s="248" t="n"/>
      <c r="KWA94" s="240" t="n"/>
      <c r="KWB94" s="240" t="n"/>
      <c r="KWD94" s="15" t="n"/>
      <c r="KWE94" s="15" t="n"/>
      <c r="KWF94" s="248" t="n"/>
      <c r="KWG94" s="248" t="n"/>
      <c r="KWH94" s="240" t="n"/>
      <c r="KWI94" s="240" t="n"/>
      <c r="KWK94" s="15" t="n"/>
      <c r="KWL94" s="15" t="n"/>
      <c r="KWM94" s="248" t="n"/>
      <c r="KWN94" s="248" t="n"/>
      <c r="KWO94" s="240" t="n"/>
      <c r="KWP94" s="240" t="n"/>
      <c r="KWR94" s="15" t="n"/>
      <c r="KWS94" s="15" t="n"/>
      <c r="KWT94" s="248" t="n"/>
      <c r="KWU94" s="248" t="n"/>
      <c r="KWV94" s="240" t="n"/>
      <c r="KWW94" s="240" t="n"/>
      <c r="KWY94" s="15" t="n"/>
      <c r="KWZ94" s="15" t="n"/>
      <c r="KXA94" s="248" t="n"/>
      <c r="KXB94" s="248" t="n"/>
      <c r="KXC94" s="240" t="n"/>
      <c r="KXD94" s="240" t="n"/>
      <c r="KXF94" s="15" t="n"/>
      <c r="KXG94" s="15" t="n"/>
      <c r="KXH94" s="248" t="n"/>
      <c r="KXI94" s="248" t="n"/>
      <c r="KXJ94" s="240" t="n"/>
      <c r="KXK94" s="240" t="n"/>
      <c r="KXM94" s="15" t="n"/>
      <c r="KXN94" s="15" t="n"/>
      <c r="KXO94" s="248" t="n"/>
      <c r="KXP94" s="248" t="n"/>
      <c r="KXQ94" s="240" t="n"/>
      <c r="KXR94" s="240" t="n"/>
      <c r="KXT94" s="15" t="n"/>
      <c r="KXU94" s="15" t="n"/>
      <c r="KXV94" s="248" t="n"/>
      <c r="KXW94" s="248" t="n"/>
      <c r="KXX94" s="240" t="n"/>
      <c r="KXY94" s="240" t="n"/>
      <c r="KYA94" s="15" t="n"/>
      <c r="KYB94" s="15" t="n"/>
      <c r="KYC94" s="248" t="n"/>
      <c r="KYD94" s="248" t="n"/>
      <c r="KYE94" s="240" t="n"/>
      <c r="KYF94" s="240" t="n"/>
      <c r="KYH94" s="15" t="n"/>
      <c r="KYI94" s="15" t="n"/>
      <c r="KYJ94" s="248" t="n"/>
      <c r="KYK94" s="248" t="n"/>
      <c r="KYL94" s="240" t="n"/>
      <c r="KYM94" s="240" t="n"/>
      <c r="KYO94" s="15" t="n"/>
      <c r="KYP94" s="15" t="n"/>
      <c r="KYQ94" s="248" t="n"/>
      <c r="KYR94" s="248" t="n"/>
      <c r="KYS94" s="240" t="n"/>
      <c r="KYT94" s="240" t="n"/>
      <c r="KYV94" s="15" t="n"/>
      <c r="KYW94" s="15" t="n"/>
      <c r="KYX94" s="248" t="n"/>
      <c r="KYY94" s="248" t="n"/>
      <c r="KYZ94" s="240" t="n"/>
      <c r="KZA94" s="240" t="n"/>
      <c r="KZC94" s="15" t="n"/>
      <c r="KZD94" s="15" t="n"/>
      <c r="KZE94" s="248" t="n"/>
      <c r="KZF94" s="248" t="n"/>
      <c r="KZG94" s="240" t="n"/>
      <c r="KZH94" s="240" t="n"/>
      <c r="KZJ94" s="15" t="n"/>
      <c r="KZK94" s="15" t="n"/>
      <c r="KZL94" s="248" t="n"/>
      <c r="KZM94" s="248" t="n"/>
      <c r="KZN94" s="240" t="n"/>
      <c r="KZO94" s="240" t="n"/>
      <c r="KZQ94" s="15" t="n"/>
      <c r="KZR94" s="15" t="n"/>
      <c r="KZS94" s="248" t="n"/>
      <c r="KZT94" s="248" t="n"/>
      <c r="KZU94" s="240" t="n"/>
      <c r="KZV94" s="240" t="n"/>
      <c r="KZX94" s="15" t="n"/>
      <c r="KZY94" s="15" t="n"/>
      <c r="KZZ94" s="248" t="n"/>
      <c r="LAA94" s="248" t="n"/>
      <c r="LAB94" s="240" t="n"/>
      <c r="LAC94" s="240" t="n"/>
      <c r="LAE94" s="15" t="n"/>
      <c r="LAF94" s="15" t="n"/>
      <c r="LAG94" s="248" t="n"/>
      <c r="LAH94" s="248" t="n"/>
      <c r="LAI94" s="240" t="n"/>
      <c r="LAJ94" s="240" t="n"/>
      <c r="LAL94" s="15" t="n"/>
      <c r="LAM94" s="15" t="n"/>
      <c r="LAN94" s="248" t="n"/>
      <c r="LAO94" s="248" t="n"/>
      <c r="LAP94" s="240" t="n"/>
      <c r="LAQ94" s="240" t="n"/>
      <c r="LAS94" s="15" t="n"/>
      <c r="LAT94" s="15" t="n"/>
      <c r="LAU94" s="248" t="n"/>
      <c r="LAV94" s="248" t="n"/>
      <c r="LAW94" s="240" t="n"/>
      <c r="LAX94" s="240" t="n"/>
      <c r="LAZ94" s="15" t="n"/>
      <c r="LBA94" s="15" t="n"/>
      <c r="LBB94" s="248" t="n"/>
      <c r="LBC94" s="248" t="n"/>
      <c r="LBD94" s="240" t="n"/>
      <c r="LBE94" s="240" t="n"/>
      <c r="LBG94" s="15" t="n"/>
      <c r="LBH94" s="15" t="n"/>
      <c r="LBI94" s="248" t="n"/>
      <c r="LBJ94" s="248" t="n"/>
      <c r="LBK94" s="240" t="n"/>
      <c r="LBL94" s="240" t="n"/>
      <c r="LBN94" s="15" t="n"/>
      <c r="LBO94" s="15" t="n"/>
      <c r="LBP94" s="248" t="n"/>
      <c r="LBQ94" s="248" t="n"/>
      <c r="LBR94" s="240" t="n"/>
      <c r="LBS94" s="240" t="n"/>
      <c r="LBU94" s="15" t="n"/>
      <c r="LBV94" s="15" t="n"/>
      <c r="LBW94" s="248" t="n"/>
      <c r="LBX94" s="248" t="n"/>
      <c r="LBY94" s="240" t="n"/>
      <c r="LBZ94" s="240" t="n"/>
      <c r="LCB94" s="15" t="n"/>
      <c r="LCC94" s="15" t="n"/>
      <c r="LCD94" s="248" t="n"/>
      <c r="LCE94" s="248" t="n"/>
      <c r="LCF94" s="240" t="n"/>
      <c r="LCG94" s="240" t="n"/>
      <c r="LCI94" s="15" t="n"/>
      <c r="LCJ94" s="15" t="n"/>
      <c r="LCK94" s="248" t="n"/>
      <c r="LCL94" s="248" t="n"/>
      <c r="LCM94" s="240" t="n"/>
      <c r="LCN94" s="240" t="n"/>
      <c r="LCP94" s="15" t="n"/>
      <c r="LCQ94" s="15" t="n"/>
      <c r="LCR94" s="248" t="n"/>
      <c r="LCS94" s="248" t="n"/>
      <c r="LCT94" s="240" t="n"/>
      <c r="LCU94" s="240" t="n"/>
      <c r="LCW94" s="15" t="n"/>
      <c r="LCX94" s="15" t="n"/>
      <c r="LCY94" s="248" t="n"/>
      <c r="LCZ94" s="248" t="n"/>
      <c r="LDA94" s="240" t="n"/>
      <c r="LDB94" s="240" t="n"/>
      <c r="LDD94" s="15" t="n"/>
      <c r="LDE94" s="15" t="n"/>
      <c r="LDF94" s="248" t="n"/>
      <c r="LDG94" s="248" t="n"/>
      <c r="LDH94" s="240" t="n"/>
      <c r="LDI94" s="240" t="n"/>
      <c r="LDK94" s="15" t="n"/>
      <c r="LDL94" s="15" t="n"/>
      <c r="LDM94" s="248" t="n"/>
      <c r="LDN94" s="248" t="n"/>
      <c r="LDO94" s="240" t="n"/>
      <c r="LDP94" s="240" t="n"/>
      <c r="LDR94" s="15" t="n"/>
      <c r="LDS94" s="15" t="n"/>
      <c r="LDT94" s="248" t="n"/>
      <c r="LDU94" s="248" t="n"/>
      <c r="LDV94" s="240" t="n"/>
      <c r="LDW94" s="240" t="n"/>
      <c r="LDY94" s="15" t="n"/>
      <c r="LDZ94" s="15" t="n"/>
      <c r="LEA94" s="248" t="n"/>
      <c r="LEB94" s="248" t="n"/>
      <c r="LEC94" s="240" t="n"/>
      <c r="LED94" s="240" t="n"/>
      <c r="LEF94" s="15" t="n"/>
      <c r="LEG94" s="15" t="n"/>
      <c r="LEH94" s="248" t="n"/>
      <c r="LEI94" s="248" t="n"/>
      <c r="LEJ94" s="240" t="n"/>
      <c r="LEK94" s="240" t="n"/>
      <c r="LEM94" s="15" t="n"/>
      <c r="LEN94" s="15" t="n"/>
      <c r="LEO94" s="248" t="n"/>
      <c r="LEP94" s="248" t="n"/>
      <c r="LEQ94" s="240" t="n"/>
      <c r="LER94" s="240" t="n"/>
      <c r="LET94" s="15" t="n"/>
      <c r="LEU94" s="15" t="n"/>
      <c r="LEV94" s="248" t="n"/>
      <c r="LEW94" s="248" t="n"/>
      <c r="LEX94" s="240" t="n"/>
      <c r="LEY94" s="240" t="n"/>
      <c r="LFA94" s="15" t="n"/>
      <c r="LFB94" s="15" t="n"/>
      <c r="LFC94" s="248" t="n"/>
      <c r="LFD94" s="248" t="n"/>
      <c r="LFE94" s="240" t="n"/>
      <c r="LFF94" s="240" t="n"/>
      <c r="LFH94" s="15" t="n"/>
      <c r="LFI94" s="15" t="n"/>
      <c r="LFJ94" s="248" t="n"/>
      <c r="LFK94" s="248" t="n"/>
      <c r="LFL94" s="240" t="n"/>
      <c r="LFM94" s="240" t="n"/>
      <c r="LFO94" s="15" t="n"/>
      <c r="LFP94" s="15" t="n"/>
      <c r="LFQ94" s="248" t="n"/>
      <c r="LFR94" s="248" t="n"/>
      <c r="LFS94" s="240" t="n"/>
      <c r="LFT94" s="240" t="n"/>
      <c r="LFV94" s="15" t="n"/>
      <c r="LFW94" s="15" t="n"/>
      <c r="LFX94" s="248" t="n"/>
      <c r="LFY94" s="248" t="n"/>
      <c r="LFZ94" s="240" t="n"/>
      <c r="LGA94" s="240" t="n"/>
      <c r="LGC94" s="15" t="n"/>
      <c r="LGD94" s="15" t="n"/>
      <c r="LGE94" s="248" t="n"/>
      <c r="LGF94" s="248" t="n"/>
      <c r="LGG94" s="240" t="n"/>
      <c r="LGH94" s="240" t="n"/>
      <c r="LGJ94" s="15" t="n"/>
      <c r="LGK94" s="15" t="n"/>
      <c r="LGL94" s="248" t="n"/>
      <c r="LGM94" s="248" t="n"/>
      <c r="LGN94" s="240" t="n"/>
      <c r="LGO94" s="240" t="n"/>
      <c r="LGQ94" s="15" t="n"/>
      <c r="LGR94" s="15" t="n"/>
      <c r="LGS94" s="248" t="n"/>
      <c r="LGT94" s="248" t="n"/>
      <c r="LGU94" s="240" t="n"/>
      <c r="LGV94" s="240" t="n"/>
      <c r="LGX94" s="15" t="n"/>
      <c r="LGY94" s="15" t="n"/>
      <c r="LGZ94" s="248" t="n"/>
      <c r="LHA94" s="248" t="n"/>
      <c r="LHB94" s="240" t="n"/>
      <c r="LHC94" s="240" t="n"/>
      <c r="LHE94" s="15" t="n"/>
      <c r="LHF94" s="15" t="n"/>
      <c r="LHG94" s="248" t="n"/>
      <c r="LHH94" s="248" t="n"/>
      <c r="LHI94" s="240" t="n"/>
      <c r="LHJ94" s="240" t="n"/>
      <c r="LHL94" s="15" t="n"/>
      <c r="LHM94" s="15" t="n"/>
      <c r="LHN94" s="248" t="n"/>
      <c r="LHO94" s="248" t="n"/>
      <c r="LHP94" s="240" t="n"/>
      <c r="LHQ94" s="240" t="n"/>
      <c r="LHS94" s="15" t="n"/>
      <c r="LHT94" s="15" t="n"/>
      <c r="LHU94" s="248" t="n"/>
      <c r="LHV94" s="248" t="n"/>
      <c r="LHW94" s="240" t="n"/>
      <c r="LHX94" s="240" t="n"/>
      <c r="LHZ94" s="15" t="n"/>
      <c r="LIA94" s="15" t="n"/>
      <c r="LIB94" s="248" t="n"/>
      <c r="LIC94" s="248" t="n"/>
      <c r="LID94" s="240" t="n"/>
      <c r="LIE94" s="240" t="n"/>
      <c r="LIG94" s="15" t="n"/>
      <c r="LIH94" s="15" t="n"/>
      <c r="LII94" s="248" t="n"/>
      <c r="LIJ94" s="248" t="n"/>
      <c r="LIK94" s="240" t="n"/>
      <c r="LIL94" s="240" t="n"/>
      <c r="LIN94" s="15" t="n"/>
      <c r="LIO94" s="15" t="n"/>
      <c r="LIP94" s="248" t="n"/>
      <c r="LIQ94" s="248" t="n"/>
      <c r="LIR94" s="240" t="n"/>
      <c r="LIS94" s="240" t="n"/>
      <c r="LIU94" s="15" t="n"/>
      <c r="LIV94" s="15" t="n"/>
      <c r="LIW94" s="248" t="n"/>
      <c r="LIX94" s="248" t="n"/>
      <c r="LIY94" s="240" t="n"/>
      <c r="LIZ94" s="240" t="n"/>
      <c r="LJB94" s="15" t="n"/>
      <c r="LJC94" s="15" t="n"/>
      <c r="LJD94" s="248" t="n"/>
      <c r="LJE94" s="248" t="n"/>
      <c r="LJF94" s="240" t="n"/>
      <c r="LJG94" s="240" t="n"/>
      <c r="LJI94" s="15" t="n"/>
      <c r="LJJ94" s="15" t="n"/>
      <c r="LJK94" s="248" t="n"/>
      <c r="LJL94" s="248" t="n"/>
      <c r="LJM94" s="240" t="n"/>
      <c r="LJN94" s="240" t="n"/>
      <c r="LJP94" s="15" t="n"/>
      <c r="LJQ94" s="15" t="n"/>
      <c r="LJR94" s="248" t="n"/>
      <c r="LJS94" s="248" t="n"/>
      <c r="LJT94" s="240" t="n"/>
      <c r="LJU94" s="240" t="n"/>
      <c r="LJW94" s="15" t="n"/>
      <c r="LJX94" s="15" t="n"/>
      <c r="LJY94" s="248" t="n"/>
      <c r="LJZ94" s="248" t="n"/>
      <c r="LKA94" s="240" t="n"/>
      <c r="LKB94" s="240" t="n"/>
      <c r="LKD94" s="15" t="n"/>
      <c r="LKE94" s="15" t="n"/>
      <c r="LKF94" s="248" t="n"/>
      <c r="LKG94" s="248" t="n"/>
      <c r="LKH94" s="240" t="n"/>
      <c r="LKI94" s="240" t="n"/>
      <c r="LKK94" s="15" t="n"/>
      <c r="LKL94" s="15" t="n"/>
      <c r="LKM94" s="248" t="n"/>
      <c r="LKN94" s="248" t="n"/>
      <c r="LKO94" s="240" t="n"/>
      <c r="LKP94" s="240" t="n"/>
      <c r="LKR94" s="15" t="n"/>
      <c r="LKS94" s="15" t="n"/>
      <c r="LKT94" s="248" t="n"/>
      <c r="LKU94" s="248" t="n"/>
      <c r="LKV94" s="240" t="n"/>
      <c r="LKW94" s="240" t="n"/>
      <c r="LKY94" s="15" t="n"/>
      <c r="LKZ94" s="15" t="n"/>
      <c r="LLA94" s="248" t="n"/>
      <c r="LLB94" s="248" t="n"/>
      <c r="LLC94" s="240" t="n"/>
      <c r="LLD94" s="240" t="n"/>
      <c r="LLF94" s="15" t="n"/>
      <c r="LLG94" s="15" t="n"/>
      <c r="LLH94" s="248" t="n"/>
      <c r="LLI94" s="248" t="n"/>
      <c r="LLJ94" s="240" t="n"/>
      <c r="LLK94" s="240" t="n"/>
      <c r="LLM94" s="15" t="n"/>
      <c r="LLN94" s="15" t="n"/>
      <c r="LLO94" s="248" t="n"/>
      <c r="LLP94" s="248" t="n"/>
      <c r="LLQ94" s="240" t="n"/>
      <c r="LLR94" s="240" t="n"/>
      <c r="LLT94" s="15" t="n"/>
      <c r="LLU94" s="15" t="n"/>
      <c r="LLV94" s="248" t="n"/>
      <c r="LLW94" s="248" t="n"/>
      <c r="LLX94" s="240" t="n"/>
      <c r="LLY94" s="240" t="n"/>
      <c r="LMA94" s="15" t="n"/>
      <c r="LMB94" s="15" t="n"/>
      <c r="LMC94" s="248" t="n"/>
      <c r="LMD94" s="248" t="n"/>
      <c r="LME94" s="240" t="n"/>
      <c r="LMF94" s="240" t="n"/>
      <c r="LMH94" s="15" t="n"/>
      <c r="LMI94" s="15" t="n"/>
      <c r="LMJ94" s="248" t="n"/>
      <c r="LMK94" s="248" t="n"/>
      <c r="LML94" s="240" t="n"/>
      <c r="LMM94" s="240" t="n"/>
      <c r="LMO94" s="15" t="n"/>
      <c r="LMP94" s="15" t="n"/>
      <c r="LMQ94" s="248" t="n"/>
      <c r="LMR94" s="248" t="n"/>
      <c r="LMS94" s="240" t="n"/>
      <c r="LMT94" s="240" t="n"/>
      <c r="LMV94" s="15" t="n"/>
      <c r="LMW94" s="15" t="n"/>
      <c r="LMX94" s="248" t="n"/>
      <c r="LMY94" s="248" t="n"/>
      <c r="LMZ94" s="240" t="n"/>
      <c r="LNA94" s="240" t="n"/>
      <c r="LNC94" s="15" t="n"/>
      <c r="LND94" s="15" t="n"/>
      <c r="LNE94" s="248" t="n"/>
      <c r="LNF94" s="248" t="n"/>
      <c r="LNG94" s="240" t="n"/>
      <c r="LNH94" s="240" t="n"/>
      <c r="LNJ94" s="15" t="n"/>
      <c r="LNK94" s="15" t="n"/>
      <c r="LNL94" s="248" t="n"/>
      <c r="LNM94" s="248" t="n"/>
      <c r="LNN94" s="240" t="n"/>
      <c r="LNO94" s="240" t="n"/>
      <c r="LNQ94" s="15" t="n"/>
      <c r="LNR94" s="15" t="n"/>
      <c r="LNS94" s="248" t="n"/>
      <c r="LNT94" s="248" t="n"/>
      <c r="LNU94" s="240" t="n"/>
      <c r="LNV94" s="240" t="n"/>
      <c r="LNX94" s="15" t="n"/>
      <c r="LNY94" s="15" t="n"/>
      <c r="LNZ94" s="248" t="n"/>
      <c r="LOA94" s="248" t="n"/>
      <c r="LOB94" s="240" t="n"/>
      <c r="LOC94" s="240" t="n"/>
      <c r="LOE94" s="15" t="n"/>
      <c r="LOF94" s="15" t="n"/>
      <c r="LOG94" s="248" t="n"/>
      <c r="LOH94" s="248" t="n"/>
      <c r="LOI94" s="240" t="n"/>
      <c r="LOJ94" s="240" t="n"/>
      <c r="LOL94" s="15" t="n"/>
      <c r="LOM94" s="15" t="n"/>
      <c r="LON94" s="248" t="n"/>
      <c r="LOO94" s="248" t="n"/>
      <c r="LOP94" s="240" t="n"/>
      <c r="LOQ94" s="240" t="n"/>
      <c r="LOS94" s="15" t="n"/>
      <c r="LOT94" s="15" t="n"/>
      <c r="LOU94" s="248" t="n"/>
      <c r="LOV94" s="248" t="n"/>
      <c r="LOW94" s="240" t="n"/>
      <c r="LOX94" s="240" t="n"/>
      <c r="LOZ94" s="15" t="n"/>
      <c r="LPA94" s="15" t="n"/>
      <c r="LPB94" s="248" t="n"/>
      <c r="LPC94" s="248" t="n"/>
      <c r="LPD94" s="240" t="n"/>
      <c r="LPE94" s="240" t="n"/>
      <c r="LPG94" s="15" t="n"/>
      <c r="LPH94" s="15" t="n"/>
      <c r="LPI94" s="248" t="n"/>
      <c r="LPJ94" s="248" t="n"/>
      <c r="LPK94" s="240" t="n"/>
      <c r="LPL94" s="240" t="n"/>
      <c r="LPN94" s="15" t="n"/>
      <c r="LPO94" s="15" t="n"/>
      <c r="LPP94" s="248" t="n"/>
      <c r="LPQ94" s="248" t="n"/>
      <c r="LPR94" s="240" t="n"/>
      <c r="LPS94" s="240" t="n"/>
      <c r="LPU94" s="15" t="n"/>
      <c r="LPV94" s="15" t="n"/>
      <c r="LPW94" s="248" t="n"/>
      <c r="LPX94" s="248" t="n"/>
      <c r="LPY94" s="240" t="n"/>
      <c r="LPZ94" s="240" t="n"/>
      <c r="LQB94" s="15" t="n"/>
      <c r="LQC94" s="15" t="n"/>
      <c r="LQD94" s="248" t="n"/>
      <c r="LQE94" s="248" t="n"/>
      <c r="LQF94" s="240" t="n"/>
      <c r="LQG94" s="240" t="n"/>
      <c r="LQI94" s="15" t="n"/>
      <c r="LQJ94" s="15" t="n"/>
      <c r="LQK94" s="248" t="n"/>
      <c r="LQL94" s="248" t="n"/>
      <c r="LQM94" s="240" t="n"/>
      <c r="LQN94" s="240" t="n"/>
      <c r="LQP94" s="15" t="n"/>
      <c r="LQQ94" s="15" t="n"/>
      <c r="LQR94" s="248" t="n"/>
      <c r="LQS94" s="248" t="n"/>
      <c r="LQT94" s="240" t="n"/>
      <c r="LQU94" s="240" t="n"/>
      <c r="LQW94" s="15" t="n"/>
      <c r="LQX94" s="15" t="n"/>
      <c r="LQY94" s="248" t="n"/>
      <c r="LQZ94" s="248" t="n"/>
      <c r="LRA94" s="240" t="n"/>
      <c r="LRB94" s="240" t="n"/>
      <c r="LRD94" s="15" t="n"/>
      <c r="LRE94" s="15" t="n"/>
      <c r="LRF94" s="248" t="n"/>
      <c r="LRG94" s="248" t="n"/>
      <c r="LRH94" s="240" t="n"/>
      <c r="LRI94" s="240" t="n"/>
      <c r="LRK94" s="15" t="n"/>
      <c r="LRL94" s="15" t="n"/>
      <c r="LRM94" s="248" t="n"/>
      <c r="LRN94" s="248" t="n"/>
      <c r="LRO94" s="240" t="n"/>
      <c r="LRP94" s="240" t="n"/>
      <c r="LRR94" s="15" t="n"/>
      <c r="LRS94" s="15" t="n"/>
      <c r="LRT94" s="248" t="n"/>
      <c r="LRU94" s="248" t="n"/>
      <c r="LRV94" s="240" t="n"/>
      <c r="LRW94" s="240" t="n"/>
      <c r="LRY94" s="15" t="n"/>
      <c r="LRZ94" s="15" t="n"/>
      <c r="LSA94" s="248" t="n"/>
      <c r="LSB94" s="248" t="n"/>
      <c r="LSC94" s="240" t="n"/>
      <c r="LSD94" s="240" t="n"/>
      <c r="LSF94" s="15" t="n"/>
      <c r="LSG94" s="15" t="n"/>
      <c r="LSH94" s="248" t="n"/>
      <c r="LSI94" s="248" t="n"/>
      <c r="LSJ94" s="240" t="n"/>
      <c r="LSK94" s="240" t="n"/>
      <c r="LSM94" s="15" t="n"/>
      <c r="LSN94" s="15" t="n"/>
      <c r="LSO94" s="248" t="n"/>
      <c r="LSP94" s="248" t="n"/>
      <c r="LSQ94" s="240" t="n"/>
      <c r="LSR94" s="240" t="n"/>
      <c r="LST94" s="15" t="n"/>
      <c r="LSU94" s="15" t="n"/>
      <c r="LSV94" s="248" t="n"/>
      <c r="LSW94" s="248" t="n"/>
      <c r="LSX94" s="240" t="n"/>
      <c r="LSY94" s="240" t="n"/>
      <c r="LTA94" s="15" t="n"/>
      <c r="LTB94" s="15" t="n"/>
      <c r="LTC94" s="248" t="n"/>
      <c r="LTD94" s="248" t="n"/>
      <c r="LTE94" s="240" t="n"/>
      <c r="LTF94" s="240" t="n"/>
      <c r="LTH94" s="15" t="n"/>
      <c r="LTI94" s="15" t="n"/>
      <c r="LTJ94" s="248" t="n"/>
      <c r="LTK94" s="248" t="n"/>
      <c r="LTL94" s="240" t="n"/>
      <c r="LTM94" s="240" t="n"/>
      <c r="LTO94" s="15" t="n"/>
      <c r="LTP94" s="15" t="n"/>
      <c r="LTQ94" s="248" t="n"/>
      <c r="LTR94" s="248" t="n"/>
      <c r="LTS94" s="240" t="n"/>
      <c r="LTT94" s="240" t="n"/>
      <c r="LTV94" s="15" t="n"/>
      <c r="LTW94" s="15" t="n"/>
      <c r="LTX94" s="248" t="n"/>
      <c r="LTY94" s="248" t="n"/>
      <c r="LTZ94" s="240" t="n"/>
      <c r="LUA94" s="240" t="n"/>
      <c r="LUC94" s="15" t="n"/>
      <c r="LUD94" s="15" t="n"/>
      <c r="LUE94" s="248" t="n"/>
      <c r="LUF94" s="248" t="n"/>
      <c r="LUG94" s="240" t="n"/>
      <c r="LUH94" s="240" t="n"/>
      <c r="LUJ94" s="15" t="n"/>
      <c r="LUK94" s="15" t="n"/>
      <c r="LUL94" s="248" t="n"/>
      <c r="LUM94" s="248" t="n"/>
      <c r="LUN94" s="240" t="n"/>
      <c r="LUO94" s="240" t="n"/>
      <c r="LUQ94" s="15" t="n"/>
      <c r="LUR94" s="15" t="n"/>
      <c r="LUS94" s="248" t="n"/>
      <c r="LUT94" s="248" t="n"/>
      <c r="LUU94" s="240" t="n"/>
      <c r="LUV94" s="240" t="n"/>
      <c r="LUX94" s="15" t="n"/>
      <c r="LUY94" s="15" t="n"/>
      <c r="LUZ94" s="248" t="n"/>
      <c r="LVA94" s="248" t="n"/>
      <c r="LVB94" s="240" t="n"/>
      <c r="LVC94" s="240" t="n"/>
      <c r="LVE94" s="15" t="n"/>
      <c r="LVF94" s="15" t="n"/>
      <c r="LVG94" s="248" t="n"/>
      <c r="LVH94" s="248" t="n"/>
      <c r="LVI94" s="240" t="n"/>
      <c r="LVJ94" s="240" t="n"/>
      <c r="LVL94" s="15" t="n"/>
      <c r="LVM94" s="15" t="n"/>
      <c r="LVN94" s="248" t="n"/>
      <c r="LVO94" s="248" t="n"/>
      <c r="LVP94" s="240" t="n"/>
      <c r="LVQ94" s="240" t="n"/>
      <c r="LVS94" s="15" t="n"/>
      <c r="LVT94" s="15" t="n"/>
      <c r="LVU94" s="248" t="n"/>
      <c r="LVV94" s="248" t="n"/>
      <c r="LVW94" s="240" t="n"/>
      <c r="LVX94" s="240" t="n"/>
      <c r="LVZ94" s="15" t="n"/>
      <c r="LWA94" s="15" t="n"/>
      <c r="LWB94" s="248" t="n"/>
      <c r="LWC94" s="248" t="n"/>
      <c r="LWD94" s="240" t="n"/>
      <c r="LWE94" s="240" t="n"/>
      <c r="LWG94" s="15" t="n"/>
      <c r="LWH94" s="15" t="n"/>
      <c r="LWI94" s="248" t="n"/>
      <c r="LWJ94" s="248" t="n"/>
      <c r="LWK94" s="240" t="n"/>
      <c r="LWL94" s="240" t="n"/>
      <c r="LWN94" s="15" t="n"/>
      <c r="LWO94" s="15" t="n"/>
      <c r="LWP94" s="248" t="n"/>
      <c r="LWQ94" s="248" t="n"/>
      <c r="LWR94" s="240" t="n"/>
      <c r="LWS94" s="240" t="n"/>
      <c r="LWU94" s="15" t="n"/>
      <c r="LWV94" s="15" t="n"/>
      <c r="LWW94" s="248" t="n"/>
      <c r="LWX94" s="248" t="n"/>
      <c r="LWY94" s="240" t="n"/>
      <c r="LWZ94" s="240" t="n"/>
      <c r="LXB94" s="15" t="n"/>
      <c r="LXC94" s="15" t="n"/>
      <c r="LXD94" s="248" t="n"/>
      <c r="LXE94" s="248" t="n"/>
      <c r="LXF94" s="240" t="n"/>
      <c r="LXG94" s="240" t="n"/>
      <c r="LXI94" s="15" t="n"/>
      <c r="LXJ94" s="15" t="n"/>
      <c r="LXK94" s="248" t="n"/>
      <c r="LXL94" s="248" t="n"/>
      <c r="LXM94" s="240" t="n"/>
      <c r="LXN94" s="240" t="n"/>
      <c r="LXP94" s="15" t="n"/>
      <c r="LXQ94" s="15" t="n"/>
      <c r="LXR94" s="248" t="n"/>
      <c r="LXS94" s="248" t="n"/>
      <c r="LXT94" s="240" t="n"/>
      <c r="LXU94" s="240" t="n"/>
      <c r="LXW94" s="15" t="n"/>
      <c r="LXX94" s="15" t="n"/>
      <c r="LXY94" s="248" t="n"/>
      <c r="LXZ94" s="248" t="n"/>
      <c r="LYA94" s="240" t="n"/>
      <c r="LYB94" s="240" t="n"/>
      <c r="LYD94" s="15" t="n"/>
      <c r="LYE94" s="15" t="n"/>
      <c r="LYF94" s="248" t="n"/>
      <c r="LYG94" s="248" t="n"/>
      <c r="LYH94" s="240" t="n"/>
      <c r="LYI94" s="240" t="n"/>
      <c r="LYK94" s="15" t="n"/>
      <c r="LYL94" s="15" t="n"/>
      <c r="LYM94" s="248" t="n"/>
      <c r="LYN94" s="248" t="n"/>
      <c r="LYO94" s="240" t="n"/>
      <c r="LYP94" s="240" t="n"/>
      <c r="LYR94" s="15" t="n"/>
      <c r="LYS94" s="15" t="n"/>
      <c r="LYT94" s="248" t="n"/>
      <c r="LYU94" s="248" t="n"/>
      <c r="LYV94" s="240" t="n"/>
      <c r="LYW94" s="240" t="n"/>
      <c r="LYY94" s="15" t="n"/>
      <c r="LYZ94" s="15" t="n"/>
      <c r="LZA94" s="248" t="n"/>
      <c r="LZB94" s="248" t="n"/>
      <c r="LZC94" s="240" t="n"/>
      <c r="LZD94" s="240" t="n"/>
      <c r="LZF94" s="15" t="n"/>
      <c r="LZG94" s="15" t="n"/>
      <c r="LZH94" s="248" t="n"/>
      <c r="LZI94" s="248" t="n"/>
      <c r="LZJ94" s="240" t="n"/>
      <c r="LZK94" s="240" t="n"/>
      <c r="LZM94" s="15" t="n"/>
      <c r="LZN94" s="15" t="n"/>
      <c r="LZO94" s="248" t="n"/>
      <c r="LZP94" s="248" t="n"/>
      <c r="LZQ94" s="240" t="n"/>
      <c r="LZR94" s="240" t="n"/>
      <c r="LZT94" s="15" t="n"/>
      <c r="LZU94" s="15" t="n"/>
      <c r="LZV94" s="248" t="n"/>
      <c r="LZW94" s="248" t="n"/>
      <c r="LZX94" s="240" t="n"/>
      <c r="LZY94" s="240" t="n"/>
      <c r="MAA94" s="15" t="n"/>
      <c r="MAB94" s="15" t="n"/>
      <c r="MAC94" s="248" t="n"/>
      <c r="MAD94" s="248" t="n"/>
      <c r="MAE94" s="240" t="n"/>
      <c r="MAF94" s="240" t="n"/>
      <c r="MAH94" s="15" t="n"/>
      <c r="MAI94" s="15" t="n"/>
      <c r="MAJ94" s="248" t="n"/>
      <c r="MAK94" s="248" t="n"/>
      <c r="MAL94" s="240" t="n"/>
      <c r="MAM94" s="240" t="n"/>
      <c r="MAO94" s="15" t="n"/>
      <c r="MAP94" s="15" t="n"/>
      <c r="MAQ94" s="248" t="n"/>
      <c r="MAR94" s="248" t="n"/>
      <c r="MAS94" s="240" t="n"/>
      <c r="MAT94" s="240" t="n"/>
      <c r="MAV94" s="15" t="n"/>
      <c r="MAW94" s="15" t="n"/>
      <c r="MAX94" s="248" t="n"/>
      <c r="MAY94" s="248" t="n"/>
      <c r="MAZ94" s="240" t="n"/>
      <c r="MBA94" s="240" t="n"/>
      <c r="MBC94" s="15" t="n"/>
      <c r="MBD94" s="15" t="n"/>
      <c r="MBE94" s="248" t="n"/>
      <c r="MBF94" s="248" t="n"/>
      <c r="MBG94" s="240" t="n"/>
      <c r="MBH94" s="240" t="n"/>
      <c r="MBJ94" s="15" t="n"/>
      <c r="MBK94" s="15" t="n"/>
      <c r="MBL94" s="248" t="n"/>
      <c r="MBM94" s="248" t="n"/>
      <c r="MBN94" s="240" t="n"/>
      <c r="MBO94" s="240" t="n"/>
      <c r="MBQ94" s="15" t="n"/>
      <c r="MBR94" s="15" t="n"/>
      <c r="MBS94" s="248" t="n"/>
      <c r="MBT94" s="248" t="n"/>
      <c r="MBU94" s="240" t="n"/>
      <c r="MBV94" s="240" t="n"/>
      <c r="MBX94" s="15" t="n"/>
      <c r="MBY94" s="15" t="n"/>
      <c r="MBZ94" s="248" t="n"/>
      <c r="MCA94" s="248" t="n"/>
      <c r="MCB94" s="240" t="n"/>
      <c r="MCC94" s="240" t="n"/>
      <c r="MCE94" s="15" t="n"/>
      <c r="MCF94" s="15" t="n"/>
      <c r="MCG94" s="248" t="n"/>
      <c r="MCH94" s="248" t="n"/>
      <c r="MCI94" s="240" t="n"/>
      <c r="MCJ94" s="240" t="n"/>
      <c r="MCL94" s="15" t="n"/>
      <c r="MCM94" s="15" t="n"/>
      <c r="MCN94" s="248" t="n"/>
      <c r="MCO94" s="248" t="n"/>
      <c r="MCP94" s="240" t="n"/>
      <c r="MCQ94" s="240" t="n"/>
      <c r="MCS94" s="15" t="n"/>
      <c r="MCT94" s="15" t="n"/>
      <c r="MCU94" s="248" t="n"/>
      <c r="MCV94" s="248" t="n"/>
      <c r="MCW94" s="240" t="n"/>
      <c r="MCX94" s="240" t="n"/>
      <c r="MCZ94" s="15" t="n"/>
      <c r="MDA94" s="15" t="n"/>
      <c r="MDB94" s="248" t="n"/>
      <c r="MDC94" s="248" t="n"/>
      <c r="MDD94" s="240" t="n"/>
      <c r="MDE94" s="240" t="n"/>
      <c r="MDG94" s="15" t="n"/>
      <c r="MDH94" s="15" t="n"/>
      <c r="MDI94" s="248" t="n"/>
      <c r="MDJ94" s="248" t="n"/>
      <c r="MDK94" s="240" t="n"/>
      <c r="MDL94" s="240" t="n"/>
      <c r="MDN94" s="15" t="n"/>
      <c r="MDO94" s="15" t="n"/>
      <c r="MDP94" s="248" t="n"/>
      <c r="MDQ94" s="248" t="n"/>
      <c r="MDR94" s="240" t="n"/>
      <c r="MDS94" s="240" t="n"/>
      <c r="MDU94" s="15" t="n"/>
      <c r="MDV94" s="15" t="n"/>
      <c r="MDW94" s="248" t="n"/>
      <c r="MDX94" s="248" t="n"/>
      <c r="MDY94" s="240" t="n"/>
      <c r="MDZ94" s="240" t="n"/>
      <c r="MEB94" s="15" t="n"/>
      <c r="MEC94" s="15" t="n"/>
      <c r="MED94" s="248" t="n"/>
      <c r="MEE94" s="248" t="n"/>
      <c r="MEF94" s="240" t="n"/>
      <c r="MEG94" s="240" t="n"/>
      <c r="MEI94" s="15" t="n"/>
      <c r="MEJ94" s="15" t="n"/>
      <c r="MEK94" s="248" t="n"/>
      <c r="MEL94" s="248" t="n"/>
      <c r="MEM94" s="240" t="n"/>
      <c r="MEN94" s="240" t="n"/>
      <c r="MEP94" s="15" t="n"/>
      <c r="MEQ94" s="15" t="n"/>
      <c r="MER94" s="248" t="n"/>
      <c r="MES94" s="248" t="n"/>
      <c r="MET94" s="240" t="n"/>
      <c r="MEU94" s="240" t="n"/>
      <c r="MEW94" s="15" t="n"/>
      <c r="MEX94" s="15" t="n"/>
      <c r="MEY94" s="248" t="n"/>
      <c r="MEZ94" s="248" t="n"/>
      <c r="MFA94" s="240" t="n"/>
      <c r="MFB94" s="240" t="n"/>
      <c r="MFD94" s="15" t="n"/>
      <c r="MFE94" s="15" t="n"/>
      <c r="MFF94" s="248" t="n"/>
      <c r="MFG94" s="248" t="n"/>
      <c r="MFH94" s="240" t="n"/>
      <c r="MFI94" s="240" t="n"/>
      <c r="MFK94" s="15" t="n"/>
      <c r="MFL94" s="15" t="n"/>
      <c r="MFM94" s="248" t="n"/>
      <c r="MFN94" s="248" t="n"/>
      <c r="MFO94" s="240" t="n"/>
      <c r="MFP94" s="240" t="n"/>
      <c r="MFR94" s="15" t="n"/>
      <c r="MFS94" s="15" t="n"/>
      <c r="MFT94" s="248" t="n"/>
      <c r="MFU94" s="248" t="n"/>
      <c r="MFV94" s="240" t="n"/>
      <c r="MFW94" s="240" t="n"/>
      <c r="MFY94" s="15" t="n"/>
      <c r="MFZ94" s="15" t="n"/>
      <c r="MGA94" s="248" t="n"/>
      <c r="MGB94" s="248" t="n"/>
      <c r="MGC94" s="240" t="n"/>
      <c r="MGD94" s="240" t="n"/>
      <c r="MGF94" s="15" t="n"/>
      <c r="MGG94" s="15" t="n"/>
      <c r="MGH94" s="248" t="n"/>
      <c r="MGI94" s="248" t="n"/>
      <c r="MGJ94" s="240" t="n"/>
      <c r="MGK94" s="240" t="n"/>
      <c r="MGM94" s="15" t="n"/>
      <c r="MGN94" s="15" t="n"/>
      <c r="MGO94" s="248" t="n"/>
      <c r="MGP94" s="248" t="n"/>
      <c r="MGQ94" s="240" t="n"/>
      <c r="MGR94" s="240" t="n"/>
      <c r="MGT94" s="15" t="n"/>
      <c r="MGU94" s="15" t="n"/>
      <c r="MGV94" s="248" t="n"/>
      <c r="MGW94" s="248" t="n"/>
      <c r="MGX94" s="240" t="n"/>
      <c r="MGY94" s="240" t="n"/>
      <c r="MHA94" s="15" t="n"/>
      <c r="MHB94" s="15" t="n"/>
      <c r="MHC94" s="248" t="n"/>
      <c r="MHD94" s="248" t="n"/>
      <c r="MHE94" s="240" t="n"/>
      <c r="MHF94" s="240" t="n"/>
      <c r="MHH94" s="15" t="n"/>
      <c r="MHI94" s="15" t="n"/>
      <c r="MHJ94" s="248" t="n"/>
      <c r="MHK94" s="248" t="n"/>
      <c r="MHL94" s="240" t="n"/>
      <c r="MHM94" s="240" t="n"/>
      <c r="MHO94" s="15" t="n"/>
      <c r="MHP94" s="15" t="n"/>
      <c r="MHQ94" s="248" t="n"/>
      <c r="MHR94" s="248" t="n"/>
      <c r="MHS94" s="240" t="n"/>
      <c r="MHT94" s="240" t="n"/>
      <c r="MHV94" s="15" t="n"/>
      <c r="MHW94" s="15" t="n"/>
      <c r="MHX94" s="248" t="n"/>
      <c r="MHY94" s="248" t="n"/>
      <c r="MHZ94" s="240" t="n"/>
      <c r="MIA94" s="240" t="n"/>
      <c r="MIC94" s="15" t="n"/>
      <c r="MID94" s="15" t="n"/>
      <c r="MIE94" s="248" t="n"/>
      <c r="MIF94" s="248" t="n"/>
      <c r="MIG94" s="240" t="n"/>
      <c r="MIH94" s="240" t="n"/>
      <c r="MIJ94" s="15" t="n"/>
      <c r="MIK94" s="15" t="n"/>
      <c r="MIL94" s="248" t="n"/>
      <c r="MIM94" s="248" t="n"/>
      <c r="MIN94" s="240" t="n"/>
      <c r="MIO94" s="240" t="n"/>
      <c r="MIQ94" s="15" t="n"/>
      <c r="MIR94" s="15" t="n"/>
      <c r="MIS94" s="248" t="n"/>
      <c r="MIT94" s="248" t="n"/>
      <c r="MIU94" s="240" t="n"/>
      <c r="MIV94" s="240" t="n"/>
      <c r="MIX94" s="15" t="n"/>
      <c r="MIY94" s="15" t="n"/>
      <c r="MIZ94" s="248" t="n"/>
      <c r="MJA94" s="248" t="n"/>
      <c r="MJB94" s="240" t="n"/>
      <c r="MJC94" s="240" t="n"/>
      <c r="MJE94" s="15" t="n"/>
      <c r="MJF94" s="15" t="n"/>
      <c r="MJG94" s="248" t="n"/>
      <c r="MJH94" s="248" t="n"/>
      <c r="MJI94" s="240" t="n"/>
      <c r="MJJ94" s="240" t="n"/>
      <c r="MJL94" s="15" t="n"/>
      <c r="MJM94" s="15" t="n"/>
      <c r="MJN94" s="248" t="n"/>
      <c r="MJO94" s="248" t="n"/>
      <c r="MJP94" s="240" t="n"/>
      <c r="MJQ94" s="240" t="n"/>
      <c r="MJS94" s="15" t="n"/>
      <c r="MJT94" s="15" t="n"/>
      <c r="MJU94" s="248" t="n"/>
      <c r="MJV94" s="248" t="n"/>
      <c r="MJW94" s="240" t="n"/>
      <c r="MJX94" s="240" t="n"/>
      <c r="MJZ94" s="15" t="n"/>
      <c r="MKA94" s="15" t="n"/>
      <c r="MKB94" s="248" t="n"/>
      <c r="MKC94" s="248" t="n"/>
      <c r="MKD94" s="240" t="n"/>
      <c r="MKE94" s="240" t="n"/>
      <c r="MKG94" s="15" t="n"/>
      <c r="MKH94" s="15" t="n"/>
      <c r="MKI94" s="248" t="n"/>
      <c r="MKJ94" s="248" t="n"/>
      <c r="MKK94" s="240" t="n"/>
      <c r="MKL94" s="240" t="n"/>
      <c r="MKN94" s="15" t="n"/>
      <c r="MKO94" s="15" t="n"/>
      <c r="MKP94" s="248" t="n"/>
      <c r="MKQ94" s="248" t="n"/>
      <c r="MKR94" s="240" t="n"/>
      <c r="MKS94" s="240" t="n"/>
      <c r="MKU94" s="15" t="n"/>
      <c r="MKV94" s="15" t="n"/>
      <c r="MKW94" s="248" t="n"/>
      <c r="MKX94" s="248" t="n"/>
      <c r="MKY94" s="240" t="n"/>
      <c r="MKZ94" s="240" t="n"/>
      <c r="MLB94" s="15" t="n"/>
      <c r="MLC94" s="15" t="n"/>
      <c r="MLD94" s="248" t="n"/>
      <c r="MLE94" s="248" t="n"/>
      <c r="MLF94" s="240" t="n"/>
      <c r="MLG94" s="240" t="n"/>
      <c r="MLI94" s="15" t="n"/>
      <c r="MLJ94" s="15" t="n"/>
      <c r="MLK94" s="248" t="n"/>
      <c r="MLL94" s="248" t="n"/>
      <c r="MLM94" s="240" t="n"/>
      <c r="MLN94" s="240" t="n"/>
      <c r="MLP94" s="15" t="n"/>
      <c r="MLQ94" s="15" t="n"/>
      <c r="MLR94" s="248" t="n"/>
      <c r="MLS94" s="248" t="n"/>
      <c r="MLT94" s="240" t="n"/>
      <c r="MLU94" s="240" t="n"/>
      <c r="MLW94" s="15" t="n"/>
      <c r="MLX94" s="15" t="n"/>
      <c r="MLY94" s="248" t="n"/>
      <c r="MLZ94" s="248" t="n"/>
      <c r="MMA94" s="240" t="n"/>
      <c r="MMB94" s="240" t="n"/>
      <c r="MMD94" s="15" t="n"/>
      <c r="MME94" s="15" t="n"/>
      <c r="MMF94" s="248" t="n"/>
      <c r="MMG94" s="248" t="n"/>
      <c r="MMH94" s="240" t="n"/>
      <c r="MMI94" s="240" t="n"/>
      <c r="MMK94" s="15" t="n"/>
      <c r="MML94" s="15" t="n"/>
      <c r="MMM94" s="248" t="n"/>
      <c r="MMN94" s="248" t="n"/>
      <c r="MMO94" s="240" t="n"/>
      <c r="MMP94" s="240" t="n"/>
      <c r="MMR94" s="15" t="n"/>
      <c r="MMS94" s="15" t="n"/>
      <c r="MMT94" s="248" t="n"/>
      <c r="MMU94" s="248" t="n"/>
      <c r="MMV94" s="240" t="n"/>
      <c r="MMW94" s="240" t="n"/>
      <c r="MMY94" s="15" t="n"/>
      <c r="MMZ94" s="15" t="n"/>
      <c r="MNA94" s="248" t="n"/>
      <c r="MNB94" s="248" t="n"/>
      <c r="MNC94" s="240" t="n"/>
      <c r="MND94" s="240" t="n"/>
      <c r="MNF94" s="15" t="n"/>
      <c r="MNG94" s="15" t="n"/>
      <c r="MNH94" s="248" t="n"/>
      <c r="MNI94" s="248" t="n"/>
      <c r="MNJ94" s="240" t="n"/>
      <c r="MNK94" s="240" t="n"/>
      <c r="MNM94" s="15" t="n"/>
      <c r="MNN94" s="15" t="n"/>
      <c r="MNO94" s="248" t="n"/>
      <c r="MNP94" s="248" t="n"/>
      <c r="MNQ94" s="240" t="n"/>
      <c r="MNR94" s="240" t="n"/>
      <c r="MNT94" s="15" t="n"/>
      <c r="MNU94" s="15" t="n"/>
      <c r="MNV94" s="248" t="n"/>
      <c r="MNW94" s="248" t="n"/>
      <c r="MNX94" s="240" t="n"/>
      <c r="MNY94" s="240" t="n"/>
      <c r="MOA94" s="15" t="n"/>
      <c r="MOB94" s="15" t="n"/>
      <c r="MOC94" s="248" t="n"/>
      <c r="MOD94" s="248" t="n"/>
      <c r="MOE94" s="240" t="n"/>
      <c r="MOF94" s="240" t="n"/>
      <c r="MOH94" s="15" t="n"/>
      <c r="MOI94" s="15" t="n"/>
      <c r="MOJ94" s="248" t="n"/>
      <c r="MOK94" s="248" t="n"/>
      <c r="MOL94" s="240" t="n"/>
      <c r="MOM94" s="240" t="n"/>
      <c r="MOO94" s="15" t="n"/>
      <c r="MOP94" s="15" t="n"/>
      <c r="MOQ94" s="248" t="n"/>
      <c r="MOR94" s="248" t="n"/>
      <c r="MOS94" s="240" t="n"/>
      <c r="MOT94" s="240" t="n"/>
      <c r="MOV94" s="15" t="n"/>
      <c r="MOW94" s="15" t="n"/>
      <c r="MOX94" s="248" t="n"/>
      <c r="MOY94" s="248" t="n"/>
      <c r="MOZ94" s="240" t="n"/>
      <c r="MPA94" s="240" t="n"/>
      <c r="MPC94" s="15" t="n"/>
      <c r="MPD94" s="15" t="n"/>
      <c r="MPE94" s="248" t="n"/>
      <c r="MPF94" s="248" t="n"/>
      <c r="MPG94" s="240" t="n"/>
      <c r="MPH94" s="240" t="n"/>
      <c r="MPJ94" s="15" t="n"/>
      <c r="MPK94" s="15" t="n"/>
      <c r="MPL94" s="248" t="n"/>
      <c r="MPM94" s="248" t="n"/>
      <c r="MPN94" s="240" t="n"/>
      <c r="MPO94" s="240" t="n"/>
      <c r="MPQ94" s="15" t="n"/>
      <c r="MPR94" s="15" t="n"/>
      <c r="MPS94" s="248" t="n"/>
      <c r="MPT94" s="248" t="n"/>
      <c r="MPU94" s="240" t="n"/>
      <c r="MPV94" s="240" t="n"/>
      <c r="MPX94" s="15" t="n"/>
      <c r="MPY94" s="15" t="n"/>
      <c r="MPZ94" s="248" t="n"/>
      <c r="MQA94" s="248" t="n"/>
      <c r="MQB94" s="240" t="n"/>
      <c r="MQC94" s="240" t="n"/>
      <c r="MQE94" s="15" t="n"/>
      <c r="MQF94" s="15" t="n"/>
      <c r="MQG94" s="248" t="n"/>
      <c r="MQH94" s="248" t="n"/>
      <c r="MQI94" s="240" t="n"/>
      <c r="MQJ94" s="240" t="n"/>
      <c r="MQL94" s="15" t="n"/>
      <c r="MQM94" s="15" t="n"/>
      <c r="MQN94" s="248" t="n"/>
      <c r="MQO94" s="248" t="n"/>
      <c r="MQP94" s="240" t="n"/>
      <c r="MQQ94" s="240" t="n"/>
      <c r="MQS94" s="15" t="n"/>
      <c r="MQT94" s="15" t="n"/>
      <c r="MQU94" s="248" t="n"/>
      <c r="MQV94" s="248" t="n"/>
      <c r="MQW94" s="240" t="n"/>
      <c r="MQX94" s="240" t="n"/>
      <c r="MQZ94" s="15" t="n"/>
      <c r="MRA94" s="15" t="n"/>
      <c r="MRB94" s="248" t="n"/>
      <c r="MRC94" s="248" t="n"/>
      <c r="MRD94" s="240" t="n"/>
      <c r="MRE94" s="240" t="n"/>
      <c r="MRG94" s="15" t="n"/>
      <c r="MRH94" s="15" t="n"/>
      <c r="MRI94" s="248" t="n"/>
      <c r="MRJ94" s="248" t="n"/>
      <c r="MRK94" s="240" t="n"/>
      <c r="MRL94" s="240" t="n"/>
      <c r="MRN94" s="15" t="n"/>
      <c r="MRO94" s="15" t="n"/>
      <c r="MRP94" s="248" t="n"/>
      <c r="MRQ94" s="248" t="n"/>
      <c r="MRR94" s="240" t="n"/>
      <c r="MRS94" s="240" t="n"/>
      <c r="MRU94" s="15" t="n"/>
      <c r="MRV94" s="15" t="n"/>
      <c r="MRW94" s="248" t="n"/>
      <c r="MRX94" s="248" t="n"/>
      <c r="MRY94" s="240" t="n"/>
      <c r="MRZ94" s="240" t="n"/>
      <c r="MSB94" s="15" t="n"/>
      <c r="MSC94" s="15" t="n"/>
      <c r="MSD94" s="248" t="n"/>
      <c r="MSE94" s="248" t="n"/>
      <c r="MSF94" s="240" t="n"/>
      <c r="MSG94" s="240" t="n"/>
      <c r="MSI94" s="15" t="n"/>
      <c r="MSJ94" s="15" t="n"/>
      <c r="MSK94" s="248" t="n"/>
      <c r="MSL94" s="248" t="n"/>
      <c r="MSM94" s="240" t="n"/>
      <c r="MSN94" s="240" t="n"/>
      <c r="MSP94" s="15" t="n"/>
      <c r="MSQ94" s="15" t="n"/>
      <c r="MSR94" s="248" t="n"/>
      <c r="MSS94" s="248" t="n"/>
      <c r="MST94" s="240" t="n"/>
      <c r="MSU94" s="240" t="n"/>
      <c r="MSW94" s="15" t="n"/>
      <c r="MSX94" s="15" t="n"/>
      <c r="MSY94" s="248" t="n"/>
      <c r="MSZ94" s="248" t="n"/>
      <c r="MTA94" s="240" t="n"/>
      <c r="MTB94" s="240" t="n"/>
      <c r="MTD94" s="15" t="n"/>
      <c r="MTE94" s="15" t="n"/>
      <c r="MTF94" s="248" t="n"/>
      <c r="MTG94" s="248" t="n"/>
      <c r="MTH94" s="240" t="n"/>
      <c r="MTI94" s="240" t="n"/>
      <c r="MTK94" s="15" t="n"/>
      <c r="MTL94" s="15" t="n"/>
      <c r="MTM94" s="248" t="n"/>
      <c r="MTN94" s="248" t="n"/>
      <c r="MTO94" s="240" t="n"/>
      <c r="MTP94" s="240" t="n"/>
      <c r="MTR94" s="15" t="n"/>
      <c r="MTS94" s="15" t="n"/>
      <c r="MTT94" s="248" t="n"/>
      <c r="MTU94" s="248" t="n"/>
      <c r="MTV94" s="240" t="n"/>
      <c r="MTW94" s="240" t="n"/>
      <c r="MTY94" s="15" t="n"/>
      <c r="MTZ94" s="15" t="n"/>
      <c r="MUA94" s="248" t="n"/>
      <c r="MUB94" s="248" t="n"/>
      <c r="MUC94" s="240" t="n"/>
      <c r="MUD94" s="240" t="n"/>
      <c r="MUF94" s="15" t="n"/>
      <c r="MUG94" s="15" t="n"/>
      <c r="MUH94" s="248" t="n"/>
      <c r="MUI94" s="248" t="n"/>
      <c r="MUJ94" s="240" t="n"/>
      <c r="MUK94" s="240" t="n"/>
      <c r="MUM94" s="15" t="n"/>
      <c r="MUN94" s="15" t="n"/>
      <c r="MUO94" s="248" t="n"/>
      <c r="MUP94" s="248" t="n"/>
      <c r="MUQ94" s="240" t="n"/>
      <c r="MUR94" s="240" t="n"/>
      <c r="MUT94" s="15" t="n"/>
      <c r="MUU94" s="15" t="n"/>
      <c r="MUV94" s="248" t="n"/>
      <c r="MUW94" s="248" t="n"/>
      <c r="MUX94" s="240" t="n"/>
      <c r="MUY94" s="240" t="n"/>
      <c r="MVA94" s="15" t="n"/>
      <c r="MVB94" s="15" t="n"/>
      <c r="MVC94" s="248" t="n"/>
      <c r="MVD94" s="248" t="n"/>
      <c r="MVE94" s="240" t="n"/>
      <c r="MVF94" s="240" t="n"/>
      <c r="MVH94" s="15" t="n"/>
      <c r="MVI94" s="15" t="n"/>
      <c r="MVJ94" s="248" t="n"/>
      <c r="MVK94" s="248" t="n"/>
      <c r="MVL94" s="240" t="n"/>
      <c r="MVM94" s="240" t="n"/>
      <c r="MVO94" s="15" t="n"/>
      <c r="MVP94" s="15" t="n"/>
      <c r="MVQ94" s="248" t="n"/>
      <c r="MVR94" s="248" t="n"/>
      <c r="MVS94" s="240" t="n"/>
      <c r="MVT94" s="240" t="n"/>
      <c r="MVV94" s="15" t="n"/>
      <c r="MVW94" s="15" t="n"/>
      <c r="MVX94" s="248" t="n"/>
      <c r="MVY94" s="248" t="n"/>
      <c r="MVZ94" s="240" t="n"/>
      <c r="MWA94" s="240" t="n"/>
      <c r="MWC94" s="15" t="n"/>
      <c r="MWD94" s="15" t="n"/>
      <c r="MWE94" s="248" t="n"/>
      <c r="MWF94" s="248" t="n"/>
      <c r="MWG94" s="240" t="n"/>
      <c r="MWH94" s="240" t="n"/>
      <c r="MWJ94" s="15" t="n"/>
      <c r="MWK94" s="15" t="n"/>
      <c r="MWL94" s="248" t="n"/>
      <c r="MWM94" s="248" t="n"/>
      <c r="MWN94" s="240" t="n"/>
      <c r="MWO94" s="240" t="n"/>
      <c r="MWQ94" s="15" t="n"/>
      <c r="MWR94" s="15" t="n"/>
      <c r="MWS94" s="248" t="n"/>
      <c r="MWT94" s="248" t="n"/>
      <c r="MWU94" s="240" t="n"/>
      <c r="MWV94" s="240" t="n"/>
      <c r="MWX94" s="15" t="n"/>
      <c r="MWY94" s="15" t="n"/>
      <c r="MWZ94" s="248" t="n"/>
      <c r="MXA94" s="248" t="n"/>
      <c r="MXB94" s="240" t="n"/>
      <c r="MXC94" s="240" t="n"/>
      <c r="MXE94" s="15" t="n"/>
      <c r="MXF94" s="15" t="n"/>
      <c r="MXG94" s="248" t="n"/>
      <c r="MXH94" s="248" t="n"/>
      <c r="MXI94" s="240" t="n"/>
      <c r="MXJ94" s="240" t="n"/>
      <c r="MXL94" s="15" t="n"/>
      <c r="MXM94" s="15" t="n"/>
      <c r="MXN94" s="248" t="n"/>
      <c r="MXO94" s="248" t="n"/>
      <c r="MXP94" s="240" t="n"/>
      <c r="MXQ94" s="240" t="n"/>
      <c r="MXS94" s="15" t="n"/>
      <c r="MXT94" s="15" t="n"/>
      <c r="MXU94" s="248" t="n"/>
      <c r="MXV94" s="248" t="n"/>
      <c r="MXW94" s="240" t="n"/>
      <c r="MXX94" s="240" t="n"/>
      <c r="MXZ94" s="15" t="n"/>
      <c r="MYA94" s="15" t="n"/>
      <c r="MYB94" s="248" t="n"/>
      <c r="MYC94" s="248" t="n"/>
      <c r="MYD94" s="240" t="n"/>
      <c r="MYE94" s="240" t="n"/>
      <c r="MYG94" s="15" t="n"/>
      <c r="MYH94" s="15" t="n"/>
      <c r="MYI94" s="248" t="n"/>
      <c r="MYJ94" s="248" t="n"/>
      <c r="MYK94" s="240" t="n"/>
      <c r="MYL94" s="240" t="n"/>
      <c r="MYN94" s="15" t="n"/>
      <c r="MYO94" s="15" t="n"/>
      <c r="MYP94" s="248" t="n"/>
      <c r="MYQ94" s="248" t="n"/>
      <c r="MYR94" s="240" t="n"/>
      <c r="MYS94" s="240" t="n"/>
      <c r="MYU94" s="15" t="n"/>
      <c r="MYV94" s="15" t="n"/>
      <c r="MYW94" s="248" t="n"/>
      <c r="MYX94" s="248" t="n"/>
      <c r="MYY94" s="240" t="n"/>
      <c r="MYZ94" s="240" t="n"/>
      <c r="MZB94" s="15" t="n"/>
      <c r="MZC94" s="15" t="n"/>
      <c r="MZD94" s="248" t="n"/>
      <c r="MZE94" s="248" t="n"/>
      <c r="MZF94" s="240" t="n"/>
      <c r="MZG94" s="240" t="n"/>
      <c r="MZI94" s="15" t="n"/>
      <c r="MZJ94" s="15" t="n"/>
      <c r="MZK94" s="248" t="n"/>
      <c r="MZL94" s="248" t="n"/>
      <c r="MZM94" s="240" t="n"/>
      <c r="MZN94" s="240" t="n"/>
      <c r="MZP94" s="15" t="n"/>
      <c r="MZQ94" s="15" t="n"/>
      <c r="MZR94" s="248" t="n"/>
      <c r="MZS94" s="248" t="n"/>
      <c r="MZT94" s="240" t="n"/>
      <c r="MZU94" s="240" t="n"/>
      <c r="MZW94" s="15" t="n"/>
      <c r="MZX94" s="15" t="n"/>
      <c r="MZY94" s="248" t="n"/>
      <c r="MZZ94" s="248" t="n"/>
      <c r="NAA94" s="240" t="n"/>
      <c r="NAB94" s="240" t="n"/>
      <c r="NAD94" s="15" t="n"/>
      <c r="NAE94" s="15" t="n"/>
      <c r="NAF94" s="248" t="n"/>
      <c r="NAG94" s="248" t="n"/>
      <c r="NAH94" s="240" t="n"/>
      <c r="NAI94" s="240" t="n"/>
      <c r="NAK94" s="15" t="n"/>
      <c r="NAL94" s="15" t="n"/>
      <c r="NAM94" s="248" t="n"/>
      <c r="NAN94" s="248" t="n"/>
      <c r="NAO94" s="240" t="n"/>
      <c r="NAP94" s="240" t="n"/>
      <c r="NAR94" s="15" t="n"/>
      <c r="NAS94" s="15" t="n"/>
      <c r="NAT94" s="248" t="n"/>
      <c r="NAU94" s="248" t="n"/>
      <c r="NAV94" s="240" t="n"/>
      <c r="NAW94" s="240" t="n"/>
      <c r="NAY94" s="15" t="n"/>
      <c r="NAZ94" s="15" t="n"/>
      <c r="NBA94" s="248" t="n"/>
      <c r="NBB94" s="248" t="n"/>
      <c r="NBC94" s="240" t="n"/>
      <c r="NBD94" s="240" t="n"/>
      <c r="NBF94" s="15" t="n"/>
      <c r="NBG94" s="15" t="n"/>
      <c r="NBH94" s="248" t="n"/>
      <c r="NBI94" s="248" t="n"/>
      <c r="NBJ94" s="240" t="n"/>
      <c r="NBK94" s="240" t="n"/>
      <c r="NBM94" s="15" t="n"/>
      <c r="NBN94" s="15" t="n"/>
      <c r="NBO94" s="248" t="n"/>
      <c r="NBP94" s="248" t="n"/>
      <c r="NBQ94" s="240" t="n"/>
      <c r="NBR94" s="240" t="n"/>
      <c r="NBT94" s="15" t="n"/>
      <c r="NBU94" s="15" t="n"/>
      <c r="NBV94" s="248" t="n"/>
      <c r="NBW94" s="248" t="n"/>
      <c r="NBX94" s="240" t="n"/>
      <c r="NBY94" s="240" t="n"/>
      <c r="NCA94" s="15" t="n"/>
      <c r="NCB94" s="15" t="n"/>
      <c r="NCC94" s="248" t="n"/>
      <c r="NCD94" s="248" t="n"/>
      <c r="NCE94" s="240" t="n"/>
      <c r="NCF94" s="240" t="n"/>
      <c r="NCH94" s="15" t="n"/>
      <c r="NCI94" s="15" t="n"/>
      <c r="NCJ94" s="248" t="n"/>
      <c r="NCK94" s="248" t="n"/>
      <c r="NCL94" s="240" t="n"/>
      <c r="NCM94" s="240" t="n"/>
      <c r="NCO94" s="15" t="n"/>
      <c r="NCP94" s="15" t="n"/>
      <c r="NCQ94" s="248" t="n"/>
      <c r="NCR94" s="248" t="n"/>
      <c r="NCS94" s="240" t="n"/>
      <c r="NCT94" s="240" t="n"/>
      <c r="NCV94" s="15" t="n"/>
      <c r="NCW94" s="15" t="n"/>
      <c r="NCX94" s="248" t="n"/>
      <c r="NCY94" s="248" t="n"/>
      <c r="NCZ94" s="240" t="n"/>
      <c r="NDA94" s="240" t="n"/>
      <c r="NDC94" s="15" t="n"/>
      <c r="NDD94" s="15" t="n"/>
      <c r="NDE94" s="248" t="n"/>
      <c r="NDF94" s="248" t="n"/>
      <c r="NDG94" s="240" t="n"/>
      <c r="NDH94" s="240" t="n"/>
      <c r="NDJ94" s="15" t="n"/>
      <c r="NDK94" s="15" t="n"/>
      <c r="NDL94" s="248" t="n"/>
      <c r="NDM94" s="248" t="n"/>
      <c r="NDN94" s="240" t="n"/>
      <c r="NDO94" s="240" t="n"/>
      <c r="NDQ94" s="15" t="n"/>
      <c r="NDR94" s="15" t="n"/>
      <c r="NDS94" s="248" t="n"/>
      <c r="NDT94" s="248" t="n"/>
      <c r="NDU94" s="240" t="n"/>
      <c r="NDV94" s="240" t="n"/>
      <c r="NDX94" s="15" t="n"/>
      <c r="NDY94" s="15" t="n"/>
      <c r="NDZ94" s="248" t="n"/>
      <c r="NEA94" s="248" t="n"/>
      <c r="NEB94" s="240" t="n"/>
      <c r="NEC94" s="240" t="n"/>
      <c r="NEE94" s="15" t="n"/>
      <c r="NEF94" s="15" t="n"/>
      <c r="NEG94" s="248" t="n"/>
      <c r="NEH94" s="248" t="n"/>
      <c r="NEI94" s="240" t="n"/>
      <c r="NEJ94" s="240" t="n"/>
      <c r="NEL94" s="15" t="n"/>
      <c r="NEM94" s="15" t="n"/>
      <c r="NEN94" s="248" t="n"/>
      <c r="NEO94" s="248" t="n"/>
      <c r="NEP94" s="240" t="n"/>
      <c r="NEQ94" s="240" t="n"/>
      <c r="NES94" s="15" t="n"/>
      <c r="NET94" s="15" t="n"/>
      <c r="NEU94" s="248" t="n"/>
      <c r="NEV94" s="248" t="n"/>
      <c r="NEW94" s="240" t="n"/>
      <c r="NEX94" s="240" t="n"/>
      <c r="NEZ94" s="15" t="n"/>
      <c r="NFA94" s="15" t="n"/>
      <c r="NFB94" s="248" t="n"/>
      <c r="NFC94" s="248" t="n"/>
      <c r="NFD94" s="240" t="n"/>
      <c r="NFE94" s="240" t="n"/>
      <c r="NFG94" s="15" t="n"/>
      <c r="NFH94" s="15" t="n"/>
      <c r="NFI94" s="248" t="n"/>
      <c r="NFJ94" s="248" t="n"/>
      <c r="NFK94" s="240" t="n"/>
      <c r="NFL94" s="240" t="n"/>
      <c r="NFN94" s="15" t="n"/>
      <c r="NFO94" s="15" t="n"/>
      <c r="NFP94" s="248" t="n"/>
      <c r="NFQ94" s="248" t="n"/>
      <c r="NFR94" s="240" t="n"/>
      <c r="NFS94" s="240" t="n"/>
      <c r="NFU94" s="15" t="n"/>
      <c r="NFV94" s="15" t="n"/>
      <c r="NFW94" s="248" t="n"/>
      <c r="NFX94" s="248" t="n"/>
      <c r="NFY94" s="240" t="n"/>
      <c r="NFZ94" s="240" t="n"/>
      <c r="NGB94" s="15" t="n"/>
      <c r="NGC94" s="15" t="n"/>
      <c r="NGD94" s="248" t="n"/>
      <c r="NGE94" s="248" t="n"/>
      <c r="NGF94" s="240" t="n"/>
      <c r="NGG94" s="240" t="n"/>
      <c r="NGI94" s="15" t="n"/>
      <c r="NGJ94" s="15" t="n"/>
      <c r="NGK94" s="248" t="n"/>
      <c r="NGL94" s="248" t="n"/>
      <c r="NGM94" s="240" t="n"/>
      <c r="NGN94" s="240" t="n"/>
      <c r="NGP94" s="15" t="n"/>
      <c r="NGQ94" s="15" t="n"/>
      <c r="NGR94" s="248" t="n"/>
      <c r="NGS94" s="248" t="n"/>
      <c r="NGT94" s="240" t="n"/>
      <c r="NGU94" s="240" t="n"/>
      <c r="NGW94" s="15" t="n"/>
      <c r="NGX94" s="15" t="n"/>
      <c r="NGY94" s="248" t="n"/>
      <c r="NGZ94" s="248" t="n"/>
      <c r="NHA94" s="240" t="n"/>
      <c r="NHB94" s="240" t="n"/>
      <c r="NHD94" s="15" t="n"/>
      <c r="NHE94" s="15" t="n"/>
      <c r="NHF94" s="248" t="n"/>
      <c r="NHG94" s="248" t="n"/>
      <c r="NHH94" s="240" t="n"/>
      <c r="NHI94" s="240" t="n"/>
      <c r="NHK94" s="15" t="n"/>
      <c r="NHL94" s="15" t="n"/>
      <c r="NHM94" s="248" t="n"/>
      <c r="NHN94" s="248" t="n"/>
      <c r="NHO94" s="240" t="n"/>
      <c r="NHP94" s="240" t="n"/>
      <c r="NHR94" s="15" t="n"/>
      <c r="NHS94" s="15" t="n"/>
      <c r="NHT94" s="248" t="n"/>
      <c r="NHU94" s="248" t="n"/>
      <c r="NHV94" s="240" t="n"/>
      <c r="NHW94" s="240" t="n"/>
      <c r="NHY94" s="15" t="n"/>
      <c r="NHZ94" s="15" t="n"/>
      <c r="NIA94" s="248" t="n"/>
      <c r="NIB94" s="248" t="n"/>
      <c r="NIC94" s="240" t="n"/>
      <c r="NID94" s="240" t="n"/>
      <c r="NIF94" s="15" t="n"/>
      <c r="NIG94" s="15" t="n"/>
      <c r="NIH94" s="248" t="n"/>
      <c r="NII94" s="248" t="n"/>
      <c r="NIJ94" s="240" t="n"/>
      <c r="NIK94" s="240" t="n"/>
      <c r="NIM94" s="15" t="n"/>
      <c r="NIN94" s="15" t="n"/>
      <c r="NIO94" s="248" t="n"/>
      <c r="NIP94" s="248" t="n"/>
      <c r="NIQ94" s="240" t="n"/>
      <c r="NIR94" s="240" t="n"/>
      <c r="NIT94" s="15" t="n"/>
      <c r="NIU94" s="15" t="n"/>
      <c r="NIV94" s="248" t="n"/>
      <c r="NIW94" s="248" t="n"/>
      <c r="NIX94" s="240" t="n"/>
      <c r="NIY94" s="240" t="n"/>
      <c r="NJA94" s="15" t="n"/>
      <c r="NJB94" s="15" t="n"/>
      <c r="NJC94" s="248" t="n"/>
      <c r="NJD94" s="248" t="n"/>
      <c r="NJE94" s="240" t="n"/>
      <c r="NJF94" s="240" t="n"/>
      <c r="NJH94" s="15" t="n"/>
      <c r="NJI94" s="15" t="n"/>
      <c r="NJJ94" s="248" t="n"/>
      <c r="NJK94" s="248" t="n"/>
      <c r="NJL94" s="240" t="n"/>
      <c r="NJM94" s="240" t="n"/>
      <c r="NJO94" s="15" t="n"/>
      <c r="NJP94" s="15" t="n"/>
      <c r="NJQ94" s="248" t="n"/>
      <c r="NJR94" s="248" t="n"/>
      <c r="NJS94" s="240" t="n"/>
      <c r="NJT94" s="240" t="n"/>
      <c r="NJV94" s="15" t="n"/>
      <c r="NJW94" s="15" t="n"/>
      <c r="NJX94" s="248" t="n"/>
      <c r="NJY94" s="248" t="n"/>
      <c r="NJZ94" s="240" t="n"/>
      <c r="NKA94" s="240" t="n"/>
      <c r="NKC94" s="15" t="n"/>
      <c r="NKD94" s="15" t="n"/>
      <c r="NKE94" s="248" t="n"/>
      <c r="NKF94" s="248" t="n"/>
      <c r="NKG94" s="240" t="n"/>
      <c r="NKH94" s="240" t="n"/>
      <c r="NKJ94" s="15" t="n"/>
      <c r="NKK94" s="15" t="n"/>
      <c r="NKL94" s="248" t="n"/>
      <c r="NKM94" s="248" t="n"/>
      <c r="NKN94" s="240" t="n"/>
      <c r="NKO94" s="240" t="n"/>
      <c r="NKQ94" s="15" t="n"/>
      <c r="NKR94" s="15" t="n"/>
      <c r="NKS94" s="248" t="n"/>
      <c r="NKT94" s="248" t="n"/>
      <c r="NKU94" s="240" t="n"/>
      <c r="NKV94" s="240" t="n"/>
      <c r="NKX94" s="15" t="n"/>
      <c r="NKY94" s="15" t="n"/>
      <c r="NKZ94" s="248" t="n"/>
      <c r="NLA94" s="248" t="n"/>
      <c r="NLB94" s="240" t="n"/>
      <c r="NLC94" s="240" t="n"/>
      <c r="NLE94" s="15" t="n"/>
      <c r="NLF94" s="15" t="n"/>
      <c r="NLG94" s="248" t="n"/>
      <c r="NLH94" s="248" t="n"/>
      <c r="NLI94" s="240" t="n"/>
      <c r="NLJ94" s="240" t="n"/>
      <c r="NLL94" s="15" t="n"/>
      <c r="NLM94" s="15" t="n"/>
      <c r="NLN94" s="248" t="n"/>
      <c r="NLO94" s="248" t="n"/>
      <c r="NLP94" s="240" t="n"/>
      <c r="NLQ94" s="240" t="n"/>
      <c r="NLS94" s="15" t="n"/>
      <c r="NLT94" s="15" t="n"/>
      <c r="NLU94" s="248" t="n"/>
      <c r="NLV94" s="248" t="n"/>
      <c r="NLW94" s="240" t="n"/>
      <c r="NLX94" s="240" t="n"/>
      <c r="NLZ94" s="15" t="n"/>
      <c r="NMA94" s="15" t="n"/>
      <c r="NMB94" s="248" t="n"/>
      <c r="NMC94" s="248" t="n"/>
      <c r="NMD94" s="240" t="n"/>
      <c r="NME94" s="240" t="n"/>
      <c r="NMG94" s="15" t="n"/>
      <c r="NMH94" s="15" t="n"/>
      <c r="NMI94" s="248" t="n"/>
      <c r="NMJ94" s="248" t="n"/>
      <c r="NMK94" s="240" t="n"/>
      <c r="NML94" s="240" t="n"/>
      <c r="NMN94" s="15" t="n"/>
      <c r="NMO94" s="15" t="n"/>
      <c r="NMP94" s="248" t="n"/>
      <c r="NMQ94" s="248" t="n"/>
      <c r="NMR94" s="240" t="n"/>
      <c r="NMS94" s="240" t="n"/>
      <c r="NMU94" s="15" t="n"/>
      <c r="NMV94" s="15" t="n"/>
      <c r="NMW94" s="248" t="n"/>
      <c r="NMX94" s="248" t="n"/>
      <c r="NMY94" s="240" t="n"/>
      <c r="NMZ94" s="240" t="n"/>
      <c r="NNB94" s="15" t="n"/>
      <c r="NNC94" s="15" t="n"/>
      <c r="NND94" s="248" t="n"/>
      <c r="NNE94" s="248" t="n"/>
      <c r="NNF94" s="240" t="n"/>
      <c r="NNG94" s="240" t="n"/>
      <c r="NNI94" s="15" t="n"/>
      <c r="NNJ94" s="15" t="n"/>
      <c r="NNK94" s="248" t="n"/>
      <c r="NNL94" s="248" t="n"/>
      <c r="NNM94" s="240" t="n"/>
      <c r="NNN94" s="240" t="n"/>
      <c r="NNP94" s="15" t="n"/>
      <c r="NNQ94" s="15" t="n"/>
      <c r="NNR94" s="248" t="n"/>
      <c r="NNS94" s="248" t="n"/>
      <c r="NNT94" s="240" t="n"/>
      <c r="NNU94" s="240" t="n"/>
      <c r="NNW94" s="15" t="n"/>
      <c r="NNX94" s="15" t="n"/>
      <c r="NNY94" s="248" t="n"/>
      <c r="NNZ94" s="248" t="n"/>
      <c r="NOA94" s="240" t="n"/>
      <c r="NOB94" s="240" t="n"/>
      <c r="NOD94" s="15" t="n"/>
      <c r="NOE94" s="15" t="n"/>
      <c r="NOF94" s="248" t="n"/>
      <c r="NOG94" s="248" t="n"/>
      <c r="NOH94" s="240" t="n"/>
      <c r="NOI94" s="240" t="n"/>
      <c r="NOK94" s="15" t="n"/>
      <c r="NOL94" s="15" t="n"/>
      <c r="NOM94" s="248" t="n"/>
      <c r="NON94" s="248" t="n"/>
      <c r="NOO94" s="240" t="n"/>
      <c r="NOP94" s="240" t="n"/>
      <c r="NOR94" s="15" t="n"/>
      <c r="NOS94" s="15" t="n"/>
      <c r="NOT94" s="248" t="n"/>
      <c r="NOU94" s="248" t="n"/>
      <c r="NOV94" s="240" t="n"/>
      <c r="NOW94" s="240" t="n"/>
      <c r="NOY94" s="15" t="n"/>
      <c r="NOZ94" s="15" t="n"/>
      <c r="NPA94" s="248" t="n"/>
      <c r="NPB94" s="248" t="n"/>
      <c r="NPC94" s="240" t="n"/>
      <c r="NPD94" s="240" t="n"/>
      <c r="NPF94" s="15" t="n"/>
      <c r="NPG94" s="15" t="n"/>
      <c r="NPH94" s="248" t="n"/>
      <c r="NPI94" s="248" t="n"/>
      <c r="NPJ94" s="240" t="n"/>
      <c r="NPK94" s="240" t="n"/>
      <c r="NPM94" s="15" t="n"/>
      <c r="NPN94" s="15" t="n"/>
      <c r="NPO94" s="248" t="n"/>
      <c r="NPP94" s="248" t="n"/>
      <c r="NPQ94" s="240" t="n"/>
      <c r="NPR94" s="240" t="n"/>
      <c r="NPT94" s="15" t="n"/>
      <c r="NPU94" s="15" t="n"/>
      <c r="NPV94" s="248" t="n"/>
      <c r="NPW94" s="248" t="n"/>
      <c r="NPX94" s="240" t="n"/>
      <c r="NPY94" s="240" t="n"/>
      <c r="NQA94" s="15" t="n"/>
      <c r="NQB94" s="15" t="n"/>
      <c r="NQC94" s="248" t="n"/>
      <c r="NQD94" s="248" t="n"/>
      <c r="NQE94" s="240" t="n"/>
      <c r="NQF94" s="240" t="n"/>
      <c r="NQH94" s="15" t="n"/>
      <c r="NQI94" s="15" t="n"/>
      <c r="NQJ94" s="248" t="n"/>
      <c r="NQK94" s="248" t="n"/>
      <c r="NQL94" s="240" t="n"/>
      <c r="NQM94" s="240" t="n"/>
      <c r="NQO94" s="15" t="n"/>
      <c r="NQP94" s="15" t="n"/>
      <c r="NQQ94" s="248" t="n"/>
      <c r="NQR94" s="248" t="n"/>
      <c r="NQS94" s="240" t="n"/>
      <c r="NQT94" s="240" t="n"/>
      <c r="NQV94" s="15" t="n"/>
      <c r="NQW94" s="15" t="n"/>
      <c r="NQX94" s="248" t="n"/>
      <c r="NQY94" s="248" t="n"/>
      <c r="NQZ94" s="240" t="n"/>
      <c r="NRA94" s="240" t="n"/>
      <c r="NRC94" s="15" t="n"/>
      <c r="NRD94" s="15" t="n"/>
      <c r="NRE94" s="248" t="n"/>
      <c r="NRF94" s="248" t="n"/>
      <c r="NRG94" s="240" t="n"/>
      <c r="NRH94" s="240" t="n"/>
      <c r="NRJ94" s="15" t="n"/>
      <c r="NRK94" s="15" t="n"/>
      <c r="NRL94" s="248" t="n"/>
      <c r="NRM94" s="248" t="n"/>
      <c r="NRN94" s="240" t="n"/>
      <c r="NRO94" s="240" t="n"/>
      <c r="NRQ94" s="15" t="n"/>
      <c r="NRR94" s="15" t="n"/>
      <c r="NRS94" s="248" t="n"/>
      <c r="NRT94" s="248" t="n"/>
      <c r="NRU94" s="240" t="n"/>
      <c r="NRV94" s="240" t="n"/>
      <c r="NRX94" s="15" t="n"/>
      <c r="NRY94" s="15" t="n"/>
      <c r="NRZ94" s="248" t="n"/>
      <c r="NSA94" s="248" t="n"/>
      <c r="NSB94" s="240" t="n"/>
      <c r="NSC94" s="240" t="n"/>
      <c r="NSE94" s="15" t="n"/>
      <c r="NSF94" s="15" t="n"/>
      <c r="NSG94" s="248" t="n"/>
      <c r="NSH94" s="248" t="n"/>
      <c r="NSI94" s="240" t="n"/>
      <c r="NSJ94" s="240" t="n"/>
      <c r="NSL94" s="15" t="n"/>
      <c r="NSM94" s="15" t="n"/>
      <c r="NSN94" s="248" t="n"/>
      <c r="NSO94" s="248" t="n"/>
      <c r="NSP94" s="240" t="n"/>
      <c r="NSQ94" s="240" t="n"/>
      <c r="NSS94" s="15" t="n"/>
      <c r="NST94" s="15" t="n"/>
      <c r="NSU94" s="248" t="n"/>
      <c r="NSV94" s="248" t="n"/>
      <c r="NSW94" s="240" t="n"/>
      <c r="NSX94" s="240" t="n"/>
      <c r="NSZ94" s="15" t="n"/>
      <c r="NTA94" s="15" t="n"/>
      <c r="NTB94" s="248" t="n"/>
      <c r="NTC94" s="248" t="n"/>
      <c r="NTD94" s="240" t="n"/>
      <c r="NTE94" s="240" t="n"/>
      <c r="NTG94" s="15" t="n"/>
      <c r="NTH94" s="15" t="n"/>
      <c r="NTI94" s="248" t="n"/>
      <c r="NTJ94" s="248" t="n"/>
      <c r="NTK94" s="240" t="n"/>
      <c r="NTL94" s="240" t="n"/>
      <c r="NTN94" s="15" t="n"/>
      <c r="NTO94" s="15" t="n"/>
      <c r="NTP94" s="248" t="n"/>
      <c r="NTQ94" s="248" t="n"/>
      <c r="NTR94" s="240" t="n"/>
      <c r="NTS94" s="240" t="n"/>
      <c r="NTU94" s="15" t="n"/>
      <c r="NTV94" s="15" t="n"/>
      <c r="NTW94" s="248" t="n"/>
      <c r="NTX94" s="248" t="n"/>
      <c r="NTY94" s="240" t="n"/>
      <c r="NTZ94" s="240" t="n"/>
      <c r="NUB94" s="15" t="n"/>
      <c r="NUC94" s="15" t="n"/>
      <c r="NUD94" s="248" t="n"/>
      <c r="NUE94" s="248" t="n"/>
      <c r="NUF94" s="240" t="n"/>
      <c r="NUG94" s="240" t="n"/>
      <c r="NUI94" s="15" t="n"/>
      <c r="NUJ94" s="15" t="n"/>
      <c r="NUK94" s="248" t="n"/>
      <c r="NUL94" s="248" t="n"/>
      <c r="NUM94" s="240" t="n"/>
      <c r="NUN94" s="240" t="n"/>
      <c r="NUP94" s="15" t="n"/>
      <c r="NUQ94" s="15" t="n"/>
      <c r="NUR94" s="248" t="n"/>
      <c r="NUS94" s="248" t="n"/>
      <c r="NUT94" s="240" t="n"/>
      <c r="NUU94" s="240" t="n"/>
      <c r="NUW94" s="15" t="n"/>
      <c r="NUX94" s="15" t="n"/>
      <c r="NUY94" s="248" t="n"/>
      <c r="NUZ94" s="248" t="n"/>
      <c r="NVA94" s="240" t="n"/>
      <c r="NVB94" s="240" t="n"/>
      <c r="NVD94" s="15" t="n"/>
      <c r="NVE94" s="15" t="n"/>
      <c r="NVF94" s="248" t="n"/>
      <c r="NVG94" s="248" t="n"/>
      <c r="NVH94" s="240" t="n"/>
      <c r="NVI94" s="240" t="n"/>
      <c r="NVK94" s="15" t="n"/>
      <c r="NVL94" s="15" t="n"/>
      <c r="NVM94" s="248" t="n"/>
      <c r="NVN94" s="248" t="n"/>
      <c r="NVO94" s="240" t="n"/>
      <c r="NVP94" s="240" t="n"/>
      <c r="NVR94" s="15" t="n"/>
      <c r="NVS94" s="15" t="n"/>
      <c r="NVT94" s="248" t="n"/>
      <c r="NVU94" s="248" t="n"/>
      <c r="NVV94" s="240" t="n"/>
      <c r="NVW94" s="240" t="n"/>
      <c r="NVY94" s="15" t="n"/>
      <c r="NVZ94" s="15" t="n"/>
      <c r="NWA94" s="248" t="n"/>
      <c r="NWB94" s="248" t="n"/>
      <c r="NWC94" s="240" t="n"/>
      <c r="NWD94" s="240" t="n"/>
      <c r="NWF94" s="15" t="n"/>
      <c r="NWG94" s="15" t="n"/>
      <c r="NWH94" s="248" t="n"/>
      <c r="NWI94" s="248" t="n"/>
      <c r="NWJ94" s="240" t="n"/>
      <c r="NWK94" s="240" t="n"/>
      <c r="NWM94" s="15" t="n"/>
      <c r="NWN94" s="15" t="n"/>
      <c r="NWO94" s="248" t="n"/>
      <c r="NWP94" s="248" t="n"/>
      <c r="NWQ94" s="240" t="n"/>
      <c r="NWR94" s="240" t="n"/>
      <c r="NWT94" s="15" t="n"/>
      <c r="NWU94" s="15" t="n"/>
      <c r="NWV94" s="248" t="n"/>
      <c r="NWW94" s="248" t="n"/>
      <c r="NWX94" s="240" t="n"/>
      <c r="NWY94" s="240" t="n"/>
      <c r="NXA94" s="15" t="n"/>
      <c r="NXB94" s="15" t="n"/>
      <c r="NXC94" s="248" t="n"/>
      <c r="NXD94" s="248" t="n"/>
      <c r="NXE94" s="240" t="n"/>
      <c r="NXF94" s="240" t="n"/>
      <c r="NXH94" s="15" t="n"/>
      <c r="NXI94" s="15" t="n"/>
      <c r="NXJ94" s="248" t="n"/>
      <c r="NXK94" s="248" t="n"/>
      <c r="NXL94" s="240" t="n"/>
      <c r="NXM94" s="240" t="n"/>
      <c r="NXO94" s="15" t="n"/>
      <c r="NXP94" s="15" t="n"/>
      <c r="NXQ94" s="248" t="n"/>
      <c r="NXR94" s="248" t="n"/>
      <c r="NXS94" s="240" t="n"/>
      <c r="NXT94" s="240" t="n"/>
      <c r="NXV94" s="15" t="n"/>
      <c r="NXW94" s="15" t="n"/>
      <c r="NXX94" s="248" t="n"/>
      <c r="NXY94" s="248" t="n"/>
      <c r="NXZ94" s="240" t="n"/>
      <c r="NYA94" s="240" t="n"/>
      <c r="NYC94" s="15" t="n"/>
      <c r="NYD94" s="15" t="n"/>
      <c r="NYE94" s="248" t="n"/>
      <c r="NYF94" s="248" t="n"/>
      <c r="NYG94" s="240" t="n"/>
      <c r="NYH94" s="240" t="n"/>
      <c r="NYJ94" s="15" t="n"/>
      <c r="NYK94" s="15" t="n"/>
      <c r="NYL94" s="248" t="n"/>
      <c r="NYM94" s="248" t="n"/>
      <c r="NYN94" s="240" t="n"/>
      <c r="NYO94" s="240" t="n"/>
      <c r="NYQ94" s="15" t="n"/>
      <c r="NYR94" s="15" t="n"/>
      <c r="NYS94" s="248" t="n"/>
      <c r="NYT94" s="248" t="n"/>
      <c r="NYU94" s="240" t="n"/>
      <c r="NYV94" s="240" t="n"/>
      <c r="NYX94" s="15" t="n"/>
      <c r="NYY94" s="15" t="n"/>
      <c r="NYZ94" s="248" t="n"/>
      <c r="NZA94" s="248" t="n"/>
      <c r="NZB94" s="240" t="n"/>
      <c r="NZC94" s="240" t="n"/>
      <c r="NZE94" s="15" t="n"/>
      <c r="NZF94" s="15" t="n"/>
      <c r="NZG94" s="248" t="n"/>
      <c r="NZH94" s="248" t="n"/>
      <c r="NZI94" s="240" t="n"/>
      <c r="NZJ94" s="240" t="n"/>
      <c r="NZL94" s="15" t="n"/>
      <c r="NZM94" s="15" t="n"/>
      <c r="NZN94" s="248" t="n"/>
      <c r="NZO94" s="248" t="n"/>
      <c r="NZP94" s="240" t="n"/>
      <c r="NZQ94" s="240" t="n"/>
      <c r="NZS94" s="15" t="n"/>
      <c r="NZT94" s="15" t="n"/>
      <c r="NZU94" s="248" t="n"/>
      <c r="NZV94" s="248" t="n"/>
      <c r="NZW94" s="240" t="n"/>
      <c r="NZX94" s="240" t="n"/>
      <c r="NZZ94" s="15" t="n"/>
      <c r="OAA94" s="15" t="n"/>
      <c r="OAB94" s="248" t="n"/>
      <c r="OAC94" s="248" t="n"/>
      <c r="OAD94" s="240" t="n"/>
      <c r="OAE94" s="240" t="n"/>
      <c r="OAG94" s="15" t="n"/>
      <c r="OAH94" s="15" t="n"/>
      <c r="OAI94" s="248" t="n"/>
      <c r="OAJ94" s="248" t="n"/>
      <c r="OAK94" s="240" t="n"/>
      <c r="OAL94" s="240" t="n"/>
      <c r="OAN94" s="15" t="n"/>
      <c r="OAO94" s="15" t="n"/>
      <c r="OAP94" s="248" t="n"/>
      <c r="OAQ94" s="248" t="n"/>
      <c r="OAR94" s="240" t="n"/>
      <c r="OAS94" s="240" t="n"/>
      <c r="OAU94" s="15" t="n"/>
      <c r="OAV94" s="15" t="n"/>
      <c r="OAW94" s="248" t="n"/>
      <c r="OAX94" s="248" t="n"/>
      <c r="OAY94" s="240" t="n"/>
      <c r="OAZ94" s="240" t="n"/>
      <c r="OBB94" s="15" t="n"/>
      <c r="OBC94" s="15" t="n"/>
      <c r="OBD94" s="248" t="n"/>
      <c r="OBE94" s="248" t="n"/>
      <c r="OBF94" s="240" t="n"/>
      <c r="OBG94" s="240" t="n"/>
      <c r="OBI94" s="15" t="n"/>
      <c r="OBJ94" s="15" t="n"/>
      <c r="OBK94" s="248" t="n"/>
      <c r="OBL94" s="248" t="n"/>
      <c r="OBM94" s="240" t="n"/>
      <c r="OBN94" s="240" t="n"/>
      <c r="OBP94" s="15" t="n"/>
      <c r="OBQ94" s="15" t="n"/>
      <c r="OBR94" s="248" t="n"/>
      <c r="OBS94" s="248" t="n"/>
      <c r="OBT94" s="240" t="n"/>
      <c r="OBU94" s="240" t="n"/>
      <c r="OBW94" s="15" t="n"/>
      <c r="OBX94" s="15" t="n"/>
      <c r="OBY94" s="248" t="n"/>
      <c r="OBZ94" s="248" t="n"/>
      <c r="OCA94" s="240" t="n"/>
      <c r="OCB94" s="240" t="n"/>
      <c r="OCD94" s="15" t="n"/>
      <c r="OCE94" s="15" t="n"/>
      <c r="OCF94" s="248" t="n"/>
      <c r="OCG94" s="248" t="n"/>
      <c r="OCH94" s="240" t="n"/>
      <c r="OCI94" s="240" t="n"/>
      <c r="OCK94" s="15" t="n"/>
      <c r="OCL94" s="15" t="n"/>
      <c r="OCM94" s="248" t="n"/>
      <c r="OCN94" s="248" t="n"/>
      <c r="OCO94" s="240" t="n"/>
      <c r="OCP94" s="240" t="n"/>
      <c r="OCR94" s="15" t="n"/>
      <c r="OCS94" s="15" t="n"/>
      <c r="OCT94" s="248" t="n"/>
      <c r="OCU94" s="248" t="n"/>
      <c r="OCV94" s="240" t="n"/>
      <c r="OCW94" s="240" t="n"/>
      <c r="OCY94" s="15" t="n"/>
      <c r="OCZ94" s="15" t="n"/>
      <c r="ODA94" s="248" t="n"/>
      <c r="ODB94" s="248" t="n"/>
      <c r="ODC94" s="240" t="n"/>
      <c r="ODD94" s="240" t="n"/>
      <c r="ODF94" s="15" t="n"/>
      <c r="ODG94" s="15" t="n"/>
      <c r="ODH94" s="248" t="n"/>
      <c r="ODI94" s="248" t="n"/>
      <c r="ODJ94" s="240" t="n"/>
      <c r="ODK94" s="240" t="n"/>
      <c r="ODM94" s="15" t="n"/>
      <c r="ODN94" s="15" t="n"/>
      <c r="ODO94" s="248" t="n"/>
      <c r="ODP94" s="248" t="n"/>
      <c r="ODQ94" s="240" t="n"/>
      <c r="ODR94" s="240" t="n"/>
      <c r="ODT94" s="15" t="n"/>
      <c r="ODU94" s="15" t="n"/>
      <c r="ODV94" s="248" t="n"/>
      <c r="ODW94" s="248" t="n"/>
      <c r="ODX94" s="240" t="n"/>
      <c r="ODY94" s="240" t="n"/>
      <c r="OEA94" s="15" t="n"/>
      <c r="OEB94" s="15" t="n"/>
      <c r="OEC94" s="248" t="n"/>
      <c r="OED94" s="248" t="n"/>
      <c r="OEE94" s="240" t="n"/>
      <c r="OEF94" s="240" t="n"/>
      <c r="OEH94" s="15" t="n"/>
      <c r="OEI94" s="15" t="n"/>
      <c r="OEJ94" s="248" t="n"/>
      <c r="OEK94" s="248" t="n"/>
      <c r="OEL94" s="240" t="n"/>
      <c r="OEM94" s="240" t="n"/>
      <c r="OEO94" s="15" t="n"/>
      <c r="OEP94" s="15" t="n"/>
      <c r="OEQ94" s="248" t="n"/>
      <c r="OER94" s="248" t="n"/>
      <c r="OES94" s="240" t="n"/>
      <c r="OET94" s="240" t="n"/>
      <c r="OEV94" s="15" t="n"/>
      <c r="OEW94" s="15" t="n"/>
      <c r="OEX94" s="248" t="n"/>
      <c r="OEY94" s="248" t="n"/>
      <c r="OEZ94" s="240" t="n"/>
      <c r="OFA94" s="240" t="n"/>
      <c r="OFC94" s="15" t="n"/>
      <c r="OFD94" s="15" t="n"/>
      <c r="OFE94" s="248" t="n"/>
      <c r="OFF94" s="248" t="n"/>
      <c r="OFG94" s="240" t="n"/>
      <c r="OFH94" s="240" t="n"/>
      <c r="OFJ94" s="15" t="n"/>
      <c r="OFK94" s="15" t="n"/>
      <c r="OFL94" s="248" t="n"/>
      <c r="OFM94" s="248" t="n"/>
      <c r="OFN94" s="240" t="n"/>
      <c r="OFO94" s="240" t="n"/>
      <c r="OFQ94" s="15" t="n"/>
      <c r="OFR94" s="15" t="n"/>
      <c r="OFS94" s="248" t="n"/>
      <c r="OFT94" s="248" t="n"/>
      <c r="OFU94" s="240" t="n"/>
      <c r="OFV94" s="240" t="n"/>
      <c r="OFX94" s="15" t="n"/>
      <c r="OFY94" s="15" t="n"/>
      <c r="OFZ94" s="248" t="n"/>
      <c r="OGA94" s="248" t="n"/>
      <c r="OGB94" s="240" t="n"/>
      <c r="OGC94" s="240" t="n"/>
      <c r="OGE94" s="15" t="n"/>
      <c r="OGF94" s="15" t="n"/>
      <c r="OGG94" s="248" t="n"/>
      <c r="OGH94" s="248" t="n"/>
      <c r="OGI94" s="240" t="n"/>
      <c r="OGJ94" s="240" t="n"/>
      <c r="OGL94" s="15" t="n"/>
      <c r="OGM94" s="15" t="n"/>
      <c r="OGN94" s="248" t="n"/>
      <c r="OGO94" s="248" t="n"/>
      <c r="OGP94" s="240" t="n"/>
      <c r="OGQ94" s="240" t="n"/>
      <c r="OGS94" s="15" t="n"/>
      <c r="OGT94" s="15" t="n"/>
      <c r="OGU94" s="248" t="n"/>
      <c r="OGV94" s="248" t="n"/>
      <c r="OGW94" s="240" t="n"/>
      <c r="OGX94" s="240" t="n"/>
      <c r="OGZ94" s="15" t="n"/>
      <c r="OHA94" s="15" t="n"/>
      <c r="OHB94" s="248" t="n"/>
      <c r="OHC94" s="248" t="n"/>
      <c r="OHD94" s="240" t="n"/>
      <c r="OHE94" s="240" t="n"/>
      <c r="OHG94" s="15" t="n"/>
      <c r="OHH94" s="15" t="n"/>
      <c r="OHI94" s="248" t="n"/>
      <c r="OHJ94" s="248" t="n"/>
      <c r="OHK94" s="240" t="n"/>
      <c r="OHL94" s="240" t="n"/>
      <c r="OHN94" s="15" t="n"/>
      <c r="OHO94" s="15" t="n"/>
      <c r="OHP94" s="248" t="n"/>
      <c r="OHQ94" s="248" t="n"/>
      <c r="OHR94" s="240" t="n"/>
      <c r="OHS94" s="240" t="n"/>
      <c r="OHU94" s="15" t="n"/>
      <c r="OHV94" s="15" t="n"/>
      <c r="OHW94" s="248" t="n"/>
      <c r="OHX94" s="248" t="n"/>
      <c r="OHY94" s="240" t="n"/>
      <c r="OHZ94" s="240" t="n"/>
      <c r="OIB94" s="15" t="n"/>
      <c r="OIC94" s="15" t="n"/>
      <c r="OID94" s="248" t="n"/>
      <c r="OIE94" s="248" t="n"/>
      <c r="OIF94" s="240" t="n"/>
      <c r="OIG94" s="240" t="n"/>
      <c r="OII94" s="15" t="n"/>
      <c r="OIJ94" s="15" t="n"/>
      <c r="OIK94" s="248" t="n"/>
      <c r="OIL94" s="248" t="n"/>
      <c r="OIM94" s="240" t="n"/>
      <c r="OIN94" s="240" t="n"/>
      <c r="OIP94" s="15" t="n"/>
      <c r="OIQ94" s="15" t="n"/>
      <c r="OIR94" s="248" t="n"/>
      <c r="OIS94" s="248" t="n"/>
      <c r="OIT94" s="240" t="n"/>
      <c r="OIU94" s="240" t="n"/>
      <c r="OIW94" s="15" t="n"/>
      <c r="OIX94" s="15" t="n"/>
      <c r="OIY94" s="248" t="n"/>
      <c r="OIZ94" s="248" t="n"/>
      <c r="OJA94" s="240" t="n"/>
      <c r="OJB94" s="240" t="n"/>
      <c r="OJD94" s="15" t="n"/>
      <c r="OJE94" s="15" t="n"/>
      <c r="OJF94" s="248" t="n"/>
      <c r="OJG94" s="248" t="n"/>
      <c r="OJH94" s="240" t="n"/>
      <c r="OJI94" s="240" t="n"/>
      <c r="OJK94" s="15" t="n"/>
      <c r="OJL94" s="15" t="n"/>
      <c r="OJM94" s="248" t="n"/>
      <c r="OJN94" s="248" t="n"/>
      <c r="OJO94" s="240" t="n"/>
      <c r="OJP94" s="240" t="n"/>
      <c r="OJR94" s="15" t="n"/>
      <c r="OJS94" s="15" t="n"/>
      <c r="OJT94" s="248" t="n"/>
      <c r="OJU94" s="248" t="n"/>
      <c r="OJV94" s="240" t="n"/>
      <c r="OJW94" s="240" t="n"/>
      <c r="OJY94" s="15" t="n"/>
      <c r="OJZ94" s="15" t="n"/>
      <c r="OKA94" s="248" t="n"/>
      <c r="OKB94" s="248" t="n"/>
      <c r="OKC94" s="240" t="n"/>
      <c r="OKD94" s="240" t="n"/>
      <c r="OKF94" s="15" t="n"/>
      <c r="OKG94" s="15" t="n"/>
      <c r="OKH94" s="248" t="n"/>
      <c r="OKI94" s="248" t="n"/>
      <c r="OKJ94" s="240" t="n"/>
      <c r="OKK94" s="240" t="n"/>
      <c r="OKM94" s="15" t="n"/>
      <c r="OKN94" s="15" t="n"/>
      <c r="OKO94" s="248" t="n"/>
      <c r="OKP94" s="248" t="n"/>
      <c r="OKQ94" s="240" t="n"/>
      <c r="OKR94" s="240" t="n"/>
      <c r="OKT94" s="15" t="n"/>
      <c r="OKU94" s="15" t="n"/>
      <c r="OKV94" s="248" t="n"/>
      <c r="OKW94" s="248" t="n"/>
      <c r="OKX94" s="240" t="n"/>
      <c r="OKY94" s="240" t="n"/>
      <c r="OLA94" s="15" t="n"/>
      <c r="OLB94" s="15" t="n"/>
      <c r="OLC94" s="248" t="n"/>
      <c r="OLD94" s="248" t="n"/>
      <c r="OLE94" s="240" t="n"/>
      <c r="OLF94" s="240" t="n"/>
      <c r="OLH94" s="15" t="n"/>
      <c r="OLI94" s="15" t="n"/>
      <c r="OLJ94" s="248" t="n"/>
      <c r="OLK94" s="248" t="n"/>
      <c r="OLL94" s="240" t="n"/>
      <c r="OLM94" s="240" t="n"/>
      <c r="OLO94" s="15" t="n"/>
      <c r="OLP94" s="15" t="n"/>
      <c r="OLQ94" s="248" t="n"/>
      <c r="OLR94" s="248" t="n"/>
      <c r="OLS94" s="240" t="n"/>
      <c r="OLT94" s="240" t="n"/>
      <c r="OLV94" s="15" t="n"/>
      <c r="OLW94" s="15" t="n"/>
      <c r="OLX94" s="248" t="n"/>
      <c r="OLY94" s="248" t="n"/>
      <c r="OLZ94" s="240" t="n"/>
      <c r="OMA94" s="240" t="n"/>
      <c r="OMC94" s="15" t="n"/>
      <c r="OMD94" s="15" t="n"/>
      <c r="OME94" s="248" t="n"/>
      <c r="OMF94" s="248" t="n"/>
      <c r="OMG94" s="240" t="n"/>
      <c r="OMH94" s="240" t="n"/>
      <c r="OMJ94" s="15" t="n"/>
      <c r="OMK94" s="15" t="n"/>
      <c r="OML94" s="248" t="n"/>
      <c r="OMM94" s="248" t="n"/>
      <c r="OMN94" s="240" t="n"/>
      <c r="OMO94" s="240" t="n"/>
      <c r="OMQ94" s="15" t="n"/>
      <c r="OMR94" s="15" t="n"/>
      <c r="OMS94" s="248" t="n"/>
      <c r="OMT94" s="248" t="n"/>
      <c r="OMU94" s="240" t="n"/>
      <c r="OMV94" s="240" t="n"/>
      <c r="OMX94" s="15" t="n"/>
      <c r="OMY94" s="15" t="n"/>
      <c r="OMZ94" s="248" t="n"/>
      <c r="ONA94" s="248" t="n"/>
      <c r="ONB94" s="240" t="n"/>
      <c r="ONC94" s="240" t="n"/>
      <c r="ONE94" s="15" t="n"/>
      <c r="ONF94" s="15" t="n"/>
      <c r="ONG94" s="248" t="n"/>
      <c r="ONH94" s="248" t="n"/>
      <c r="ONI94" s="240" t="n"/>
      <c r="ONJ94" s="240" t="n"/>
      <c r="ONL94" s="15" t="n"/>
      <c r="ONM94" s="15" t="n"/>
      <c r="ONN94" s="248" t="n"/>
      <c r="ONO94" s="248" t="n"/>
      <c r="ONP94" s="240" t="n"/>
      <c r="ONQ94" s="240" t="n"/>
      <c r="ONS94" s="15" t="n"/>
      <c r="ONT94" s="15" t="n"/>
      <c r="ONU94" s="248" t="n"/>
      <c r="ONV94" s="248" t="n"/>
      <c r="ONW94" s="240" t="n"/>
      <c r="ONX94" s="240" t="n"/>
      <c r="ONZ94" s="15" t="n"/>
      <c r="OOA94" s="15" t="n"/>
      <c r="OOB94" s="248" t="n"/>
      <c r="OOC94" s="248" t="n"/>
      <c r="OOD94" s="240" t="n"/>
      <c r="OOE94" s="240" t="n"/>
      <c r="OOG94" s="15" t="n"/>
      <c r="OOH94" s="15" t="n"/>
      <c r="OOI94" s="248" t="n"/>
      <c r="OOJ94" s="248" t="n"/>
      <c r="OOK94" s="240" t="n"/>
      <c r="OOL94" s="240" t="n"/>
      <c r="OON94" s="15" t="n"/>
      <c r="OOO94" s="15" t="n"/>
      <c r="OOP94" s="248" t="n"/>
      <c r="OOQ94" s="248" t="n"/>
      <c r="OOR94" s="240" t="n"/>
      <c r="OOS94" s="240" t="n"/>
      <c r="OOU94" s="15" t="n"/>
      <c r="OOV94" s="15" t="n"/>
      <c r="OOW94" s="248" t="n"/>
      <c r="OOX94" s="248" t="n"/>
      <c r="OOY94" s="240" t="n"/>
      <c r="OOZ94" s="240" t="n"/>
      <c r="OPB94" s="15" t="n"/>
      <c r="OPC94" s="15" t="n"/>
      <c r="OPD94" s="248" t="n"/>
      <c r="OPE94" s="248" t="n"/>
      <c r="OPF94" s="240" t="n"/>
      <c r="OPG94" s="240" t="n"/>
      <c r="OPI94" s="15" t="n"/>
      <c r="OPJ94" s="15" t="n"/>
      <c r="OPK94" s="248" t="n"/>
      <c r="OPL94" s="248" t="n"/>
      <c r="OPM94" s="240" t="n"/>
      <c r="OPN94" s="240" t="n"/>
      <c r="OPP94" s="15" t="n"/>
      <c r="OPQ94" s="15" t="n"/>
      <c r="OPR94" s="248" t="n"/>
      <c r="OPS94" s="248" t="n"/>
      <c r="OPT94" s="240" t="n"/>
      <c r="OPU94" s="240" t="n"/>
      <c r="OPW94" s="15" t="n"/>
      <c r="OPX94" s="15" t="n"/>
      <c r="OPY94" s="248" t="n"/>
      <c r="OPZ94" s="248" t="n"/>
      <c r="OQA94" s="240" t="n"/>
      <c r="OQB94" s="240" t="n"/>
      <c r="OQD94" s="15" t="n"/>
      <c r="OQE94" s="15" t="n"/>
      <c r="OQF94" s="248" t="n"/>
      <c r="OQG94" s="248" t="n"/>
      <c r="OQH94" s="240" t="n"/>
      <c r="OQI94" s="240" t="n"/>
      <c r="OQK94" s="15" t="n"/>
      <c r="OQL94" s="15" t="n"/>
      <c r="OQM94" s="248" t="n"/>
      <c r="OQN94" s="248" t="n"/>
      <c r="OQO94" s="240" t="n"/>
      <c r="OQP94" s="240" t="n"/>
      <c r="OQR94" s="15" t="n"/>
      <c r="OQS94" s="15" t="n"/>
      <c r="OQT94" s="248" t="n"/>
      <c r="OQU94" s="248" t="n"/>
      <c r="OQV94" s="240" t="n"/>
      <c r="OQW94" s="240" t="n"/>
      <c r="OQY94" s="15" t="n"/>
      <c r="OQZ94" s="15" t="n"/>
      <c r="ORA94" s="248" t="n"/>
      <c r="ORB94" s="248" t="n"/>
      <c r="ORC94" s="240" t="n"/>
      <c r="ORD94" s="240" t="n"/>
      <c r="ORF94" s="15" t="n"/>
      <c r="ORG94" s="15" t="n"/>
      <c r="ORH94" s="248" t="n"/>
      <c r="ORI94" s="248" t="n"/>
      <c r="ORJ94" s="240" t="n"/>
      <c r="ORK94" s="240" t="n"/>
      <c r="ORM94" s="15" t="n"/>
      <c r="ORN94" s="15" t="n"/>
      <c r="ORO94" s="248" t="n"/>
      <c r="ORP94" s="248" t="n"/>
      <c r="ORQ94" s="240" t="n"/>
      <c r="ORR94" s="240" t="n"/>
      <c r="ORT94" s="15" t="n"/>
      <c r="ORU94" s="15" t="n"/>
      <c r="ORV94" s="248" t="n"/>
      <c r="ORW94" s="248" t="n"/>
      <c r="ORX94" s="240" t="n"/>
      <c r="ORY94" s="240" t="n"/>
      <c r="OSA94" s="15" t="n"/>
      <c r="OSB94" s="15" t="n"/>
      <c r="OSC94" s="248" t="n"/>
      <c r="OSD94" s="248" t="n"/>
      <c r="OSE94" s="240" t="n"/>
      <c r="OSF94" s="240" t="n"/>
      <c r="OSH94" s="15" t="n"/>
      <c r="OSI94" s="15" t="n"/>
      <c r="OSJ94" s="248" t="n"/>
      <c r="OSK94" s="248" t="n"/>
      <c r="OSL94" s="240" t="n"/>
      <c r="OSM94" s="240" t="n"/>
      <c r="OSO94" s="15" t="n"/>
      <c r="OSP94" s="15" t="n"/>
      <c r="OSQ94" s="248" t="n"/>
      <c r="OSR94" s="248" t="n"/>
      <c r="OSS94" s="240" t="n"/>
      <c r="OST94" s="240" t="n"/>
      <c r="OSV94" s="15" t="n"/>
      <c r="OSW94" s="15" t="n"/>
      <c r="OSX94" s="248" t="n"/>
      <c r="OSY94" s="248" t="n"/>
      <c r="OSZ94" s="240" t="n"/>
      <c r="OTA94" s="240" t="n"/>
      <c r="OTC94" s="15" t="n"/>
      <c r="OTD94" s="15" t="n"/>
      <c r="OTE94" s="248" t="n"/>
      <c r="OTF94" s="248" t="n"/>
      <c r="OTG94" s="240" t="n"/>
      <c r="OTH94" s="240" t="n"/>
      <c r="OTJ94" s="15" t="n"/>
      <c r="OTK94" s="15" t="n"/>
      <c r="OTL94" s="248" t="n"/>
      <c r="OTM94" s="248" t="n"/>
      <c r="OTN94" s="240" t="n"/>
      <c r="OTO94" s="240" t="n"/>
      <c r="OTQ94" s="15" t="n"/>
      <c r="OTR94" s="15" t="n"/>
      <c r="OTS94" s="248" t="n"/>
      <c r="OTT94" s="248" t="n"/>
      <c r="OTU94" s="240" t="n"/>
      <c r="OTV94" s="240" t="n"/>
      <c r="OTX94" s="15" t="n"/>
      <c r="OTY94" s="15" t="n"/>
      <c r="OTZ94" s="248" t="n"/>
      <c r="OUA94" s="248" t="n"/>
      <c r="OUB94" s="240" t="n"/>
      <c r="OUC94" s="240" t="n"/>
      <c r="OUE94" s="15" t="n"/>
      <c r="OUF94" s="15" t="n"/>
      <c r="OUG94" s="248" t="n"/>
      <c r="OUH94" s="248" t="n"/>
      <c r="OUI94" s="240" t="n"/>
      <c r="OUJ94" s="240" t="n"/>
      <c r="OUL94" s="15" t="n"/>
      <c r="OUM94" s="15" t="n"/>
      <c r="OUN94" s="248" t="n"/>
      <c r="OUO94" s="248" t="n"/>
      <c r="OUP94" s="240" t="n"/>
      <c r="OUQ94" s="240" t="n"/>
      <c r="OUS94" s="15" t="n"/>
      <c r="OUT94" s="15" t="n"/>
      <c r="OUU94" s="248" t="n"/>
      <c r="OUV94" s="248" t="n"/>
      <c r="OUW94" s="240" t="n"/>
      <c r="OUX94" s="240" t="n"/>
      <c r="OUZ94" s="15" t="n"/>
      <c r="OVA94" s="15" t="n"/>
      <c r="OVB94" s="248" t="n"/>
      <c r="OVC94" s="248" t="n"/>
      <c r="OVD94" s="240" t="n"/>
      <c r="OVE94" s="240" t="n"/>
      <c r="OVG94" s="15" t="n"/>
      <c r="OVH94" s="15" t="n"/>
      <c r="OVI94" s="248" t="n"/>
      <c r="OVJ94" s="248" t="n"/>
      <c r="OVK94" s="240" t="n"/>
      <c r="OVL94" s="240" t="n"/>
      <c r="OVN94" s="15" t="n"/>
      <c r="OVO94" s="15" t="n"/>
      <c r="OVP94" s="248" t="n"/>
      <c r="OVQ94" s="248" t="n"/>
      <c r="OVR94" s="240" t="n"/>
      <c r="OVS94" s="240" t="n"/>
      <c r="OVU94" s="15" t="n"/>
      <c r="OVV94" s="15" t="n"/>
      <c r="OVW94" s="248" t="n"/>
      <c r="OVX94" s="248" t="n"/>
      <c r="OVY94" s="240" t="n"/>
      <c r="OVZ94" s="240" t="n"/>
      <c r="OWB94" s="15" t="n"/>
      <c r="OWC94" s="15" t="n"/>
      <c r="OWD94" s="248" t="n"/>
      <c r="OWE94" s="248" t="n"/>
      <c r="OWF94" s="240" t="n"/>
      <c r="OWG94" s="240" t="n"/>
      <c r="OWI94" s="15" t="n"/>
      <c r="OWJ94" s="15" t="n"/>
      <c r="OWK94" s="248" t="n"/>
      <c r="OWL94" s="248" t="n"/>
      <c r="OWM94" s="240" t="n"/>
      <c r="OWN94" s="240" t="n"/>
      <c r="OWP94" s="15" t="n"/>
      <c r="OWQ94" s="15" t="n"/>
      <c r="OWR94" s="248" t="n"/>
      <c r="OWS94" s="248" t="n"/>
      <c r="OWT94" s="240" t="n"/>
      <c r="OWU94" s="240" t="n"/>
      <c r="OWW94" s="15" t="n"/>
      <c r="OWX94" s="15" t="n"/>
      <c r="OWY94" s="248" t="n"/>
      <c r="OWZ94" s="248" t="n"/>
      <c r="OXA94" s="240" t="n"/>
      <c r="OXB94" s="240" t="n"/>
      <c r="OXD94" s="15" t="n"/>
      <c r="OXE94" s="15" t="n"/>
      <c r="OXF94" s="248" t="n"/>
      <c r="OXG94" s="248" t="n"/>
      <c r="OXH94" s="240" t="n"/>
      <c r="OXI94" s="240" t="n"/>
      <c r="OXK94" s="15" t="n"/>
      <c r="OXL94" s="15" t="n"/>
      <c r="OXM94" s="248" t="n"/>
      <c r="OXN94" s="248" t="n"/>
      <c r="OXO94" s="240" t="n"/>
      <c r="OXP94" s="240" t="n"/>
      <c r="OXR94" s="15" t="n"/>
      <c r="OXS94" s="15" t="n"/>
      <c r="OXT94" s="248" t="n"/>
      <c r="OXU94" s="248" t="n"/>
      <c r="OXV94" s="240" t="n"/>
      <c r="OXW94" s="240" t="n"/>
      <c r="OXY94" s="15" t="n"/>
      <c r="OXZ94" s="15" t="n"/>
      <c r="OYA94" s="248" t="n"/>
      <c r="OYB94" s="248" t="n"/>
      <c r="OYC94" s="240" t="n"/>
      <c r="OYD94" s="240" t="n"/>
      <c r="OYF94" s="15" t="n"/>
      <c r="OYG94" s="15" t="n"/>
      <c r="OYH94" s="248" t="n"/>
      <c r="OYI94" s="248" t="n"/>
      <c r="OYJ94" s="240" t="n"/>
      <c r="OYK94" s="240" t="n"/>
      <c r="OYM94" s="15" t="n"/>
      <c r="OYN94" s="15" t="n"/>
      <c r="OYO94" s="248" t="n"/>
      <c r="OYP94" s="248" t="n"/>
      <c r="OYQ94" s="240" t="n"/>
      <c r="OYR94" s="240" t="n"/>
      <c r="OYT94" s="15" t="n"/>
      <c r="OYU94" s="15" t="n"/>
      <c r="OYV94" s="248" t="n"/>
      <c r="OYW94" s="248" t="n"/>
      <c r="OYX94" s="240" t="n"/>
      <c r="OYY94" s="240" t="n"/>
      <c r="OZA94" s="15" t="n"/>
      <c r="OZB94" s="15" t="n"/>
      <c r="OZC94" s="248" t="n"/>
      <c r="OZD94" s="248" t="n"/>
      <c r="OZE94" s="240" t="n"/>
      <c r="OZF94" s="240" t="n"/>
      <c r="OZH94" s="15" t="n"/>
      <c r="OZI94" s="15" t="n"/>
      <c r="OZJ94" s="248" t="n"/>
      <c r="OZK94" s="248" t="n"/>
      <c r="OZL94" s="240" t="n"/>
      <c r="OZM94" s="240" t="n"/>
      <c r="OZO94" s="15" t="n"/>
      <c r="OZP94" s="15" t="n"/>
      <c r="OZQ94" s="248" t="n"/>
      <c r="OZR94" s="248" t="n"/>
      <c r="OZS94" s="240" t="n"/>
      <c r="OZT94" s="240" t="n"/>
      <c r="OZV94" s="15" t="n"/>
      <c r="OZW94" s="15" t="n"/>
      <c r="OZX94" s="248" t="n"/>
      <c r="OZY94" s="248" t="n"/>
      <c r="OZZ94" s="240" t="n"/>
      <c r="PAA94" s="240" t="n"/>
      <c r="PAC94" s="15" t="n"/>
      <c r="PAD94" s="15" t="n"/>
      <c r="PAE94" s="248" t="n"/>
      <c r="PAF94" s="248" t="n"/>
      <c r="PAG94" s="240" t="n"/>
      <c r="PAH94" s="240" t="n"/>
      <c r="PAJ94" s="15" t="n"/>
      <c r="PAK94" s="15" t="n"/>
      <c r="PAL94" s="248" t="n"/>
      <c r="PAM94" s="248" t="n"/>
      <c r="PAN94" s="240" t="n"/>
      <c r="PAO94" s="240" t="n"/>
      <c r="PAQ94" s="15" t="n"/>
      <c r="PAR94" s="15" t="n"/>
      <c r="PAS94" s="248" t="n"/>
      <c r="PAT94" s="248" t="n"/>
      <c r="PAU94" s="240" t="n"/>
      <c r="PAV94" s="240" t="n"/>
      <c r="PAX94" s="15" t="n"/>
      <c r="PAY94" s="15" t="n"/>
      <c r="PAZ94" s="248" t="n"/>
      <c r="PBA94" s="248" t="n"/>
      <c r="PBB94" s="240" t="n"/>
      <c r="PBC94" s="240" t="n"/>
      <c r="PBE94" s="15" t="n"/>
      <c r="PBF94" s="15" t="n"/>
      <c r="PBG94" s="248" t="n"/>
      <c r="PBH94" s="248" t="n"/>
      <c r="PBI94" s="240" t="n"/>
      <c r="PBJ94" s="240" t="n"/>
      <c r="PBL94" s="15" t="n"/>
      <c r="PBM94" s="15" t="n"/>
      <c r="PBN94" s="248" t="n"/>
      <c r="PBO94" s="248" t="n"/>
      <c r="PBP94" s="240" t="n"/>
      <c r="PBQ94" s="240" t="n"/>
      <c r="PBS94" s="15" t="n"/>
      <c r="PBT94" s="15" t="n"/>
      <c r="PBU94" s="248" t="n"/>
      <c r="PBV94" s="248" t="n"/>
      <c r="PBW94" s="240" t="n"/>
      <c r="PBX94" s="240" t="n"/>
      <c r="PBZ94" s="15" t="n"/>
      <c r="PCA94" s="15" t="n"/>
      <c r="PCB94" s="248" t="n"/>
      <c r="PCC94" s="248" t="n"/>
      <c r="PCD94" s="240" t="n"/>
      <c r="PCE94" s="240" t="n"/>
      <c r="PCG94" s="15" t="n"/>
      <c r="PCH94" s="15" t="n"/>
      <c r="PCI94" s="248" t="n"/>
      <c r="PCJ94" s="248" t="n"/>
      <c r="PCK94" s="240" t="n"/>
      <c r="PCL94" s="240" t="n"/>
      <c r="PCN94" s="15" t="n"/>
      <c r="PCO94" s="15" t="n"/>
      <c r="PCP94" s="248" t="n"/>
      <c r="PCQ94" s="248" t="n"/>
      <c r="PCR94" s="240" t="n"/>
      <c r="PCS94" s="240" t="n"/>
      <c r="PCU94" s="15" t="n"/>
      <c r="PCV94" s="15" t="n"/>
      <c r="PCW94" s="248" t="n"/>
      <c r="PCX94" s="248" t="n"/>
      <c r="PCY94" s="240" t="n"/>
      <c r="PCZ94" s="240" t="n"/>
      <c r="PDB94" s="15" t="n"/>
      <c r="PDC94" s="15" t="n"/>
      <c r="PDD94" s="248" t="n"/>
      <c r="PDE94" s="248" t="n"/>
      <c r="PDF94" s="240" t="n"/>
      <c r="PDG94" s="240" t="n"/>
      <c r="PDI94" s="15" t="n"/>
      <c r="PDJ94" s="15" t="n"/>
      <c r="PDK94" s="248" t="n"/>
      <c r="PDL94" s="248" t="n"/>
      <c r="PDM94" s="240" t="n"/>
      <c r="PDN94" s="240" t="n"/>
      <c r="PDP94" s="15" t="n"/>
      <c r="PDQ94" s="15" t="n"/>
      <c r="PDR94" s="248" t="n"/>
      <c r="PDS94" s="248" t="n"/>
      <c r="PDT94" s="240" t="n"/>
      <c r="PDU94" s="240" t="n"/>
      <c r="PDW94" s="15" t="n"/>
      <c r="PDX94" s="15" t="n"/>
      <c r="PDY94" s="248" t="n"/>
      <c r="PDZ94" s="248" t="n"/>
      <c r="PEA94" s="240" t="n"/>
      <c r="PEB94" s="240" t="n"/>
      <c r="PED94" s="15" t="n"/>
      <c r="PEE94" s="15" t="n"/>
      <c r="PEF94" s="248" t="n"/>
      <c r="PEG94" s="248" t="n"/>
      <c r="PEH94" s="240" t="n"/>
      <c r="PEI94" s="240" t="n"/>
      <c r="PEK94" s="15" t="n"/>
      <c r="PEL94" s="15" t="n"/>
      <c r="PEM94" s="248" t="n"/>
      <c r="PEN94" s="248" t="n"/>
      <c r="PEO94" s="240" t="n"/>
      <c r="PEP94" s="240" t="n"/>
      <c r="PER94" s="15" t="n"/>
      <c r="PES94" s="15" t="n"/>
      <c r="PET94" s="248" t="n"/>
      <c r="PEU94" s="248" t="n"/>
      <c r="PEV94" s="240" t="n"/>
      <c r="PEW94" s="240" t="n"/>
      <c r="PEY94" s="15" t="n"/>
      <c r="PEZ94" s="15" t="n"/>
      <c r="PFA94" s="248" t="n"/>
      <c r="PFB94" s="248" t="n"/>
      <c r="PFC94" s="240" t="n"/>
      <c r="PFD94" s="240" t="n"/>
      <c r="PFF94" s="15" t="n"/>
      <c r="PFG94" s="15" t="n"/>
      <c r="PFH94" s="248" t="n"/>
      <c r="PFI94" s="248" t="n"/>
      <c r="PFJ94" s="240" t="n"/>
      <c r="PFK94" s="240" t="n"/>
      <c r="PFM94" s="15" t="n"/>
      <c r="PFN94" s="15" t="n"/>
      <c r="PFO94" s="248" t="n"/>
      <c r="PFP94" s="248" t="n"/>
      <c r="PFQ94" s="240" t="n"/>
      <c r="PFR94" s="240" t="n"/>
      <c r="PFT94" s="15" t="n"/>
      <c r="PFU94" s="15" t="n"/>
      <c r="PFV94" s="248" t="n"/>
      <c r="PFW94" s="248" t="n"/>
      <c r="PFX94" s="240" t="n"/>
      <c r="PFY94" s="240" t="n"/>
      <c r="PGA94" s="15" t="n"/>
      <c r="PGB94" s="15" t="n"/>
      <c r="PGC94" s="248" t="n"/>
      <c r="PGD94" s="248" t="n"/>
      <c r="PGE94" s="240" t="n"/>
      <c r="PGF94" s="240" t="n"/>
      <c r="PGH94" s="15" t="n"/>
      <c r="PGI94" s="15" t="n"/>
      <c r="PGJ94" s="248" t="n"/>
      <c r="PGK94" s="248" t="n"/>
      <c r="PGL94" s="240" t="n"/>
      <c r="PGM94" s="240" t="n"/>
      <c r="PGO94" s="15" t="n"/>
      <c r="PGP94" s="15" t="n"/>
      <c r="PGQ94" s="248" t="n"/>
      <c r="PGR94" s="248" t="n"/>
      <c r="PGS94" s="240" t="n"/>
      <c r="PGT94" s="240" t="n"/>
      <c r="PGV94" s="15" t="n"/>
      <c r="PGW94" s="15" t="n"/>
      <c r="PGX94" s="248" t="n"/>
      <c r="PGY94" s="248" t="n"/>
      <c r="PGZ94" s="240" t="n"/>
      <c r="PHA94" s="240" t="n"/>
      <c r="PHC94" s="15" t="n"/>
      <c r="PHD94" s="15" t="n"/>
      <c r="PHE94" s="248" t="n"/>
      <c r="PHF94" s="248" t="n"/>
      <c r="PHG94" s="240" t="n"/>
      <c r="PHH94" s="240" t="n"/>
      <c r="PHJ94" s="15" t="n"/>
      <c r="PHK94" s="15" t="n"/>
      <c r="PHL94" s="248" t="n"/>
      <c r="PHM94" s="248" t="n"/>
      <c r="PHN94" s="240" t="n"/>
      <c r="PHO94" s="240" t="n"/>
      <c r="PHQ94" s="15" t="n"/>
      <c r="PHR94" s="15" t="n"/>
      <c r="PHS94" s="248" t="n"/>
      <c r="PHT94" s="248" t="n"/>
      <c r="PHU94" s="240" t="n"/>
      <c r="PHV94" s="240" t="n"/>
      <c r="PHX94" s="15" t="n"/>
      <c r="PHY94" s="15" t="n"/>
      <c r="PHZ94" s="248" t="n"/>
      <c r="PIA94" s="248" t="n"/>
      <c r="PIB94" s="240" t="n"/>
      <c r="PIC94" s="240" t="n"/>
      <c r="PIE94" s="15" t="n"/>
      <c r="PIF94" s="15" t="n"/>
      <c r="PIG94" s="248" t="n"/>
      <c r="PIH94" s="248" t="n"/>
      <c r="PII94" s="240" t="n"/>
      <c r="PIJ94" s="240" t="n"/>
      <c r="PIL94" s="15" t="n"/>
      <c r="PIM94" s="15" t="n"/>
      <c r="PIN94" s="248" t="n"/>
      <c r="PIO94" s="248" t="n"/>
      <c r="PIP94" s="240" t="n"/>
      <c r="PIQ94" s="240" t="n"/>
      <c r="PIS94" s="15" t="n"/>
      <c r="PIT94" s="15" t="n"/>
      <c r="PIU94" s="248" t="n"/>
      <c r="PIV94" s="248" t="n"/>
      <c r="PIW94" s="240" t="n"/>
      <c r="PIX94" s="240" t="n"/>
      <c r="PIZ94" s="15" t="n"/>
      <c r="PJA94" s="15" t="n"/>
      <c r="PJB94" s="248" t="n"/>
      <c r="PJC94" s="248" t="n"/>
      <c r="PJD94" s="240" t="n"/>
      <c r="PJE94" s="240" t="n"/>
      <c r="PJG94" s="15" t="n"/>
      <c r="PJH94" s="15" t="n"/>
      <c r="PJI94" s="248" t="n"/>
      <c r="PJJ94" s="248" t="n"/>
      <c r="PJK94" s="240" t="n"/>
      <c r="PJL94" s="240" t="n"/>
      <c r="PJN94" s="15" t="n"/>
      <c r="PJO94" s="15" t="n"/>
      <c r="PJP94" s="248" t="n"/>
      <c r="PJQ94" s="248" t="n"/>
      <c r="PJR94" s="240" t="n"/>
      <c r="PJS94" s="240" t="n"/>
      <c r="PJU94" s="15" t="n"/>
      <c r="PJV94" s="15" t="n"/>
      <c r="PJW94" s="248" t="n"/>
      <c r="PJX94" s="248" t="n"/>
      <c r="PJY94" s="240" t="n"/>
      <c r="PJZ94" s="240" t="n"/>
      <c r="PKB94" s="15" t="n"/>
      <c r="PKC94" s="15" t="n"/>
      <c r="PKD94" s="248" t="n"/>
      <c r="PKE94" s="248" t="n"/>
      <c r="PKF94" s="240" t="n"/>
      <c r="PKG94" s="240" t="n"/>
      <c r="PKI94" s="15" t="n"/>
      <c r="PKJ94" s="15" t="n"/>
      <c r="PKK94" s="248" t="n"/>
      <c r="PKL94" s="248" t="n"/>
      <c r="PKM94" s="240" t="n"/>
      <c r="PKN94" s="240" t="n"/>
      <c r="PKP94" s="15" t="n"/>
      <c r="PKQ94" s="15" t="n"/>
      <c r="PKR94" s="248" t="n"/>
      <c r="PKS94" s="248" t="n"/>
      <c r="PKT94" s="240" t="n"/>
      <c r="PKU94" s="240" t="n"/>
      <c r="PKW94" s="15" t="n"/>
      <c r="PKX94" s="15" t="n"/>
      <c r="PKY94" s="248" t="n"/>
      <c r="PKZ94" s="248" t="n"/>
      <c r="PLA94" s="240" t="n"/>
      <c r="PLB94" s="240" t="n"/>
      <c r="PLD94" s="15" t="n"/>
      <c r="PLE94" s="15" t="n"/>
      <c r="PLF94" s="248" t="n"/>
      <c r="PLG94" s="248" t="n"/>
      <c r="PLH94" s="240" t="n"/>
      <c r="PLI94" s="240" t="n"/>
      <c r="PLK94" s="15" t="n"/>
      <c r="PLL94" s="15" t="n"/>
      <c r="PLM94" s="248" t="n"/>
      <c r="PLN94" s="248" t="n"/>
      <c r="PLO94" s="240" t="n"/>
      <c r="PLP94" s="240" t="n"/>
      <c r="PLR94" s="15" t="n"/>
      <c r="PLS94" s="15" t="n"/>
      <c r="PLT94" s="248" t="n"/>
      <c r="PLU94" s="248" t="n"/>
      <c r="PLV94" s="240" t="n"/>
      <c r="PLW94" s="240" t="n"/>
      <c r="PLY94" s="15" t="n"/>
      <c r="PLZ94" s="15" t="n"/>
      <c r="PMA94" s="248" t="n"/>
      <c r="PMB94" s="248" t="n"/>
      <c r="PMC94" s="240" t="n"/>
      <c r="PMD94" s="240" t="n"/>
      <c r="PMF94" s="15" t="n"/>
      <c r="PMG94" s="15" t="n"/>
      <c r="PMH94" s="248" t="n"/>
      <c r="PMI94" s="248" t="n"/>
      <c r="PMJ94" s="240" t="n"/>
      <c r="PMK94" s="240" t="n"/>
      <c r="PMM94" s="15" t="n"/>
      <c r="PMN94" s="15" t="n"/>
      <c r="PMO94" s="248" t="n"/>
      <c r="PMP94" s="248" t="n"/>
      <c r="PMQ94" s="240" t="n"/>
      <c r="PMR94" s="240" t="n"/>
      <c r="PMT94" s="15" t="n"/>
      <c r="PMU94" s="15" t="n"/>
      <c r="PMV94" s="248" t="n"/>
      <c r="PMW94" s="248" t="n"/>
      <c r="PMX94" s="240" t="n"/>
      <c r="PMY94" s="240" t="n"/>
      <c r="PNA94" s="15" t="n"/>
      <c r="PNB94" s="15" t="n"/>
      <c r="PNC94" s="248" t="n"/>
      <c r="PND94" s="248" t="n"/>
      <c r="PNE94" s="240" t="n"/>
      <c r="PNF94" s="240" t="n"/>
      <c r="PNH94" s="15" t="n"/>
      <c r="PNI94" s="15" t="n"/>
      <c r="PNJ94" s="248" t="n"/>
      <c r="PNK94" s="248" t="n"/>
      <c r="PNL94" s="240" t="n"/>
      <c r="PNM94" s="240" t="n"/>
      <c r="PNO94" s="15" t="n"/>
      <c r="PNP94" s="15" t="n"/>
      <c r="PNQ94" s="248" t="n"/>
      <c r="PNR94" s="248" t="n"/>
      <c r="PNS94" s="240" t="n"/>
      <c r="PNT94" s="240" t="n"/>
      <c r="PNV94" s="15" t="n"/>
      <c r="PNW94" s="15" t="n"/>
      <c r="PNX94" s="248" t="n"/>
      <c r="PNY94" s="248" t="n"/>
      <c r="PNZ94" s="240" t="n"/>
      <c r="POA94" s="240" t="n"/>
      <c r="POC94" s="15" t="n"/>
      <c r="POD94" s="15" t="n"/>
      <c r="POE94" s="248" t="n"/>
      <c r="POF94" s="248" t="n"/>
      <c r="POG94" s="240" t="n"/>
      <c r="POH94" s="240" t="n"/>
      <c r="POJ94" s="15" t="n"/>
      <c r="POK94" s="15" t="n"/>
      <c r="POL94" s="248" t="n"/>
      <c r="POM94" s="248" t="n"/>
      <c r="PON94" s="240" t="n"/>
      <c r="POO94" s="240" t="n"/>
      <c r="POQ94" s="15" t="n"/>
      <c r="POR94" s="15" t="n"/>
      <c r="POS94" s="248" t="n"/>
      <c r="POT94" s="248" t="n"/>
      <c r="POU94" s="240" t="n"/>
      <c r="POV94" s="240" t="n"/>
      <c r="POX94" s="15" t="n"/>
      <c r="POY94" s="15" t="n"/>
      <c r="POZ94" s="248" t="n"/>
      <c r="PPA94" s="248" t="n"/>
      <c r="PPB94" s="240" t="n"/>
      <c r="PPC94" s="240" t="n"/>
      <c r="PPE94" s="15" t="n"/>
      <c r="PPF94" s="15" t="n"/>
      <c r="PPG94" s="248" t="n"/>
      <c r="PPH94" s="248" t="n"/>
      <c r="PPI94" s="240" t="n"/>
      <c r="PPJ94" s="240" t="n"/>
      <c r="PPL94" s="15" t="n"/>
      <c r="PPM94" s="15" t="n"/>
      <c r="PPN94" s="248" t="n"/>
      <c r="PPO94" s="248" t="n"/>
      <c r="PPP94" s="240" t="n"/>
      <c r="PPQ94" s="240" t="n"/>
      <c r="PPS94" s="15" t="n"/>
      <c r="PPT94" s="15" t="n"/>
      <c r="PPU94" s="248" t="n"/>
      <c r="PPV94" s="248" t="n"/>
      <c r="PPW94" s="240" t="n"/>
      <c r="PPX94" s="240" t="n"/>
      <c r="PPZ94" s="15" t="n"/>
      <c r="PQA94" s="15" t="n"/>
      <c r="PQB94" s="248" t="n"/>
      <c r="PQC94" s="248" t="n"/>
      <c r="PQD94" s="240" t="n"/>
      <c r="PQE94" s="240" t="n"/>
      <c r="PQG94" s="15" t="n"/>
      <c r="PQH94" s="15" t="n"/>
      <c r="PQI94" s="248" t="n"/>
      <c r="PQJ94" s="248" t="n"/>
      <c r="PQK94" s="240" t="n"/>
      <c r="PQL94" s="240" t="n"/>
      <c r="PQN94" s="15" t="n"/>
      <c r="PQO94" s="15" t="n"/>
      <c r="PQP94" s="248" t="n"/>
      <c r="PQQ94" s="248" t="n"/>
      <c r="PQR94" s="240" t="n"/>
      <c r="PQS94" s="240" t="n"/>
      <c r="PQU94" s="15" t="n"/>
      <c r="PQV94" s="15" t="n"/>
      <c r="PQW94" s="248" t="n"/>
      <c r="PQX94" s="248" t="n"/>
      <c r="PQY94" s="240" t="n"/>
      <c r="PQZ94" s="240" t="n"/>
      <c r="PRB94" s="15" t="n"/>
      <c r="PRC94" s="15" t="n"/>
      <c r="PRD94" s="248" t="n"/>
      <c r="PRE94" s="248" t="n"/>
      <c r="PRF94" s="240" t="n"/>
      <c r="PRG94" s="240" t="n"/>
      <c r="PRI94" s="15" t="n"/>
      <c r="PRJ94" s="15" t="n"/>
      <c r="PRK94" s="248" t="n"/>
      <c r="PRL94" s="248" t="n"/>
      <c r="PRM94" s="240" t="n"/>
      <c r="PRN94" s="240" t="n"/>
      <c r="PRP94" s="15" t="n"/>
      <c r="PRQ94" s="15" t="n"/>
      <c r="PRR94" s="248" t="n"/>
      <c r="PRS94" s="248" t="n"/>
      <c r="PRT94" s="240" t="n"/>
      <c r="PRU94" s="240" t="n"/>
      <c r="PRW94" s="15" t="n"/>
      <c r="PRX94" s="15" t="n"/>
      <c r="PRY94" s="248" t="n"/>
      <c r="PRZ94" s="248" t="n"/>
      <c r="PSA94" s="240" t="n"/>
      <c r="PSB94" s="240" t="n"/>
      <c r="PSD94" s="15" t="n"/>
      <c r="PSE94" s="15" t="n"/>
      <c r="PSF94" s="248" t="n"/>
      <c r="PSG94" s="248" t="n"/>
      <c r="PSH94" s="240" t="n"/>
      <c r="PSI94" s="240" t="n"/>
      <c r="PSK94" s="15" t="n"/>
      <c r="PSL94" s="15" t="n"/>
      <c r="PSM94" s="248" t="n"/>
      <c r="PSN94" s="248" t="n"/>
      <c r="PSO94" s="240" t="n"/>
      <c r="PSP94" s="240" t="n"/>
      <c r="PSR94" s="15" t="n"/>
      <c r="PSS94" s="15" t="n"/>
      <c r="PST94" s="248" t="n"/>
      <c r="PSU94" s="248" t="n"/>
      <c r="PSV94" s="240" t="n"/>
      <c r="PSW94" s="240" t="n"/>
      <c r="PSY94" s="15" t="n"/>
      <c r="PSZ94" s="15" t="n"/>
      <c r="PTA94" s="248" t="n"/>
      <c r="PTB94" s="248" t="n"/>
      <c r="PTC94" s="240" t="n"/>
      <c r="PTD94" s="240" t="n"/>
      <c r="PTF94" s="15" t="n"/>
      <c r="PTG94" s="15" t="n"/>
      <c r="PTH94" s="248" t="n"/>
      <c r="PTI94" s="248" t="n"/>
      <c r="PTJ94" s="240" t="n"/>
      <c r="PTK94" s="240" t="n"/>
      <c r="PTM94" s="15" t="n"/>
      <c r="PTN94" s="15" t="n"/>
      <c r="PTO94" s="248" t="n"/>
      <c r="PTP94" s="248" t="n"/>
      <c r="PTQ94" s="240" t="n"/>
      <c r="PTR94" s="240" t="n"/>
      <c r="PTT94" s="15" t="n"/>
      <c r="PTU94" s="15" t="n"/>
      <c r="PTV94" s="248" t="n"/>
      <c r="PTW94" s="248" t="n"/>
      <c r="PTX94" s="240" t="n"/>
      <c r="PTY94" s="240" t="n"/>
      <c r="PUA94" s="15" t="n"/>
      <c r="PUB94" s="15" t="n"/>
      <c r="PUC94" s="248" t="n"/>
      <c r="PUD94" s="248" t="n"/>
      <c r="PUE94" s="240" t="n"/>
      <c r="PUF94" s="240" t="n"/>
      <c r="PUH94" s="15" t="n"/>
      <c r="PUI94" s="15" t="n"/>
      <c r="PUJ94" s="248" t="n"/>
      <c r="PUK94" s="248" t="n"/>
      <c r="PUL94" s="240" t="n"/>
      <c r="PUM94" s="240" t="n"/>
      <c r="PUO94" s="15" t="n"/>
      <c r="PUP94" s="15" t="n"/>
      <c r="PUQ94" s="248" t="n"/>
      <c r="PUR94" s="248" t="n"/>
      <c r="PUS94" s="240" t="n"/>
      <c r="PUT94" s="240" t="n"/>
      <c r="PUV94" s="15" t="n"/>
      <c r="PUW94" s="15" t="n"/>
      <c r="PUX94" s="248" t="n"/>
      <c r="PUY94" s="248" t="n"/>
      <c r="PUZ94" s="240" t="n"/>
      <c r="PVA94" s="240" t="n"/>
      <c r="PVC94" s="15" t="n"/>
      <c r="PVD94" s="15" t="n"/>
      <c r="PVE94" s="248" t="n"/>
      <c r="PVF94" s="248" t="n"/>
      <c r="PVG94" s="240" t="n"/>
      <c r="PVH94" s="240" t="n"/>
      <c r="PVJ94" s="15" t="n"/>
      <c r="PVK94" s="15" t="n"/>
      <c r="PVL94" s="248" t="n"/>
      <c r="PVM94" s="248" t="n"/>
      <c r="PVN94" s="240" t="n"/>
      <c r="PVO94" s="240" t="n"/>
      <c r="PVQ94" s="15" t="n"/>
      <c r="PVR94" s="15" t="n"/>
      <c r="PVS94" s="248" t="n"/>
      <c r="PVT94" s="248" t="n"/>
      <c r="PVU94" s="240" t="n"/>
      <c r="PVV94" s="240" t="n"/>
      <c r="PVX94" s="15" t="n"/>
      <c r="PVY94" s="15" t="n"/>
      <c r="PVZ94" s="248" t="n"/>
      <c r="PWA94" s="248" t="n"/>
      <c r="PWB94" s="240" t="n"/>
      <c r="PWC94" s="240" t="n"/>
      <c r="PWE94" s="15" t="n"/>
      <c r="PWF94" s="15" t="n"/>
      <c r="PWG94" s="248" t="n"/>
      <c r="PWH94" s="248" t="n"/>
      <c r="PWI94" s="240" t="n"/>
      <c r="PWJ94" s="240" t="n"/>
      <c r="PWL94" s="15" t="n"/>
      <c r="PWM94" s="15" t="n"/>
      <c r="PWN94" s="248" t="n"/>
      <c r="PWO94" s="248" t="n"/>
      <c r="PWP94" s="240" t="n"/>
      <c r="PWQ94" s="240" t="n"/>
      <c r="PWS94" s="15" t="n"/>
      <c r="PWT94" s="15" t="n"/>
      <c r="PWU94" s="248" t="n"/>
      <c r="PWV94" s="248" t="n"/>
      <c r="PWW94" s="240" t="n"/>
      <c r="PWX94" s="240" t="n"/>
      <c r="PWZ94" s="15" t="n"/>
      <c r="PXA94" s="15" t="n"/>
      <c r="PXB94" s="248" t="n"/>
      <c r="PXC94" s="248" t="n"/>
      <c r="PXD94" s="240" t="n"/>
      <c r="PXE94" s="240" t="n"/>
      <c r="PXG94" s="15" t="n"/>
      <c r="PXH94" s="15" t="n"/>
      <c r="PXI94" s="248" t="n"/>
      <c r="PXJ94" s="248" t="n"/>
      <c r="PXK94" s="240" t="n"/>
      <c r="PXL94" s="240" t="n"/>
      <c r="PXN94" s="15" t="n"/>
      <c r="PXO94" s="15" t="n"/>
      <c r="PXP94" s="248" t="n"/>
      <c r="PXQ94" s="248" t="n"/>
      <c r="PXR94" s="240" t="n"/>
      <c r="PXS94" s="240" t="n"/>
      <c r="PXU94" s="15" t="n"/>
      <c r="PXV94" s="15" t="n"/>
      <c r="PXW94" s="248" t="n"/>
      <c r="PXX94" s="248" t="n"/>
      <c r="PXY94" s="240" t="n"/>
      <c r="PXZ94" s="240" t="n"/>
      <c r="PYB94" s="15" t="n"/>
      <c r="PYC94" s="15" t="n"/>
      <c r="PYD94" s="248" t="n"/>
      <c r="PYE94" s="248" t="n"/>
      <c r="PYF94" s="240" t="n"/>
      <c r="PYG94" s="240" t="n"/>
      <c r="PYI94" s="15" t="n"/>
      <c r="PYJ94" s="15" t="n"/>
      <c r="PYK94" s="248" t="n"/>
      <c r="PYL94" s="248" t="n"/>
      <c r="PYM94" s="240" t="n"/>
      <c r="PYN94" s="240" t="n"/>
      <c r="PYP94" s="15" t="n"/>
      <c r="PYQ94" s="15" t="n"/>
      <c r="PYR94" s="248" t="n"/>
      <c r="PYS94" s="248" t="n"/>
      <c r="PYT94" s="240" t="n"/>
      <c r="PYU94" s="240" t="n"/>
      <c r="PYW94" s="15" t="n"/>
      <c r="PYX94" s="15" t="n"/>
      <c r="PYY94" s="248" t="n"/>
      <c r="PYZ94" s="248" t="n"/>
      <c r="PZA94" s="240" t="n"/>
      <c r="PZB94" s="240" t="n"/>
      <c r="PZD94" s="15" t="n"/>
      <c r="PZE94" s="15" t="n"/>
      <c r="PZF94" s="248" t="n"/>
      <c r="PZG94" s="248" t="n"/>
      <c r="PZH94" s="240" t="n"/>
      <c r="PZI94" s="240" t="n"/>
      <c r="PZK94" s="15" t="n"/>
      <c r="PZL94" s="15" t="n"/>
      <c r="PZM94" s="248" t="n"/>
      <c r="PZN94" s="248" t="n"/>
      <c r="PZO94" s="240" t="n"/>
      <c r="PZP94" s="240" t="n"/>
      <c r="PZR94" s="15" t="n"/>
      <c r="PZS94" s="15" t="n"/>
      <c r="PZT94" s="248" t="n"/>
      <c r="PZU94" s="248" t="n"/>
      <c r="PZV94" s="240" t="n"/>
      <c r="PZW94" s="240" t="n"/>
      <c r="PZY94" s="15" t="n"/>
      <c r="PZZ94" s="15" t="n"/>
      <c r="QAA94" s="248" t="n"/>
      <c r="QAB94" s="248" t="n"/>
      <c r="QAC94" s="240" t="n"/>
      <c r="QAD94" s="240" t="n"/>
      <c r="QAF94" s="15" t="n"/>
      <c r="QAG94" s="15" t="n"/>
      <c r="QAH94" s="248" t="n"/>
      <c r="QAI94" s="248" t="n"/>
      <c r="QAJ94" s="240" t="n"/>
      <c r="QAK94" s="240" t="n"/>
      <c r="QAM94" s="15" t="n"/>
      <c r="QAN94" s="15" t="n"/>
      <c r="QAO94" s="248" t="n"/>
      <c r="QAP94" s="248" t="n"/>
      <c r="QAQ94" s="240" t="n"/>
      <c r="QAR94" s="240" t="n"/>
      <c r="QAT94" s="15" t="n"/>
      <c r="QAU94" s="15" t="n"/>
      <c r="QAV94" s="248" t="n"/>
      <c r="QAW94" s="248" t="n"/>
      <c r="QAX94" s="240" t="n"/>
      <c r="QAY94" s="240" t="n"/>
      <c r="QBA94" s="15" t="n"/>
      <c r="QBB94" s="15" t="n"/>
      <c r="QBC94" s="248" t="n"/>
      <c r="QBD94" s="248" t="n"/>
      <c r="QBE94" s="240" t="n"/>
      <c r="QBF94" s="240" t="n"/>
      <c r="QBH94" s="15" t="n"/>
      <c r="QBI94" s="15" t="n"/>
      <c r="QBJ94" s="248" t="n"/>
      <c r="QBK94" s="248" t="n"/>
      <c r="QBL94" s="240" t="n"/>
      <c r="QBM94" s="240" t="n"/>
      <c r="QBO94" s="15" t="n"/>
      <c r="QBP94" s="15" t="n"/>
      <c r="QBQ94" s="248" t="n"/>
      <c r="QBR94" s="248" t="n"/>
      <c r="QBS94" s="240" t="n"/>
      <c r="QBT94" s="240" t="n"/>
      <c r="QBV94" s="15" t="n"/>
      <c r="QBW94" s="15" t="n"/>
      <c r="QBX94" s="248" t="n"/>
      <c r="QBY94" s="248" t="n"/>
      <c r="QBZ94" s="240" t="n"/>
      <c r="QCA94" s="240" t="n"/>
      <c r="QCC94" s="15" t="n"/>
      <c r="QCD94" s="15" t="n"/>
      <c r="QCE94" s="248" t="n"/>
      <c r="QCF94" s="248" t="n"/>
      <c r="QCG94" s="240" t="n"/>
      <c r="QCH94" s="240" t="n"/>
      <c r="QCJ94" s="15" t="n"/>
      <c r="QCK94" s="15" t="n"/>
      <c r="QCL94" s="248" t="n"/>
      <c r="QCM94" s="248" t="n"/>
      <c r="QCN94" s="240" t="n"/>
      <c r="QCO94" s="240" t="n"/>
      <c r="QCQ94" s="15" t="n"/>
      <c r="QCR94" s="15" t="n"/>
      <c r="QCS94" s="248" t="n"/>
      <c r="QCT94" s="248" t="n"/>
      <c r="QCU94" s="240" t="n"/>
      <c r="QCV94" s="240" t="n"/>
      <c r="QCX94" s="15" t="n"/>
      <c r="QCY94" s="15" t="n"/>
      <c r="QCZ94" s="248" t="n"/>
      <c r="QDA94" s="248" t="n"/>
      <c r="QDB94" s="240" t="n"/>
      <c r="QDC94" s="240" t="n"/>
      <c r="QDE94" s="15" t="n"/>
      <c r="QDF94" s="15" t="n"/>
      <c r="QDG94" s="248" t="n"/>
      <c r="QDH94" s="248" t="n"/>
      <c r="QDI94" s="240" t="n"/>
      <c r="QDJ94" s="240" t="n"/>
      <c r="QDL94" s="15" t="n"/>
      <c r="QDM94" s="15" t="n"/>
      <c r="QDN94" s="248" t="n"/>
      <c r="QDO94" s="248" t="n"/>
      <c r="QDP94" s="240" t="n"/>
      <c r="QDQ94" s="240" t="n"/>
      <c r="QDS94" s="15" t="n"/>
      <c r="QDT94" s="15" t="n"/>
      <c r="QDU94" s="248" t="n"/>
      <c r="QDV94" s="248" t="n"/>
      <c r="QDW94" s="240" t="n"/>
      <c r="QDX94" s="240" t="n"/>
      <c r="QDZ94" s="15" t="n"/>
      <c r="QEA94" s="15" t="n"/>
      <c r="QEB94" s="248" t="n"/>
      <c r="QEC94" s="248" t="n"/>
      <c r="QED94" s="240" t="n"/>
      <c r="QEE94" s="240" t="n"/>
      <c r="QEG94" s="15" t="n"/>
      <c r="QEH94" s="15" t="n"/>
      <c r="QEI94" s="248" t="n"/>
      <c r="QEJ94" s="248" t="n"/>
      <c r="QEK94" s="240" t="n"/>
      <c r="QEL94" s="240" t="n"/>
      <c r="QEN94" s="15" t="n"/>
      <c r="QEO94" s="15" t="n"/>
      <c r="QEP94" s="248" t="n"/>
      <c r="QEQ94" s="248" t="n"/>
      <c r="QER94" s="240" t="n"/>
      <c r="QES94" s="240" t="n"/>
      <c r="QEU94" s="15" t="n"/>
      <c r="QEV94" s="15" t="n"/>
      <c r="QEW94" s="248" t="n"/>
      <c r="QEX94" s="248" t="n"/>
      <c r="QEY94" s="240" t="n"/>
      <c r="QEZ94" s="240" t="n"/>
      <c r="QFB94" s="15" t="n"/>
      <c r="QFC94" s="15" t="n"/>
      <c r="QFD94" s="248" t="n"/>
      <c r="QFE94" s="248" t="n"/>
      <c r="QFF94" s="240" t="n"/>
      <c r="QFG94" s="240" t="n"/>
      <c r="QFI94" s="15" t="n"/>
      <c r="QFJ94" s="15" t="n"/>
      <c r="QFK94" s="248" t="n"/>
      <c r="QFL94" s="248" t="n"/>
      <c r="QFM94" s="240" t="n"/>
      <c r="QFN94" s="240" t="n"/>
      <c r="QFP94" s="15" t="n"/>
      <c r="QFQ94" s="15" t="n"/>
      <c r="QFR94" s="248" t="n"/>
      <c r="QFS94" s="248" t="n"/>
      <c r="QFT94" s="240" t="n"/>
      <c r="QFU94" s="240" t="n"/>
      <c r="QFW94" s="15" t="n"/>
      <c r="QFX94" s="15" t="n"/>
      <c r="QFY94" s="248" t="n"/>
      <c r="QFZ94" s="248" t="n"/>
      <c r="QGA94" s="240" t="n"/>
      <c r="QGB94" s="240" t="n"/>
      <c r="QGD94" s="15" t="n"/>
      <c r="QGE94" s="15" t="n"/>
      <c r="QGF94" s="248" t="n"/>
      <c r="QGG94" s="248" t="n"/>
      <c r="QGH94" s="240" t="n"/>
      <c r="QGI94" s="240" t="n"/>
      <c r="QGK94" s="15" t="n"/>
      <c r="QGL94" s="15" t="n"/>
      <c r="QGM94" s="248" t="n"/>
      <c r="QGN94" s="248" t="n"/>
      <c r="QGO94" s="240" t="n"/>
      <c r="QGP94" s="240" t="n"/>
      <c r="QGR94" s="15" t="n"/>
      <c r="QGS94" s="15" t="n"/>
      <c r="QGT94" s="248" t="n"/>
      <c r="QGU94" s="248" t="n"/>
      <c r="QGV94" s="240" t="n"/>
      <c r="QGW94" s="240" t="n"/>
      <c r="QGY94" s="15" t="n"/>
      <c r="QGZ94" s="15" t="n"/>
      <c r="QHA94" s="248" t="n"/>
      <c r="QHB94" s="248" t="n"/>
      <c r="QHC94" s="240" t="n"/>
      <c r="QHD94" s="240" t="n"/>
      <c r="QHF94" s="15" t="n"/>
      <c r="QHG94" s="15" t="n"/>
      <c r="QHH94" s="248" t="n"/>
      <c r="QHI94" s="248" t="n"/>
      <c r="QHJ94" s="240" t="n"/>
      <c r="QHK94" s="240" t="n"/>
      <c r="QHM94" s="15" t="n"/>
      <c r="QHN94" s="15" t="n"/>
      <c r="QHO94" s="248" t="n"/>
      <c r="QHP94" s="248" t="n"/>
      <c r="QHQ94" s="240" t="n"/>
      <c r="QHR94" s="240" t="n"/>
      <c r="QHT94" s="15" t="n"/>
      <c r="QHU94" s="15" t="n"/>
      <c r="QHV94" s="248" t="n"/>
      <c r="QHW94" s="248" t="n"/>
      <c r="QHX94" s="240" t="n"/>
      <c r="QHY94" s="240" t="n"/>
      <c r="QIA94" s="15" t="n"/>
      <c r="QIB94" s="15" t="n"/>
      <c r="QIC94" s="248" t="n"/>
      <c r="QID94" s="248" t="n"/>
      <c r="QIE94" s="240" t="n"/>
      <c r="QIF94" s="240" t="n"/>
      <c r="QIH94" s="15" t="n"/>
      <c r="QII94" s="15" t="n"/>
      <c r="QIJ94" s="248" t="n"/>
      <c r="QIK94" s="248" t="n"/>
      <c r="QIL94" s="240" t="n"/>
      <c r="QIM94" s="240" t="n"/>
      <c r="QIO94" s="15" t="n"/>
      <c r="QIP94" s="15" t="n"/>
      <c r="QIQ94" s="248" t="n"/>
      <c r="QIR94" s="248" t="n"/>
      <c r="QIS94" s="240" t="n"/>
      <c r="QIT94" s="240" t="n"/>
      <c r="QIV94" s="15" t="n"/>
      <c r="QIW94" s="15" t="n"/>
      <c r="QIX94" s="248" t="n"/>
      <c r="QIY94" s="248" t="n"/>
      <c r="QIZ94" s="240" t="n"/>
      <c r="QJA94" s="240" t="n"/>
      <c r="QJC94" s="15" t="n"/>
      <c r="QJD94" s="15" t="n"/>
      <c r="QJE94" s="248" t="n"/>
      <c r="QJF94" s="248" t="n"/>
      <c r="QJG94" s="240" t="n"/>
      <c r="QJH94" s="240" t="n"/>
      <c r="QJJ94" s="15" t="n"/>
      <c r="QJK94" s="15" t="n"/>
      <c r="QJL94" s="248" t="n"/>
      <c r="QJM94" s="248" t="n"/>
      <c r="QJN94" s="240" t="n"/>
      <c r="QJO94" s="240" t="n"/>
      <c r="QJQ94" s="15" t="n"/>
      <c r="QJR94" s="15" t="n"/>
      <c r="QJS94" s="248" t="n"/>
      <c r="QJT94" s="248" t="n"/>
      <c r="QJU94" s="240" t="n"/>
      <c r="QJV94" s="240" t="n"/>
      <c r="QJX94" s="15" t="n"/>
      <c r="QJY94" s="15" t="n"/>
      <c r="QJZ94" s="248" t="n"/>
      <c r="QKA94" s="248" t="n"/>
      <c r="QKB94" s="240" t="n"/>
      <c r="QKC94" s="240" t="n"/>
      <c r="QKE94" s="15" t="n"/>
      <c r="QKF94" s="15" t="n"/>
      <c r="QKG94" s="248" t="n"/>
      <c r="QKH94" s="248" t="n"/>
      <c r="QKI94" s="240" t="n"/>
      <c r="QKJ94" s="240" t="n"/>
      <c r="QKL94" s="15" t="n"/>
      <c r="QKM94" s="15" t="n"/>
      <c r="QKN94" s="248" t="n"/>
      <c r="QKO94" s="248" t="n"/>
      <c r="QKP94" s="240" t="n"/>
      <c r="QKQ94" s="240" t="n"/>
      <c r="QKS94" s="15" t="n"/>
      <c r="QKT94" s="15" t="n"/>
      <c r="QKU94" s="248" t="n"/>
      <c r="QKV94" s="248" t="n"/>
      <c r="QKW94" s="240" t="n"/>
      <c r="QKX94" s="240" t="n"/>
      <c r="QKZ94" s="15" t="n"/>
      <c r="QLA94" s="15" t="n"/>
      <c r="QLB94" s="248" t="n"/>
      <c r="QLC94" s="248" t="n"/>
      <c r="QLD94" s="240" t="n"/>
      <c r="QLE94" s="240" t="n"/>
      <c r="QLG94" s="15" t="n"/>
      <c r="QLH94" s="15" t="n"/>
      <c r="QLI94" s="248" t="n"/>
      <c r="QLJ94" s="248" t="n"/>
      <c r="QLK94" s="240" t="n"/>
      <c r="QLL94" s="240" t="n"/>
      <c r="QLN94" s="15" t="n"/>
      <c r="QLO94" s="15" t="n"/>
      <c r="QLP94" s="248" t="n"/>
      <c r="QLQ94" s="248" t="n"/>
      <c r="QLR94" s="240" t="n"/>
      <c r="QLS94" s="240" t="n"/>
      <c r="QLU94" s="15" t="n"/>
      <c r="QLV94" s="15" t="n"/>
      <c r="QLW94" s="248" t="n"/>
      <c r="QLX94" s="248" t="n"/>
      <c r="QLY94" s="240" t="n"/>
      <c r="QLZ94" s="240" t="n"/>
      <c r="QMB94" s="15" t="n"/>
      <c r="QMC94" s="15" t="n"/>
      <c r="QMD94" s="248" t="n"/>
      <c r="QME94" s="248" t="n"/>
      <c r="QMF94" s="240" t="n"/>
      <c r="QMG94" s="240" t="n"/>
      <c r="QMI94" s="15" t="n"/>
      <c r="QMJ94" s="15" t="n"/>
      <c r="QMK94" s="248" t="n"/>
      <c r="QML94" s="248" t="n"/>
      <c r="QMM94" s="240" t="n"/>
      <c r="QMN94" s="240" t="n"/>
      <c r="QMP94" s="15" t="n"/>
      <c r="QMQ94" s="15" t="n"/>
      <c r="QMR94" s="248" t="n"/>
      <c r="QMS94" s="248" t="n"/>
      <c r="QMT94" s="240" t="n"/>
      <c r="QMU94" s="240" t="n"/>
      <c r="QMW94" s="15" t="n"/>
      <c r="QMX94" s="15" t="n"/>
      <c r="QMY94" s="248" t="n"/>
      <c r="QMZ94" s="248" t="n"/>
      <c r="QNA94" s="240" t="n"/>
      <c r="QNB94" s="240" t="n"/>
      <c r="QND94" s="15" t="n"/>
      <c r="QNE94" s="15" t="n"/>
      <c r="QNF94" s="248" t="n"/>
      <c r="QNG94" s="248" t="n"/>
      <c r="QNH94" s="240" t="n"/>
      <c r="QNI94" s="240" t="n"/>
      <c r="QNK94" s="15" t="n"/>
      <c r="QNL94" s="15" t="n"/>
      <c r="QNM94" s="248" t="n"/>
      <c r="QNN94" s="248" t="n"/>
      <c r="QNO94" s="240" t="n"/>
      <c r="QNP94" s="240" t="n"/>
      <c r="QNR94" s="15" t="n"/>
      <c r="QNS94" s="15" t="n"/>
      <c r="QNT94" s="248" t="n"/>
      <c r="QNU94" s="248" t="n"/>
      <c r="QNV94" s="240" t="n"/>
      <c r="QNW94" s="240" t="n"/>
      <c r="QNY94" s="15" t="n"/>
      <c r="QNZ94" s="15" t="n"/>
      <c r="QOA94" s="248" t="n"/>
      <c r="QOB94" s="248" t="n"/>
      <c r="QOC94" s="240" t="n"/>
      <c r="QOD94" s="240" t="n"/>
      <c r="QOF94" s="15" t="n"/>
      <c r="QOG94" s="15" t="n"/>
      <c r="QOH94" s="248" t="n"/>
      <c r="QOI94" s="248" t="n"/>
      <c r="QOJ94" s="240" t="n"/>
      <c r="QOK94" s="240" t="n"/>
      <c r="QOM94" s="15" t="n"/>
      <c r="QON94" s="15" t="n"/>
      <c r="QOO94" s="248" t="n"/>
      <c r="QOP94" s="248" t="n"/>
      <c r="QOQ94" s="240" t="n"/>
      <c r="QOR94" s="240" t="n"/>
      <c r="QOT94" s="15" t="n"/>
      <c r="QOU94" s="15" t="n"/>
      <c r="QOV94" s="248" t="n"/>
      <c r="QOW94" s="248" t="n"/>
      <c r="QOX94" s="240" t="n"/>
      <c r="QOY94" s="240" t="n"/>
      <c r="QPA94" s="15" t="n"/>
      <c r="QPB94" s="15" t="n"/>
      <c r="QPC94" s="248" t="n"/>
      <c r="QPD94" s="248" t="n"/>
      <c r="QPE94" s="240" t="n"/>
      <c r="QPF94" s="240" t="n"/>
      <c r="QPH94" s="15" t="n"/>
      <c r="QPI94" s="15" t="n"/>
      <c r="QPJ94" s="248" t="n"/>
      <c r="QPK94" s="248" t="n"/>
      <c r="QPL94" s="240" t="n"/>
      <c r="QPM94" s="240" t="n"/>
      <c r="QPO94" s="15" t="n"/>
      <c r="QPP94" s="15" t="n"/>
      <c r="QPQ94" s="248" t="n"/>
      <c r="QPR94" s="248" t="n"/>
      <c r="QPS94" s="240" t="n"/>
      <c r="QPT94" s="240" t="n"/>
      <c r="QPV94" s="15" t="n"/>
      <c r="QPW94" s="15" t="n"/>
      <c r="QPX94" s="248" t="n"/>
      <c r="QPY94" s="248" t="n"/>
      <c r="QPZ94" s="240" t="n"/>
      <c r="QQA94" s="240" t="n"/>
      <c r="QQC94" s="15" t="n"/>
      <c r="QQD94" s="15" t="n"/>
      <c r="QQE94" s="248" t="n"/>
      <c r="QQF94" s="248" t="n"/>
      <c r="QQG94" s="240" t="n"/>
      <c r="QQH94" s="240" t="n"/>
      <c r="QQJ94" s="15" t="n"/>
      <c r="QQK94" s="15" t="n"/>
      <c r="QQL94" s="248" t="n"/>
      <c r="QQM94" s="248" t="n"/>
      <c r="QQN94" s="240" t="n"/>
      <c r="QQO94" s="240" t="n"/>
      <c r="QQQ94" s="15" t="n"/>
      <c r="QQR94" s="15" t="n"/>
      <c r="QQS94" s="248" t="n"/>
      <c r="QQT94" s="248" t="n"/>
      <c r="QQU94" s="240" t="n"/>
      <c r="QQV94" s="240" t="n"/>
      <c r="QQX94" s="15" t="n"/>
      <c r="QQY94" s="15" t="n"/>
      <c r="QQZ94" s="248" t="n"/>
      <c r="QRA94" s="248" t="n"/>
      <c r="QRB94" s="240" t="n"/>
      <c r="QRC94" s="240" t="n"/>
      <c r="QRE94" s="15" t="n"/>
      <c r="QRF94" s="15" t="n"/>
      <c r="QRG94" s="248" t="n"/>
      <c r="QRH94" s="248" t="n"/>
      <c r="QRI94" s="240" t="n"/>
      <c r="QRJ94" s="240" t="n"/>
      <c r="QRL94" s="15" t="n"/>
      <c r="QRM94" s="15" t="n"/>
      <c r="QRN94" s="248" t="n"/>
      <c r="QRO94" s="248" t="n"/>
      <c r="QRP94" s="240" t="n"/>
      <c r="QRQ94" s="240" t="n"/>
      <c r="QRS94" s="15" t="n"/>
      <c r="QRT94" s="15" t="n"/>
      <c r="QRU94" s="248" t="n"/>
      <c r="QRV94" s="248" t="n"/>
      <c r="QRW94" s="240" t="n"/>
      <c r="QRX94" s="240" t="n"/>
      <c r="QRZ94" s="15" t="n"/>
      <c r="QSA94" s="15" t="n"/>
      <c r="QSB94" s="248" t="n"/>
      <c r="QSC94" s="248" t="n"/>
      <c r="QSD94" s="240" t="n"/>
      <c r="QSE94" s="240" t="n"/>
      <c r="QSG94" s="15" t="n"/>
      <c r="QSH94" s="15" t="n"/>
      <c r="QSI94" s="248" t="n"/>
      <c r="QSJ94" s="248" t="n"/>
      <c r="QSK94" s="240" t="n"/>
      <c r="QSL94" s="240" t="n"/>
      <c r="QSN94" s="15" t="n"/>
      <c r="QSO94" s="15" t="n"/>
      <c r="QSP94" s="248" t="n"/>
      <c r="QSQ94" s="248" t="n"/>
      <c r="QSR94" s="240" t="n"/>
      <c r="QSS94" s="240" t="n"/>
      <c r="QSU94" s="15" t="n"/>
      <c r="QSV94" s="15" t="n"/>
      <c r="QSW94" s="248" t="n"/>
      <c r="QSX94" s="248" t="n"/>
      <c r="QSY94" s="240" t="n"/>
      <c r="QSZ94" s="240" t="n"/>
      <c r="QTB94" s="15" t="n"/>
      <c r="QTC94" s="15" t="n"/>
      <c r="QTD94" s="248" t="n"/>
      <c r="QTE94" s="248" t="n"/>
      <c r="QTF94" s="240" t="n"/>
      <c r="QTG94" s="240" t="n"/>
      <c r="QTI94" s="15" t="n"/>
      <c r="QTJ94" s="15" t="n"/>
      <c r="QTK94" s="248" t="n"/>
      <c r="QTL94" s="248" t="n"/>
      <c r="QTM94" s="240" t="n"/>
      <c r="QTN94" s="240" t="n"/>
      <c r="QTP94" s="15" t="n"/>
      <c r="QTQ94" s="15" t="n"/>
      <c r="QTR94" s="248" t="n"/>
      <c r="QTS94" s="248" t="n"/>
      <c r="QTT94" s="240" t="n"/>
      <c r="QTU94" s="240" t="n"/>
      <c r="QTW94" s="15" t="n"/>
      <c r="QTX94" s="15" t="n"/>
      <c r="QTY94" s="248" t="n"/>
      <c r="QTZ94" s="248" t="n"/>
      <c r="QUA94" s="240" t="n"/>
      <c r="QUB94" s="240" t="n"/>
      <c r="QUD94" s="15" t="n"/>
      <c r="QUE94" s="15" t="n"/>
      <c r="QUF94" s="248" t="n"/>
      <c r="QUG94" s="248" t="n"/>
      <c r="QUH94" s="240" t="n"/>
      <c r="QUI94" s="240" t="n"/>
      <c r="QUK94" s="15" t="n"/>
      <c r="QUL94" s="15" t="n"/>
      <c r="QUM94" s="248" t="n"/>
      <c r="QUN94" s="248" t="n"/>
      <c r="QUO94" s="240" t="n"/>
      <c r="QUP94" s="240" t="n"/>
      <c r="QUR94" s="15" t="n"/>
      <c r="QUS94" s="15" t="n"/>
      <c r="QUT94" s="248" t="n"/>
      <c r="QUU94" s="248" t="n"/>
      <c r="QUV94" s="240" t="n"/>
      <c r="QUW94" s="240" t="n"/>
      <c r="QUY94" s="15" t="n"/>
      <c r="QUZ94" s="15" t="n"/>
      <c r="QVA94" s="248" t="n"/>
      <c r="QVB94" s="248" t="n"/>
      <c r="QVC94" s="240" t="n"/>
      <c r="QVD94" s="240" t="n"/>
      <c r="QVF94" s="15" t="n"/>
      <c r="QVG94" s="15" t="n"/>
      <c r="QVH94" s="248" t="n"/>
      <c r="QVI94" s="248" t="n"/>
      <c r="QVJ94" s="240" t="n"/>
      <c r="QVK94" s="240" t="n"/>
      <c r="QVM94" s="15" t="n"/>
      <c r="QVN94" s="15" t="n"/>
      <c r="QVO94" s="248" t="n"/>
      <c r="QVP94" s="248" t="n"/>
      <c r="QVQ94" s="240" t="n"/>
      <c r="QVR94" s="240" t="n"/>
      <c r="QVT94" s="15" t="n"/>
      <c r="QVU94" s="15" t="n"/>
      <c r="QVV94" s="248" t="n"/>
      <c r="QVW94" s="248" t="n"/>
      <c r="QVX94" s="240" t="n"/>
      <c r="QVY94" s="240" t="n"/>
      <c r="QWA94" s="15" t="n"/>
      <c r="QWB94" s="15" t="n"/>
      <c r="QWC94" s="248" t="n"/>
      <c r="QWD94" s="248" t="n"/>
      <c r="QWE94" s="240" t="n"/>
      <c r="QWF94" s="240" t="n"/>
      <c r="QWH94" s="15" t="n"/>
      <c r="QWI94" s="15" t="n"/>
      <c r="QWJ94" s="248" t="n"/>
      <c r="QWK94" s="248" t="n"/>
      <c r="QWL94" s="240" t="n"/>
      <c r="QWM94" s="240" t="n"/>
      <c r="QWO94" s="15" t="n"/>
      <c r="QWP94" s="15" t="n"/>
      <c r="QWQ94" s="248" t="n"/>
      <c r="QWR94" s="248" t="n"/>
      <c r="QWS94" s="240" t="n"/>
      <c r="QWT94" s="240" t="n"/>
      <c r="QWV94" s="15" t="n"/>
      <c r="QWW94" s="15" t="n"/>
      <c r="QWX94" s="248" t="n"/>
      <c r="QWY94" s="248" t="n"/>
      <c r="QWZ94" s="240" t="n"/>
      <c r="QXA94" s="240" t="n"/>
      <c r="QXC94" s="15" t="n"/>
      <c r="QXD94" s="15" t="n"/>
      <c r="QXE94" s="248" t="n"/>
      <c r="QXF94" s="248" t="n"/>
      <c r="QXG94" s="240" t="n"/>
      <c r="QXH94" s="240" t="n"/>
      <c r="QXJ94" s="15" t="n"/>
      <c r="QXK94" s="15" t="n"/>
      <c r="QXL94" s="248" t="n"/>
      <c r="QXM94" s="248" t="n"/>
      <c r="QXN94" s="240" t="n"/>
      <c r="QXO94" s="240" t="n"/>
      <c r="QXQ94" s="15" t="n"/>
      <c r="QXR94" s="15" t="n"/>
      <c r="QXS94" s="248" t="n"/>
      <c r="QXT94" s="248" t="n"/>
      <c r="QXU94" s="240" t="n"/>
      <c r="QXV94" s="240" t="n"/>
      <c r="QXX94" s="15" t="n"/>
      <c r="QXY94" s="15" t="n"/>
      <c r="QXZ94" s="248" t="n"/>
      <c r="QYA94" s="248" t="n"/>
      <c r="QYB94" s="240" t="n"/>
      <c r="QYC94" s="240" t="n"/>
      <c r="QYE94" s="15" t="n"/>
      <c r="QYF94" s="15" t="n"/>
      <c r="QYG94" s="248" t="n"/>
      <c r="QYH94" s="248" t="n"/>
      <c r="QYI94" s="240" t="n"/>
      <c r="QYJ94" s="240" t="n"/>
      <c r="QYL94" s="15" t="n"/>
      <c r="QYM94" s="15" t="n"/>
      <c r="QYN94" s="248" t="n"/>
      <c r="QYO94" s="248" t="n"/>
      <c r="QYP94" s="240" t="n"/>
      <c r="QYQ94" s="240" t="n"/>
      <c r="QYS94" s="15" t="n"/>
      <c r="QYT94" s="15" t="n"/>
      <c r="QYU94" s="248" t="n"/>
      <c r="QYV94" s="248" t="n"/>
      <c r="QYW94" s="240" t="n"/>
      <c r="QYX94" s="240" t="n"/>
      <c r="QYZ94" s="15" t="n"/>
      <c r="QZA94" s="15" t="n"/>
      <c r="QZB94" s="248" t="n"/>
      <c r="QZC94" s="248" t="n"/>
      <c r="QZD94" s="240" t="n"/>
      <c r="QZE94" s="240" t="n"/>
      <c r="QZG94" s="15" t="n"/>
      <c r="QZH94" s="15" t="n"/>
      <c r="QZI94" s="248" t="n"/>
      <c r="QZJ94" s="248" t="n"/>
      <c r="QZK94" s="240" t="n"/>
      <c r="QZL94" s="240" t="n"/>
      <c r="QZN94" s="15" t="n"/>
      <c r="QZO94" s="15" t="n"/>
      <c r="QZP94" s="248" t="n"/>
      <c r="QZQ94" s="248" t="n"/>
      <c r="QZR94" s="240" t="n"/>
      <c r="QZS94" s="240" t="n"/>
      <c r="QZU94" s="15" t="n"/>
      <c r="QZV94" s="15" t="n"/>
      <c r="QZW94" s="248" t="n"/>
      <c r="QZX94" s="248" t="n"/>
      <c r="QZY94" s="240" t="n"/>
      <c r="QZZ94" s="240" t="n"/>
      <c r="RAB94" s="15" t="n"/>
      <c r="RAC94" s="15" t="n"/>
      <c r="RAD94" s="248" t="n"/>
      <c r="RAE94" s="248" t="n"/>
      <c r="RAF94" s="240" t="n"/>
      <c r="RAG94" s="240" t="n"/>
      <c r="RAI94" s="15" t="n"/>
      <c r="RAJ94" s="15" t="n"/>
      <c r="RAK94" s="248" t="n"/>
      <c r="RAL94" s="248" t="n"/>
      <c r="RAM94" s="240" t="n"/>
      <c r="RAN94" s="240" t="n"/>
      <c r="RAP94" s="15" t="n"/>
      <c r="RAQ94" s="15" t="n"/>
      <c r="RAR94" s="248" t="n"/>
      <c r="RAS94" s="248" t="n"/>
      <c r="RAT94" s="240" t="n"/>
      <c r="RAU94" s="240" t="n"/>
      <c r="RAW94" s="15" t="n"/>
      <c r="RAX94" s="15" t="n"/>
      <c r="RAY94" s="248" t="n"/>
      <c r="RAZ94" s="248" t="n"/>
      <c r="RBA94" s="240" t="n"/>
      <c r="RBB94" s="240" t="n"/>
      <c r="RBD94" s="15" t="n"/>
      <c r="RBE94" s="15" t="n"/>
      <c r="RBF94" s="248" t="n"/>
      <c r="RBG94" s="248" t="n"/>
      <c r="RBH94" s="240" t="n"/>
      <c r="RBI94" s="240" t="n"/>
      <c r="RBK94" s="15" t="n"/>
      <c r="RBL94" s="15" t="n"/>
      <c r="RBM94" s="248" t="n"/>
      <c r="RBN94" s="248" t="n"/>
      <c r="RBO94" s="240" t="n"/>
      <c r="RBP94" s="240" t="n"/>
      <c r="RBR94" s="15" t="n"/>
      <c r="RBS94" s="15" t="n"/>
      <c r="RBT94" s="248" t="n"/>
      <c r="RBU94" s="248" t="n"/>
      <c r="RBV94" s="240" t="n"/>
      <c r="RBW94" s="240" t="n"/>
      <c r="RBY94" s="15" t="n"/>
      <c r="RBZ94" s="15" t="n"/>
      <c r="RCA94" s="248" t="n"/>
      <c r="RCB94" s="248" t="n"/>
      <c r="RCC94" s="240" t="n"/>
      <c r="RCD94" s="240" t="n"/>
      <c r="RCF94" s="15" t="n"/>
      <c r="RCG94" s="15" t="n"/>
      <c r="RCH94" s="248" t="n"/>
      <c r="RCI94" s="248" t="n"/>
      <c r="RCJ94" s="240" t="n"/>
      <c r="RCK94" s="240" t="n"/>
      <c r="RCM94" s="15" t="n"/>
      <c r="RCN94" s="15" t="n"/>
      <c r="RCO94" s="248" t="n"/>
      <c r="RCP94" s="248" t="n"/>
      <c r="RCQ94" s="240" t="n"/>
      <c r="RCR94" s="240" t="n"/>
      <c r="RCT94" s="15" t="n"/>
      <c r="RCU94" s="15" t="n"/>
      <c r="RCV94" s="248" t="n"/>
      <c r="RCW94" s="248" t="n"/>
      <c r="RCX94" s="240" t="n"/>
      <c r="RCY94" s="240" t="n"/>
      <c r="RDA94" s="15" t="n"/>
      <c r="RDB94" s="15" t="n"/>
      <c r="RDC94" s="248" t="n"/>
      <c r="RDD94" s="248" t="n"/>
      <c r="RDE94" s="240" t="n"/>
      <c r="RDF94" s="240" t="n"/>
      <c r="RDH94" s="15" t="n"/>
      <c r="RDI94" s="15" t="n"/>
      <c r="RDJ94" s="248" t="n"/>
      <c r="RDK94" s="248" t="n"/>
      <c r="RDL94" s="240" t="n"/>
      <c r="RDM94" s="240" t="n"/>
      <c r="RDO94" s="15" t="n"/>
      <c r="RDP94" s="15" t="n"/>
      <c r="RDQ94" s="248" t="n"/>
      <c r="RDR94" s="248" t="n"/>
      <c r="RDS94" s="240" t="n"/>
      <c r="RDT94" s="240" t="n"/>
      <c r="RDV94" s="15" t="n"/>
      <c r="RDW94" s="15" t="n"/>
      <c r="RDX94" s="248" t="n"/>
      <c r="RDY94" s="248" t="n"/>
      <c r="RDZ94" s="240" t="n"/>
      <c r="REA94" s="240" t="n"/>
      <c r="REC94" s="15" t="n"/>
      <c r="RED94" s="15" t="n"/>
      <c r="REE94" s="248" t="n"/>
      <c r="REF94" s="248" t="n"/>
      <c r="REG94" s="240" t="n"/>
      <c r="REH94" s="240" t="n"/>
      <c r="REJ94" s="15" t="n"/>
      <c r="REK94" s="15" t="n"/>
      <c r="REL94" s="248" t="n"/>
      <c r="REM94" s="248" t="n"/>
      <c r="REN94" s="240" t="n"/>
      <c r="REO94" s="240" t="n"/>
      <c r="REQ94" s="15" t="n"/>
      <c r="RER94" s="15" t="n"/>
      <c r="RES94" s="248" t="n"/>
      <c r="RET94" s="248" t="n"/>
      <c r="REU94" s="240" t="n"/>
      <c r="REV94" s="240" t="n"/>
      <c r="REX94" s="15" t="n"/>
      <c r="REY94" s="15" t="n"/>
      <c r="REZ94" s="248" t="n"/>
      <c r="RFA94" s="248" t="n"/>
      <c r="RFB94" s="240" t="n"/>
      <c r="RFC94" s="240" t="n"/>
      <c r="RFE94" s="15" t="n"/>
      <c r="RFF94" s="15" t="n"/>
      <c r="RFG94" s="248" t="n"/>
      <c r="RFH94" s="248" t="n"/>
      <c r="RFI94" s="240" t="n"/>
      <c r="RFJ94" s="240" t="n"/>
      <c r="RFL94" s="15" t="n"/>
      <c r="RFM94" s="15" t="n"/>
      <c r="RFN94" s="248" t="n"/>
      <c r="RFO94" s="248" t="n"/>
      <c r="RFP94" s="240" t="n"/>
      <c r="RFQ94" s="240" t="n"/>
      <c r="RFS94" s="15" t="n"/>
      <c r="RFT94" s="15" t="n"/>
      <c r="RFU94" s="248" t="n"/>
      <c r="RFV94" s="248" t="n"/>
      <c r="RFW94" s="240" t="n"/>
      <c r="RFX94" s="240" t="n"/>
      <c r="RFZ94" s="15" t="n"/>
      <c r="RGA94" s="15" t="n"/>
      <c r="RGB94" s="248" t="n"/>
      <c r="RGC94" s="248" t="n"/>
      <c r="RGD94" s="240" t="n"/>
      <c r="RGE94" s="240" t="n"/>
      <c r="RGG94" s="15" t="n"/>
      <c r="RGH94" s="15" t="n"/>
      <c r="RGI94" s="248" t="n"/>
      <c r="RGJ94" s="248" t="n"/>
      <c r="RGK94" s="240" t="n"/>
      <c r="RGL94" s="240" t="n"/>
      <c r="RGN94" s="15" t="n"/>
      <c r="RGO94" s="15" t="n"/>
      <c r="RGP94" s="248" t="n"/>
      <c r="RGQ94" s="248" t="n"/>
      <c r="RGR94" s="240" t="n"/>
      <c r="RGS94" s="240" t="n"/>
      <c r="RGU94" s="15" t="n"/>
      <c r="RGV94" s="15" t="n"/>
      <c r="RGW94" s="248" t="n"/>
      <c r="RGX94" s="248" t="n"/>
      <c r="RGY94" s="240" t="n"/>
      <c r="RGZ94" s="240" t="n"/>
      <c r="RHB94" s="15" t="n"/>
      <c r="RHC94" s="15" t="n"/>
      <c r="RHD94" s="248" t="n"/>
      <c r="RHE94" s="248" t="n"/>
      <c r="RHF94" s="240" t="n"/>
      <c r="RHG94" s="240" t="n"/>
      <c r="RHI94" s="15" t="n"/>
      <c r="RHJ94" s="15" t="n"/>
      <c r="RHK94" s="248" t="n"/>
      <c r="RHL94" s="248" t="n"/>
      <c r="RHM94" s="240" t="n"/>
      <c r="RHN94" s="240" t="n"/>
      <c r="RHP94" s="15" t="n"/>
      <c r="RHQ94" s="15" t="n"/>
      <c r="RHR94" s="248" t="n"/>
      <c r="RHS94" s="248" t="n"/>
      <c r="RHT94" s="240" t="n"/>
      <c r="RHU94" s="240" t="n"/>
      <c r="RHW94" s="15" t="n"/>
      <c r="RHX94" s="15" t="n"/>
      <c r="RHY94" s="248" t="n"/>
      <c r="RHZ94" s="248" t="n"/>
      <c r="RIA94" s="240" t="n"/>
      <c r="RIB94" s="240" t="n"/>
      <c r="RID94" s="15" t="n"/>
      <c r="RIE94" s="15" t="n"/>
      <c r="RIF94" s="248" t="n"/>
      <c r="RIG94" s="248" t="n"/>
      <c r="RIH94" s="240" t="n"/>
      <c r="RII94" s="240" t="n"/>
      <c r="RIK94" s="15" t="n"/>
      <c r="RIL94" s="15" t="n"/>
      <c r="RIM94" s="248" t="n"/>
      <c r="RIN94" s="248" t="n"/>
      <c r="RIO94" s="240" t="n"/>
      <c r="RIP94" s="240" t="n"/>
      <c r="RIR94" s="15" t="n"/>
      <c r="RIS94" s="15" t="n"/>
      <c r="RIT94" s="248" t="n"/>
      <c r="RIU94" s="248" t="n"/>
      <c r="RIV94" s="240" t="n"/>
      <c r="RIW94" s="240" t="n"/>
      <c r="RIY94" s="15" t="n"/>
      <c r="RIZ94" s="15" t="n"/>
      <c r="RJA94" s="248" t="n"/>
      <c r="RJB94" s="248" t="n"/>
      <c r="RJC94" s="240" t="n"/>
      <c r="RJD94" s="240" t="n"/>
      <c r="RJF94" s="15" t="n"/>
      <c r="RJG94" s="15" t="n"/>
      <c r="RJH94" s="248" t="n"/>
      <c r="RJI94" s="248" t="n"/>
      <c r="RJJ94" s="240" t="n"/>
      <c r="RJK94" s="240" t="n"/>
      <c r="RJM94" s="15" t="n"/>
      <c r="RJN94" s="15" t="n"/>
      <c r="RJO94" s="248" t="n"/>
      <c r="RJP94" s="248" t="n"/>
      <c r="RJQ94" s="240" t="n"/>
      <c r="RJR94" s="240" t="n"/>
      <c r="RJT94" s="15" t="n"/>
      <c r="RJU94" s="15" t="n"/>
      <c r="RJV94" s="248" t="n"/>
      <c r="RJW94" s="248" t="n"/>
      <c r="RJX94" s="240" t="n"/>
      <c r="RJY94" s="240" t="n"/>
      <c r="RKA94" s="15" t="n"/>
      <c r="RKB94" s="15" t="n"/>
      <c r="RKC94" s="248" t="n"/>
      <c r="RKD94" s="248" t="n"/>
      <c r="RKE94" s="240" t="n"/>
      <c r="RKF94" s="240" t="n"/>
      <c r="RKH94" s="15" t="n"/>
      <c r="RKI94" s="15" t="n"/>
      <c r="RKJ94" s="248" t="n"/>
      <c r="RKK94" s="248" t="n"/>
      <c r="RKL94" s="240" t="n"/>
      <c r="RKM94" s="240" t="n"/>
      <c r="RKO94" s="15" t="n"/>
      <c r="RKP94" s="15" t="n"/>
      <c r="RKQ94" s="248" t="n"/>
      <c r="RKR94" s="248" t="n"/>
      <c r="RKS94" s="240" t="n"/>
      <c r="RKT94" s="240" t="n"/>
      <c r="RKV94" s="15" t="n"/>
      <c r="RKW94" s="15" t="n"/>
      <c r="RKX94" s="248" t="n"/>
      <c r="RKY94" s="248" t="n"/>
      <c r="RKZ94" s="240" t="n"/>
      <c r="RLA94" s="240" t="n"/>
      <c r="RLC94" s="15" t="n"/>
      <c r="RLD94" s="15" t="n"/>
      <c r="RLE94" s="248" t="n"/>
      <c r="RLF94" s="248" t="n"/>
      <c r="RLG94" s="240" t="n"/>
      <c r="RLH94" s="240" t="n"/>
      <c r="RLJ94" s="15" t="n"/>
      <c r="RLK94" s="15" t="n"/>
      <c r="RLL94" s="248" t="n"/>
      <c r="RLM94" s="248" t="n"/>
      <c r="RLN94" s="240" t="n"/>
      <c r="RLO94" s="240" t="n"/>
      <c r="RLQ94" s="15" t="n"/>
      <c r="RLR94" s="15" t="n"/>
      <c r="RLS94" s="248" t="n"/>
      <c r="RLT94" s="248" t="n"/>
      <c r="RLU94" s="240" t="n"/>
      <c r="RLV94" s="240" t="n"/>
      <c r="RLX94" s="15" t="n"/>
      <c r="RLY94" s="15" t="n"/>
      <c r="RLZ94" s="248" t="n"/>
      <c r="RMA94" s="248" t="n"/>
      <c r="RMB94" s="240" t="n"/>
      <c r="RMC94" s="240" t="n"/>
      <c r="RME94" s="15" t="n"/>
      <c r="RMF94" s="15" t="n"/>
      <c r="RMG94" s="248" t="n"/>
      <c r="RMH94" s="248" t="n"/>
      <c r="RMI94" s="240" t="n"/>
      <c r="RMJ94" s="240" t="n"/>
      <c r="RML94" s="15" t="n"/>
      <c r="RMM94" s="15" t="n"/>
      <c r="RMN94" s="248" t="n"/>
      <c r="RMO94" s="248" t="n"/>
      <c r="RMP94" s="240" t="n"/>
      <c r="RMQ94" s="240" t="n"/>
      <c r="RMS94" s="15" t="n"/>
      <c r="RMT94" s="15" t="n"/>
      <c r="RMU94" s="248" t="n"/>
      <c r="RMV94" s="248" t="n"/>
      <c r="RMW94" s="240" t="n"/>
      <c r="RMX94" s="240" t="n"/>
      <c r="RMZ94" s="15" t="n"/>
      <c r="RNA94" s="15" t="n"/>
      <c r="RNB94" s="248" t="n"/>
      <c r="RNC94" s="248" t="n"/>
      <c r="RND94" s="240" t="n"/>
      <c r="RNE94" s="240" t="n"/>
      <c r="RNG94" s="15" t="n"/>
      <c r="RNH94" s="15" t="n"/>
      <c r="RNI94" s="248" t="n"/>
      <c r="RNJ94" s="248" t="n"/>
      <c r="RNK94" s="240" t="n"/>
      <c r="RNL94" s="240" t="n"/>
      <c r="RNN94" s="15" t="n"/>
      <c r="RNO94" s="15" t="n"/>
      <c r="RNP94" s="248" t="n"/>
      <c r="RNQ94" s="248" t="n"/>
      <c r="RNR94" s="240" t="n"/>
      <c r="RNS94" s="240" t="n"/>
      <c r="RNU94" s="15" t="n"/>
      <c r="RNV94" s="15" t="n"/>
      <c r="RNW94" s="248" t="n"/>
      <c r="RNX94" s="248" t="n"/>
      <c r="RNY94" s="240" t="n"/>
      <c r="RNZ94" s="240" t="n"/>
      <c r="ROB94" s="15" t="n"/>
      <c r="ROC94" s="15" t="n"/>
      <c r="ROD94" s="248" t="n"/>
      <c r="ROE94" s="248" t="n"/>
      <c r="ROF94" s="240" t="n"/>
      <c r="ROG94" s="240" t="n"/>
      <c r="ROI94" s="15" t="n"/>
      <c r="ROJ94" s="15" t="n"/>
      <c r="ROK94" s="248" t="n"/>
      <c r="ROL94" s="248" t="n"/>
      <c r="ROM94" s="240" t="n"/>
      <c r="RON94" s="240" t="n"/>
      <c r="ROP94" s="15" t="n"/>
      <c r="ROQ94" s="15" t="n"/>
      <c r="ROR94" s="248" t="n"/>
      <c r="ROS94" s="248" t="n"/>
      <c r="ROT94" s="240" t="n"/>
      <c r="ROU94" s="240" t="n"/>
      <c r="ROW94" s="15" t="n"/>
      <c r="ROX94" s="15" t="n"/>
      <c r="ROY94" s="248" t="n"/>
      <c r="ROZ94" s="248" t="n"/>
      <c r="RPA94" s="240" t="n"/>
      <c r="RPB94" s="240" t="n"/>
      <c r="RPD94" s="15" t="n"/>
      <c r="RPE94" s="15" t="n"/>
      <c r="RPF94" s="248" t="n"/>
      <c r="RPG94" s="248" t="n"/>
      <c r="RPH94" s="240" t="n"/>
      <c r="RPI94" s="240" t="n"/>
      <c r="RPK94" s="15" t="n"/>
      <c r="RPL94" s="15" t="n"/>
      <c r="RPM94" s="248" t="n"/>
      <c r="RPN94" s="248" t="n"/>
      <c r="RPO94" s="240" t="n"/>
      <c r="RPP94" s="240" t="n"/>
      <c r="RPR94" s="15" t="n"/>
      <c r="RPS94" s="15" t="n"/>
      <c r="RPT94" s="248" t="n"/>
      <c r="RPU94" s="248" t="n"/>
      <c r="RPV94" s="240" t="n"/>
      <c r="RPW94" s="240" t="n"/>
      <c r="RPY94" s="15" t="n"/>
      <c r="RPZ94" s="15" t="n"/>
      <c r="RQA94" s="248" t="n"/>
      <c r="RQB94" s="248" t="n"/>
      <c r="RQC94" s="240" t="n"/>
      <c r="RQD94" s="240" t="n"/>
      <c r="RQF94" s="15" t="n"/>
      <c r="RQG94" s="15" t="n"/>
      <c r="RQH94" s="248" t="n"/>
      <c r="RQI94" s="248" t="n"/>
      <c r="RQJ94" s="240" t="n"/>
      <c r="RQK94" s="240" t="n"/>
      <c r="RQM94" s="15" t="n"/>
      <c r="RQN94" s="15" t="n"/>
      <c r="RQO94" s="248" t="n"/>
      <c r="RQP94" s="248" t="n"/>
      <c r="RQQ94" s="240" t="n"/>
      <c r="RQR94" s="240" t="n"/>
      <c r="RQT94" s="15" t="n"/>
      <c r="RQU94" s="15" t="n"/>
      <c r="RQV94" s="248" t="n"/>
      <c r="RQW94" s="248" t="n"/>
      <c r="RQX94" s="240" t="n"/>
      <c r="RQY94" s="240" t="n"/>
      <c r="RRA94" s="15" t="n"/>
      <c r="RRB94" s="15" t="n"/>
      <c r="RRC94" s="248" t="n"/>
      <c r="RRD94" s="248" t="n"/>
      <c r="RRE94" s="240" t="n"/>
      <c r="RRF94" s="240" t="n"/>
      <c r="RRH94" s="15" t="n"/>
      <c r="RRI94" s="15" t="n"/>
      <c r="RRJ94" s="248" t="n"/>
      <c r="RRK94" s="248" t="n"/>
      <c r="RRL94" s="240" t="n"/>
      <c r="RRM94" s="240" t="n"/>
      <c r="RRO94" s="15" t="n"/>
      <c r="RRP94" s="15" t="n"/>
      <c r="RRQ94" s="248" t="n"/>
      <c r="RRR94" s="248" t="n"/>
      <c r="RRS94" s="240" t="n"/>
      <c r="RRT94" s="240" t="n"/>
      <c r="RRV94" s="15" t="n"/>
      <c r="RRW94" s="15" t="n"/>
      <c r="RRX94" s="248" t="n"/>
      <c r="RRY94" s="248" t="n"/>
      <c r="RRZ94" s="240" t="n"/>
      <c r="RSA94" s="240" t="n"/>
      <c r="RSC94" s="15" t="n"/>
      <c r="RSD94" s="15" t="n"/>
      <c r="RSE94" s="248" t="n"/>
      <c r="RSF94" s="248" t="n"/>
      <c r="RSG94" s="240" t="n"/>
      <c r="RSH94" s="240" t="n"/>
      <c r="RSJ94" s="15" t="n"/>
      <c r="RSK94" s="15" t="n"/>
      <c r="RSL94" s="248" t="n"/>
      <c r="RSM94" s="248" t="n"/>
      <c r="RSN94" s="240" t="n"/>
      <c r="RSO94" s="240" t="n"/>
      <c r="RSQ94" s="15" t="n"/>
      <c r="RSR94" s="15" t="n"/>
      <c r="RSS94" s="248" t="n"/>
      <c r="RST94" s="248" t="n"/>
      <c r="RSU94" s="240" t="n"/>
      <c r="RSV94" s="240" t="n"/>
      <c r="RSX94" s="15" t="n"/>
      <c r="RSY94" s="15" t="n"/>
      <c r="RSZ94" s="248" t="n"/>
      <c r="RTA94" s="248" t="n"/>
      <c r="RTB94" s="240" t="n"/>
      <c r="RTC94" s="240" t="n"/>
      <c r="RTE94" s="15" t="n"/>
      <c r="RTF94" s="15" t="n"/>
      <c r="RTG94" s="248" t="n"/>
      <c r="RTH94" s="248" t="n"/>
      <c r="RTI94" s="240" t="n"/>
      <c r="RTJ94" s="240" t="n"/>
      <c r="RTL94" s="15" t="n"/>
      <c r="RTM94" s="15" t="n"/>
      <c r="RTN94" s="248" t="n"/>
      <c r="RTO94" s="248" t="n"/>
      <c r="RTP94" s="240" t="n"/>
      <c r="RTQ94" s="240" t="n"/>
      <c r="RTS94" s="15" t="n"/>
      <c r="RTT94" s="15" t="n"/>
      <c r="RTU94" s="248" t="n"/>
      <c r="RTV94" s="248" t="n"/>
      <c r="RTW94" s="240" t="n"/>
      <c r="RTX94" s="240" t="n"/>
      <c r="RTZ94" s="15" t="n"/>
      <c r="RUA94" s="15" t="n"/>
      <c r="RUB94" s="248" t="n"/>
      <c r="RUC94" s="248" t="n"/>
      <c r="RUD94" s="240" t="n"/>
      <c r="RUE94" s="240" t="n"/>
      <c r="RUG94" s="15" t="n"/>
      <c r="RUH94" s="15" t="n"/>
      <c r="RUI94" s="248" t="n"/>
      <c r="RUJ94" s="248" t="n"/>
      <c r="RUK94" s="240" t="n"/>
      <c r="RUL94" s="240" t="n"/>
      <c r="RUN94" s="15" t="n"/>
      <c r="RUO94" s="15" t="n"/>
      <c r="RUP94" s="248" t="n"/>
      <c r="RUQ94" s="248" t="n"/>
      <c r="RUR94" s="240" t="n"/>
      <c r="RUS94" s="240" t="n"/>
      <c r="RUU94" s="15" t="n"/>
      <c r="RUV94" s="15" t="n"/>
      <c r="RUW94" s="248" t="n"/>
      <c r="RUX94" s="248" t="n"/>
      <c r="RUY94" s="240" t="n"/>
      <c r="RUZ94" s="240" t="n"/>
      <c r="RVB94" s="15" t="n"/>
      <c r="RVC94" s="15" t="n"/>
      <c r="RVD94" s="248" t="n"/>
      <c r="RVE94" s="248" t="n"/>
      <c r="RVF94" s="240" t="n"/>
      <c r="RVG94" s="240" t="n"/>
      <c r="RVI94" s="15" t="n"/>
      <c r="RVJ94" s="15" t="n"/>
      <c r="RVK94" s="248" t="n"/>
      <c r="RVL94" s="248" t="n"/>
      <c r="RVM94" s="240" t="n"/>
      <c r="RVN94" s="240" t="n"/>
      <c r="RVP94" s="15" t="n"/>
      <c r="RVQ94" s="15" t="n"/>
      <c r="RVR94" s="248" t="n"/>
      <c r="RVS94" s="248" t="n"/>
      <c r="RVT94" s="240" t="n"/>
      <c r="RVU94" s="240" t="n"/>
      <c r="RVW94" s="15" t="n"/>
      <c r="RVX94" s="15" t="n"/>
      <c r="RVY94" s="248" t="n"/>
      <c r="RVZ94" s="248" t="n"/>
      <c r="RWA94" s="240" t="n"/>
      <c r="RWB94" s="240" t="n"/>
      <c r="RWD94" s="15" t="n"/>
      <c r="RWE94" s="15" t="n"/>
      <c r="RWF94" s="248" t="n"/>
      <c r="RWG94" s="248" t="n"/>
      <c r="RWH94" s="240" t="n"/>
      <c r="RWI94" s="240" t="n"/>
      <c r="RWK94" s="15" t="n"/>
      <c r="RWL94" s="15" t="n"/>
      <c r="RWM94" s="248" t="n"/>
      <c r="RWN94" s="248" t="n"/>
      <c r="RWO94" s="240" t="n"/>
      <c r="RWP94" s="240" t="n"/>
      <c r="RWR94" s="15" t="n"/>
      <c r="RWS94" s="15" t="n"/>
      <c r="RWT94" s="248" t="n"/>
      <c r="RWU94" s="248" t="n"/>
      <c r="RWV94" s="240" t="n"/>
      <c r="RWW94" s="240" t="n"/>
      <c r="RWY94" s="15" t="n"/>
      <c r="RWZ94" s="15" t="n"/>
      <c r="RXA94" s="248" t="n"/>
      <c r="RXB94" s="248" t="n"/>
      <c r="RXC94" s="240" t="n"/>
      <c r="RXD94" s="240" t="n"/>
      <c r="RXF94" s="15" t="n"/>
      <c r="RXG94" s="15" t="n"/>
      <c r="RXH94" s="248" t="n"/>
      <c r="RXI94" s="248" t="n"/>
      <c r="RXJ94" s="240" t="n"/>
      <c r="RXK94" s="240" t="n"/>
      <c r="RXM94" s="15" t="n"/>
      <c r="RXN94" s="15" t="n"/>
      <c r="RXO94" s="248" t="n"/>
      <c r="RXP94" s="248" t="n"/>
      <c r="RXQ94" s="240" t="n"/>
      <c r="RXR94" s="240" t="n"/>
      <c r="RXT94" s="15" t="n"/>
      <c r="RXU94" s="15" t="n"/>
      <c r="RXV94" s="248" t="n"/>
      <c r="RXW94" s="248" t="n"/>
      <c r="RXX94" s="240" t="n"/>
      <c r="RXY94" s="240" t="n"/>
      <c r="RYA94" s="15" t="n"/>
      <c r="RYB94" s="15" t="n"/>
      <c r="RYC94" s="248" t="n"/>
      <c r="RYD94" s="248" t="n"/>
      <c r="RYE94" s="240" t="n"/>
      <c r="RYF94" s="240" t="n"/>
      <c r="RYH94" s="15" t="n"/>
      <c r="RYI94" s="15" t="n"/>
      <c r="RYJ94" s="248" t="n"/>
      <c r="RYK94" s="248" t="n"/>
      <c r="RYL94" s="240" t="n"/>
      <c r="RYM94" s="240" t="n"/>
      <c r="RYO94" s="15" t="n"/>
      <c r="RYP94" s="15" t="n"/>
      <c r="RYQ94" s="248" t="n"/>
      <c r="RYR94" s="248" t="n"/>
      <c r="RYS94" s="240" t="n"/>
      <c r="RYT94" s="240" t="n"/>
      <c r="RYV94" s="15" t="n"/>
      <c r="RYW94" s="15" t="n"/>
      <c r="RYX94" s="248" t="n"/>
      <c r="RYY94" s="248" t="n"/>
      <c r="RYZ94" s="240" t="n"/>
      <c r="RZA94" s="240" t="n"/>
      <c r="RZC94" s="15" t="n"/>
      <c r="RZD94" s="15" t="n"/>
      <c r="RZE94" s="248" t="n"/>
      <c r="RZF94" s="248" t="n"/>
      <c r="RZG94" s="240" t="n"/>
      <c r="RZH94" s="240" t="n"/>
      <c r="RZJ94" s="15" t="n"/>
      <c r="RZK94" s="15" t="n"/>
      <c r="RZL94" s="248" t="n"/>
      <c r="RZM94" s="248" t="n"/>
      <c r="RZN94" s="240" t="n"/>
      <c r="RZO94" s="240" t="n"/>
      <c r="RZQ94" s="15" t="n"/>
      <c r="RZR94" s="15" t="n"/>
      <c r="RZS94" s="248" t="n"/>
      <c r="RZT94" s="248" t="n"/>
      <c r="RZU94" s="240" t="n"/>
      <c r="RZV94" s="240" t="n"/>
      <c r="RZX94" s="15" t="n"/>
      <c r="RZY94" s="15" t="n"/>
      <c r="RZZ94" s="248" t="n"/>
      <c r="SAA94" s="248" t="n"/>
      <c r="SAB94" s="240" t="n"/>
      <c r="SAC94" s="240" t="n"/>
      <c r="SAE94" s="15" t="n"/>
      <c r="SAF94" s="15" t="n"/>
      <c r="SAG94" s="248" t="n"/>
      <c r="SAH94" s="248" t="n"/>
      <c r="SAI94" s="240" t="n"/>
      <c r="SAJ94" s="240" t="n"/>
      <c r="SAL94" s="15" t="n"/>
      <c r="SAM94" s="15" t="n"/>
      <c r="SAN94" s="248" t="n"/>
      <c r="SAO94" s="248" t="n"/>
      <c r="SAP94" s="240" t="n"/>
      <c r="SAQ94" s="240" t="n"/>
      <c r="SAS94" s="15" t="n"/>
      <c r="SAT94" s="15" t="n"/>
      <c r="SAU94" s="248" t="n"/>
      <c r="SAV94" s="248" t="n"/>
      <c r="SAW94" s="240" t="n"/>
      <c r="SAX94" s="240" t="n"/>
      <c r="SAZ94" s="15" t="n"/>
      <c r="SBA94" s="15" t="n"/>
      <c r="SBB94" s="248" t="n"/>
      <c r="SBC94" s="248" t="n"/>
      <c r="SBD94" s="240" t="n"/>
      <c r="SBE94" s="240" t="n"/>
      <c r="SBG94" s="15" t="n"/>
      <c r="SBH94" s="15" t="n"/>
      <c r="SBI94" s="248" t="n"/>
      <c r="SBJ94" s="248" t="n"/>
      <c r="SBK94" s="240" t="n"/>
      <c r="SBL94" s="240" t="n"/>
      <c r="SBN94" s="15" t="n"/>
      <c r="SBO94" s="15" t="n"/>
      <c r="SBP94" s="248" t="n"/>
      <c r="SBQ94" s="248" t="n"/>
      <c r="SBR94" s="240" t="n"/>
      <c r="SBS94" s="240" t="n"/>
      <c r="SBU94" s="15" t="n"/>
      <c r="SBV94" s="15" t="n"/>
      <c r="SBW94" s="248" t="n"/>
      <c r="SBX94" s="248" t="n"/>
      <c r="SBY94" s="240" t="n"/>
      <c r="SBZ94" s="240" t="n"/>
      <c r="SCB94" s="15" t="n"/>
      <c r="SCC94" s="15" t="n"/>
      <c r="SCD94" s="248" t="n"/>
      <c r="SCE94" s="248" t="n"/>
      <c r="SCF94" s="240" t="n"/>
      <c r="SCG94" s="240" t="n"/>
      <c r="SCI94" s="15" t="n"/>
      <c r="SCJ94" s="15" t="n"/>
      <c r="SCK94" s="248" t="n"/>
      <c r="SCL94" s="248" t="n"/>
      <c r="SCM94" s="240" t="n"/>
      <c r="SCN94" s="240" t="n"/>
      <c r="SCP94" s="15" t="n"/>
      <c r="SCQ94" s="15" t="n"/>
      <c r="SCR94" s="248" t="n"/>
      <c r="SCS94" s="248" t="n"/>
      <c r="SCT94" s="240" t="n"/>
      <c r="SCU94" s="240" t="n"/>
      <c r="SCW94" s="15" t="n"/>
      <c r="SCX94" s="15" t="n"/>
      <c r="SCY94" s="248" t="n"/>
      <c r="SCZ94" s="248" t="n"/>
      <c r="SDA94" s="240" t="n"/>
      <c r="SDB94" s="240" t="n"/>
      <c r="SDD94" s="15" t="n"/>
      <c r="SDE94" s="15" t="n"/>
      <c r="SDF94" s="248" t="n"/>
      <c r="SDG94" s="248" t="n"/>
      <c r="SDH94" s="240" t="n"/>
      <c r="SDI94" s="240" t="n"/>
      <c r="SDK94" s="15" t="n"/>
      <c r="SDL94" s="15" t="n"/>
      <c r="SDM94" s="248" t="n"/>
      <c r="SDN94" s="248" t="n"/>
      <c r="SDO94" s="240" t="n"/>
      <c r="SDP94" s="240" t="n"/>
      <c r="SDR94" s="15" t="n"/>
      <c r="SDS94" s="15" t="n"/>
      <c r="SDT94" s="248" t="n"/>
      <c r="SDU94" s="248" t="n"/>
      <c r="SDV94" s="240" t="n"/>
      <c r="SDW94" s="240" t="n"/>
      <c r="SDY94" s="15" t="n"/>
      <c r="SDZ94" s="15" t="n"/>
      <c r="SEA94" s="248" t="n"/>
      <c r="SEB94" s="248" t="n"/>
      <c r="SEC94" s="240" t="n"/>
      <c r="SED94" s="240" t="n"/>
      <c r="SEF94" s="15" t="n"/>
      <c r="SEG94" s="15" t="n"/>
      <c r="SEH94" s="248" t="n"/>
      <c r="SEI94" s="248" t="n"/>
      <c r="SEJ94" s="240" t="n"/>
      <c r="SEK94" s="240" t="n"/>
      <c r="SEM94" s="15" t="n"/>
      <c r="SEN94" s="15" t="n"/>
      <c r="SEO94" s="248" t="n"/>
      <c r="SEP94" s="248" t="n"/>
      <c r="SEQ94" s="240" t="n"/>
      <c r="SER94" s="240" t="n"/>
      <c r="SET94" s="15" t="n"/>
      <c r="SEU94" s="15" t="n"/>
      <c r="SEV94" s="248" t="n"/>
      <c r="SEW94" s="248" t="n"/>
      <c r="SEX94" s="240" t="n"/>
      <c r="SEY94" s="240" t="n"/>
      <c r="SFA94" s="15" t="n"/>
      <c r="SFB94" s="15" t="n"/>
      <c r="SFC94" s="248" t="n"/>
      <c r="SFD94" s="248" t="n"/>
      <c r="SFE94" s="240" t="n"/>
      <c r="SFF94" s="240" t="n"/>
      <c r="SFH94" s="15" t="n"/>
      <c r="SFI94" s="15" t="n"/>
      <c r="SFJ94" s="248" t="n"/>
      <c r="SFK94" s="248" t="n"/>
      <c r="SFL94" s="240" t="n"/>
      <c r="SFM94" s="240" t="n"/>
      <c r="SFO94" s="15" t="n"/>
      <c r="SFP94" s="15" t="n"/>
      <c r="SFQ94" s="248" t="n"/>
      <c r="SFR94" s="248" t="n"/>
      <c r="SFS94" s="240" t="n"/>
      <c r="SFT94" s="240" t="n"/>
      <c r="SFV94" s="15" t="n"/>
      <c r="SFW94" s="15" t="n"/>
      <c r="SFX94" s="248" t="n"/>
      <c r="SFY94" s="248" t="n"/>
      <c r="SFZ94" s="240" t="n"/>
      <c r="SGA94" s="240" t="n"/>
      <c r="SGC94" s="15" t="n"/>
      <c r="SGD94" s="15" t="n"/>
      <c r="SGE94" s="248" t="n"/>
      <c r="SGF94" s="248" t="n"/>
      <c r="SGG94" s="240" t="n"/>
      <c r="SGH94" s="240" t="n"/>
      <c r="SGJ94" s="15" t="n"/>
      <c r="SGK94" s="15" t="n"/>
      <c r="SGL94" s="248" t="n"/>
      <c r="SGM94" s="248" t="n"/>
      <c r="SGN94" s="240" t="n"/>
      <c r="SGO94" s="240" t="n"/>
      <c r="SGQ94" s="15" t="n"/>
      <c r="SGR94" s="15" t="n"/>
      <c r="SGS94" s="248" t="n"/>
      <c r="SGT94" s="248" t="n"/>
      <c r="SGU94" s="240" t="n"/>
      <c r="SGV94" s="240" t="n"/>
      <c r="SGX94" s="15" t="n"/>
      <c r="SGY94" s="15" t="n"/>
      <c r="SGZ94" s="248" t="n"/>
      <c r="SHA94" s="248" t="n"/>
      <c r="SHB94" s="240" t="n"/>
      <c r="SHC94" s="240" t="n"/>
      <c r="SHE94" s="15" t="n"/>
      <c r="SHF94" s="15" t="n"/>
      <c r="SHG94" s="248" t="n"/>
      <c r="SHH94" s="248" t="n"/>
      <c r="SHI94" s="240" t="n"/>
      <c r="SHJ94" s="240" t="n"/>
      <c r="SHL94" s="15" t="n"/>
      <c r="SHM94" s="15" t="n"/>
      <c r="SHN94" s="248" t="n"/>
      <c r="SHO94" s="248" t="n"/>
      <c r="SHP94" s="240" t="n"/>
      <c r="SHQ94" s="240" t="n"/>
      <c r="SHS94" s="15" t="n"/>
      <c r="SHT94" s="15" t="n"/>
      <c r="SHU94" s="248" t="n"/>
      <c r="SHV94" s="248" t="n"/>
      <c r="SHW94" s="240" t="n"/>
      <c r="SHX94" s="240" t="n"/>
      <c r="SHZ94" s="15" t="n"/>
      <c r="SIA94" s="15" t="n"/>
      <c r="SIB94" s="248" t="n"/>
      <c r="SIC94" s="248" t="n"/>
      <c r="SID94" s="240" t="n"/>
      <c r="SIE94" s="240" t="n"/>
      <c r="SIG94" s="15" t="n"/>
      <c r="SIH94" s="15" t="n"/>
      <c r="SII94" s="248" t="n"/>
      <c r="SIJ94" s="248" t="n"/>
      <c r="SIK94" s="240" t="n"/>
      <c r="SIL94" s="240" t="n"/>
      <c r="SIN94" s="15" t="n"/>
      <c r="SIO94" s="15" t="n"/>
      <c r="SIP94" s="248" t="n"/>
      <c r="SIQ94" s="248" t="n"/>
      <c r="SIR94" s="240" t="n"/>
      <c r="SIS94" s="240" t="n"/>
      <c r="SIU94" s="15" t="n"/>
      <c r="SIV94" s="15" t="n"/>
      <c r="SIW94" s="248" t="n"/>
      <c r="SIX94" s="248" t="n"/>
      <c r="SIY94" s="240" t="n"/>
      <c r="SIZ94" s="240" t="n"/>
      <c r="SJB94" s="15" t="n"/>
      <c r="SJC94" s="15" t="n"/>
      <c r="SJD94" s="248" t="n"/>
      <c r="SJE94" s="248" t="n"/>
      <c r="SJF94" s="240" t="n"/>
      <c r="SJG94" s="240" t="n"/>
      <c r="SJI94" s="15" t="n"/>
      <c r="SJJ94" s="15" t="n"/>
      <c r="SJK94" s="248" t="n"/>
      <c r="SJL94" s="248" t="n"/>
      <c r="SJM94" s="240" t="n"/>
      <c r="SJN94" s="240" t="n"/>
      <c r="SJP94" s="15" t="n"/>
      <c r="SJQ94" s="15" t="n"/>
      <c r="SJR94" s="248" t="n"/>
      <c r="SJS94" s="248" t="n"/>
      <c r="SJT94" s="240" t="n"/>
      <c r="SJU94" s="240" t="n"/>
      <c r="SJW94" s="15" t="n"/>
      <c r="SJX94" s="15" t="n"/>
      <c r="SJY94" s="248" t="n"/>
      <c r="SJZ94" s="248" t="n"/>
      <c r="SKA94" s="240" t="n"/>
      <c r="SKB94" s="240" t="n"/>
      <c r="SKD94" s="15" t="n"/>
      <c r="SKE94" s="15" t="n"/>
      <c r="SKF94" s="248" t="n"/>
      <c r="SKG94" s="248" t="n"/>
      <c r="SKH94" s="240" t="n"/>
      <c r="SKI94" s="240" t="n"/>
      <c r="SKK94" s="15" t="n"/>
      <c r="SKL94" s="15" t="n"/>
      <c r="SKM94" s="248" t="n"/>
      <c r="SKN94" s="248" t="n"/>
      <c r="SKO94" s="240" t="n"/>
      <c r="SKP94" s="240" t="n"/>
      <c r="SKR94" s="15" t="n"/>
      <c r="SKS94" s="15" t="n"/>
      <c r="SKT94" s="248" t="n"/>
      <c r="SKU94" s="248" t="n"/>
      <c r="SKV94" s="240" t="n"/>
      <c r="SKW94" s="240" t="n"/>
      <c r="SKY94" s="15" t="n"/>
      <c r="SKZ94" s="15" t="n"/>
      <c r="SLA94" s="248" t="n"/>
      <c r="SLB94" s="248" t="n"/>
      <c r="SLC94" s="240" t="n"/>
      <c r="SLD94" s="240" t="n"/>
      <c r="SLF94" s="15" t="n"/>
      <c r="SLG94" s="15" t="n"/>
      <c r="SLH94" s="248" t="n"/>
      <c r="SLI94" s="248" t="n"/>
      <c r="SLJ94" s="240" t="n"/>
      <c r="SLK94" s="240" t="n"/>
      <c r="SLM94" s="15" t="n"/>
      <c r="SLN94" s="15" t="n"/>
      <c r="SLO94" s="248" t="n"/>
      <c r="SLP94" s="248" t="n"/>
      <c r="SLQ94" s="240" t="n"/>
      <c r="SLR94" s="240" t="n"/>
      <c r="SLT94" s="15" t="n"/>
      <c r="SLU94" s="15" t="n"/>
      <c r="SLV94" s="248" t="n"/>
      <c r="SLW94" s="248" t="n"/>
      <c r="SLX94" s="240" t="n"/>
      <c r="SLY94" s="240" t="n"/>
      <c r="SMA94" s="15" t="n"/>
      <c r="SMB94" s="15" t="n"/>
      <c r="SMC94" s="248" t="n"/>
      <c r="SMD94" s="248" t="n"/>
      <c r="SME94" s="240" t="n"/>
      <c r="SMF94" s="240" t="n"/>
      <c r="SMH94" s="15" t="n"/>
      <c r="SMI94" s="15" t="n"/>
      <c r="SMJ94" s="248" t="n"/>
      <c r="SMK94" s="248" t="n"/>
      <c r="SML94" s="240" t="n"/>
      <c r="SMM94" s="240" t="n"/>
      <c r="SMO94" s="15" t="n"/>
      <c r="SMP94" s="15" t="n"/>
      <c r="SMQ94" s="248" t="n"/>
      <c r="SMR94" s="248" t="n"/>
      <c r="SMS94" s="240" t="n"/>
      <c r="SMT94" s="240" t="n"/>
      <c r="SMV94" s="15" t="n"/>
      <c r="SMW94" s="15" t="n"/>
      <c r="SMX94" s="248" t="n"/>
      <c r="SMY94" s="248" t="n"/>
      <c r="SMZ94" s="240" t="n"/>
      <c r="SNA94" s="240" t="n"/>
      <c r="SNC94" s="15" t="n"/>
      <c r="SND94" s="15" t="n"/>
      <c r="SNE94" s="248" t="n"/>
      <c r="SNF94" s="248" t="n"/>
      <c r="SNG94" s="240" t="n"/>
      <c r="SNH94" s="240" t="n"/>
      <c r="SNJ94" s="15" t="n"/>
      <c r="SNK94" s="15" t="n"/>
      <c r="SNL94" s="248" t="n"/>
      <c r="SNM94" s="248" t="n"/>
      <c r="SNN94" s="240" t="n"/>
      <c r="SNO94" s="240" t="n"/>
      <c r="SNQ94" s="15" t="n"/>
      <c r="SNR94" s="15" t="n"/>
      <c r="SNS94" s="248" t="n"/>
      <c r="SNT94" s="248" t="n"/>
      <c r="SNU94" s="240" t="n"/>
      <c r="SNV94" s="240" t="n"/>
      <c r="SNX94" s="15" t="n"/>
      <c r="SNY94" s="15" t="n"/>
      <c r="SNZ94" s="248" t="n"/>
      <c r="SOA94" s="248" t="n"/>
      <c r="SOB94" s="240" t="n"/>
      <c r="SOC94" s="240" t="n"/>
      <c r="SOE94" s="15" t="n"/>
      <c r="SOF94" s="15" t="n"/>
      <c r="SOG94" s="248" t="n"/>
      <c r="SOH94" s="248" t="n"/>
      <c r="SOI94" s="240" t="n"/>
      <c r="SOJ94" s="240" t="n"/>
      <c r="SOL94" s="15" t="n"/>
      <c r="SOM94" s="15" t="n"/>
      <c r="SON94" s="248" t="n"/>
      <c r="SOO94" s="248" t="n"/>
      <c r="SOP94" s="240" t="n"/>
      <c r="SOQ94" s="240" t="n"/>
      <c r="SOS94" s="15" t="n"/>
      <c r="SOT94" s="15" t="n"/>
      <c r="SOU94" s="248" t="n"/>
      <c r="SOV94" s="248" t="n"/>
      <c r="SOW94" s="240" t="n"/>
      <c r="SOX94" s="240" t="n"/>
      <c r="SOZ94" s="15" t="n"/>
      <c r="SPA94" s="15" t="n"/>
      <c r="SPB94" s="248" t="n"/>
      <c r="SPC94" s="248" t="n"/>
      <c r="SPD94" s="240" t="n"/>
      <c r="SPE94" s="240" t="n"/>
      <c r="SPG94" s="15" t="n"/>
      <c r="SPH94" s="15" t="n"/>
      <c r="SPI94" s="248" t="n"/>
      <c r="SPJ94" s="248" t="n"/>
      <c r="SPK94" s="240" t="n"/>
      <c r="SPL94" s="240" t="n"/>
      <c r="SPN94" s="15" t="n"/>
      <c r="SPO94" s="15" t="n"/>
      <c r="SPP94" s="248" t="n"/>
      <c r="SPQ94" s="248" t="n"/>
      <c r="SPR94" s="240" t="n"/>
      <c r="SPS94" s="240" t="n"/>
      <c r="SPU94" s="15" t="n"/>
      <c r="SPV94" s="15" t="n"/>
      <c r="SPW94" s="248" t="n"/>
      <c r="SPX94" s="248" t="n"/>
      <c r="SPY94" s="240" t="n"/>
      <c r="SPZ94" s="240" t="n"/>
      <c r="SQB94" s="15" t="n"/>
      <c r="SQC94" s="15" t="n"/>
      <c r="SQD94" s="248" t="n"/>
      <c r="SQE94" s="248" t="n"/>
      <c r="SQF94" s="240" t="n"/>
      <c r="SQG94" s="240" t="n"/>
      <c r="SQI94" s="15" t="n"/>
      <c r="SQJ94" s="15" t="n"/>
      <c r="SQK94" s="248" t="n"/>
      <c r="SQL94" s="248" t="n"/>
      <c r="SQM94" s="240" t="n"/>
      <c r="SQN94" s="240" t="n"/>
      <c r="SQP94" s="15" t="n"/>
      <c r="SQQ94" s="15" t="n"/>
      <c r="SQR94" s="248" t="n"/>
      <c r="SQS94" s="248" t="n"/>
      <c r="SQT94" s="240" t="n"/>
      <c r="SQU94" s="240" t="n"/>
      <c r="SQW94" s="15" t="n"/>
      <c r="SQX94" s="15" t="n"/>
      <c r="SQY94" s="248" t="n"/>
      <c r="SQZ94" s="248" t="n"/>
      <c r="SRA94" s="240" t="n"/>
      <c r="SRB94" s="240" t="n"/>
      <c r="SRD94" s="15" t="n"/>
      <c r="SRE94" s="15" t="n"/>
      <c r="SRF94" s="248" t="n"/>
      <c r="SRG94" s="248" t="n"/>
      <c r="SRH94" s="240" t="n"/>
      <c r="SRI94" s="240" t="n"/>
      <c r="SRK94" s="15" t="n"/>
      <c r="SRL94" s="15" t="n"/>
      <c r="SRM94" s="248" t="n"/>
      <c r="SRN94" s="248" t="n"/>
      <c r="SRO94" s="240" t="n"/>
      <c r="SRP94" s="240" t="n"/>
      <c r="SRR94" s="15" t="n"/>
      <c r="SRS94" s="15" t="n"/>
      <c r="SRT94" s="248" t="n"/>
      <c r="SRU94" s="248" t="n"/>
      <c r="SRV94" s="240" t="n"/>
      <c r="SRW94" s="240" t="n"/>
      <c r="SRY94" s="15" t="n"/>
      <c r="SRZ94" s="15" t="n"/>
      <c r="SSA94" s="248" t="n"/>
      <c r="SSB94" s="248" t="n"/>
      <c r="SSC94" s="240" t="n"/>
      <c r="SSD94" s="240" t="n"/>
      <c r="SSF94" s="15" t="n"/>
      <c r="SSG94" s="15" t="n"/>
      <c r="SSH94" s="248" t="n"/>
      <c r="SSI94" s="248" t="n"/>
      <c r="SSJ94" s="240" t="n"/>
      <c r="SSK94" s="240" t="n"/>
      <c r="SSM94" s="15" t="n"/>
      <c r="SSN94" s="15" t="n"/>
      <c r="SSO94" s="248" t="n"/>
      <c r="SSP94" s="248" t="n"/>
      <c r="SSQ94" s="240" t="n"/>
      <c r="SSR94" s="240" t="n"/>
      <c r="SST94" s="15" t="n"/>
      <c r="SSU94" s="15" t="n"/>
      <c r="SSV94" s="248" t="n"/>
      <c r="SSW94" s="248" t="n"/>
      <c r="SSX94" s="240" t="n"/>
      <c r="SSY94" s="240" t="n"/>
      <c r="STA94" s="15" t="n"/>
      <c r="STB94" s="15" t="n"/>
      <c r="STC94" s="248" t="n"/>
      <c r="STD94" s="248" t="n"/>
      <c r="STE94" s="240" t="n"/>
      <c r="STF94" s="240" t="n"/>
      <c r="STH94" s="15" t="n"/>
      <c r="STI94" s="15" t="n"/>
      <c r="STJ94" s="248" t="n"/>
      <c r="STK94" s="248" t="n"/>
      <c r="STL94" s="240" t="n"/>
      <c r="STM94" s="240" t="n"/>
      <c r="STO94" s="15" t="n"/>
      <c r="STP94" s="15" t="n"/>
      <c r="STQ94" s="248" t="n"/>
      <c r="STR94" s="248" t="n"/>
      <c r="STS94" s="240" t="n"/>
      <c r="STT94" s="240" t="n"/>
      <c r="STV94" s="15" t="n"/>
      <c r="STW94" s="15" t="n"/>
      <c r="STX94" s="248" t="n"/>
      <c r="STY94" s="248" t="n"/>
      <c r="STZ94" s="240" t="n"/>
      <c r="SUA94" s="240" t="n"/>
      <c r="SUC94" s="15" t="n"/>
      <c r="SUD94" s="15" t="n"/>
      <c r="SUE94" s="248" t="n"/>
      <c r="SUF94" s="248" t="n"/>
      <c r="SUG94" s="240" t="n"/>
      <c r="SUH94" s="240" t="n"/>
      <c r="SUJ94" s="15" t="n"/>
      <c r="SUK94" s="15" t="n"/>
      <c r="SUL94" s="248" t="n"/>
      <c r="SUM94" s="248" t="n"/>
      <c r="SUN94" s="240" t="n"/>
      <c r="SUO94" s="240" t="n"/>
      <c r="SUQ94" s="15" t="n"/>
      <c r="SUR94" s="15" t="n"/>
      <c r="SUS94" s="248" t="n"/>
      <c r="SUT94" s="248" t="n"/>
      <c r="SUU94" s="240" t="n"/>
      <c r="SUV94" s="240" t="n"/>
      <c r="SUX94" s="15" t="n"/>
      <c r="SUY94" s="15" t="n"/>
      <c r="SUZ94" s="248" t="n"/>
      <c r="SVA94" s="248" t="n"/>
      <c r="SVB94" s="240" t="n"/>
      <c r="SVC94" s="240" t="n"/>
      <c r="SVE94" s="15" t="n"/>
      <c r="SVF94" s="15" t="n"/>
      <c r="SVG94" s="248" t="n"/>
      <c r="SVH94" s="248" t="n"/>
      <c r="SVI94" s="240" t="n"/>
      <c r="SVJ94" s="240" t="n"/>
      <c r="SVL94" s="15" t="n"/>
      <c r="SVM94" s="15" t="n"/>
      <c r="SVN94" s="248" t="n"/>
      <c r="SVO94" s="248" t="n"/>
      <c r="SVP94" s="240" t="n"/>
      <c r="SVQ94" s="240" t="n"/>
      <c r="SVS94" s="15" t="n"/>
      <c r="SVT94" s="15" t="n"/>
      <c r="SVU94" s="248" t="n"/>
      <c r="SVV94" s="248" t="n"/>
      <c r="SVW94" s="240" t="n"/>
      <c r="SVX94" s="240" t="n"/>
      <c r="SVZ94" s="15" t="n"/>
      <c r="SWA94" s="15" t="n"/>
      <c r="SWB94" s="248" t="n"/>
      <c r="SWC94" s="248" t="n"/>
      <c r="SWD94" s="240" t="n"/>
      <c r="SWE94" s="240" t="n"/>
      <c r="SWG94" s="15" t="n"/>
      <c r="SWH94" s="15" t="n"/>
      <c r="SWI94" s="248" t="n"/>
      <c r="SWJ94" s="248" t="n"/>
      <c r="SWK94" s="240" t="n"/>
      <c r="SWL94" s="240" t="n"/>
      <c r="SWN94" s="15" t="n"/>
      <c r="SWO94" s="15" t="n"/>
      <c r="SWP94" s="248" t="n"/>
      <c r="SWQ94" s="248" t="n"/>
      <c r="SWR94" s="240" t="n"/>
      <c r="SWS94" s="240" t="n"/>
      <c r="SWU94" s="15" t="n"/>
      <c r="SWV94" s="15" t="n"/>
      <c r="SWW94" s="248" t="n"/>
      <c r="SWX94" s="248" t="n"/>
      <c r="SWY94" s="240" t="n"/>
      <c r="SWZ94" s="240" t="n"/>
      <c r="SXB94" s="15" t="n"/>
      <c r="SXC94" s="15" t="n"/>
      <c r="SXD94" s="248" t="n"/>
      <c r="SXE94" s="248" t="n"/>
      <c r="SXF94" s="240" t="n"/>
      <c r="SXG94" s="240" t="n"/>
      <c r="SXI94" s="15" t="n"/>
      <c r="SXJ94" s="15" t="n"/>
      <c r="SXK94" s="248" t="n"/>
      <c r="SXL94" s="248" t="n"/>
      <c r="SXM94" s="240" t="n"/>
      <c r="SXN94" s="240" t="n"/>
      <c r="SXP94" s="15" t="n"/>
      <c r="SXQ94" s="15" t="n"/>
      <c r="SXR94" s="248" t="n"/>
      <c r="SXS94" s="248" t="n"/>
      <c r="SXT94" s="240" t="n"/>
      <c r="SXU94" s="240" t="n"/>
      <c r="SXW94" s="15" t="n"/>
      <c r="SXX94" s="15" t="n"/>
      <c r="SXY94" s="248" t="n"/>
      <c r="SXZ94" s="248" t="n"/>
      <c r="SYA94" s="240" t="n"/>
      <c r="SYB94" s="240" t="n"/>
      <c r="SYD94" s="15" t="n"/>
      <c r="SYE94" s="15" t="n"/>
      <c r="SYF94" s="248" t="n"/>
      <c r="SYG94" s="248" t="n"/>
      <c r="SYH94" s="240" t="n"/>
      <c r="SYI94" s="240" t="n"/>
      <c r="SYK94" s="15" t="n"/>
      <c r="SYL94" s="15" t="n"/>
      <c r="SYM94" s="248" t="n"/>
      <c r="SYN94" s="248" t="n"/>
      <c r="SYO94" s="240" t="n"/>
      <c r="SYP94" s="240" t="n"/>
      <c r="SYR94" s="15" t="n"/>
      <c r="SYS94" s="15" t="n"/>
      <c r="SYT94" s="248" t="n"/>
      <c r="SYU94" s="248" t="n"/>
      <c r="SYV94" s="240" t="n"/>
      <c r="SYW94" s="240" t="n"/>
      <c r="SYY94" s="15" t="n"/>
      <c r="SYZ94" s="15" t="n"/>
      <c r="SZA94" s="248" t="n"/>
      <c r="SZB94" s="248" t="n"/>
      <c r="SZC94" s="240" t="n"/>
      <c r="SZD94" s="240" t="n"/>
      <c r="SZF94" s="15" t="n"/>
      <c r="SZG94" s="15" t="n"/>
      <c r="SZH94" s="248" t="n"/>
      <c r="SZI94" s="248" t="n"/>
      <c r="SZJ94" s="240" t="n"/>
      <c r="SZK94" s="240" t="n"/>
      <c r="SZM94" s="15" t="n"/>
      <c r="SZN94" s="15" t="n"/>
      <c r="SZO94" s="248" t="n"/>
      <c r="SZP94" s="248" t="n"/>
      <c r="SZQ94" s="240" t="n"/>
      <c r="SZR94" s="240" t="n"/>
      <c r="SZT94" s="15" t="n"/>
      <c r="SZU94" s="15" t="n"/>
      <c r="SZV94" s="248" t="n"/>
      <c r="SZW94" s="248" t="n"/>
      <c r="SZX94" s="240" t="n"/>
      <c r="SZY94" s="240" t="n"/>
      <c r="TAA94" s="15" t="n"/>
      <c r="TAB94" s="15" t="n"/>
      <c r="TAC94" s="248" t="n"/>
      <c r="TAD94" s="248" t="n"/>
      <c r="TAE94" s="240" t="n"/>
      <c r="TAF94" s="240" t="n"/>
      <c r="TAH94" s="15" t="n"/>
      <c r="TAI94" s="15" t="n"/>
      <c r="TAJ94" s="248" t="n"/>
      <c r="TAK94" s="248" t="n"/>
      <c r="TAL94" s="240" t="n"/>
      <c r="TAM94" s="240" t="n"/>
      <c r="TAO94" s="15" t="n"/>
      <c r="TAP94" s="15" t="n"/>
      <c r="TAQ94" s="248" t="n"/>
      <c r="TAR94" s="248" t="n"/>
      <c r="TAS94" s="240" t="n"/>
      <c r="TAT94" s="240" t="n"/>
      <c r="TAV94" s="15" t="n"/>
      <c r="TAW94" s="15" t="n"/>
      <c r="TAX94" s="248" t="n"/>
      <c r="TAY94" s="248" t="n"/>
      <c r="TAZ94" s="240" t="n"/>
      <c r="TBA94" s="240" t="n"/>
      <c r="TBC94" s="15" t="n"/>
      <c r="TBD94" s="15" t="n"/>
      <c r="TBE94" s="248" t="n"/>
      <c r="TBF94" s="248" t="n"/>
      <c r="TBG94" s="240" t="n"/>
      <c r="TBH94" s="240" t="n"/>
      <c r="TBJ94" s="15" t="n"/>
      <c r="TBK94" s="15" t="n"/>
      <c r="TBL94" s="248" t="n"/>
      <c r="TBM94" s="248" t="n"/>
      <c r="TBN94" s="240" t="n"/>
      <c r="TBO94" s="240" t="n"/>
      <c r="TBQ94" s="15" t="n"/>
      <c r="TBR94" s="15" t="n"/>
      <c r="TBS94" s="248" t="n"/>
      <c r="TBT94" s="248" t="n"/>
      <c r="TBU94" s="240" t="n"/>
      <c r="TBV94" s="240" t="n"/>
      <c r="TBX94" s="15" t="n"/>
      <c r="TBY94" s="15" t="n"/>
      <c r="TBZ94" s="248" t="n"/>
      <c r="TCA94" s="248" t="n"/>
      <c r="TCB94" s="240" t="n"/>
      <c r="TCC94" s="240" t="n"/>
      <c r="TCE94" s="15" t="n"/>
      <c r="TCF94" s="15" t="n"/>
      <c r="TCG94" s="248" t="n"/>
      <c r="TCH94" s="248" t="n"/>
      <c r="TCI94" s="240" t="n"/>
      <c r="TCJ94" s="240" t="n"/>
      <c r="TCL94" s="15" t="n"/>
      <c r="TCM94" s="15" t="n"/>
      <c r="TCN94" s="248" t="n"/>
      <c r="TCO94" s="248" t="n"/>
      <c r="TCP94" s="240" t="n"/>
      <c r="TCQ94" s="240" t="n"/>
      <c r="TCS94" s="15" t="n"/>
      <c r="TCT94" s="15" t="n"/>
      <c r="TCU94" s="248" t="n"/>
      <c r="TCV94" s="248" t="n"/>
      <c r="TCW94" s="240" t="n"/>
      <c r="TCX94" s="240" t="n"/>
      <c r="TCZ94" s="15" t="n"/>
      <c r="TDA94" s="15" t="n"/>
      <c r="TDB94" s="248" t="n"/>
      <c r="TDC94" s="248" t="n"/>
      <c r="TDD94" s="240" t="n"/>
      <c r="TDE94" s="240" t="n"/>
      <c r="TDG94" s="15" t="n"/>
      <c r="TDH94" s="15" t="n"/>
      <c r="TDI94" s="248" t="n"/>
      <c r="TDJ94" s="248" t="n"/>
      <c r="TDK94" s="240" t="n"/>
      <c r="TDL94" s="240" t="n"/>
      <c r="TDN94" s="15" t="n"/>
      <c r="TDO94" s="15" t="n"/>
      <c r="TDP94" s="248" t="n"/>
      <c r="TDQ94" s="248" t="n"/>
      <c r="TDR94" s="240" t="n"/>
      <c r="TDS94" s="240" t="n"/>
      <c r="TDU94" s="15" t="n"/>
      <c r="TDV94" s="15" t="n"/>
      <c r="TDW94" s="248" t="n"/>
      <c r="TDX94" s="248" t="n"/>
      <c r="TDY94" s="240" t="n"/>
      <c r="TDZ94" s="240" t="n"/>
      <c r="TEB94" s="15" t="n"/>
      <c r="TEC94" s="15" t="n"/>
      <c r="TED94" s="248" t="n"/>
      <c r="TEE94" s="248" t="n"/>
      <c r="TEF94" s="240" t="n"/>
      <c r="TEG94" s="240" t="n"/>
      <c r="TEI94" s="15" t="n"/>
      <c r="TEJ94" s="15" t="n"/>
      <c r="TEK94" s="248" t="n"/>
      <c r="TEL94" s="248" t="n"/>
      <c r="TEM94" s="240" t="n"/>
      <c r="TEN94" s="240" t="n"/>
      <c r="TEP94" s="15" t="n"/>
      <c r="TEQ94" s="15" t="n"/>
      <c r="TER94" s="248" t="n"/>
      <c r="TES94" s="248" t="n"/>
      <c r="TET94" s="240" t="n"/>
      <c r="TEU94" s="240" t="n"/>
      <c r="TEW94" s="15" t="n"/>
      <c r="TEX94" s="15" t="n"/>
      <c r="TEY94" s="248" t="n"/>
      <c r="TEZ94" s="248" t="n"/>
      <c r="TFA94" s="240" t="n"/>
      <c r="TFB94" s="240" t="n"/>
      <c r="TFD94" s="15" t="n"/>
      <c r="TFE94" s="15" t="n"/>
      <c r="TFF94" s="248" t="n"/>
      <c r="TFG94" s="248" t="n"/>
      <c r="TFH94" s="240" t="n"/>
      <c r="TFI94" s="240" t="n"/>
      <c r="TFK94" s="15" t="n"/>
      <c r="TFL94" s="15" t="n"/>
      <c r="TFM94" s="248" t="n"/>
      <c r="TFN94" s="248" t="n"/>
      <c r="TFO94" s="240" t="n"/>
      <c r="TFP94" s="240" t="n"/>
      <c r="TFR94" s="15" t="n"/>
      <c r="TFS94" s="15" t="n"/>
      <c r="TFT94" s="248" t="n"/>
      <c r="TFU94" s="248" t="n"/>
      <c r="TFV94" s="240" t="n"/>
      <c r="TFW94" s="240" t="n"/>
      <c r="TFY94" s="15" t="n"/>
      <c r="TFZ94" s="15" t="n"/>
      <c r="TGA94" s="248" t="n"/>
      <c r="TGB94" s="248" t="n"/>
      <c r="TGC94" s="240" t="n"/>
      <c r="TGD94" s="240" t="n"/>
      <c r="TGF94" s="15" t="n"/>
      <c r="TGG94" s="15" t="n"/>
      <c r="TGH94" s="248" t="n"/>
      <c r="TGI94" s="248" t="n"/>
      <c r="TGJ94" s="240" t="n"/>
      <c r="TGK94" s="240" t="n"/>
      <c r="TGM94" s="15" t="n"/>
      <c r="TGN94" s="15" t="n"/>
      <c r="TGO94" s="248" t="n"/>
      <c r="TGP94" s="248" t="n"/>
      <c r="TGQ94" s="240" t="n"/>
      <c r="TGR94" s="240" t="n"/>
      <c r="TGT94" s="15" t="n"/>
      <c r="TGU94" s="15" t="n"/>
      <c r="TGV94" s="248" t="n"/>
      <c r="TGW94" s="248" t="n"/>
      <c r="TGX94" s="240" t="n"/>
      <c r="TGY94" s="240" t="n"/>
      <c r="THA94" s="15" t="n"/>
      <c r="THB94" s="15" t="n"/>
      <c r="THC94" s="248" t="n"/>
      <c r="THD94" s="248" t="n"/>
      <c r="THE94" s="240" t="n"/>
      <c r="THF94" s="240" t="n"/>
      <c r="THH94" s="15" t="n"/>
      <c r="THI94" s="15" t="n"/>
      <c r="THJ94" s="248" t="n"/>
      <c r="THK94" s="248" t="n"/>
      <c r="THL94" s="240" t="n"/>
      <c r="THM94" s="240" t="n"/>
      <c r="THO94" s="15" t="n"/>
      <c r="THP94" s="15" t="n"/>
      <c r="THQ94" s="248" t="n"/>
      <c r="THR94" s="248" t="n"/>
      <c r="THS94" s="240" t="n"/>
      <c r="THT94" s="240" t="n"/>
      <c r="THV94" s="15" t="n"/>
      <c r="THW94" s="15" t="n"/>
      <c r="THX94" s="248" t="n"/>
      <c r="THY94" s="248" t="n"/>
      <c r="THZ94" s="240" t="n"/>
      <c r="TIA94" s="240" t="n"/>
      <c r="TIC94" s="15" t="n"/>
      <c r="TID94" s="15" t="n"/>
      <c r="TIE94" s="248" t="n"/>
      <c r="TIF94" s="248" t="n"/>
      <c r="TIG94" s="240" t="n"/>
      <c r="TIH94" s="240" t="n"/>
      <c r="TIJ94" s="15" t="n"/>
      <c r="TIK94" s="15" t="n"/>
      <c r="TIL94" s="248" t="n"/>
      <c r="TIM94" s="248" t="n"/>
      <c r="TIN94" s="240" t="n"/>
      <c r="TIO94" s="240" t="n"/>
      <c r="TIQ94" s="15" t="n"/>
      <c r="TIR94" s="15" t="n"/>
      <c r="TIS94" s="248" t="n"/>
      <c r="TIT94" s="248" t="n"/>
      <c r="TIU94" s="240" t="n"/>
      <c r="TIV94" s="240" t="n"/>
      <c r="TIX94" s="15" t="n"/>
      <c r="TIY94" s="15" t="n"/>
      <c r="TIZ94" s="248" t="n"/>
      <c r="TJA94" s="248" t="n"/>
      <c r="TJB94" s="240" t="n"/>
      <c r="TJC94" s="240" t="n"/>
      <c r="TJE94" s="15" t="n"/>
      <c r="TJF94" s="15" t="n"/>
      <c r="TJG94" s="248" t="n"/>
      <c r="TJH94" s="248" t="n"/>
      <c r="TJI94" s="240" t="n"/>
      <c r="TJJ94" s="240" t="n"/>
      <c r="TJL94" s="15" t="n"/>
      <c r="TJM94" s="15" t="n"/>
      <c r="TJN94" s="248" t="n"/>
      <c r="TJO94" s="248" t="n"/>
      <c r="TJP94" s="240" t="n"/>
      <c r="TJQ94" s="240" t="n"/>
      <c r="TJS94" s="15" t="n"/>
      <c r="TJT94" s="15" t="n"/>
      <c r="TJU94" s="248" t="n"/>
      <c r="TJV94" s="248" t="n"/>
      <c r="TJW94" s="240" t="n"/>
      <c r="TJX94" s="240" t="n"/>
      <c r="TJZ94" s="15" t="n"/>
      <c r="TKA94" s="15" t="n"/>
      <c r="TKB94" s="248" t="n"/>
      <c r="TKC94" s="248" t="n"/>
      <c r="TKD94" s="240" t="n"/>
      <c r="TKE94" s="240" t="n"/>
      <c r="TKG94" s="15" t="n"/>
      <c r="TKH94" s="15" t="n"/>
      <c r="TKI94" s="248" t="n"/>
      <c r="TKJ94" s="248" t="n"/>
      <c r="TKK94" s="240" t="n"/>
      <c r="TKL94" s="240" t="n"/>
      <c r="TKN94" s="15" t="n"/>
      <c r="TKO94" s="15" t="n"/>
      <c r="TKP94" s="248" t="n"/>
      <c r="TKQ94" s="248" t="n"/>
      <c r="TKR94" s="240" t="n"/>
      <c r="TKS94" s="240" t="n"/>
      <c r="TKU94" s="15" t="n"/>
      <c r="TKV94" s="15" t="n"/>
      <c r="TKW94" s="248" t="n"/>
      <c r="TKX94" s="248" t="n"/>
      <c r="TKY94" s="240" t="n"/>
      <c r="TKZ94" s="240" t="n"/>
      <c r="TLB94" s="15" t="n"/>
      <c r="TLC94" s="15" t="n"/>
      <c r="TLD94" s="248" t="n"/>
      <c r="TLE94" s="248" t="n"/>
      <c r="TLF94" s="240" t="n"/>
      <c r="TLG94" s="240" t="n"/>
      <c r="TLI94" s="15" t="n"/>
      <c r="TLJ94" s="15" t="n"/>
      <c r="TLK94" s="248" t="n"/>
      <c r="TLL94" s="248" t="n"/>
      <c r="TLM94" s="240" t="n"/>
      <c r="TLN94" s="240" t="n"/>
      <c r="TLP94" s="15" t="n"/>
      <c r="TLQ94" s="15" t="n"/>
      <c r="TLR94" s="248" t="n"/>
      <c r="TLS94" s="248" t="n"/>
      <c r="TLT94" s="240" t="n"/>
      <c r="TLU94" s="240" t="n"/>
      <c r="TLW94" s="15" t="n"/>
      <c r="TLX94" s="15" t="n"/>
      <c r="TLY94" s="248" t="n"/>
      <c r="TLZ94" s="248" t="n"/>
      <c r="TMA94" s="240" t="n"/>
      <c r="TMB94" s="240" t="n"/>
      <c r="TMD94" s="15" t="n"/>
      <c r="TME94" s="15" t="n"/>
      <c r="TMF94" s="248" t="n"/>
      <c r="TMG94" s="248" t="n"/>
      <c r="TMH94" s="240" t="n"/>
      <c r="TMI94" s="240" t="n"/>
      <c r="TMK94" s="15" t="n"/>
      <c r="TML94" s="15" t="n"/>
      <c r="TMM94" s="248" t="n"/>
      <c r="TMN94" s="248" t="n"/>
      <c r="TMO94" s="240" t="n"/>
      <c r="TMP94" s="240" t="n"/>
      <c r="TMR94" s="15" t="n"/>
      <c r="TMS94" s="15" t="n"/>
      <c r="TMT94" s="248" t="n"/>
      <c r="TMU94" s="248" t="n"/>
      <c r="TMV94" s="240" t="n"/>
      <c r="TMW94" s="240" t="n"/>
      <c r="TMY94" s="15" t="n"/>
      <c r="TMZ94" s="15" t="n"/>
      <c r="TNA94" s="248" t="n"/>
      <c r="TNB94" s="248" t="n"/>
      <c r="TNC94" s="240" t="n"/>
      <c r="TND94" s="240" t="n"/>
      <c r="TNF94" s="15" t="n"/>
      <c r="TNG94" s="15" t="n"/>
      <c r="TNH94" s="248" t="n"/>
      <c r="TNI94" s="248" t="n"/>
      <c r="TNJ94" s="240" t="n"/>
      <c r="TNK94" s="240" t="n"/>
      <c r="TNM94" s="15" t="n"/>
      <c r="TNN94" s="15" t="n"/>
      <c r="TNO94" s="248" t="n"/>
      <c r="TNP94" s="248" t="n"/>
      <c r="TNQ94" s="240" t="n"/>
      <c r="TNR94" s="240" t="n"/>
      <c r="TNT94" s="15" t="n"/>
      <c r="TNU94" s="15" t="n"/>
      <c r="TNV94" s="248" t="n"/>
      <c r="TNW94" s="248" t="n"/>
      <c r="TNX94" s="240" t="n"/>
      <c r="TNY94" s="240" t="n"/>
      <c r="TOA94" s="15" t="n"/>
      <c r="TOB94" s="15" t="n"/>
      <c r="TOC94" s="248" t="n"/>
      <c r="TOD94" s="248" t="n"/>
      <c r="TOE94" s="240" t="n"/>
      <c r="TOF94" s="240" t="n"/>
      <c r="TOH94" s="15" t="n"/>
      <c r="TOI94" s="15" t="n"/>
      <c r="TOJ94" s="248" t="n"/>
      <c r="TOK94" s="248" t="n"/>
      <c r="TOL94" s="240" t="n"/>
      <c r="TOM94" s="240" t="n"/>
      <c r="TOO94" s="15" t="n"/>
      <c r="TOP94" s="15" t="n"/>
      <c r="TOQ94" s="248" t="n"/>
      <c r="TOR94" s="248" t="n"/>
      <c r="TOS94" s="240" t="n"/>
      <c r="TOT94" s="240" t="n"/>
      <c r="TOV94" s="15" t="n"/>
      <c r="TOW94" s="15" t="n"/>
      <c r="TOX94" s="248" t="n"/>
      <c r="TOY94" s="248" t="n"/>
      <c r="TOZ94" s="240" t="n"/>
      <c r="TPA94" s="240" t="n"/>
      <c r="TPC94" s="15" t="n"/>
      <c r="TPD94" s="15" t="n"/>
      <c r="TPE94" s="248" t="n"/>
      <c r="TPF94" s="248" t="n"/>
      <c r="TPG94" s="240" t="n"/>
      <c r="TPH94" s="240" t="n"/>
      <c r="TPJ94" s="15" t="n"/>
      <c r="TPK94" s="15" t="n"/>
      <c r="TPL94" s="248" t="n"/>
      <c r="TPM94" s="248" t="n"/>
      <c r="TPN94" s="240" t="n"/>
      <c r="TPO94" s="240" t="n"/>
      <c r="TPQ94" s="15" t="n"/>
      <c r="TPR94" s="15" t="n"/>
      <c r="TPS94" s="248" t="n"/>
      <c r="TPT94" s="248" t="n"/>
      <c r="TPU94" s="240" t="n"/>
      <c r="TPV94" s="240" t="n"/>
      <c r="TPX94" s="15" t="n"/>
      <c r="TPY94" s="15" t="n"/>
      <c r="TPZ94" s="248" t="n"/>
      <c r="TQA94" s="248" t="n"/>
      <c r="TQB94" s="240" t="n"/>
      <c r="TQC94" s="240" t="n"/>
      <c r="TQE94" s="15" t="n"/>
      <c r="TQF94" s="15" t="n"/>
      <c r="TQG94" s="248" t="n"/>
      <c r="TQH94" s="248" t="n"/>
      <c r="TQI94" s="240" t="n"/>
      <c r="TQJ94" s="240" t="n"/>
      <c r="TQL94" s="15" t="n"/>
      <c r="TQM94" s="15" t="n"/>
      <c r="TQN94" s="248" t="n"/>
      <c r="TQO94" s="248" t="n"/>
      <c r="TQP94" s="240" t="n"/>
      <c r="TQQ94" s="240" t="n"/>
      <c r="TQS94" s="15" t="n"/>
      <c r="TQT94" s="15" t="n"/>
      <c r="TQU94" s="248" t="n"/>
      <c r="TQV94" s="248" t="n"/>
      <c r="TQW94" s="240" t="n"/>
      <c r="TQX94" s="240" t="n"/>
      <c r="TQZ94" s="15" t="n"/>
      <c r="TRA94" s="15" t="n"/>
      <c r="TRB94" s="248" t="n"/>
      <c r="TRC94" s="248" t="n"/>
      <c r="TRD94" s="240" t="n"/>
      <c r="TRE94" s="240" t="n"/>
      <c r="TRG94" s="15" t="n"/>
      <c r="TRH94" s="15" t="n"/>
      <c r="TRI94" s="248" t="n"/>
      <c r="TRJ94" s="248" t="n"/>
      <c r="TRK94" s="240" t="n"/>
      <c r="TRL94" s="240" t="n"/>
      <c r="TRN94" s="15" t="n"/>
      <c r="TRO94" s="15" t="n"/>
      <c r="TRP94" s="248" t="n"/>
      <c r="TRQ94" s="248" t="n"/>
      <c r="TRR94" s="240" t="n"/>
      <c r="TRS94" s="240" t="n"/>
      <c r="TRU94" s="15" t="n"/>
      <c r="TRV94" s="15" t="n"/>
      <c r="TRW94" s="248" t="n"/>
      <c r="TRX94" s="248" t="n"/>
      <c r="TRY94" s="240" t="n"/>
      <c r="TRZ94" s="240" t="n"/>
      <c r="TSB94" s="15" t="n"/>
      <c r="TSC94" s="15" t="n"/>
      <c r="TSD94" s="248" t="n"/>
      <c r="TSE94" s="248" t="n"/>
      <c r="TSF94" s="240" t="n"/>
      <c r="TSG94" s="240" t="n"/>
      <c r="TSI94" s="15" t="n"/>
      <c r="TSJ94" s="15" t="n"/>
      <c r="TSK94" s="248" t="n"/>
      <c r="TSL94" s="248" t="n"/>
      <c r="TSM94" s="240" t="n"/>
      <c r="TSN94" s="240" t="n"/>
      <c r="TSP94" s="15" t="n"/>
      <c r="TSQ94" s="15" t="n"/>
      <c r="TSR94" s="248" t="n"/>
      <c r="TSS94" s="248" t="n"/>
      <c r="TST94" s="240" t="n"/>
      <c r="TSU94" s="240" t="n"/>
      <c r="TSW94" s="15" t="n"/>
      <c r="TSX94" s="15" t="n"/>
      <c r="TSY94" s="248" t="n"/>
      <c r="TSZ94" s="248" t="n"/>
      <c r="TTA94" s="240" t="n"/>
      <c r="TTB94" s="240" t="n"/>
      <c r="TTD94" s="15" t="n"/>
      <c r="TTE94" s="15" t="n"/>
      <c r="TTF94" s="248" t="n"/>
      <c r="TTG94" s="248" t="n"/>
      <c r="TTH94" s="240" t="n"/>
      <c r="TTI94" s="240" t="n"/>
      <c r="TTK94" s="15" t="n"/>
      <c r="TTL94" s="15" t="n"/>
      <c r="TTM94" s="248" t="n"/>
      <c r="TTN94" s="248" t="n"/>
      <c r="TTO94" s="240" t="n"/>
      <c r="TTP94" s="240" t="n"/>
      <c r="TTR94" s="15" t="n"/>
      <c r="TTS94" s="15" t="n"/>
      <c r="TTT94" s="248" t="n"/>
      <c r="TTU94" s="248" t="n"/>
      <c r="TTV94" s="240" t="n"/>
      <c r="TTW94" s="240" t="n"/>
      <c r="TTY94" s="15" t="n"/>
      <c r="TTZ94" s="15" t="n"/>
      <c r="TUA94" s="248" t="n"/>
      <c r="TUB94" s="248" t="n"/>
      <c r="TUC94" s="240" t="n"/>
      <c r="TUD94" s="240" t="n"/>
      <c r="TUF94" s="15" t="n"/>
      <c r="TUG94" s="15" t="n"/>
      <c r="TUH94" s="248" t="n"/>
      <c r="TUI94" s="248" t="n"/>
      <c r="TUJ94" s="240" t="n"/>
      <c r="TUK94" s="240" t="n"/>
      <c r="TUM94" s="15" t="n"/>
      <c r="TUN94" s="15" t="n"/>
      <c r="TUO94" s="248" t="n"/>
      <c r="TUP94" s="248" t="n"/>
      <c r="TUQ94" s="240" t="n"/>
      <c r="TUR94" s="240" t="n"/>
      <c r="TUT94" s="15" t="n"/>
      <c r="TUU94" s="15" t="n"/>
      <c r="TUV94" s="248" t="n"/>
      <c r="TUW94" s="248" t="n"/>
      <c r="TUX94" s="240" t="n"/>
      <c r="TUY94" s="240" t="n"/>
      <c r="TVA94" s="15" t="n"/>
      <c r="TVB94" s="15" t="n"/>
      <c r="TVC94" s="248" t="n"/>
      <c r="TVD94" s="248" t="n"/>
      <c r="TVE94" s="240" t="n"/>
      <c r="TVF94" s="240" t="n"/>
      <c r="TVH94" s="15" t="n"/>
      <c r="TVI94" s="15" t="n"/>
      <c r="TVJ94" s="248" t="n"/>
      <c r="TVK94" s="248" t="n"/>
      <c r="TVL94" s="240" t="n"/>
      <c r="TVM94" s="240" t="n"/>
      <c r="TVO94" s="15" t="n"/>
      <c r="TVP94" s="15" t="n"/>
      <c r="TVQ94" s="248" t="n"/>
      <c r="TVR94" s="248" t="n"/>
      <c r="TVS94" s="240" t="n"/>
      <c r="TVT94" s="240" t="n"/>
      <c r="TVV94" s="15" t="n"/>
      <c r="TVW94" s="15" t="n"/>
      <c r="TVX94" s="248" t="n"/>
      <c r="TVY94" s="248" t="n"/>
      <c r="TVZ94" s="240" t="n"/>
      <c r="TWA94" s="240" t="n"/>
      <c r="TWC94" s="15" t="n"/>
      <c r="TWD94" s="15" t="n"/>
      <c r="TWE94" s="248" t="n"/>
      <c r="TWF94" s="248" t="n"/>
      <c r="TWG94" s="240" t="n"/>
      <c r="TWH94" s="240" t="n"/>
      <c r="TWJ94" s="15" t="n"/>
      <c r="TWK94" s="15" t="n"/>
      <c r="TWL94" s="248" t="n"/>
      <c r="TWM94" s="248" t="n"/>
      <c r="TWN94" s="240" t="n"/>
      <c r="TWO94" s="240" t="n"/>
      <c r="TWQ94" s="15" t="n"/>
      <c r="TWR94" s="15" t="n"/>
      <c r="TWS94" s="248" t="n"/>
      <c r="TWT94" s="248" t="n"/>
      <c r="TWU94" s="240" t="n"/>
      <c r="TWV94" s="240" t="n"/>
      <c r="TWX94" s="15" t="n"/>
      <c r="TWY94" s="15" t="n"/>
      <c r="TWZ94" s="248" t="n"/>
      <c r="TXA94" s="248" t="n"/>
      <c r="TXB94" s="240" t="n"/>
      <c r="TXC94" s="240" t="n"/>
      <c r="TXE94" s="15" t="n"/>
      <c r="TXF94" s="15" t="n"/>
      <c r="TXG94" s="248" t="n"/>
      <c r="TXH94" s="248" t="n"/>
      <c r="TXI94" s="240" t="n"/>
      <c r="TXJ94" s="240" t="n"/>
      <c r="TXL94" s="15" t="n"/>
      <c r="TXM94" s="15" t="n"/>
      <c r="TXN94" s="248" t="n"/>
      <c r="TXO94" s="248" t="n"/>
      <c r="TXP94" s="240" t="n"/>
      <c r="TXQ94" s="240" t="n"/>
      <c r="TXS94" s="15" t="n"/>
      <c r="TXT94" s="15" t="n"/>
      <c r="TXU94" s="248" t="n"/>
      <c r="TXV94" s="248" t="n"/>
      <c r="TXW94" s="240" t="n"/>
      <c r="TXX94" s="240" t="n"/>
      <c r="TXZ94" s="15" t="n"/>
      <c r="TYA94" s="15" t="n"/>
      <c r="TYB94" s="248" t="n"/>
      <c r="TYC94" s="248" t="n"/>
      <c r="TYD94" s="240" t="n"/>
      <c r="TYE94" s="240" t="n"/>
      <c r="TYG94" s="15" t="n"/>
      <c r="TYH94" s="15" t="n"/>
      <c r="TYI94" s="248" t="n"/>
      <c r="TYJ94" s="248" t="n"/>
      <c r="TYK94" s="240" t="n"/>
      <c r="TYL94" s="240" t="n"/>
      <c r="TYN94" s="15" t="n"/>
      <c r="TYO94" s="15" t="n"/>
      <c r="TYP94" s="248" t="n"/>
      <c r="TYQ94" s="248" t="n"/>
      <c r="TYR94" s="240" t="n"/>
      <c r="TYS94" s="240" t="n"/>
      <c r="TYU94" s="15" t="n"/>
      <c r="TYV94" s="15" t="n"/>
      <c r="TYW94" s="248" t="n"/>
      <c r="TYX94" s="248" t="n"/>
      <c r="TYY94" s="240" t="n"/>
      <c r="TYZ94" s="240" t="n"/>
      <c r="TZB94" s="15" t="n"/>
      <c r="TZC94" s="15" t="n"/>
      <c r="TZD94" s="248" t="n"/>
      <c r="TZE94" s="248" t="n"/>
      <c r="TZF94" s="240" t="n"/>
      <c r="TZG94" s="240" t="n"/>
      <c r="TZI94" s="15" t="n"/>
      <c r="TZJ94" s="15" t="n"/>
      <c r="TZK94" s="248" t="n"/>
      <c r="TZL94" s="248" t="n"/>
      <c r="TZM94" s="240" t="n"/>
      <c r="TZN94" s="240" t="n"/>
      <c r="TZP94" s="15" t="n"/>
      <c r="TZQ94" s="15" t="n"/>
      <c r="TZR94" s="248" t="n"/>
      <c r="TZS94" s="248" t="n"/>
      <c r="TZT94" s="240" t="n"/>
      <c r="TZU94" s="240" t="n"/>
      <c r="TZW94" s="15" t="n"/>
      <c r="TZX94" s="15" t="n"/>
      <c r="TZY94" s="248" t="n"/>
      <c r="TZZ94" s="248" t="n"/>
      <c r="UAA94" s="240" t="n"/>
      <c r="UAB94" s="240" t="n"/>
      <c r="UAD94" s="15" t="n"/>
      <c r="UAE94" s="15" t="n"/>
      <c r="UAF94" s="248" t="n"/>
      <c r="UAG94" s="248" t="n"/>
      <c r="UAH94" s="240" t="n"/>
      <c r="UAI94" s="240" t="n"/>
      <c r="UAK94" s="15" t="n"/>
      <c r="UAL94" s="15" t="n"/>
      <c r="UAM94" s="248" t="n"/>
      <c r="UAN94" s="248" t="n"/>
      <c r="UAO94" s="240" t="n"/>
      <c r="UAP94" s="240" t="n"/>
      <c r="UAR94" s="15" t="n"/>
      <c r="UAS94" s="15" t="n"/>
      <c r="UAT94" s="248" t="n"/>
      <c r="UAU94" s="248" t="n"/>
      <c r="UAV94" s="240" t="n"/>
      <c r="UAW94" s="240" t="n"/>
      <c r="UAY94" s="15" t="n"/>
      <c r="UAZ94" s="15" t="n"/>
      <c r="UBA94" s="248" t="n"/>
      <c r="UBB94" s="248" t="n"/>
      <c r="UBC94" s="240" t="n"/>
      <c r="UBD94" s="240" t="n"/>
      <c r="UBF94" s="15" t="n"/>
      <c r="UBG94" s="15" t="n"/>
      <c r="UBH94" s="248" t="n"/>
      <c r="UBI94" s="248" t="n"/>
      <c r="UBJ94" s="240" t="n"/>
      <c r="UBK94" s="240" t="n"/>
      <c r="UBM94" s="15" t="n"/>
      <c r="UBN94" s="15" t="n"/>
      <c r="UBO94" s="248" t="n"/>
      <c r="UBP94" s="248" t="n"/>
      <c r="UBQ94" s="240" t="n"/>
      <c r="UBR94" s="240" t="n"/>
      <c r="UBT94" s="15" t="n"/>
      <c r="UBU94" s="15" t="n"/>
      <c r="UBV94" s="248" t="n"/>
      <c r="UBW94" s="248" t="n"/>
      <c r="UBX94" s="240" t="n"/>
      <c r="UBY94" s="240" t="n"/>
      <c r="UCA94" s="15" t="n"/>
      <c r="UCB94" s="15" t="n"/>
      <c r="UCC94" s="248" t="n"/>
      <c r="UCD94" s="248" t="n"/>
      <c r="UCE94" s="240" t="n"/>
      <c r="UCF94" s="240" t="n"/>
      <c r="UCH94" s="15" t="n"/>
      <c r="UCI94" s="15" t="n"/>
      <c r="UCJ94" s="248" t="n"/>
      <c r="UCK94" s="248" t="n"/>
      <c r="UCL94" s="240" t="n"/>
      <c r="UCM94" s="240" t="n"/>
      <c r="UCO94" s="15" t="n"/>
      <c r="UCP94" s="15" t="n"/>
      <c r="UCQ94" s="248" t="n"/>
      <c r="UCR94" s="248" t="n"/>
      <c r="UCS94" s="240" t="n"/>
      <c r="UCT94" s="240" t="n"/>
      <c r="UCV94" s="15" t="n"/>
      <c r="UCW94" s="15" t="n"/>
      <c r="UCX94" s="248" t="n"/>
      <c r="UCY94" s="248" t="n"/>
      <c r="UCZ94" s="240" t="n"/>
      <c r="UDA94" s="240" t="n"/>
      <c r="UDC94" s="15" t="n"/>
      <c r="UDD94" s="15" t="n"/>
      <c r="UDE94" s="248" t="n"/>
      <c r="UDF94" s="248" t="n"/>
      <c r="UDG94" s="240" t="n"/>
      <c r="UDH94" s="240" t="n"/>
      <c r="UDJ94" s="15" t="n"/>
      <c r="UDK94" s="15" t="n"/>
      <c r="UDL94" s="248" t="n"/>
      <c r="UDM94" s="248" t="n"/>
      <c r="UDN94" s="240" t="n"/>
      <c r="UDO94" s="240" t="n"/>
      <c r="UDQ94" s="15" t="n"/>
      <c r="UDR94" s="15" t="n"/>
      <c r="UDS94" s="248" t="n"/>
      <c r="UDT94" s="248" t="n"/>
      <c r="UDU94" s="240" t="n"/>
      <c r="UDV94" s="240" t="n"/>
      <c r="UDX94" s="15" t="n"/>
      <c r="UDY94" s="15" t="n"/>
      <c r="UDZ94" s="248" t="n"/>
      <c r="UEA94" s="248" t="n"/>
      <c r="UEB94" s="240" t="n"/>
      <c r="UEC94" s="240" t="n"/>
      <c r="UEE94" s="15" t="n"/>
      <c r="UEF94" s="15" t="n"/>
      <c r="UEG94" s="248" t="n"/>
      <c r="UEH94" s="248" t="n"/>
      <c r="UEI94" s="240" t="n"/>
      <c r="UEJ94" s="240" t="n"/>
      <c r="UEL94" s="15" t="n"/>
      <c r="UEM94" s="15" t="n"/>
      <c r="UEN94" s="248" t="n"/>
      <c r="UEO94" s="248" t="n"/>
      <c r="UEP94" s="240" t="n"/>
      <c r="UEQ94" s="240" t="n"/>
      <c r="UES94" s="15" t="n"/>
      <c r="UET94" s="15" t="n"/>
      <c r="UEU94" s="248" t="n"/>
      <c r="UEV94" s="248" t="n"/>
      <c r="UEW94" s="240" t="n"/>
      <c r="UEX94" s="240" t="n"/>
      <c r="UEZ94" s="15" t="n"/>
      <c r="UFA94" s="15" t="n"/>
      <c r="UFB94" s="248" t="n"/>
      <c r="UFC94" s="248" t="n"/>
      <c r="UFD94" s="240" t="n"/>
      <c r="UFE94" s="240" t="n"/>
      <c r="UFG94" s="15" t="n"/>
      <c r="UFH94" s="15" t="n"/>
      <c r="UFI94" s="248" t="n"/>
      <c r="UFJ94" s="248" t="n"/>
      <c r="UFK94" s="240" t="n"/>
      <c r="UFL94" s="240" t="n"/>
      <c r="UFN94" s="15" t="n"/>
      <c r="UFO94" s="15" t="n"/>
      <c r="UFP94" s="248" t="n"/>
      <c r="UFQ94" s="248" t="n"/>
      <c r="UFR94" s="240" t="n"/>
      <c r="UFS94" s="240" t="n"/>
      <c r="UFU94" s="15" t="n"/>
      <c r="UFV94" s="15" t="n"/>
      <c r="UFW94" s="248" t="n"/>
      <c r="UFX94" s="248" t="n"/>
      <c r="UFY94" s="240" t="n"/>
      <c r="UFZ94" s="240" t="n"/>
      <c r="UGB94" s="15" t="n"/>
      <c r="UGC94" s="15" t="n"/>
      <c r="UGD94" s="248" t="n"/>
      <c r="UGE94" s="248" t="n"/>
      <c r="UGF94" s="240" t="n"/>
      <c r="UGG94" s="240" t="n"/>
      <c r="UGI94" s="15" t="n"/>
      <c r="UGJ94" s="15" t="n"/>
      <c r="UGK94" s="248" t="n"/>
      <c r="UGL94" s="248" t="n"/>
      <c r="UGM94" s="240" t="n"/>
      <c r="UGN94" s="240" t="n"/>
      <c r="UGP94" s="15" t="n"/>
      <c r="UGQ94" s="15" t="n"/>
      <c r="UGR94" s="248" t="n"/>
      <c r="UGS94" s="248" t="n"/>
      <c r="UGT94" s="240" t="n"/>
      <c r="UGU94" s="240" t="n"/>
      <c r="UGW94" s="15" t="n"/>
      <c r="UGX94" s="15" t="n"/>
      <c r="UGY94" s="248" t="n"/>
      <c r="UGZ94" s="248" t="n"/>
      <c r="UHA94" s="240" t="n"/>
      <c r="UHB94" s="240" t="n"/>
      <c r="UHD94" s="15" t="n"/>
      <c r="UHE94" s="15" t="n"/>
      <c r="UHF94" s="248" t="n"/>
      <c r="UHG94" s="248" t="n"/>
      <c r="UHH94" s="240" t="n"/>
      <c r="UHI94" s="240" t="n"/>
      <c r="UHK94" s="15" t="n"/>
      <c r="UHL94" s="15" t="n"/>
      <c r="UHM94" s="248" t="n"/>
      <c r="UHN94" s="248" t="n"/>
      <c r="UHO94" s="240" t="n"/>
      <c r="UHP94" s="240" t="n"/>
      <c r="UHR94" s="15" t="n"/>
      <c r="UHS94" s="15" t="n"/>
      <c r="UHT94" s="248" t="n"/>
      <c r="UHU94" s="248" t="n"/>
      <c r="UHV94" s="240" t="n"/>
      <c r="UHW94" s="240" t="n"/>
      <c r="UHY94" s="15" t="n"/>
      <c r="UHZ94" s="15" t="n"/>
      <c r="UIA94" s="248" t="n"/>
      <c r="UIB94" s="248" t="n"/>
      <c r="UIC94" s="240" t="n"/>
      <c r="UID94" s="240" t="n"/>
      <c r="UIF94" s="15" t="n"/>
      <c r="UIG94" s="15" t="n"/>
      <c r="UIH94" s="248" t="n"/>
      <c r="UII94" s="248" t="n"/>
      <c r="UIJ94" s="240" t="n"/>
      <c r="UIK94" s="240" t="n"/>
      <c r="UIM94" s="15" t="n"/>
      <c r="UIN94" s="15" t="n"/>
      <c r="UIO94" s="248" t="n"/>
      <c r="UIP94" s="248" t="n"/>
      <c r="UIQ94" s="240" t="n"/>
      <c r="UIR94" s="240" t="n"/>
      <c r="UIT94" s="15" t="n"/>
      <c r="UIU94" s="15" t="n"/>
      <c r="UIV94" s="248" t="n"/>
      <c r="UIW94" s="248" t="n"/>
      <c r="UIX94" s="240" t="n"/>
      <c r="UIY94" s="240" t="n"/>
      <c r="UJA94" s="15" t="n"/>
      <c r="UJB94" s="15" t="n"/>
      <c r="UJC94" s="248" t="n"/>
      <c r="UJD94" s="248" t="n"/>
      <c r="UJE94" s="240" t="n"/>
      <c r="UJF94" s="240" t="n"/>
      <c r="UJH94" s="15" t="n"/>
      <c r="UJI94" s="15" t="n"/>
      <c r="UJJ94" s="248" t="n"/>
      <c r="UJK94" s="248" t="n"/>
      <c r="UJL94" s="240" t="n"/>
      <c r="UJM94" s="240" t="n"/>
      <c r="UJO94" s="15" t="n"/>
      <c r="UJP94" s="15" t="n"/>
      <c r="UJQ94" s="248" t="n"/>
      <c r="UJR94" s="248" t="n"/>
      <c r="UJS94" s="240" t="n"/>
      <c r="UJT94" s="240" t="n"/>
      <c r="UJV94" s="15" t="n"/>
      <c r="UJW94" s="15" t="n"/>
      <c r="UJX94" s="248" t="n"/>
      <c r="UJY94" s="248" t="n"/>
      <c r="UJZ94" s="240" t="n"/>
      <c r="UKA94" s="240" t="n"/>
      <c r="UKC94" s="15" t="n"/>
      <c r="UKD94" s="15" t="n"/>
      <c r="UKE94" s="248" t="n"/>
      <c r="UKF94" s="248" t="n"/>
      <c r="UKG94" s="240" t="n"/>
      <c r="UKH94" s="240" t="n"/>
      <c r="UKJ94" s="15" t="n"/>
      <c r="UKK94" s="15" t="n"/>
      <c r="UKL94" s="248" t="n"/>
      <c r="UKM94" s="248" t="n"/>
      <c r="UKN94" s="240" t="n"/>
      <c r="UKO94" s="240" t="n"/>
      <c r="UKQ94" s="15" t="n"/>
      <c r="UKR94" s="15" t="n"/>
      <c r="UKS94" s="248" t="n"/>
      <c r="UKT94" s="248" t="n"/>
      <c r="UKU94" s="240" t="n"/>
      <c r="UKV94" s="240" t="n"/>
      <c r="UKX94" s="15" t="n"/>
      <c r="UKY94" s="15" t="n"/>
      <c r="UKZ94" s="248" t="n"/>
      <c r="ULA94" s="248" t="n"/>
      <c r="ULB94" s="240" t="n"/>
      <c r="ULC94" s="240" t="n"/>
      <c r="ULE94" s="15" t="n"/>
      <c r="ULF94" s="15" t="n"/>
      <c r="ULG94" s="248" t="n"/>
      <c r="ULH94" s="248" t="n"/>
      <c r="ULI94" s="240" t="n"/>
      <c r="ULJ94" s="240" t="n"/>
      <c r="ULL94" s="15" t="n"/>
      <c r="ULM94" s="15" t="n"/>
      <c r="ULN94" s="248" t="n"/>
      <c r="ULO94" s="248" t="n"/>
      <c r="ULP94" s="240" t="n"/>
      <c r="ULQ94" s="240" t="n"/>
      <c r="ULS94" s="15" t="n"/>
      <c r="ULT94" s="15" t="n"/>
      <c r="ULU94" s="248" t="n"/>
      <c r="ULV94" s="248" t="n"/>
      <c r="ULW94" s="240" t="n"/>
      <c r="ULX94" s="240" t="n"/>
      <c r="ULZ94" s="15" t="n"/>
      <c r="UMA94" s="15" t="n"/>
      <c r="UMB94" s="248" t="n"/>
      <c r="UMC94" s="248" t="n"/>
      <c r="UMD94" s="240" t="n"/>
      <c r="UME94" s="240" t="n"/>
      <c r="UMG94" s="15" t="n"/>
      <c r="UMH94" s="15" t="n"/>
      <c r="UMI94" s="248" t="n"/>
      <c r="UMJ94" s="248" t="n"/>
      <c r="UMK94" s="240" t="n"/>
      <c r="UML94" s="240" t="n"/>
      <c r="UMN94" s="15" t="n"/>
      <c r="UMO94" s="15" t="n"/>
      <c r="UMP94" s="248" t="n"/>
      <c r="UMQ94" s="248" t="n"/>
      <c r="UMR94" s="240" t="n"/>
      <c r="UMS94" s="240" t="n"/>
      <c r="UMU94" s="15" t="n"/>
      <c r="UMV94" s="15" t="n"/>
      <c r="UMW94" s="248" t="n"/>
      <c r="UMX94" s="248" t="n"/>
      <c r="UMY94" s="240" t="n"/>
      <c r="UMZ94" s="240" t="n"/>
      <c r="UNB94" s="15" t="n"/>
      <c r="UNC94" s="15" t="n"/>
      <c r="UND94" s="248" t="n"/>
      <c r="UNE94" s="248" t="n"/>
      <c r="UNF94" s="240" t="n"/>
      <c r="UNG94" s="240" t="n"/>
      <c r="UNI94" s="15" t="n"/>
      <c r="UNJ94" s="15" t="n"/>
      <c r="UNK94" s="248" t="n"/>
      <c r="UNL94" s="248" t="n"/>
      <c r="UNM94" s="240" t="n"/>
      <c r="UNN94" s="240" t="n"/>
      <c r="UNP94" s="15" t="n"/>
      <c r="UNQ94" s="15" t="n"/>
      <c r="UNR94" s="248" t="n"/>
      <c r="UNS94" s="248" t="n"/>
      <c r="UNT94" s="240" t="n"/>
      <c r="UNU94" s="240" t="n"/>
      <c r="UNW94" s="15" t="n"/>
      <c r="UNX94" s="15" t="n"/>
      <c r="UNY94" s="248" t="n"/>
      <c r="UNZ94" s="248" t="n"/>
      <c r="UOA94" s="240" t="n"/>
      <c r="UOB94" s="240" t="n"/>
      <c r="UOD94" s="15" t="n"/>
      <c r="UOE94" s="15" t="n"/>
      <c r="UOF94" s="248" t="n"/>
      <c r="UOG94" s="248" t="n"/>
      <c r="UOH94" s="240" t="n"/>
      <c r="UOI94" s="240" t="n"/>
      <c r="UOK94" s="15" t="n"/>
      <c r="UOL94" s="15" t="n"/>
      <c r="UOM94" s="248" t="n"/>
      <c r="UON94" s="248" t="n"/>
      <c r="UOO94" s="240" t="n"/>
      <c r="UOP94" s="240" t="n"/>
      <c r="UOR94" s="15" t="n"/>
      <c r="UOS94" s="15" t="n"/>
      <c r="UOT94" s="248" t="n"/>
      <c r="UOU94" s="248" t="n"/>
      <c r="UOV94" s="240" t="n"/>
      <c r="UOW94" s="240" t="n"/>
      <c r="UOY94" s="15" t="n"/>
      <c r="UOZ94" s="15" t="n"/>
      <c r="UPA94" s="248" t="n"/>
      <c r="UPB94" s="248" t="n"/>
      <c r="UPC94" s="240" t="n"/>
      <c r="UPD94" s="240" t="n"/>
      <c r="UPF94" s="15" t="n"/>
      <c r="UPG94" s="15" t="n"/>
      <c r="UPH94" s="248" t="n"/>
      <c r="UPI94" s="248" t="n"/>
      <c r="UPJ94" s="240" t="n"/>
      <c r="UPK94" s="240" t="n"/>
      <c r="UPM94" s="15" t="n"/>
      <c r="UPN94" s="15" t="n"/>
      <c r="UPO94" s="248" t="n"/>
      <c r="UPP94" s="248" t="n"/>
      <c r="UPQ94" s="240" t="n"/>
      <c r="UPR94" s="240" t="n"/>
      <c r="UPT94" s="15" t="n"/>
      <c r="UPU94" s="15" t="n"/>
      <c r="UPV94" s="248" t="n"/>
      <c r="UPW94" s="248" t="n"/>
      <c r="UPX94" s="240" t="n"/>
      <c r="UPY94" s="240" t="n"/>
      <c r="UQA94" s="15" t="n"/>
      <c r="UQB94" s="15" t="n"/>
      <c r="UQC94" s="248" t="n"/>
      <c r="UQD94" s="248" t="n"/>
      <c r="UQE94" s="240" t="n"/>
      <c r="UQF94" s="240" t="n"/>
      <c r="UQH94" s="15" t="n"/>
      <c r="UQI94" s="15" t="n"/>
      <c r="UQJ94" s="248" t="n"/>
      <c r="UQK94" s="248" t="n"/>
      <c r="UQL94" s="240" t="n"/>
      <c r="UQM94" s="240" t="n"/>
      <c r="UQO94" s="15" t="n"/>
      <c r="UQP94" s="15" t="n"/>
      <c r="UQQ94" s="248" t="n"/>
      <c r="UQR94" s="248" t="n"/>
      <c r="UQS94" s="240" t="n"/>
      <c r="UQT94" s="240" t="n"/>
      <c r="UQV94" s="15" t="n"/>
      <c r="UQW94" s="15" t="n"/>
      <c r="UQX94" s="248" t="n"/>
      <c r="UQY94" s="248" t="n"/>
      <c r="UQZ94" s="240" t="n"/>
      <c r="URA94" s="240" t="n"/>
      <c r="URC94" s="15" t="n"/>
      <c r="URD94" s="15" t="n"/>
      <c r="URE94" s="248" t="n"/>
      <c r="URF94" s="248" t="n"/>
      <c r="URG94" s="240" t="n"/>
      <c r="URH94" s="240" t="n"/>
      <c r="URJ94" s="15" t="n"/>
      <c r="URK94" s="15" t="n"/>
      <c r="URL94" s="248" t="n"/>
      <c r="URM94" s="248" t="n"/>
      <c r="URN94" s="240" t="n"/>
      <c r="URO94" s="240" t="n"/>
      <c r="URQ94" s="15" t="n"/>
      <c r="URR94" s="15" t="n"/>
      <c r="URS94" s="248" t="n"/>
      <c r="URT94" s="248" t="n"/>
      <c r="URU94" s="240" t="n"/>
      <c r="URV94" s="240" t="n"/>
      <c r="URX94" s="15" t="n"/>
      <c r="URY94" s="15" t="n"/>
      <c r="URZ94" s="248" t="n"/>
      <c r="USA94" s="248" t="n"/>
      <c r="USB94" s="240" t="n"/>
      <c r="USC94" s="240" t="n"/>
      <c r="USE94" s="15" t="n"/>
      <c r="USF94" s="15" t="n"/>
      <c r="USG94" s="248" t="n"/>
      <c r="USH94" s="248" t="n"/>
      <c r="USI94" s="240" t="n"/>
      <c r="USJ94" s="240" t="n"/>
      <c r="USL94" s="15" t="n"/>
      <c r="USM94" s="15" t="n"/>
      <c r="USN94" s="248" t="n"/>
      <c r="USO94" s="248" t="n"/>
      <c r="USP94" s="240" t="n"/>
      <c r="USQ94" s="240" t="n"/>
      <c r="USS94" s="15" t="n"/>
      <c r="UST94" s="15" t="n"/>
      <c r="USU94" s="248" t="n"/>
      <c r="USV94" s="248" t="n"/>
      <c r="USW94" s="240" t="n"/>
      <c r="USX94" s="240" t="n"/>
      <c r="USZ94" s="15" t="n"/>
      <c r="UTA94" s="15" t="n"/>
      <c r="UTB94" s="248" t="n"/>
      <c r="UTC94" s="248" t="n"/>
      <c r="UTD94" s="240" t="n"/>
      <c r="UTE94" s="240" t="n"/>
      <c r="UTG94" s="15" t="n"/>
      <c r="UTH94" s="15" t="n"/>
      <c r="UTI94" s="248" t="n"/>
      <c r="UTJ94" s="248" t="n"/>
      <c r="UTK94" s="240" t="n"/>
      <c r="UTL94" s="240" t="n"/>
      <c r="UTN94" s="15" t="n"/>
      <c r="UTO94" s="15" t="n"/>
      <c r="UTP94" s="248" t="n"/>
      <c r="UTQ94" s="248" t="n"/>
      <c r="UTR94" s="240" t="n"/>
      <c r="UTS94" s="240" t="n"/>
      <c r="UTU94" s="15" t="n"/>
      <c r="UTV94" s="15" t="n"/>
      <c r="UTW94" s="248" t="n"/>
      <c r="UTX94" s="248" t="n"/>
      <c r="UTY94" s="240" t="n"/>
      <c r="UTZ94" s="240" t="n"/>
      <c r="UUB94" s="15" t="n"/>
      <c r="UUC94" s="15" t="n"/>
      <c r="UUD94" s="248" t="n"/>
      <c r="UUE94" s="248" t="n"/>
      <c r="UUF94" s="240" t="n"/>
      <c r="UUG94" s="240" t="n"/>
      <c r="UUI94" s="15" t="n"/>
      <c r="UUJ94" s="15" t="n"/>
      <c r="UUK94" s="248" t="n"/>
      <c r="UUL94" s="248" t="n"/>
      <c r="UUM94" s="240" t="n"/>
      <c r="UUN94" s="240" t="n"/>
      <c r="UUP94" s="15" t="n"/>
      <c r="UUQ94" s="15" t="n"/>
      <c r="UUR94" s="248" t="n"/>
      <c r="UUS94" s="248" t="n"/>
      <c r="UUT94" s="240" t="n"/>
      <c r="UUU94" s="240" t="n"/>
      <c r="UUW94" s="15" t="n"/>
      <c r="UUX94" s="15" t="n"/>
      <c r="UUY94" s="248" t="n"/>
      <c r="UUZ94" s="248" t="n"/>
      <c r="UVA94" s="240" t="n"/>
      <c r="UVB94" s="240" t="n"/>
      <c r="UVD94" s="15" t="n"/>
      <c r="UVE94" s="15" t="n"/>
      <c r="UVF94" s="248" t="n"/>
      <c r="UVG94" s="248" t="n"/>
      <c r="UVH94" s="240" t="n"/>
      <c r="UVI94" s="240" t="n"/>
      <c r="UVK94" s="15" t="n"/>
      <c r="UVL94" s="15" t="n"/>
      <c r="UVM94" s="248" t="n"/>
      <c r="UVN94" s="248" t="n"/>
      <c r="UVO94" s="240" t="n"/>
      <c r="UVP94" s="240" t="n"/>
      <c r="UVR94" s="15" t="n"/>
      <c r="UVS94" s="15" t="n"/>
      <c r="UVT94" s="248" t="n"/>
      <c r="UVU94" s="248" t="n"/>
      <c r="UVV94" s="240" t="n"/>
      <c r="UVW94" s="240" t="n"/>
      <c r="UVY94" s="15" t="n"/>
      <c r="UVZ94" s="15" t="n"/>
      <c r="UWA94" s="248" t="n"/>
      <c r="UWB94" s="248" t="n"/>
      <c r="UWC94" s="240" t="n"/>
      <c r="UWD94" s="240" t="n"/>
      <c r="UWF94" s="15" t="n"/>
      <c r="UWG94" s="15" t="n"/>
      <c r="UWH94" s="248" t="n"/>
      <c r="UWI94" s="248" t="n"/>
      <c r="UWJ94" s="240" t="n"/>
      <c r="UWK94" s="240" t="n"/>
      <c r="UWM94" s="15" t="n"/>
      <c r="UWN94" s="15" t="n"/>
      <c r="UWO94" s="248" t="n"/>
      <c r="UWP94" s="248" t="n"/>
      <c r="UWQ94" s="240" t="n"/>
      <c r="UWR94" s="240" t="n"/>
      <c r="UWT94" s="15" t="n"/>
      <c r="UWU94" s="15" t="n"/>
      <c r="UWV94" s="248" t="n"/>
      <c r="UWW94" s="248" t="n"/>
      <c r="UWX94" s="240" t="n"/>
      <c r="UWY94" s="240" t="n"/>
      <c r="UXA94" s="15" t="n"/>
      <c r="UXB94" s="15" t="n"/>
      <c r="UXC94" s="248" t="n"/>
      <c r="UXD94" s="248" t="n"/>
      <c r="UXE94" s="240" t="n"/>
      <c r="UXF94" s="240" t="n"/>
      <c r="UXH94" s="15" t="n"/>
      <c r="UXI94" s="15" t="n"/>
      <c r="UXJ94" s="248" t="n"/>
      <c r="UXK94" s="248" t="n"/>
      <c r="UXL94" s="240" t="n"/>
      <c r="UXM94" s="240" t="n"/>
      <c r="UXO94" s="15" t="n"/>
      <c r="UXP94" s="15" t="n"/>
      <c r="UXQ94" s="248" t="n"/>
      <c r="UXR94" s="248" t="n"/>
      <c r="UXS94" s="240" t="n"/>
      <c r="UXT94" s="240" t="n"/>
      <c r="UXV94" s="15" t="n"/>
      <c r="UXW94" s="15" t="n"/>
      <c r="UXX94" s="248" t="n"/>
      <c r="UXY94" s="248" t="n"/>
      <c r="UXZ94" s="240" t="n"/>
      <c r="UYA94" s="240" t="n"/>
      <c r="UYC94" s="15" t="n"/>
      <c r="UYD94" s="15" t="n"/>
      <c r="UYE94" s="248" t="n"/>
      <c r="UYF94" s="248" t="n"/>
      <c r="UYG94" s="240" t="n"/>
      <c r="UYH94" s="240" t="n"/>
      <c r="UYJ94" s="15" t="n"/>
      <c r="UYK94" s="15" t="n"/>
      <c r="UYL94" s="248" t="n"/>
      <c r="UYM94" s="248" t="n"/>
      <c r="UYN94" s="240" t="n"/>
      <c r="UYO94" s="240" t="n"/>
      <c r="UYQ94" s="15" t="n"/>
      <c r="UYR94" s="15" t="n"/>
      <c r="UYS94" s="248" t="n"/>
      <c r="UYT94" s="248" t="n"/>
      <c r="UYU94" s="240" t="n"/>
      <c r="UYV94" s="240" t="n"/>
      <c r="UYX94" s="15" t="n"/>
      <c r="UYY94" s="15" t="n"/>
      <c r="UYZ94" s="248" t="n"/>
      <c r="UZA94" s="248" t="n"/>
      <c r="UZB94" s="240" t="n"/>
      <c r="UZC94" s="240" t="n"/>
      <c r="UZE94" s="15" t="n"/>
      <c r="UZF94" s="15" t="n"/>
      <c r="UZG94" s="248" t="n"/>
      <c r="UZH94" s="248" t="n"/>
      <c r="UZI94" s="240" t="n"/>
      <c r="UZJ94" s="240" t="n"/>
      <c r="UZL94" s="15" t="n"/>
      <c r="UZM94" s="15" t="n"/>
      <c r="UZN94" s="248" t="n"/>
      <c r="UZO94" s="248" t="n"/>
      <c r="UZP94" s="240" t="n"/>
      <c r="UZQ94" s="240" t="n"/>
      <c r="UZS94" s="15" t="n"/>
      <c r="UZT94" s="15" t="n"/>
      <c r="UZU94" s="248" t="n"/>
      <c r="UZV94" s="248" t="n"/>
      <c r="UZW94" s="240" t="n"/>
      <c r="UZX94" s="240" t="n"/>
      <c r="UZZ94" s="15" t="n"/>
      <c r="VAA94" s="15" t="n"/>
      <c r="VAB94" s="248" t="n"/>
      <c r="VAC94" s="248" t="n"/>
      <c r="VAD94" s="240" t="n"/>
      <c r="VAE94" s="240" t="n"/>
      <c r="VAG94" s="15" t="n"/>
      <c r="VAH94" s="15" t="n"/>
      <c r="VAI94" s="248" t="n"/>
      <c r="VAJ94" s="248" t="n"/>
      <c r="VAK94" s="240" t="n"/>
      <c r="VAL94" s="240" t="n"/>
      <c r="VAN94" s="15" t="n"/>
      <c r="VAO94" s="15" t="n"/>
      <c r="VAP94" s="248" t="n"/>
      <c r="VAQ94" s="248" t="n"/>
      <c r="VAR94" s="240" t="n"/>
      <c r="VAS94" s="240" t="n"/>
      <c r="VAU94" s="15" t="n"/>
      <c r="VAV94" s="15" t="n"/>
      <c r="VAW94" s="248" t="n"/>
      <c r="VAX94" s="248" t="n"/>
      <c r="VAY94" s="240" t="n"/>
      <c r="VAZ94" s="240" t="n"/>
      <c r="VBB94" s="15" t="n"/>
      <c r="VBC94" s="15" t="n"/>
      <c r="VBD94" s="248" t="n"/>
      <c r="VBE94" s="248" t="n"/>
      <c r="VBF94" s="240" t="n"/>
      <c r="VBG94" s="240" t="n"/>
      <c r="VBI94" s="15" t="n"/>
      <c r="VBJ94" s="15" t="n"/>
      <c r="VBK94" s="248" t="n"/>
      <c r="VBL94" s="248" t="n"/>
      <c r="VBM94" s="240" t="n"/>
      <c r="VBN94" s="240" t="n"/>
      <c r="VBP94" s="15" t="n"/>
      <c r="VBQ94" s="15" t="n"/>
      <c r="VBR94" s="248" t="n"/>
      <c r="VBS94" s="248" t="n"/>
      <c r="VBT94" s="240" t="n"/>
      <c r="VBU94" s="240" t="n"/>
      <c r="VBW94" s="15" t="n"/>
      <c r="VBX94" s="15" t="n"/>
      <c r="VBY94" s="248" t="n"/>
      <c r="VBZ94" s="248" t="n"/>
      <c r="VCA94" s="240" t="n"/>
      <c r="VCB94" s="240" t="n"/>
      <c r="VCD94" s="15" t="n"/>
      <c r="VCE94" s="15" t="n"/>
      <c r="VCF94" s="248" t="n"/>
      <c r="VCG94" s="248" t="n"/>
      <c r="VCH94" s="240" t="n"/>
      <c r="VCI94" s="240" t="n"/>
      <c r="VCK94" s="15" t="n"/>
      <c r="VCL94" s="15" t="n"/>
      <c r="VCM94" s="248" t="n"/>
      <c r="VCN94" s="248" t="n"/>
      <c r="VCO94" s="240" t="n"/>
      <c r="VCP94" s="240" t="n"/>
      <c r="VCR94" s="15" t="n"/>
      <c r="VCS94" s="15" t="n"/>
      <c r="VCT94" s="248" t="n"/>
      <c r="VCU94" s="248" t="n"/>
      <c r="VCV94" s="240" t="n"/>
      <c r="VCW94" s="240" t="n"/>
      <c r="VCY94" s="15" t="n"/>
      <c r="VCZ94" s="15" t="n"/>
      <c r="VDA94" s="248" t="n"/>
      <c r="VDB94" s="248" t="n"/>
      <c r="VDC94" s="240" t="n"/>
      <c r="VDD94" s="240" t="n"/>
      <c r="VDF94" s="15" t="n"/>
      <c r="VDG94" s="15" t="n"/>
      <c r="VDH94" s="248" t="n"/>
      <c r="VDI94" s="248" t="n"/>
      <c r="VDJ94" s="240" t="n"/>
      <c r="VDK94" s="240" t="n"/>
      <c r="VDM94" s="15" t="n"/>
      <c r="VDN94" s="15" t="n"/>
      <c r="VDO94" s="248" t="n"/>
      <c r="VDP94" s="248" t="n"/>
      <c r="VDQ94" s="240" t="n"/>
      <c r="VDR94" s="240" t="n"/>
      <c r="VDT94" s="15" t="n"/>
      <c r="VDU94" s="15" t="n"/>
      <c r="VDV94" s="248" t="n"/>
      <c r="VDW94" s="248" t="n"/>
      <c r="VDX94" s="240" t="n"/>
      <c r="VDY94" s="240" t="n"/>
      <c r="VEA94" s="15" t="n"/>
      <c r="VEB94" s="15" t="n"/>
      <c r="VEC94" s="248" t="n"/>
      <c r="VED94" s="248" t="n"/>
      <c r="VEE94" s="240" t="n"/>
      <c r="VEF94" s="240" t="n"/>
      <c r="VEH94" s="15" t="n"/>
      <c r="VEI94" s="15" t="n"/>
      <c r="VEJ94" s="248" t="n"/>
      <c r="VEK94" s="248" t="n"/>
      <c r="VEL94" s="240" t="n"/>
      <c r="VEM94" s="240" t="n"/>
      <c r="VEO94" s="15" t="n"/>
      <c r="VEP94" s="15" t="n"/>
      <c r="VEQ94" s="248" t="n"/>
      <c r="VER94" s="248" t="n"/>
      <c r="VES94" s="240" t="n"/>
      <c r="VET94" s="240" t="n"/>
      <c r="VEV94" s="15" t="n"/>
      <c r="VEW94" s="15" t="n"/>
      <c r="VEX94" s="248" t="n"/>
      <c r="VEY94" s="248" t="n"/>
      <c r="VEZ94" s="240" t="n"/>
      <c r="VFA94" s="240" t="n"/>
      <c r="VFC94" s="15" t="n"/>
      <c r="VFD94" s="15" t="n"/>
      <c r="VFE94" s="248" t="n"/>
      <c r="VFF94" s="248" t="n"/>
      <c r="VFG94" s="240" t="n"/>
      <c r="VFH94" s="240" t="n"/>
      <c r="VFJ94" s="15" t="n"/>
      <c r="VFK94" s="15" t="n"/>
      <c r="VFL94" s="248" t="n"/>
      <c r="VFM94" s="248" t="n"/>
      <c r="VFN94" s="240" t="n"/>
      <c r="VFO94" s="240" t="n"/>
      <c r="VFQ94" s="15" t="n"/>
      <c r="VFR94" s="15" t="n"/>
      <c r="VFS94" s="248" t="n"/>
      <c r="VFT94" s="248" t="n"/>
      <c r="VFU94" s="240" t="n"/>
      <c r="VFV94" s="240" t="n"/>
      <c r="VFX94" s="15" t="n"/>
      <c r="VFY94" s="15" t="n"/>
      <c r="VFZ94" s="248" t="n"/>
      <c r="VGA94" s="248" t="n"/>
      <c r="VGB94" s="240" t="n"/>
      <c r="VGC94" s="240" t="n"/>
      <c r="VGE94" s="15" t="n"/>
      <c r="VGF94" s="15" t="n"/>
      <c r="VGG94" s="248" t="n"/>
      <c r="VGH94" s="248" t="n"/>
      <c r="VGI94" s="240" t="n"/>
      <c r="VGJ94" s="240" t="n"/>
      <c r="VGL94" s="15" t="n"/>
      <c r="VGM94" s="15" t="n"/>
      <c r="VGN94" s="248" t="n"/>
      <c r="VGO94" s="248" t="n"/>
      <c r="VGP94" s="240" t="n"/>
      <c r="VGQ94" s="240" t="n"/>
      <c r="VGS94" s="15" t="n"/>
      <c r="VGT94" s="15" t="n"/>
      <c r="VGU94" s="248" t="n"/>
      <c r="VGV94" s="248" t="n"/>
      <c r="VGW94" s="240" t="n"/>
      <c r="VGX94" s="240" t="n"/>
      <c r="VGZ94" s="15" t="n"/>
      <c r="VHA94" s="15" t="n"/>
      <c r="VHB94" s="248" t="n"/>
      <c r="VHC94" s="248" t="n"/>
      <c r="VHD94" s="240" t="n"/>
      <c r="VHE94" s="240" t="n"/>
      <c r="VHG94" s="15" t="n"/>
      <c r="VHH94" s="15" t="n"/>
      <c r="VHI94" s="248" t="n"/>
      <c r="VHJ94" s="248" t="n"/>
      <c r="VHK94" s="240" t="n"/>
      <c r="VHL94" s="240" t="n"/>
      <c r="VHN94" s="15" t="n"/>
      <c r="VHO94" s="15" t="n"/>
      <c r="VHP94" s="248" t="n"/>
      <c r="VHQ94" s="248" t="n"/>
      <c r="VHR94" s="240" t="n"/>
      <c r="VHS94" s="240" t="n"/>
      <c r="VHU94" s="15" t="n"/>
      <c r="VHV94" s="15" t="n"/>
      <c r="VHW94" s="248" t="n"/>
      <c r="VHX94" s="248" t="n"/>
      <c r="VHY94" s="240" t="n"/>
      <c r="VHZ94" s="240" t="n"/>
      <c r="VIB94" s="15" t="n"/>
      <c r="VIC94" s="15" t="n"/>
      <c r="VID94" s="248" t="n"/>
      <c r="VIE94" s="248" t="n"/>
      <c r="VIF94" s="240" t="n"/>
      <c r="VIG94" s="240" t="n"/>
      <c r="VII94" s="15" t="n"/>
      <c r="VIJ94" s="15" t="n"/>
      <c r="VIK94" s="248" t="n"/>
      <c r="VIL94" s="248" t="n"/>
      <c r="VIM94" s="240" t="n"/>
      <c r="VIN94" s="240" t="n"/>
      <c r="VIP94" s="15" t="n"/>
      <c r="VIQ94" s="15" t="n"/>
      <c r="VIR94" s="248" t="n"/>
      <c r="VIS94" s="248" t="n"/>
      <c r="VIT94" s="240" t="n"/>
      <c r="VIU94" s="240" t="n"/>
      <c r="VIW94" s="15" t="n"/>
      <c r="VIX94" s="15" t="n"/>
      <c r="VIY94" s="248" t="n"/>
      <c r="VIZ94" s="248" t="n"/>
      <c r="VJA94" s="240" t="n"/>
      <c r="VJB94" s="240" t="n"/>
      <c r="VJD94" s="15" t="n"/>
      <c r="VJE94" s="15" t="n"/>
      <c r="VJF94" s="248" t="n"/>
      <c r="VJG94" s="248" t="n"/>
      <c r="VJH94" s="240" t="n"/>
      <c r="VJI94" s="240" t="n"/>
      <c r="VJK94" s="15" t="n"/>
      <c r="VJL94" s="15" t="n"/>
      <c r="VJM94" s="248" t="n"/>
      <c r="VJN94" s="248" t="n"/>
      <c r="VJO94" s="240" t="n"/>
      <c r="VJP94" s="240" t="n"/>
      <c r="VJR94" s="15" t="n"/>
      <c r="VJS94" s="15" t="n"/>
      <c r="VJT94" s="248" t="n"/>
      <c r="VJU94" s="248" t="n"/>
      <c r="VJV94" s="240" t="n"/>
      <c r="VJW94" s="240" t="n"/>
      <c r="VJY94" s="15" t="n"/>
      <c r="VJZ94" s="15" t="n"/>
      <c r="VKA94" s="248" t="n"/>
      <c r="VKB94" s="248" t="n"/>
      <c r="VKC94" s="240" t="n"/>
      <c r="VKD94" s="240" t="n"/>
      <c r="VKF94" s="15" t="n"/>
      <c r="VKG94" s="15" t="n"/>
      <c r="VKH94" s="248" t="n"/>
      <c r="VKI94" s="248" t="n"/>
      <c r="VKJ94" s="240" t="n"/>
      <c r="VKK94" s="240" t="n"/>
      <c r="VKM94" s="15" t="n"/>
      <c r="VKN94" s="15" t="n"/>
      <c r="VKO94" s="248" t="n"/>
      <c r="VKP94" s="248" t="n"/>
      <c r="VKQ94" s="240" t="n"/>
      <c r="VKR94" s="240" t="n"/>
      <c r="VKT94" s="15" t="n"/>
      <c r="VKU94" s="15" t="n"/>
      <c r="VKV94" s="248" t="n"/>
      <c r="VKW94" s="248" t="n"/>
      <c r="VKX94" s="240" t="n"/>
      <c r="VKY94" s="240" t="n"/>
      <c r="VLA94" s="15" t="n"/>
      <c r="VLB94" s="15" t="n"/>
      <c r="VLC94" s="248" t="n"/>
      <c r="VLD94" s="248" t="n"/>
      <c r="VLE94" s="240" t="n"/>
      <c r="VLF94" s="240" t="n"/>
      <c r="VLH94" s="15" t="n"/>
      <c r="VLI94" s="15" t="n"/>
      <c r="VLJ94" s="248" t="n"/>
      <c r="VLK94" s="248" t="n"/>
      <c r="VLL94" s="240" t="n"/>
      <c r="VLM94" s="240" t="n"/>
      <c r="VLO94" s="15" t="n"/>
      <c r="VLP94" s="15" t="n"/>
      <c r="VLQ94" s="248" t="n"/>
      <c r="VLR94" s="248" t="n"/>
      <c r="VLS94" s="240" t="n"/>
      <c r="VLT94" s="240" t="n"/>
      <c r="VLV94" s="15" t="n"/>
      <c r="VLW94" s="15" t="n"/>
      <c r="VLX94" s="248" t="n"/>
      <c r="VLY94" s="248" t="n"/>
      <c r="VLZ94" s="240" t="n"/>
      <c r="VMA94" s="240" t="n"/>
      <c r="VMC94" s="15" t="n"/>
      <c r="VMD94" s="15" t="n"/>
      <c r="VME94" s="248" t="n"/>
      <c r="VMF94" s="248" t="n"/>
      <c r="VMG94" s="240" t="n"/>
      <c r="VMH94" s="240" t="n"/>
      <c r="VMJ94" s="15" t="n"/>
      <c r="VMK94" s="15" t="n"/>
      <c r="VML94" s="248" t="n"/>
      <c r="VMM94" s="248" t="n"/>
      <c r="VMN94" s="240" t="n"/>
      <c r="VMO94" s="240" t="n"/>
      <c r="VMQ94" s="15" t="n"/>
      <c r="VMR94" s="15" t="n"/>
      <c r="VMS94" s="248" t="n"/>
      <c r="VMT94" s="248" t="n"/>
      <c r="VMU94" s="240" t="n"/>
      <c r="VMV94" s="240" t="n"/>
      <c r="VMX94" s="15" t="n"/>
      <c r="VMY94" s="15" t="n"/>
      <c r="VMZ94" s="248" t="n"/>
      <c r="VNA94" s="248" t="n"/>
      <c r="VNB94" s="240" t="n"/>
      <c r="VNC94" s="240" t="n"/>
      <c r="VNE94" s="15" t="n"/>
      <c r="VNF94" s="15" t="n"/>
      <c r="VNG94" s="248" t="n"/>
      <c r="VNH94" s="248" t="n"/>
      <c r="VNI94" s="240" t="n"/>
      <c r="VNJ94" s="240" t="n"/>
      <c r="VNL94" s="15" t="n"/>
      <c r="VNM94" s="15" t="n"/>
      <c r="VNN94" s="248" t="n"/>
      <c r="VNO94" s="248" t="n"/>
      <c r="VNP94" s="240" t="n"/>
      <c r="VNQ94" s="240" t="n"/>
      <c r="VNS94" s="15" t="n"/>
      <c r="VNT94" s="15" t="n"/>
      <c r="VNU94" s="248" t="n"/>
      <c r="VNV94" s="248" t="n"/>
      <c r="VNW94" s="240" t="n"/>
      <c r="VNX94" s="240" t="n"/>
      <c r="VNZ94" s="15" t="n"/>
      <c r="VOA94" s="15" t="n"/>
      <c r="VOB94" s="248" t="n"/>
      <c r="VOC94" s="248" t="n"/>
      <c r="VOD94" s="240" t="n"/>
      <c r="VOE94" s="240" t="n"/>
      <c r="VOG94" s="15" t="n"/>
      <c r="VOH94" s="15" t="n"/>
      <c r="VOI94" s="248" t="n"/>
      <c r="VOJ94" s="248" t="n"/>
      <c r="VOK94" s="240" t="n"/>
      <c r="VOL94" s="240" t="n"/>
      <c r="VON94" s="15" t="n"/>
      <c r="VOO94" s="15" t="n"/>
      <c r="VOP94" s="248" t="n"/>
      <c r="VOQ94" s="248" t="n"/>
      <c r="VOR94" s="240" t="n"/>
      <c r="VOS94" s="240" t="n"/>
      <c r="VOU94" s="15" t="n"/>
      <c r="VOV94" s="15" t="n"/>
      <c r="VOW94" s="248" t="n"/>
      <c r="VOX94" s="248" t="n"/>
      <c r="VOY94" s="240" t="n"/>
      <c r="VOZ94" s="240" t="n"/>
      <c r="VPB94" s="15" t="n"/>
      <c r="VPC94" s="15" t="n"/>
      <c r="VPD94" s="248" t="n"/>
      <c r="VPE94" s="248" t="n"/>
      <c r="VPF94" s="240" t="n"/>
      <c r="VPG94" s="240" t="n"/>
      <c r="VPI94" s="15" t="n"/>
      <c r="VPJ94" s="15" t="n"/>
      <c r="VPK94" s="248" t="n"/>
      <c r="VPL94" s="248" t="n"/>
      <c r="VPM94" s="240" t="n"/>
      <c r="VPN94" s="240" t="n"/>
      <c r="VPP94" s="15" t="n"/>
      <c r="VPQ94" s="15" t="n"/>
      <c r="VPR94" s="248" t="n"/>
      <c r="VPS94" s="248" t="n"/>
      <c r="VPT94" s="240" t="n"/>
      <c r="VPU94" s="240" t="n"/>
      <c r="VPW94" s="15" t="n"/>
      <c r="VPX94" s="15" t="n"/>
      <c r="VPY94" s="248" t="n"/>
      <c r="VPZ94" s="248" t="n"/>
      <c r="VQA94" s="240" t="n"/>
      <c r="VQB94" s="240" t="n"/>
      <c r="VQD94" s="15" t="n"/>
      <c r="VQE94" s="15" t="n"/>
      <c r="VQF94" s="248" t="n"/>
      <c r="VQG94" s="248" t="n"/>
      <c r="VQH94" s="240" t="n"/>
      <c r="VQI94" s="240" t="n"/>
      <c r="VQK94" s="15" t="n"/>
      <c r="VQL94" s="15" t="n"/>
      <c r="VQM94" s="248" t="n"/>
      <c r="VQN94" s="248" t="n"/>
      <c r="VQO94" s="240" t="n"/>
      <c r="VQP94" s="240" t="n"/>
      <c r="VQR94" s="15" t="n"/>
      <c r="VQS94" s="15" t="n"/>
      <c r="VQT94" s="248" t="n"/>
      <c r="VQU94" s="248" t="n"/>
      <c r="VQV94" s="240" t="n"/>
      <c r="VQW94" s="240" t="n"/>
      <c r="VQY94" s="15" t="n"/>
      <c r="VQZ94" s="15" t="n"/>
      <c r="VRA94" s="248" t="n"/>
      <c r="VRB94" s="248" t="n"/>
      <c r="VRC94" s="240" t="n"/>
      <c r="VRD94" s="240" t="n"/>
      <c r="VRF94" s="15" t="n"/>
      <c r="VRG94" s="15" t="n"/>
      <c r="VRH94" s="248" t="n"/>
      <c r="VRI94" s="248" t="n"/>
      <c r="VRJ94" s="240" t="n"/>
      <c r="VRK94" s="240" t="n"/>
      <c r="VRM94" s="15" t="n"/>
      <c r="VRN94" s="15" t="n"/>
      <c r="VRO94" s="248" t="n"/>
      <c r="VRP94" s="248" t="n"/>
      <c r="VRQ94" s="240" t="n"/>
      <c r="VRR94" s="240" t="n"/>
      <c r="VRT94" s="15" t="n"/>
      <c r="VRU94" s="15" t="n"/>
      <c r="VRV94" s="248" t="n"/>
      <c r="VRW94" s="248" t="n"/>
      <c r="VRX94" s="240" t="n"/>
      <c r="VRY94" s="240" t="n"/>
      <c r="VSA94" s="15" t="n"/>
      <c r="VSB94" s="15" t="n"/>
      <c r="VSC94" s="248" t="n"/>
      <c r="VSD94" s="248" t="n"/>
      <c r="VSE94" s="240" t="n"/>
      <c r="VSF94" s="240" t="n"/>
      <c r="VSH94" s="15" t="n"/>
      <c r="VSI94" s="15" t="n"/>
      <c r="VSJ94" s="248" t="n"/>
      <c r="VSK94" s="248" t="n"/>
      <c r="VSL94" s="240" t="n"/>
      <c r="VSM94" s="240" t="n"/>
      <c r="VSO94" s="15" t="n"/>
      <c r="VSP94" s="15" t="n"/>
      <c r="VSQ94" s="248" t="n"/>
      <c r="VSR94" s="248" t="n"/>
      <c r="VSS94" s="240" t="n"/>
      <c r="VST94" s="240" t="n"/>
      <c r="VSV94" s="15" t="n"/>
      <c r="VSW94" s="15" t="n"/>
      <c r="VSX94" s="248" t="n"/>
      <c r="VSY94" s="248" t="n"/>
      <c r="VSZ94" s="240" t="n"/>
      <c r="VTA94" s="240" t="n"/>
      <c r="VTC94" s="15" t="n"/>
      <c r="VTD94" s="15" t="n"/>
      <c r="VTE94" s="248" t="n"/>
      <c r="VTF94" s="248" t="n"/>
      <c r="VTG94" s="240" t="n"/>
      <c r="VTH94" s="240" t="n"/>
      <c r="VTJ94" s="15" t="n"/>
      <c r="VTK94" s="15" t="n"/>
      <c r="VTL94" s="248" t="n"/>
      <c r="VTM94" s="248" t="n"/>
      <c r="VTN94" s="240" t="n"/>
      <c r="VTO94" s="240" t="n"/>
      <c r="VTQ94" s="15" t="n"/>
      <c r="VTR94" s="15" t="n"/>
      <c r="VTS94" s="248" t="n"/>
      <c r="VTT94" s="248" t="n"/>
      <c r="VTU94" s="240" t="n"/>
      <c r="VTV94" s="240" t="n"/>
      <c r="VTX94" s="15" t="n"/>
      <c r="VTY94" s="15" t="n"/>
      <c r="VTZ94" s="248" t="n"/>
      <c r="VUA94" s="248" t="n"/>
      <c r="VUB94" s="240" t="n"/>
      <c r="VUC94" s="240" t="n"/>
      <c r="VUE94" s="15" t="n"/>
      <c r="VUF94" s="15" t="n"/>
      <c r="VUG94" s="248" t="n"/>
      <c r="VUH94" s="248" t="n"/>
      <c r="VUI94" s="240" t="n"/>
      <c r="VUJ94" s="240" t="n"/>
      <c r="VUL94" s="15" t="n"/>
      <c r="VUM94" s="15" t="n"/>
      <c r="VUN94" s="248" t="n"/>
      <c r="VUO94" s="248" t="n"/>
      <c r="VUP94" s="240" t="n"/>
      <c r="VUQ94" s="240" t="n"/>
      <c r="VUS94" s="15" t="n"/>
      <c r="VUT94" s="15" t="n"/>
      <c r="VUU94" s="248" t="n"/>
      <c r="VUV94" s="248" t="n"/>
      <c r="VUW94" s="240" t="n"/>
      <c r="VUX94" s="240" t="n"/>
      <c r="VUZ94" s="15" t="n"/>
      <c r="VVA94" s="15" t="n"/>
      <c r="VVB94" s="248" t="n"/>
      <c r="VVC94" s="248" t="n"/>
      <c r="VVD94" s="240" t="n"/>
      <c r="VVE94" s="240" t="n"/>
      <c r="VVG94" s="15" t="n"/>
      <c r="VVH94" s="15" t="n"/>
      <c r="VVI94" s="248" t="n"/>
      <c r="VVJ94" s="248" t="n"/>
      <c r="VVK94" s="240" t="n"/>
      <c r="VVL94" s="240" t="n"/>
      <c r="VVN94" s="15" t="n"/>
      <c r="VVO94" s="15" t="n"/>
      <c r="VVP94" s="248" t="n"/>
      <c r="VVQ94" s="248" t="n"/>
      <c r="VVR94" s="240" t="n"/>
      <c r="VVS94" s="240" t="n"/>
      <c r="VVU94" s="15" t="n"/>
      <c r="VVV94" s="15" t="n"/>
      <c r="VVW94" s="248" t="n"/>
      <c r="VVX94" s="248" t="n"/>
      <c r="VVY94" s="240" t="n"/>
      <c r="VVZ94" s="240" t="n"/>
      <c r="VWB94" s="15" t="n"/>
      <c r="VWC94" s="15" t="n"/>
      <c r="VWD94" s="248" t="n"/>
      <c r="VWE94" s="248" t="n"/>
      <c r="VWF94" s="240" t="n"/>
      <c r="VWG94" s="240" t="n"/>
      <c r="VWI94" s="15" t="n"/>
      <c r="VWJ94" s="15" t="n"/>
      <c r="VWK94" s="248" t="n"/>
      <c r="VWL94" s="248" t="n"/>
      <c r="VWM94" s="240" t="n"/>
      <c r="VWN94" s="240" t="n"/>
      <c r="VWP94" s="15" t="n"/>
      <c r="VWQ94" s="15" t="n"/>
      <c r="VWR94" s="248" t="n"/>
      <c r="VWS94" s="248" t="n"/>
      <c r="VWT94" s="240" t="n"/>
      <c r="VWU94" s="240" t="n"/>
      <c r="VWW94" s="15" t="n"/>
      <c r="VWX94" s="15" t="n"/>
      <c r="VWY94" s="248" t="n"/>
      <c r="VWZ94" s="248" t="n"/>
      <c r="VXA94" s="240" t="n"/>
      <c r="VXB94" s="240" t="n"/>
      <c r="VXD94" s="15" t="n"/>
      <c r="VXE94" s="15" t="n"/>
      <c r="VXF94" s="248" t="n"/>
      <c r="VXG94" s="248" t="n"/>
      <c r="VXH94" s="240" t="n"/>
      <c r="VXI94" s="240" t="n"/>
      <c r="VXK94" s="15" t="n"/>
      <c r="VXL94" s="15" t="n"/>
      <c r="VXM94" s="248" t="n"/>
      <c r="VXN94" s="248" t="n"/>
      <c r="VXO94" s="240" t="n"/>
      <c r="VXP94" s="240" t="n"/>
      <c r="VXR94" s="15" t="n"/>
      <c r="VXS94" s="15" t="n"/>
      <c r="VXT94" s="248" t="n"/>
      <c r="VXU94" s="248" t="n"/>
      <c r="VXV94" s="240" t="n"/>
      <c r="VXW94" s="240" t="n"/>
      <c r="VXY94" s="15" t="n"/>
      <c r="VXZ94" s="15" t="n"/>
      <c r="VYA94" s="248" t="n"/>
      <c r="VYB94" s="248" t="n"/>
      <c r="VYC94" s="240" t="n"/>
      <c r="VYD94" s="240" t="n"/>
      <c r="VYF94" s="15" t="n"/>
      <c r="VYG94" s="15" t="n"/>
      <c r="VYH94" s="248" t="n"/>
      <c r="VYI94" s="248" t="n"/>
      <c r="VYJ94" s="240" t="n"/>
      <c r="VYK94" s="240" t="n"/>
      <c r="VYM94" s="15" t="n"/>
      <c r="VYN94" s="15" t="n"/>
      <c r="VYO94" s="248" t="n"/>
      <c r="VYP94" s="248" t="n"/>
      <c r="VYQ94" s="240" t="n"/>
      <c r="VYR94" s="240" t="n"/>
      <c r="VYT94" s="15" t="n"/>
      <c r="VYU94" s="15" t="n"/>
      <c r="VYV94" s="248" t="n"/>
      <c r="VYW94" s="248" t="n"/>
      <c r="VYX94" s="240" t="n"/>
      <c r="VYY94" s="240" t="n"/>
      <c r="VZA94" s="15" t="n"/>
      <c r="VZB94" s="15" t="n"/>
      <c r="VZC94" s="248" t="n"/>
      <c r="VZD94" s="248" t="n"/>
      <c r="VZE94" s="240" t="n"/>
      <c r="VZF94" s="240" t="n"/>
      <c r="VZH94" s="15" t="n"/>
      <c r="VZI94" s="15" t="n"/>
      <c r="VZJ94" s="248" t="n"/>
      <c r="VZK94" s="248" t="n"/>
      <c r="VZL94" s="240" t="n"/>
      <c r="VZM94" s="240" t="n"/>
      <c r="VZO94" s="15" t="n"/>
      <c r="VZP94" s="15" t="n"/>
      <c r="VZQ94" s="248" t="n"/>
      <c r="VZR94" s="248" t="n"/>
      <c r="VZS94" s="240" t="n"/>
      <c r="VZT94" s="240" t="n"/>
      <c r="VZV94" s="15" t="n"/>
      <c r="VZW94" s="15" t="n"/>
      <c r="VZX94" s="248" t="n"/>
      <c r="VZY94" s="248" t="n"/>
      <c r="VZZ94" s="240" t="n"/>
      <c r="WAA94" s="240" t="n"/>
      <c r="WAC94" s="15" t="n"/>
      <c r="WAD94" s="15" t="n"/>
      <c r="WAE94" s="248" t="n"/>
      <c r="WAF94" s="248" t="n"/>
      <c r="WAG94" s="240" t="n"/>
      <c r="WAH94" s="240" t="n"/>
      <c r="WAJ94" s="15" t="n"/>
      <c r="WAK94" s="15" t="n"/>
      <c r="WAL94" s="248" t="n"/>
      <c r="WAM94" s="248" t="n"/>
      <c r="WAN94" s="240" t="n"/>
      <c r="WAO94" s="240" t="n"/>
      <c r="WAQ94" s="15" t="n"/>
      <c r="WAR94" s="15" t="n"/>
      <c r="WAS94" s="248" t="n"/>
      <c r="WAT94" s="248" t="n"/>
      <c r="WAU94" s="240" t="n"/>
      <c r="WAV94" s="240" t="n"/>
      <c r="WAX94" s="15" t="n"/>
      <c r="WAY94" s="15" t="n"/>
      <c r="WAZ94" s="248" t="n"/>
      <c r="WBA94" s="248" t="n"/>
      <c r="WBB94" s="240" t="n"/>
      <c r="WBC94" s="240" t="n"/>
      <c r="WBE94" s="15" t="n"/>
      <c r="WBF94" s="15" t="n"/>
      <c r="WBG94" s="248" t="n"/>
      <c r="WBH94" s="248" t="n"/>
      <c r="WBI94" s="240" t="n"/>
      <c r="WBJ94" s="240" t="n"/>
      <c r="WBL94" s="15" t="n"/>
      <c r="WBM94" s="15" t="n"/>
      <c r="WBN94" s="248" t="n"/>
      <c r="WBO94" s="248" t="n"/>
      <c r="WBP94" s="240" t="n"/>
      <c r="WBQ94" s="240" t="n"/>
      <c r="WBS94" s="15" t="n"/>
      <c r="WBT94" s="15" t="n"/>
      <c r="WBU94" s="248" t="n"/>
      <c r="WBV94" s="248" t="n"/>
      <c r="WBW94" s="240" t="n"/>
      <c r="WBX94" s="240" t="n"/>
      <c r="WBZ94" s="15" t="n"/>
      <c r="WCA94" s="15" t="n"/>
      <c r="WCB94" s="248" t="n"/>
      <c r="WCC94" s="248" t="n"/>
      <c r="WCD94" s="240" t="n"/>
      <c r="WCE94" s="240" t="n"/>
      <c r="WCG94" s="15" t="n"/>
      <c r="WCH94" s="15" t="n"/>
      <c r="WCI94" s="248" t="n"/>
      <c r="WCJ94" s="248" t="n"/>
      <c r="WCK94" s="240" t="n"/>
      <c r="WCL94" s="240" t="n"/>
      <c r="WCN94" s="15" t="n"/>
      <c r="WCO94" s="15" t="n"/>
      <c r="WCP94" s="248" t="n"/>
      <c r="WCQ94" s="248" t="n"/>
      <c r="WCR94" s="240" t="n"/>
      <c r="WCS94" s="240" t="n"/>
      <c r="WCU94" s="15" t="n"/>
      <c r="WCV94" s="15" t="n"/>
      <c r="WCW94" s="248" t="n"/>
      <c r="WCX94" s="248" t="n"/>
      <c r="WCY94" s="240" t="n"/>
      <c r="WCZ94" s="240" t="n"/>
      <c r="WDB94" s="15" t="n"/>
      <c r="WDC94" s="15" t="n"/>
      <c r="WDD94" s="248" t="n"/>
      <c r="WDE94" s="248" t="n"/>
      <c r="WDF94" s="240" t="n"/>
      <c r="WDG94" s="240" t="n"/>
      <c r="WDI94" s="15" t="n"/>
      <c r="WDJ94" s="15" t="n"/>
      <c r="WDK94" s="248" t="n"/>
      <c r="WDL94" s="248" t="n"/>
      <c r="WDM94" s="240" t="n"/>
      <c r="WDN94" s="240" t="n"/>
      <c r="WDP94" s="15" t="n"/>
      <c r="WDQ94" s="15" t="n"/>
      <c r="WDR94" s="248" t="n"/>
      <c r="WDS94" s="248" t="n"/>
      <c r="WDT94" s="240" t="n"/>
      <c r="WDU94" s="240" t="n"/>
      <c r="WDW94" s="15" t="n"/>
      <c r="WDX94" s="15" t="n"/>
      <c r="WDY94" s="248" t="n"/>
      <c r="WDZ94" s="248" t="n"/>
      <c r="WEA94" s="240" t="n"/>
      <c r="WEB94" s="240" t="n"/>
      <c r="WED94" s="15" t="n"/>
      <c r="WEE94" s="15" t="n"/>
      <c r="WEF94" s="248" t="n"/>
      <c r="WEG94" s="248" t="n"/>
      <c r="WEH94" s="240" t="n"/>
      <c r="WEI94" s="240" t="n"/>
      <c r="WEK94" s="15" t="n"/>
      <c r="WEL94" s="15" t="n"/>
      <c r="WEM94" s="248" t="n"/>
      <c r="WEN94" s="248" t="n"/>
      <c r="WEO94" s="240" t="n"/>
      <c r="WEP94" s="240" t="n"/>
      <c r="WER94" s="15" t="n"/>
      <c r="WES94" s="15" t="n"/>
      <c r="WET94" s="248" t="n"/>
      <c r="WEU94" s="248" t="n"/>
      <c r="WEV94" s="240" t="n"/>
      <c r="WEW94" s="240" t="n"/>
      <c r="WEY94" s="15" t="n"/>
      <c r="WEZ94" s="15" t="n"/>
      <c r="WFA94" s="248" t="n"/>
      <c r="WFB94" s="248" t="n"/>
      <c r="WFC94" s="240" t="n"/>
      <c r="WFD94" s="240" t="n"/>
      <c r="WFF94" s="15" t="n"/>
      <c r="WFG94" s="15" t="n"/>
      <c r="WFH94" s="248" t="n"/>
      <c r="WFI94" s="248" t="n"/>
      <c r="WFJ94" s="240" t="n"/>
      <c r="WFK94" s="240" t="n"/>
      <c r="WFM94" s="15" t="n"/>
      <c r="WFN94" s="15" t="n"/>
      <c r="WFO94" s="248" t="n"/>
      <c r="WFP94" s="248" t="n"/>
      <c r="WFQ94" s="240" t="n"/>
      <c r="WFR94" s="240" t="n"/>
      <c r="WFT94" s="15" t="n"/>
      <c r="WFU94" s="15" t="n"/>
      <c r="WFV94" s="248" t="n"/>
      <c r="WFW94" s="248" t="n"/>
      <c r="WFX94" s="240" t="n"/>
      <c r="WFY94" s="240" t="n"/>
      <c r="WGA94" s="15" t="n"/>
      <c r="WGB94" s="15" t="n"/>
      <c r="WGC94" s="248" t="n"/>
      <c r="WGD94" s="248" t="n"/>
      <c r="WGE94" s="240" t="n"/>
      <c r="WGF94" s="240" t="n"/>
      <c r="WGH94" s="15" t="n"/>
      <c r="WGI94" s="15" t="n"/>
      <c r="WGJ94" s="248" t="n"/>
      <c r="WGK94" s="248" t="n"/>
      <c r="WGL94" s="240" t="n"/>
      <c r="WGM94" s="240" t="n"/>
      <c r="WGO94" s="15" t="n"/>
      <c r="WGP94" s="15" t="n"/>
      <c r="WGQ94" s="248" t="n"/>
      <c r="WGR94" s="248" t="n"/>
      <c r="WGS94" s="240" t="n"/>
      <c r="WGT94" s="240" t="n"/>
      <c r="WGV94" s="15" t="n"/>
      <c r="WGW94" s="15" t="n"/>
      <c r="WGX94" s="248" t="n"/>
      <c r="WGY94" s="248" t="n"/>
      <c r="WGZ94" s="240" t="n"/>
      <c r="WHA94" s="240" t="n"/>
      <c r="WHC94" s="15" t="n"/>
      <c r="WHD94" s="15" t="n"/>
      <c r="WHE94" s="248" t="n"/>
      <c r="WHF94" s="248" t="n"/>
      <c r="WHG94" s="240" t="n"/>
      <c r="WHH94" s="240" t="n"/>
      <c r="WHJ94" s="15" t="n"/>
      <c r="WHK94" s="15" t="n"/>
      <c r="WHL94" s="248" t="n"/>
      <c r="WHM94" s="248" t="n"/>
      <c r="WHN94" s="240" t="n"/>
      <c r="WHO94" s="240" t="n"/>
      <c r="WHQ94" s="15" t="n"/>
      <c r="WHR94" s="15" t="n"/>
      <c r="WHS94" s="248" t="n"/>
      <c r="WHT94" s="248" t="n"/>
      <c r="WHU94" s="240" t="n"/>
      <c r="WHV94" s="240" t="n"/>
      <c r="WHX94" s="15" t="n"/>
      <c r="WHY94" s="15" t="n"/>
      <c r="WHZ94" s="248" t="n"/>
      <c r="WIA94" s="248" t="n"/>
      <c r="WIB94" s="240" t="n"/>
      <c r="WIC94" s="240" t="n"/>
      <c r="WIE94" s="15" t="n"/>
      <c r="WIF94" s="15" t="n"/>
      <c r="WIG94" s="248" t="n"/>
      <c r="WIH94" s="248" t="n"/>
      <c r="WII94" s="240" t="n"/>
      <c r="WIJ94" s="240" t="n"/>
      <c r="WIL94" s="15" t="n"/>
      <c r="WIM94" s="15" t="n"/>
      <c r="WIN94" s="248" t="n"/>
      <c r="WIO94" s="248" t="n"/>
      <c r="WIP94" s="240" t="n"/>
      <c r="WIQ94" s="240" t="n"/>
      <c r="WIS94" s="15" t="n"/>
      <c r="WIT94" s="15" t="n"/>
      <c r="WIU94" s="248" t="n"/>
      <c r="WIV94" s="248" t="n"/>
      <c r="WIW94" s="240" t="n"/>
      <c r="WIX94" s="240" t="n"/>
      <c r="WIZ94" s="15" t="n"/>
      <c r="WJA94" s="15" t="n"/>
      <c r="WJB94" s="248" t="n"/>
      <c r="WJC94" s="248" t="n"/>
      <c r="WJD94" s="240" t="n"/>
      <c r="WJE94" s="240" t="n"/>
      <c r="WJG94" s="15" t="n"/>
      <c r="WJH94" s="15" t="n"/>
      <c r="WJI94" s="248" t="n"/>
      <c r="WJJ94" s="248" t="n"/>
      <c r="WJK94" s="240" t="n"/>
      <c r="WJL94" s="240" t="n"/>
      <c r="WJN94" s="15" t="n"/>
      <c r="WJO94" s="15" t="n"/>
      <c r="WJP94" s="248" t="n"/>
      <c r="WJQ94" s="248" t="n"/>
      <c r="WJR94" s="240" t="n"/>
      <c r="WJS94" s="240" t="n"/>
      <c r="WJU94" s="15" t="n"/>
      <c r="WJV94" s="15" t="n"/>
      <c r="WJW94" s="248" t="n"/>
      <c r="WJX94" s="248" t="n"/>
      <c r="WJY94" s="240" t="n"/>
      <c r="WJZ94" s="240" t="n"/>
      <c r="WKB94" s="15" t="n"/>
      <c r="WKC94" s="15" t="n"/>
      <c r="WKD94" s="248" t="n"/>
      <c r="WKE94" s="248" t="n"/>
      <c r="WKF94" s="240" t="n"/>
      <c r="WKG94" s="240" t="n"/>
      <c r="WKI94" s="15" t="n"/>
      <c r="WKJ94" s="15" t="n"/>
      <c r="WKK94" s="248" t="n"/>
      <c r="WKL94" s="248" t="n"/>
      <c r="WKM94" s="240" t="n"/>
      <c r="WKN94" s="240" t="n"/>
      <c r="WKP94" s="15" t="n"/>
      <c r="WKQ94" s="15" t="n"/>
      <c r="WKR94" s="248" t="n"/>
      <c r="WKS94" s="248" t="n"/>
      <c r="WKT94" s="240" t="n"/>
      <c r="WKU94" s="240" t="n"/>
      <c r="WKW94" s="15" t="n"/>
      <c r="WKX94" s="15" t="n"/>
      <c r="WKY94" s="248" t="n"/>
      <c r="WKZ94" s="248" t="n"/>
      <c r="WLA94" s="240" t="n"/>
      <c r="WLB94" s="240" t="n"/>
      <c r="WLD94" s="15" t="n"/>
      <c r="WLE94" s="15" t="n"/>
      <c r="WLF94" s="248" t="n"/>
      <c r="WLG94" s="248" t="n"/>
      <c r="WLH94" s="240" t="n"/>
      <c r="WLI94" s="240" t="n"/>
      <c r="WLK94" s="15" t="n"/>
      <c r="WLL94" s="15" t="n"/>
      <c r="WLM94" s="248" t="n"/>
      <c r="WLN94" s="248" t="n"/>
      <c r="WLO94" s="240" t="n"/>
      <c r="WLP94" s="240" t="n"/>
      <c r="WLR94" s="15" t="n"/>
      <c r="WLS94" s="15" t="n"/>
      <c r="WLT94" s="248" t="n"/>
      <c r="WLU94" s="248" t="n"/>
      <c r="WLV94" s="240" t="n"/>
      <c r="WLW94" s="240" t="n"/>
      <c r="WLY94" s="15" t="n"/>
      <c r="WLZ94" s="15" t="n"/>
      <c r="WMA94" s="248" t="n"/>
      <c r="WMB94" s="248" t="n"/>
      <c r="WMC94" s="240" t="n"/>
      <c r="WMD94" s="240" t="n"/>
      <c r="WMF94" s="15" t="n"/>
      <c r="WMG94" s="15" t="n"/>
      <c r="WMH94" s="248" t="n"/>
      <c r="WMI94" s="248" t="n"/>
      <c r="WMJ94" s="240" t="n"/>
      <c r="WMK94" s="240" t="n"/>
      <c r="WMM94" s="15" t="n"/>
      <c r="WMN94" s="15" t="n"/>
      <c r="WMO94" s="248" t="n"/>
      <c r="WMP94" s="248" t="n"/>
      <c r="WMQ94" s="240" t="n"/>
      <c r="WMR94" s="240" t="n"/>
      <c r="WMT94" s="15" t="n"/>
      <c r="WMU94" s="15" t="n"/>
      <c r="WMV94" s="248" t="n"/>
      <c r="WMW94" s="248" t="n"/>
      <c r="WMX94" s="240" t="n"/>
      <c r="WMY94" s="240" t="n"/>
      <c r="WNA94" s="15" t="n"/>
      <c r="WNB94" s="15" t="n"/>
      <c r="WNC94" s="248" t="n"/>
      <c r="WND94" s="248" t="n"/>
      <c r="WNE94" s="240" t="n"/>
      <c r="WNF94" s="240" t="n"/>
      <c r="WNH94" s="15" t="n"/>
      <c r="WNI94" s="15" t="n"/>
      <c r="WNJ94" s="248" t="n"/>
      <c r="WNK94" s="248" t="n"/>
      <c r="WNL94" s="240" t="n"/>
      <c r="WNM94" s="240" t="n"/>
      <c r="WNO94" s="15" t="n"/>
      <c r="WNP94" s="15" t="n"/>
      <c r="WNQ94" s="248" t="n"/>
      <c r="WNR94" s="248" t="n"/>
      <c r="WNS94" s="240" t="n"/>
      <c r="WNT94" s="240" t="n"/>
      <c r="WNV94" s="15" t="n"/>
      <c r="WNW94" s="15" t="n"/>
      <c r="WNX94" s="248" t="n"/>
      <c r="WNY94" s="248" t="n"/>
      <c r="WNZ94" s="240" t="n"/>
      <c r="WOA94" s="240" t="n"/>
      <c r="WOC94" s="15" t="n"/>
      <c r="WOD94" s="15" t="n"/>
      <c r="WOE94" s="248" t="n"/>
      <c r="WOF94" s="248" t="n"/>
      <c r="WOG94" s="240" t="n"/>
      <c r="WOH94" s="240" t="n"/>
      <c r="WOJ94" s="15" t="n"/>
      <c r="WOK94" s="15" t="n"/>
      <c r="WOL94" s="248" t="n"/>
      <c r="WOM94" s="248" t="n"/>
      <c r="WON94" s="240" t="n"/>
      <c r="WOO94" s="240" t="n"/>
      <c r="WOQ94" s="15" t="n"/>
      <c r="WOR94" s="15" t="n"/>
      <c r="WOS94" s="248" t="n"/>
      <c r="WOT94" s="248" t="n"/>
      <c r="WOU94" s="240" t="n"/>
      <c r="WOV94" s="240" t="n"/>
      <c r="WOX94" s="15" t="n"/>
      <c r="WOY94" s="15" t="n"/>
      <c r="WOZ94" s="248" t="n"/>
      <c r="WPA94" s="248" t="n"/>
      <c r="WPB94" s="240" t="n"/>
      <c r="WPC94" s="240" t="n"/>
      <c r="WPE94" s="15" t="n"/>
      <c r="WPF94" s="15" t="n"/>
      <c r="WPG94" s="248" t="n"/>
      <c r="WPH94" s="248" t="n"/>
      <c r="WPI94" s="240" t="n"/>
      <c r="WPJ94" s="240" t="n"/>
      <c r="WPL94" s="15" t="n"/>
      <c r="WPM94" s="15" t="n"/>
      <c r="WPN94" s="248" t="n"/>
      <c r="WPO94" s="248" t="n"/>
      <c r="WPP94" s="240" t="n"/>
      <c r="WPQ94" s="240" t="n"/>
      <c r="WPS94" s="15" t="n"/>
      <c r="WPT94" s="15" t="n"/>
      <c r="WPU94" s="248" t="n"/>
      <c r="WPV94" s="248" t="n"/>
      <c r="WPW94" s="240" t="n"/>
      <c r="WPX94" s="240" t="n"/>
      <c r="WPZ94" s="15" t="n"/>
      <c r="WQA94" s="15" t="n"/>
      <c r="WQB94" s="248" t="n"/>
      <c r="WQC94" s="248" t="n"/>
      <c r="WQD94" s="240" t="n"/>
      <c r="WQE94" s="240" t="n"/>
      <c r="WQG94" s="15" t="n"/>
      <c r="WQH94" s="15" t="n"/>
      <c r="WQI94" s="248" t="n"/>
      <c r="WQJ94" s="248" t="n"/>
      <c r="WQK94" s="240" t="n"/>
      <c r="WQL94" s="240" t="n"/>
      <c r="WQN94" s="15" t="n"/>
      <c r="WQO94" s="15" t="n"/>
      <c r="WQP94" s="248" t="n"/>
      <c r="WQQ94" s="248" t="n"/>
      <c r="WQR94" s="240" t="n"/>
      <c r="WQS94" s="240" t="n"/>
      <c r="WQU94" s="15" t="n"/>
      <c r="WQV94" s="15" t="n"/>
      <c r="WQW94" s="248" t="n"/>
      <c r="WQX94" s="248" t="n"/>
      <c r="WQY94" s="240" t="n"/>
      <c r="WQZ94" s="240" t="n"/>
      <c r="WRB94" s="15" t="n"/>
      <c r="WRC94" s="15" t="n"/>
      <c r="WRD94" s="248" t="n"/>
      <c r="WRE94" s="248" t="n"/>
      <c r="WRF94" s="240" t="n"/>
      <c r="WRG94" s="240" t="n"/>
      <c r="WRI94" s="15" t="n"/>
      <c r="WRJ94" s="15" t="n"/>
      <c r="WRK94" s="248" t="n"/>
      <c r="WRL94" s="248" t="n"/>
      <c r="WRM94" s="240" t="n"/>
      <c r="WRN94" s="240" t="n"/>
      <c r="WRP94" s="15" t="n"/>
      <c r="WRQ94" s="15" t="n"/>
      <c r="WRR94" s="248" t="n"/>
      <c r="WRS94" s="248" t="n"/>
      <c r="WRT94" s="240" t="n"/>
      <c r="WRU94" s="240" t="n"/>
      <c r="WRW94" s="15" t="n"/>
      <c r="WRX94" s="15" t="n"/>
      <c r="WRY94" s="248" t="n"/>
      <c r="WRZ94" s="248" t="n"/>
      <c r="WSA94" s="240" t="n"/>
      <c r="WSB94" s="240" t="n"/>
      <c r="WSD94" s="15" t="n"/>
      <c r="WSE94" s="15" t="n"/>
      <c r="WSF94" s="248" t="n"/>
      <c r="WSG94" s="248" t="n"/>
      <c r="WSH94" s="240" t="n"/>
      <c r="WSI94" s="240" t="n"/>
      <c r="WSK94" s="15" t="n"/>
      <c r="WSL94" s="15" t="n"/>
      <c r="WSM94" s="248" t="n"/>
      <c r="WSN94" s="248" t="n"/>
      <c r="WSO94" s="240" t="n"/>
      <c r="WSP94" s="240" t="n"/>
      <c r="WSR94" s="15" t="n"/>
      <c r="WSS94" s="15" t="n"/>
      <c r="WST94" s="248" t="n"/>
      <c r="WSU94" s="248" t="n"/>
      <c r="WSV94" s="240" t="n"/>
      <c r="WSW94" s="240" t="n"/>
      <c r="WSY94" s="15" t="n"/>
      <c r="WSZ94" s="15" t="n"/>
      <c r="WTA94" s="248" t="n"/>
      <c r="WTB94" s="248" t="n"/>
      <c r="WTC94" s="240" t="n"/>
      <c r="WTD94" s="240" t="n"/>
      <c r="WTF94" s="15" t="n"/>
      <c r="WTG94" s="15" t="n"/>
      <c r="WTH94" s="248" t="n"/>
      <c r="WTI94" s="248" t="n"/>
      <c r="WTJ94" s="240" t="n"/>
      <c r="WTK94" s="240" t="n"/>
      <c r="WTM94" s="15" t="n"/>
      <c r="WTN94" s="15" t="n"/>
      <c r="WTO94" s="248" t="n"/>
      <c r="WTP94" s="248" t="n"/>
      <c r="WTQ94" s="240" t="n"/>
      <c r="WTR94" s="240" t="n"/>
      <c r="WTT94" s="15" t="n"/>
      <c r="WTU94" s="15" t="n"/>
      <c r="WTV94" s="248" t="n"/>
      <c r="WTW94" s="248" t="n"/>
      <c r="WTX94" s="240" t="n"/>
      <c r="WTY94" s="240" t="n"/>
      <c r="WUA94" s="15" t="n"/>
      <c r="WUB94" s="15" t="n"/>
      <c r="WUC94" s="248" t="n"/>
      <c r="WUD94" s="248" t="n"/>
      <c r="WUE94" s="240" t="n"/>
      <c r="WUF94" s="240" t="n"/>
      <c r="WUH94" s="15" t="n"/>
      <c r="WUI94" s="15" t="n"/>
      <c r="WUJ94" s="248" t="n"/>
      <c r="WUK94" s="248" t="n"/>
      <c r="WUL94" s="240" t="n"/>
      <c r="WUM94" s="240" t="n"/>
      <c r="WUO94" s="15" t="n"/>
      <c r="WUP94" s="15" t="n"/>
      <c r="WUQ94" s="248" t="n"/>
      <c r="WUR94" s="248" t="n"/>
      <c r="WUS94" s="240" t="n"/>
      <c r="WUT94" s="240" t="n"/>
      <c r="WUV94" s="15" t="n"/>
      <c r="WUW94" s="15" t="n"/>
      <c r="WUX94" s="248" t="n"/>
      <c r="WUY94" s="248" t="n"/>
      <c r="WUZ94" s="240" t="n"/>
      <c r="WVA94" s="240" t="n"/>
      <c r="WVC94" s="15" t="n"/>
      <c r="WVD94" s="15" t="n"/>
      <c r="WVE94" s="248" t="n"/>
      <c r="WVF94" s="248" t="n"/>
      <c r="WVG94" s="240" t="n"/>
      <c r="WVH94" s="240" t="n"/>
      <c r="WVJ94" s="15" t="n"/>
      <c r="WVK94" s="15" t="n"/>
      <c r="WVL94" s="248" t="n"/>
      <c r="WVM94" s="248" t="n"/>
      <c r="WVN94" s="240" t="n"/>
      <c r="WVO94" s="240" t="n"/>
      <c r="WVQ94" s="15" t="n"/>
      <c r="WVR94" s="15" t="n"/>
      <c r="WVS94" s="248" t="n"/>
      <c r="WVT94" s="248" t="n"/>
      <c r="WVU94" s="240" t="n"/>
      <c r="WVV94" s="240" t="n"/>
      <c r="WVX94" s="15" t="n"/>
      <c r="WVY94" s="15" t="n"/>
      <c r="WVZ94" s="248" t="n"/>
      <c r="WWA94" s="248" t="n"/>
      <c r="WWB94" s="240" t="n"/>
      <c r="WWC94" s="240" t="n"/>
      <c r="WWE94" s="15" t="n"/>
      <c r="WWF94" s="15" t="n"/>
      <c r="WWG94" s="248" t="n"/>
      <c r="WWH94" s="248" t="n"/>
      <c r="WWI94" s="240" t="n"/>
      <c r="WWJ94" s="240" t="n"/>
      <c r="WWL94" s="15" t="n"/>
      <c r="WWM94" s="15" t="n"/>
      <c r="WWN94" s="248" t="n"/>
      <c r="WWO94" s="248" t="n"/>
      <c r="WWP94" s="240" t="n"/>
      <c r="WWQ94" s="240" t="n"/>
      <c r="WWS94" s="15" t="n"/>
      <c r="WWT94" s="15" t="n"/>
      <c r="WWU94" s="248" t="n"/>
      <c r="WWV94" s="248" t="n"/>
      <c r="WWW94" s="240" t="n"/>
      <c r="WWX94" s="240" t="n"/>
      <c r="WWZ94" s="15" t="n"/>
      <c r="WXA94" s="15" t="n"/>
      <c r="WXB94" s="248" t="n"/>
      <c r="WXC94" s="248" t="n"/>
      <c r="WXD94" s="240" t="n"/>
      <c r="WXE94" s="240" t="n"/>
      <c r="WXG94" s="15" t="n"/>
      <c r="WXH94" s="15" t="n"/>
      <c r="WXI94" s="248" t="n"/>
      <c r="WXJ94" s="248" t="n"/>
      <c r="WXK94" s="240" t="n"/>
      <c r="WXL94" s="240" t="n"/>
      <c r="WXN94" s="15" t="n"/>
      <c r="WXO94" s="15" t="n"/>
      <c r="WXP94" s="248" t="n"/>
      <c r="WXQ94" s="248" t="n"/>
      <c r="WXR94" s="240" t="n"/>
      <c r="WXS94" s="240" t="n"/>
      <c r="WXU94" s="15" t="n"/>
      <c r="WXV94" s="15" t="n"/>
      <c r="WXW94" s="248" t="n"/>
      <c r="WXX94" s="248" t="n"/>
      <c r="WXY94" s="240" t="n"/>
      <c r="WXZ94" s="240" t="n"/>
      <c r="WYB94" s="15" t="n"/>
      <c r="WYC94" s="15" t="n"/>
      <c r="WYD94" s="248" t="n"/>
      <c r="WYE94" s="248" t="n"/>
      <c r="WYF94" s="240" t="n"/>
      <c r="WYG94" s="240" t="n"/>
      <c r="WYI94" s="15" t="n"/>
      <c r="WYJ94" s="15" t="n"/>
      <c r="WYK94" s="248" t="n"/>
      <c r="WYL94" s="248" t="n"/>
      <c r="WYM94" s="240" t="n"/>
      <c r="WYN94" s="240" t="n"/>
      <c r="WYP94" s="15" t="n"/>
      <c r="WYQ94" s="15" t="n"/>
      <c r="WYR94" s="248" t="n"/>
      <c r="WYS94" s="248" t="n"/>
      <c r="WYT94" s="240" t="n"/>
      <c r="WYU94" s="240" t="n"/>
      <c r="WYW94" s="15" t="n"/>
      <c r="WYX94" s="15" t="n"/>
      <c r="WYY94" s="248" t="n"/>
      <c r="WYZ94" s="248" t="n"/>
      <c r="WZA94" s="240" t="n"/>
      <c r="WZB94" s="240" t="n"/>
      <c r="WZD94" s="15" t="n"/>
      <c r="WZE94" s="15" t="n"/>
      <c r="WZF94" s="248" t="n"/>
      <c r="WZG94" s="248" t="n"/>
      <c r="WZH94" s="240" t="n"/>
      <c r="WZI94" s="240" t="n"/>
      <c r="WZK94" s="15" t="n"/>
      <c r="WZL94" s="15" t="n"/>
      <c r="WZM94" s="248" t="n"/>
      <c r="WZN94" s="248" t="n"/>
      <c r="WZO94" s="240" t="n"/>
      <c r="WZP94" s="240" t="n"/>
      <c r="WZR94" s="15" t="n"/>
      <c r="WZS94" s="15" t="n"/>
      <c r="WZT94" s="248" t="n"/>
      <c r="WZU94" s="248" t="n"/>
      <c r="WZV94" s="240" t="n"/>
      <c r="WZW94" s="240" t="n"/>
      <c r="WZY94" s="15" t="n"/>
      <c r="WZZ94" s="15" t="n"/>
      <c r="XAA94" s="248" t="n"/>
      <c r="XAB94" s="248" t="n"/>
      <c r="XAC94" s="240" t="n"/>
      <c r="XAD94" s="240" t="n"/>
      <c r="XAF94" s="15" t="n"/>
      <c r="XAG94" s="15" t="n"/>
      <c r="XAH94" s="248" t="n"/>
      <c r="XAI94" s="248" t="n"/>
      <c r="XAJ94" s="240" t="n"/>
      <c r="XAK94" s="240" t="n"/>
      <c r="XAM94" s="15" t="n"/>
      <c r="XAN94" s="15" t="n"/>
      <c r="XAO94" s="248" t="n"/>
      <c r="XAP94" s="248" t="n"/>
      <c r="XAQ94" s="240" t="n"/>
      <c r="XAR94" s="240" t="n"/>
      <c r="XAT94" s="15" t="n"/>
      <c r="XAU94" s="15" t="n"/>
      <c r="XAV94" s="248" t="n"/>
      <c r="XAW94" s="248" t="n"/>
      <c r="XAX94" s="240" t="n"/>
      <c r="XAY94" s="240" t="n"/>
      <c r="XBA94" s="15" t="n"/>
      <c r="XBB94" s="15" t="n"/>
      <c r="XBC94" s="248" t="n"/>
      <c r="XBD94" s="248" t="n"/>
      <c r="XBE94" s="240" t="n"/>
      <c r="XBF94" s="240" t="n"/>
      <c r="XBH94" s="15" t="n"/>
      <c r="XBI94" s="15" t="n"/>
      <c r="XBJ94" s="248" t="n"/>
      <c r="XBK94" s="248" t="n"/>
      <c r="XBL94" s="240" t="n"/>
      <c r="XBM94" s="240" t="n"/>
      <c r="XBO94" s="15" t="n"/>
      <c r="XBP94" s="15" t="n"/>
      <c r="XBQ94" s="248" t="n"/>
      <c r="XBR94" s="248" t="n"/>
      <c r="XBS94" s="240" t="n"/>
      <c r="XBT94" s="240" t="n"/>
      <c r="XBV94" s="15" t="n"/>
      <c r="XBW94" s="15" t="n"/>
      <c r="XBX94" s="248" t="n"/>
      <c r="XBY94" s="248" t="n"/>
      <c r="XBZ94" s="240" t="n"/>
      <c r="XCA94" s="240" t="n"/>
      <c r="XCC94" s="15" t="n"/>
      <c r="XCD94" s="15" t="n"/>
      <c r="XCE94" s="248" t="n"/>
      <c r="XCF94" s="248" t="n"/>
      <c r="XCG94" s="240" t="n"/>
      <c r="XCH94" s="240" t="n"/>
      <c r="XCJ94" s="15" t="n"/>
      <c r="XCK94" s="15" t="n"/>
      <c r="XCL94" s="248" t="n"/>
      <c r="XCM94" s="248" t="n"/>
      <c r="XCN94" s="240" t="n"/>
      <c r="XCO94" s="240" t="n"/>
      <c r="XCQ94" s="15" t="n"/>
      <c r="XCR94" s="15" t="n"/>
      <c r="XCS94" s="248" t="n"/>
      <c r="XCT94" s="248" t="n"/>
      <c r="XCU94" s="240" t="n"/>
      <c r="XCV94" s="240" t="n"/>
      <c r="XCX94" s="15" t="n"/>
      <c r="XCY94" s="15" t="n"/>
      <c r="XCZ94" s="248" t="n"/>
      <c r="XDA94" s="248" t="n"/>
      <c r="XDB94" s="240" t="n"/>
      <c r="XDC94" s="240" t="n"/>
      <c r="XDE94" s="15" t="n"/>
      <c r="XDF94" s="15" t="n"/>
      <c r="XDG94" s="248" t="n"/>
      <c r="XDH94" s="248" t="n"/>
      <c r="XDI94" s="240" t="n"/>
      <c r="XDJ94" s="240" t="n"/>
      <c r="XDL94" s="15" t="n"/>
      <c r="XDM94" s="15" t="n"/>
      <c r="XDN94" s="248" t="n"/>
      <c r="XDO94" s="248" t="n"/>
      <c r="XDP94" s="240" t="n"/>
      <c r="XDQ94" s="240" t="n"/>
      <c r="XDS94" s="15" t="n"/>
      <c r="XDT94" s="15" t="n"/>
      <c r="XDU94" s="248" t="n"/>
      <c r="XDV94" s="248" t="n"/>
      <c r="XDW94" s="240" t="n"/>
      <c r="XDX94" s="240" t="n"/>
      <c r="XDZ94" s="15" t="n"/>
      <c r="XEA94" s="15" t="n"/>
      <c r="XEB94" s="248" t="n"/>
      <c r="XEC94" s="248" t="n"/>
      <c r="XED94" s="240" t="n"/>
      <c r="XEE94" s="240" t="n"/>
      <c r="XEG94" s="15" t="n"/>
      <c r="XEH94" s="15" t="n"/>
      <c r="XEI94" s="248" t="n"/>
      <c r="XEJ94" s="248" t="n"/>
      <c r="XEK94" s="240" t="n"/>
      <c r="XEL94" s="240" t="n"/>
      <c r="XEN94" s="15" t="n"/>
      <c r="XEO94" s="15" t="n"/>
      <c r="XEP94" s="248" t="n"/>
      <c r="XEQ94" s="248" t="n"/>
      <c r="XER94" s="240" t="n"/>
      <c r="XES94" s="240" t="n"/>
      <c r="XEU94" s="15" t="n"/>
      <c r="XEV94" s="15" t="n"/>
      <c r="XEW94" s="248" t="n"/>
      <c r="XEX94" s="248" t="n"/>
      <c r="XEY94" s="240" t="n"/>
      <c r="XEZ94" s="240" t="n"/>
      <c r="XFB94" s="15" t="n"/>
      <c r="XFC94" s="15" t="n"/>
      <c r="XFD94" s="248" t="n"/>
    </row>
    <row r="95">
      <c r="A95" s="17" t="inlineStr">
        <is>
          <t>Additional Coverages</t>
        </is>
      </c>
      <c r="B95" s="42" t="inlineStr">
        <is>
          <t>Loss of Farm Income (Business Interruption).</t>
        </is>
      </c>
      <c r="C95" s="42" t="n"/>
      <c r="D95" s="42" t="n"/>
      <c r="E95" s="246" t="n"/>
      <c r="F95" s="248">
        <f>E95</f>
        <v/>
      </c>
      <c r="G95" s="253" t="n"/>
      <c r="H95" s="253" t="n"/>
      <c r="I95" s="253" t="n"/>
      <c r="J95" s="253" t="n"/>
      <c r="K95" s="253" t="n"/>
      <c r="L95" s="155" t="n">
        <v>0.0045</v>
      </c>
      <c r="M95" s="151">
        <f>F95*L95</f>
        <v/>
      </c>
      <c r="N95" s="254" t="n"/>
      <c r="O95" s="93" t="n"/>
      <c r="P95" s="15" t="n"/>
      <c r="Q95" s="15" t="n"/>
      <c r="R95" s="248" t="n"/>
      <c r="S95" s="248" t="n"/>
      <c r="T95" s="240" t="n"/>
      <c r="U95" s="240" t="n"/>
      <c r="W95" s="15" t="n"/>
      <c r="X95" s="15" t="n"/>
      <c r="Y95" s="248" t="n"/>
      <c r="Z95" s="248" t="n"/>
      <c r="AA95" s="240" t="n"/>
      <c r="AB95" s="240" t="n"/>
      <c r="AD95" s="15" t="n"/>
      <c r="AE95" s="15" t="n"/>
      <c r="AF95" s="248" t="n"/>
      <c r="AG95" s="248" t="n"/>
      <c r="AH95" s="240" t="n"/>
      <c r="AI95" s="240" t="n"/>
      <c r="AK95" s="15" t="n"/>
      <c r="AL95" s="15" t="n"/>
      <c r="AM95" s="248" t="n"/>
      <c r="AN95" s="248" t="n"/>
      <c r="AO95" s="240" t="n"/>
      <c r="AP95" s="240" t="n"/>
      <c r="AR95" s="15" t="n"/>
      <c r="AS95" s="15" t="n"/>
      <c r="AT95" s="248" t="n"/>
      <c r="AU95" s="248" t="n"/>
      <c r="AV95" s="240" t="n"/>
      <c r="AW95" s="240" t="n"/>
      <c r="AY95" s="15" t="n"/>
      <c r="AZ95" s="15" t="n"/>
      <c r="BA95" s="248" t="n"/>
      <c r="BB95" s="248" t="n"/>
      <c r="BC95" s="240" t="n"/>
      <c r="BD95" s="240" t="n"/>
      <c r="BF95" s="15" t="n"/>
      <c r="BG95" s="15" t="n"/>
      <c r="BH95" s="248" t="n"/>
      <c r="BI95" s="248" t="n"/>
      <c r="BJ95" s="240" t="n"/>
      <c r="BK95" s="240" t="n"/>
      <c r="BM95" s="15" t="n"/>
      <c r="BN95" s="15" t="n"/>
      <c r="BO95" s="248" t="n"/>
      <c r="BP95" s="248" t="n"/>
      <c r="BQ95" s="240" t="n"/>
      <c r="BR95" s="240" t="n"/>
      <c r="BT95" s="15" t="n"/>
      <c r="BU95" s="15" t="n"/>
      <c r="BV95" s="248" t="n"/>
      <c r="BW95" s="248" t="n"/>
      <c r="BX95" s="240" t="n"/>
      <c r="BY95" s="240" t="n"/>
      <c r="CA95" s="15" t="n"/>
      <c r="CB95" s="15" t="n"/>
      <c r="CC95" s="248" t="n"/>
      <c r="CD95" s="248" t="n"/>
      <c r="CE95" s="240" t="n"/>
      <c r="CF95" s="240" t="n"/>
      <c r="CH95" s="15" t="n"/>
      <c r="CI95" s="15" t="n"/>
      <c r="CJ95" s="248" t="n"/>
      <c r="CK95" s="248" t="n"/>
      <c r="CL95" s="240" t="n"/>
      <c r="CM95" s="240" t="n"/>
      <c r="CO95" s="15" t="n"/>
      <c r="CP95" s="15" t="n"/>
      <c r="CQ95" s="248" t="n"/>
      <c r="CR95" s="248" t="n"/>
      <c r="CS95" s="240" t="n"/>
      <c r="CT95" s="240" t="n"/>
      <c r="CV95" s="15" t="n"/>
      <c r="CW95" s="15" t="n"/>
      <c r="CX95" s="248" t="n"/>
      <c r="CY95" s="248" t="n"/>
      <c r="CZ95" s="240" t="n"/>
      <c r="DA95" s="240" t="n"/>
      <c r="DC95" s="15" t="n"/>
      <c r="DD95" s="15" t="n"/>
      <c r="DE95" s="248" t="n"/>
      <c r="DF95" s="248" t="n"/>
      <c r="DG95" s="240" t="n"/>
      <c r="DH95" s="240" t="n"/>
      <c r="DJ95" s="15" t="n"/>
      <c r="DK95" s="15" t="n"/>
      <c r="DL95" s="248" t="n"/>
      <c r="DM95" s="248" t="n"/>
      <c r="DN95" s="240" t="n"/>
      <c r="DO95" s="240" t="n"/>
      <c r="DQ95" s="15" t="n"/>
      <c r="DR95" s="15" t="n"/>
      <c r="DS95" s="248" t="n"/>
      <c r="DT95" s="248" t="n"/>
      <c r="DU95" s="240" t="n"/>
      <c r="DV95" s="240" t="n"/>
      <c r="DX95" s="15" t="n"/>
      <c r="DY95" s="15" t="n"/>
      <c r="DZ95" s="248" t="n"/>
      <c r="EA95" s="248" t="n"/>
      <c r="EB95" s="240" t="n"/>
      <c r="EC95" s="240" t="n"/>
      <c r="EE95" s="15" t="n"/>
      <c r="EF95" s="15" t="n"/>
      <c r="EG95" s="248" t="n"/>
      <c r="EH95" s="248" t="n"/>
      <c r="EI95" s="240" t="n"/>
      <c r="EJ95" s="240" t="n"/>
      <c r="EL95" s="15" t="n"/>
      <c r="EM95" s="15" t="n"/>
      <c r="EN95" s="248" t="n"/>
      <c r="EO95" s="248" t="n"/>
      <c r="EP95" s="240" t="n"/>
      <c r="EQ95" s="240" t="n"/>
      <c r="ES95" s="15" t="n"/>
      <c r="ET95" s="15" t="n"/>
      <c r="EU95" s="248" t="n"/>
      <c r="EV95" s="248" t="n"/>
      <c r="EW95" s="240" t="n"/>
      <c r="EX95" s="240" t="n"/>
      <c r="EZ95" s="15" t="n"/>
      <c r="FA95" s="15" t="n"/>
      <c r="FB95" s="248" t="n"/>
      <c r="FC95" s="248" t="n"/>
      <c r="FD95" s="240" t="n"/>
      <c r="FE95" s="240" t="n"/>
      <c r="FG95" s="15" t="n"/>
      <c r="FH95" s="15" t="n"/>
      <c r="FI95" s="248" t="n"/>
      <c r="FJ95" s="248" t="n"/>
      <c r="FK95" s="240" t="n"/>
      <c r="FL95" s="240" t="n"/>
      <c r="FN95" s="15" t="n"/>
      <c r="FO95" s="15" t="n"/>
      <c r="FP95" s="248" t="n"/>
      <c r="FQ95" s="248" t="n"/>
      <c r="FR95" s="240" t="n"/>
      <c r="FS95" s="240" t="n"/>
      <c r="FU95" s="15" t="n"/>
      <c r="FV95" s="15" t="n"/>
      <c r="FW95" s="248" t="n"/>
      <c r="FX95" s="248" t="n"/>
      <c r="FY95" s="240" t="n"/>
      <c r="FZ95" s="240" t="n"/>
      <c r="GB95" s="15" t="n"/>
      <c r="GC95" s="15" t="n"/>
      <c r="GD95" s="248" t="n"/>
      <c r="GE95" s="248" t="n"/>
      <c r="GF95" s="240" t="n"/>
      <c r="GG95" s="240" t="n"/>
      <c r="GI95" s="15" t="n"/>
      <c r="GJ95" s="15" t="n"/>
      <c r="GK95" s="248" t="n"/>
      <c r="GL95" s="248" t="n"/>
      <c r="GM95" s="240" t="n"/>
      <c r="GN95" s="240" t="n"/>
      <c r="GP95" s="15" t="n"/>
      <c r="GQ95" s="15" t="n"/>
      <c r="GR95" s="248" t="n"/>
      <c r="GS95" s="248" t="n"/>
      <c r="GT95" s="240" t="n"/>
      <c r="GU95" s="240" t="n"/>
      <c r="GW95" s="15" t="n"/>
      <c r="GX95" s="15" t="n"/>
      <c r="GY95" s="248" t="n"/>
      <c r="GZ95" s="248" t="n"/>
      <c r="HA95" s="240" t="n"/>
      <c r="HB95" s="240" t="n"/>
      <c r="HD95" s="15" t="n"/>
      <c r="HE95" s="15" t="n"/>
      <c r="HF95" s="248" t="n"/>
      <c r="HG95" s="248" t="n"/>
      <c r="HH95" s="240" t="n"/>
      <c r="HI95" s="240" t="n"/>
      <c r="HK95" s="15" t="n"/>
      <c r="HL95" s="15" t="n"/>
      <c r="HM95" s="248" t="n"/>
      <c r="HN95" s="248" t="n"/>
      <c r="HO95" s="240" t="n"/>
      <c r="HP95" s="240" t="n"/>
      <c r="HR95" s="15" t="n"/>
      <c r="HS95" s="15" t="n"/>
      <c r="HT95" s="248" t="n"/>
      <c r="HU95" s="248" t="n"/>
      <c r="HV95" s="240" t="n"/>
      <c r="HW95" s="240" t="n"/>
      <c r="HY95" s="15" t="n"/>
      <c r="HZ95" s="15" t="n"/>
      <c r="IA95" s="248" t="n"/>
      <c r="IB95" s="248" t="n"/>
      <c r="IC95" s="240" t="n"/>
      <c r="ID95" s="240" t="n"/>
      <c r="IF95" s="15" t="n"/>
      <c r="IG95" s="15" t="n"/>
      <c r="IH95" s="248" t="n"/>
      <c r="II95" s="248" t="n"/>
      <c r="IJ95" s="240" t="n"/>
      <c r="IK95" s="240" t="n"/>
      <c r="IM95" s="15" t="n"/>
      <c r="IN95" s="15" t="n"/>
      <c r="IO95" s="248" t="n"/>
      <c r="IP95" s="248" t="n"/>
      <c r="IQ95" s="240" t="n"/>
      <c r="IR95" s="240" t="n"/>
      <c r="IT95" s="15" t="n"/>
      <c r="IU95" s="15" t="n"/>
      <c r="IV95" s="248" t="n"/>
      <c r="IW95" s="248" t="n"/>
      <c r="IX95" s="240" t="n"/>
      <c r="IY95" s="240" t="n"/>
      <c r="JA95" s="15" t="n"/>
      <c r="JB95" s="15" t="n"/>
      <c r="JC95" s="248" t="n"/>
      <c r="JD95" s="248" t="n"/>
      <c r="JE95" s="240" t="n"/>
      <c r="JF95" s="240" t="n"/>
      <c r="JH95" s="15" t="n"/>
      <c r="JI95" s="15" t="n"/>
      <c r="JJ95" s="248" t="n"/>
      <c r="JK95" s="248" t="n"/>
      <c r="JL95" s="240" t="n"/>
      <c r="JM95" s="240" t="n"/>
      <c r="JO95" s="15" t="n"/>
      <c r="JP95" s="15" t="n"/>
      <c r="JQ95" s="248" t="n"/>
      <c r="JR95" s="248" t="n"/>
      <c r="JS95" s="240" t="n"/>
      <c r="JT95" s="240" t="n"/>
      <c r="JV95" s="15" t="n"/>
      <c r="JW95" s="15" t="n"/>
      <c r="JX95" s="248" t="n"/>
      <c r="JY95" s="248" t="n"/>
      <c r="JZ95" s="240" t="n"/>
      <c r="KA95" s="240" t="n"/>
      <c r="KC95" s="15" t="n"/>
      <c r="KD95" s="15" t="n"/>
      <c r="KE95" s="248" t="n"/>
      <c r="KF95" s="248" t="n"/>
      <c r="KG95" s="240" t="n"/>
      <c r="KH95" s="240" t="n"/>
      <c r="KJ95" s="15" t="n"/>
      <c r="KK95" s="15" t="n"/>
      <c r="KL95" s="248" t="n"/>
      <c r="KM95" s="248" t="n"/>
      <c r="KN95" s="240" t="n"/>
      <c r="KO95" s="240" t="n"/>
      <c r="KQ95" s="15" t="n"/>
      <c r="KR95" s="15" t="n"/>
      <c r="KS95" s="248" t="n"/>
      <c r="KT95" s="248" t="n"/>
      <c r="KU95" s="240" t="n"/>
      <c r="KV95" s="240" t="n"/>
      <c r="KX95" s="15" t="n"/>
      <c r="KY95" s="15" t="n"/>
      <c r="KZ95" s="248" t="n"/>
      <c r="LA95" s="248" t="n"/>
      <c r="LB95" s="240" t="n"/>
      <c r="LC95" s="240" t="n"/>
      <c r="LE95" s="15" t="n"/>
      <c r="LF95" s="15" t="n"/>
      <c r="LG95" s="248" t="n"/>
      <c r="LH95" s="248" t="n"/>
      <c r="LI95" s="240" t="n"/>
      <c r="LJ95" s="240" t="n"/>
      <c r="LL95" s="15" t="n"/>
      <c r="LM95" s="15" t="n"/>
      <c r="LN95" s="248" t="n"/>
      <c r="LO95" s="248" t="n"/>
      <c r="LP95" s="240" t="n"/>
      <c r="LQ95" s="240" t="n"/>
      <c r="LS95" s="15" t="n"/>
      <c r="LT95" s="15" t="n"/>
      <c r="LU95" s="248" t="n"/>
      <c r="LV95" s="248" t="n"/>
      <c r="LW95" s="240" t="n"/>
      <c r="LX95" s="240" t="n"/>
      <c r="LZ95" s="15" t="n"/>
      <c r="MA95" s="15" t="n"/>
      <c r="MB95" s="248" t="n"/>
      <c r="MC95" s="248" t="n"/>
      <c r="MD95" s="240" t="n"/>
      <c r="ME95" s="240" t="n"/>
      <c r="MG95" s="15" t="n"/>
      <c r="MH95" s="15" t="n"/>
      <c r="MI95" s="248" t="n"/>
      <c r="MJ95" s="248" t="n"/>
      <c r="MK95" s="240" t="n"/>
      <c r="ML95" s="240" t="n"/>
      <c r="MN95" s="15" t="n"/>
      <c r="MO95" s="15" t="n"/>
      <c r="MP95" s="248" t="n"/>
      <c r="MQ95" s="248" t="n"/>
      <c r="MR95" s="240" t="n"/>
      <c r="MS95" s="240" t="n"/>
      <c r="MU95" s="15" t="n"/>
      <c r="MV95" s="15" t="n"/>
      <c r="MW95" s="248" t="n"/>
      <c r="MX95" s="248" t="n"/>
      <c r="MY95" s="240" t="n"/>
      <c r="MZ95" s="240" t="n"/>
      <c r="NB95" s="15" t="n"/>
      <c r="NC95" s="15" t="n"/>
      <c r="ND95" s="248" t="n"/>
      <c r="NE95" s="248" t="n"/>
      <c r="NF95" s="240" t="n"/>
      <c r="NG95" s="240" t="n"/>
      <c r="NI95" s="15" t="n"/>
      <c r="NJ95" s="15" t="n"/>
      <c r="NK95" s="248" t="n"/>
      <c r="NL95" s="248" t="n"/>
      <c r="NM95" s="240" t="n"/>
      <c r="NN95" s="240" t="n"/>
      <c r="NP95" s="15" t="n"/>
      <c r="NQ95" s="15" t="n"/>
      <c r="NR95" s="248" t="n"/>
      <c r="NS95" s="248" t="n"/>
      <c r="NT95" s="240" t="n"/>
      <c r="NU95" s="240" t="n"/>
      <c r="NW95" s="15" t="n"/>
      <c r="NX95" s="15" t="n"/>
      <c r="NY95" s="248" t="n"/>
      <c r="NZ95" s="248" t="n"/>
      <c r="OA95" s="240" t="n"/>
      <c r="OB95" s="240" t="n"/>
      <c r="OD95" s="15" t="n"/>
      <c r="OE95" s="15" t="n"/>
      <c r="OF95" s="248" t="n"/>
      <c r="OG95" s="248" t="n"/>
      <c r="OH95" s="240" t="n"/>
      <c r="OI95" s="240" t="n"/>
      <c r="OK95" s="15" t="n"/>
      <c r="OL95" s="15" t="n"/>
      <c r="OM95" s="248" t="n"/>
      <c r="ON95" s="248" t="n"/>
      <c r="OO95" s="240" t="n"/>
      <c r="OP95" s="240" t="n"/>
      <c r="OR95" s="15" t="n"/>
      <c r="OS95" s="15" t="n"/>
      <c r="OT95" s="248" t="n"/>
      <c r="OU95" s="248" t="n"/>
      <c r="OV95" s="240" t="n"/>
      <c r="OW95" s="240" t="n"/>
      <c r="OY95" s="15" t="n"/>
      <c r="OZ95" s="15" t="n"/>
      <c r="PA95" s="248" t="n"/>
      <c r="PB95" s="248" t="n"/>
      <c r="PC95" s="240" t="n"/>
      <c r="PD95" s="240" t="n"/>
      <c r="PF95" s="15" t="n"/>
      <c r="PG95" s="15" t="n"/>
      <c r="PH95" s="248" t="n"/>
      <c r="PI95" s="248" t="n"/>
      <c r="PJ95" s="240" t="n"/>
      <c r="PK95" s="240" t="n"/>
      <c r="PM95" s="15" t="n"/>
      <c r="PN95" s="15" t="n"/>
      <c r="PO95" s="248" t="n"/>
      <c r="PP95" s="248" t="n"/>
      <c r="PQ95" s="240" t="n"/>
      <c r="PR95" s="240" t="n"/>
      <c r="PT95" s="15" t="n"/>
      <c r="PU95" s="15" t="n"/>
      <c r="PV95" s="248" t="n"/>
      <c r="PW95" s="248" t="n"/>
      <c r="PX95" s="240" t="n"/>
      <c r="PY95" s="240" t="n"/>
      <c r="QA95" s="15" t="n"/>
      <c r="QB95" s="15" t="n"/>
      <c r="QC95" s="248" t="n"/>
      <c r="QD95" s="248" t="n"/>
      <c r="QE95" s="240" t="n"/>
      <c r="QF95" s="240" t="n"/>
      <c r="QH95" s="15" t="n"/>
      <c r="QI95" s="15" t="n"/>
      <c r="QJ95" s="248" t="n"/>
      <c r="QK95" s="248" t="n"/>
      <c r="QL95" s="240" t="n"/>
      <c r="QM95" s="240" t="n"/>
      <c r="QO95" s="15" t="n"/>
      <c r="QP95" s="15" t="n"/>
      <c r="QQ95" s="248" t="n"/>
      <c r="QR95" s="248" t="n"/>
      <c r="QS95" s="240" t="n"/>
      <c r="QT95" s="240" t="n"/>
      <c r="QV95" s="15" t="n"/>
      <c r="QW95" s="15" t="n"/>
      <c r="QX95" s="248" t="n"/>
      <c r="QY95" s="248" t="n"/>
      <c r="QZ95" s="240" t="n"/>
      <c r="RA95" s="240" t="n"/>
      <c r="RC95" s="15" t="n"/>
      <c r="RD95" s="15" t="n"/>
      <c r="RE95" s="248" t="n"/>
      <c r="RF95" s="248" t="n"/>
      <c r="RG95" s="240" t="n"/>
      <c r="RH95" s="240" t="n"/>
      <c r="RJ95" s="15" t="n"/>
      <c r="RK95" s="15" t="n"/>
      <c r="RL95" s="248" t="n"/>
      <c r="RM95" s="248" t="n"/>
      <c r="RN95" s="240" t="n"/>
      <c r="RO95" s="240" t="n"/>
      <c r="RQ95" s="15" t="n"/>
      <c r="RR95" s="15" t="n"/>
      <c r="RS95" s="248" t="n"/>
      <c r="RT95" s="248" t="n"/>
      <c r="RU95" s="240" t="n"/>
      <c r="RV95" s="240" t="n"/>
      <c r="RX95" s="15" t="n"/>
      <c r="RY95" s="15" t="n"/>
      <c r="RZ95" s="248" t="n"/>
      <c r="SA95" s="248" t="n"/>
      <c r="SB95" s="240" t="n"/>
      <c r="SC95" s="240" t="n"/>
      <c r="SE95" s="15" t="n"/>
      <c r="SF95" s="15" t="n"/>
      <c r="SG95" s="248" t="n"/>
      <c r="SH95" s="248" t="n"/>
      <c r="SI95" s="240" t="n"/>
      <c r="SJ95" s="240" t="n"/>
      <c r="SL95" s="15" t="n"/>
      <c r="SM95" s="15" t="n"/>
      <c r="SN95" s="248" t="n"/>
      <c r="SO95" s="248" t="n"/>
      <c r="SP95" s="240" t="n"/>
      <c r="SQ95" s="240" t="n"/>
      <c r="SS95" s="15" t="n"/>
      <c r="ST95" s="15" t="n"/>
      <c r="SU95" s="248" t="n"/>
      <c r="SV95" s="248" t="n"/>
      <c r="SW95" s="240" t="n"/>
      <c r="SX95" s="240" t="n"/>
      <c r="SZ95" s="15" t="n"/>
      <c r="TA95" s="15" t="n"/>
      <c r="TB95" s="248" t="n"/>
      <c r="TC95" s="248" t="n"/>
      <c r="TD95" s="240" t="n"/>
      <c r="TE95" s="240" t="n"/>
      <c r="TG95" s="15" t="n"/>
      <c r="TH95" s="15" t="n"/>
      <c r="TI95" s="248" t="n"/>
      <c r="TJ95" s="248" t="n"/>
      <c r="TK95" s="240" t="n"/>
      <c r="TL95" s="240" t="n"/>
      <c r="TN95" s="15" t="n"/>
      <c r="TO95" s="15" t="n"/>
      <c r="TP95" s="248" t="n"/>
      <c r="TQ95" s="248" t="n"/>
      <c r="TR95" s="240" t="n"/>
      <c r="TS95" s="240" t="n"/>
      <c r="TU95" s="15" t="n"/>
      <c r="TV95" s="15" t="n"/>
      <c r="TW95" s="248" t="n"/>
      <c r="TX95" s="248" t="n"/>
      <c r="TY95" s="240" t="n"/>
      <c r="TZ95" s="240" t="n"/>
      <c r="UB95" s="15" t="n"/>
      <c r="UC95" s="15" t="n"/>
      <c r="UD95" s="248" t="n"/>
      <c r="UE95" s="248" t="n"/>
      <c r="UF95" s="240" t="n"/>
      <c r="UG95" s="240" t="n"/>
      <c r="UI95" s="15" t="n"/>
      <c r="UJ95" s="15" t="n"/>
      <c r="UK95" s="248" t="n"/>
      <c r="UL95" s="248" t="n"/>
      <c r="UM95" s="240" t="n"/>
      <c r="UN95" s="240" t="n"/>
      <c r="UP95" s="15" t="n"/>
      <c r="UQ95" s="15" t="n"/>
      <c r="UR95" s="248" t="n"/>
      <c r="US95" s="248" t="n"/>
      <c r="UT95" s="240" t="n"/>
      <c r="UU95" s="240" t="n"/>
      <c r="UW95" s="15" t="n"/>
      <c r="UX95" s="15" t="n"/>
      <c r="UY95" s="248" t="n"/>
      <c r="UZ95" s="248" t="n"/>
      <c r="VA95" s="240" t="n"/>
      <c r="VB95" s="240" t="n"/>
      <c r="VD95" s="15" t="n"/>
      <c r="VE95" s="15" t="n"/>
      <c r="VF95" s="248" t="n"/>
      <c r="VG95" s="248" t="n"/>
      <c r="VH95" s="240" t="n"/>
      <c r="VI95" s="240" t="n"/>
      <c r="VK95" s="15" t="n"/>
      <c r="VL95" s="15" t="n"/>
      <c r="VM95" s="248" t="n"/>
      <c r="VN95" s="248" t="n"/>
      <c r="VO95" s="240" t="n"/>
      <c r="VP95" s="240" t="n"/>
      <c r="VR95" s="15" t="n"/>
      <c r="VS95" s="15" t="n"/>
      <c r="VT95" s="248" t="n"/>
      <c r="VU95" s="248" t="n"/>
      <c r="VV95" s="240" t="n"/>
      <c r="VW95" s="240" t="n"/>
      <c r="VY95" s="15" t="n"/>
      <c r="VZ95" s="15" t="n"/>
      <c r="WA95" s="248" t="n"/>
      <c r="WB95" s="248" t="n"/>
      <c r="WC95" s="240" t="n"/>
      <c r="WD95" s="240" t="n"/>
      <c r="WF95" s="15" t="n"/>
      <c r="WG95" s="15" t="n"/>
      <c r="WH95" s="248" t="n"/>
      <c r="WI95" s="248" t="n"/>
      <c r="WJ95" s="240" t="n"/>
      <c r="WK95" s="240" t="n"/>
      <c r="WM95" s="15" t="n"/>
      <c r="WN95" s="15" t="n"/>
      <c r="WO95" s="248" t="n"/>
      <c r="WP95" s="248" t="n"/>
      <c r="WQ95" s="240" t="n"/>
      <c r="WR95" s="240" t="n"/>
      <c r="WT95" s="15" t="n"/>
      <c r="WU95" s="15" t="n"/>
      <c r="WV95" s="248" t="n"/>
      <c r="WW95" s="248" t="n"/>
      <c r="WX95" s="240" t="n"/>
      <c r="WY95" s="240" t="n"/>
      <c r="XA95" s="15" t="n"/>
      <c r="XB95" s="15" t="n"/>
      <c r="XC95" s="248" t="n"/>
      <c r="XD95" s="248" t="n"/>
      <c r="XE95" s="240" t="n"/>
      <c r="XF95" s="240" t="n"/>
      <c r="XH95" s="15" t="n"/>
      <c r="XI95" s="15" t="n"/>
      <c r="XJ95" s="248" t="n"/>
      <c r="XK95" s="248" t="n"/>
      <c r="XL95" s="240" t="n"/>
      <c r="XM95" s="240" t="n"/>
      <c r="XO95" s="15" t="n"/>
      <c r="XP95" s="15" t="n"/>
      <c r="XQ95" s="248" t="n"/>
      <c r="XR95" s="248" t="n"/>
      <c r="XS95" s="240" t="n"/>
      <c r="XT95" s="240" t="n"/>
      <c r="XV95" s="15" t="n"/>
      <c r="XW95" s="15" t="n"/>
      <c r="XX95" s="248" t="n"/>
      <c r="XY95" s="248" t="n"/>
      <c r="XZ95" s="240" t="n"/>
      <c r="YA95" s="240" t="n"/>
      <c r="YC95" s="15" t="n"/>
      <c r="YD95" s="15" t="n"/>
      <c r="YE95" s="248" t="n"/>
      <c r="YF95" s="248" t="n"/>
      <c r="YG95" s="240" t="n"/>
      <c r="YH95" s="240" t="n"/>
      <c r="YJ95" s="15" t="n"/>
      <c r="YK95" s="15" t="n"/>
      <c r="YL95" s="248" t="n"/>
      <c r="YM95" s="248" t="n"/>
      <c r="YN95" s="240" t="n"/>
      <c r="YO95" s="240" t="n"/>
      <c r="YQ95" s="15" t="n"/>
      <c r="YR95" s="15" t="n"/>
      <c r="YS95" s="248" t="n"/>
      <c r="YT95" s="248" t="n"/>
      <c r="YU95" s="240" t="n"/>
      <c r="YV95" s="240" t="n"/>
      <c r="YX95" s="15" t="n"/>
      <c r="YY95" s="15" t="n"/>
      <c r="YZ95" s="248" t="n"/>
      <c r="ZA95" s="248" t="n"/>
      <c r="ZB95" s="240" t="n"/>
      <c r="ZC95" s="240" t="n"/>
      <c r="ZE95" s="15" t="n"/>
      <c r="ZF95" s="15" t="n"/>
      <c r="ZG95" s="248" t="n"/>
      <c r="ZH95" s="248" t="n"/>
      <c r="ZI95" s="240" t="n"/>
      <c r="ZJ95" s="240" t="n"/>
      <c r="ZL95" s="15" t="n"/>
      <c r="ZM95" s="15" t="n"/>
      <c r="ZN95" s="248" t="n"/>
      <c r="ZO95" s="248" t="n"/>
      <c r="ZP95" s="240" t="n"/>
      <c r="ZQ95" s="240" t="n"/>
      <c r="ZS95" s="15" t="n"/>
      <c r="ZT95" s="15" t="n"/>
      <c r="ZU95" s="248" t="n"/>
      <c r="ZV95" s="248" t="n"/>
      <c r="ZW95" s="240" t="n"/>
      <c r="ZX95" s="240" t="n"/>
      <c r="ZZ95" s="15" t="n"/>
      <c r="AAA95" s="15" t="n"/>
      <c r="AAB95" s="248" t="n"/>
      <c r="AAC95" s="248" t="n"/>
      <c r="AAD95" s="240" t="n"/>
      <c r="AAE95" s="240" t="n"/>
      <c r="AAG95" s="15" t="n"/>
      <c r="AAH95" s="15" t="n"/>
      <c r="AAI95" s="248" t="n"/>
      <c r="AAJ95" s="248" t="n"/>
      <c r="AAK95" s="240" t="n"/>
      <c r="AAL95" s="240" t="n"/>
      <c r="AAN95" s="15" t="n"/>
      <c r="AAO95" s="15" t="n"/>
      <c r="AAP95" s="248" t="n"/>
      <c r="AAQ95" s="248" t="n"/>
      <c r="AAR95" s="240" t="n"/>
      <c r="AAS95" s="240" t="n"/>
      <c r="AAU95" s="15" t="n"/>
      <c r="AAV95" s="15" t="n"/>
      <c r="AAW95" s="248" t="n"/>
      <c r="AAX95" s="248" t="n"/>
      <c r="AAY95" s="240" t="n"/>
      <c r="AAZ95" s="240" t="n"/>
      <c r="ABB95" s="15" t="n"/>
      <c r="ABC95" s="15" t="n"/>
      <c r="ABD95" s="248" t="n"/>
      <c r="ABE95" s="248" t="n"/>
      <c r="ABF95" s="240" t="n"/>
      <c r="ABG95" s="240" t="n"/>
      <c r="ABI95" s="15" t="n"/>
      <c r="ABJ95" s="15" t="n"/>
      <c r="ABK95" s="248" t="n"/>
      <c r="ABL95" s="248" t="n"/>
      <c r="ABM95" s="240" t="n"/>
      <c r="ABN95" s="240" t="n"/>
      <c r="ABP95" s="15" t="n"/>
      <c r="ABQ95" s="15" t="n"/>
      <c r="ABR95" s="248" t="n"/>
      <c r="ABS95" s="248" t="n"/>
      <c r="ABT95" s="240" t="n"/>
      <c r="ABU95" s="240" t="n"/>
      <c r="ABW95" s="15" t="n"/>
      <c r="ABX95" s="15" t="n"/>
      <c r="ABY95" s="248" t="n"/>
      <c r="ABZ95" s="248" t="n"/>
      <c r="ACA95" s="240" t="n"/>
      <c r="ACB95" s="240" t="n"/>
      <c r="ACD95" s="15" t="n"/>
      <c r="ACE95" s="15" t="n"/>
      <c r="ACF95" s="248" t="n"/>
      <c r="ACG95" s="248" t="n"/>
      <c r="ACH95" s="240" t="n"/>
      <c r="ACI95" s="240" t="n"/>
      <c r="ACK95" s="15" t="n"/>
      <c r="ACL95" s="15" t="n"/>
      <c r="ACM95" s="248" t="n"/>
      <c r="ACN95" s="248" t="n"/>
      <c r="ACO95" s="240" t="n"/>
      <c r="ACP95" s="240" t="n"/>
      <c r="ACR95" s="15" t="n"/>
      <c r="ACS95" s="15" t="n"/>
      <c r="ACT95" s="248" t="n"/>
      <c r="ACU95" s="248" t="n"/>
      <c r="ACV95" s="240" t="n"/>
      <c r="ACW95" s="240" t="n"/>
      <c r="ACY95" s="15" t="n"/>
      <c r="ACZ95" s="15" t="n"/>
      <c r="ADA95" s="248" t="n"/>
      <c r="ADB95" s="248" t="n"/>
      <c r="ADC95" s="240" t="n"/>
      <c r="ADD95" s="240" t="n"/>
      <c r="ADF95" s="15" t="n"/>
      <c r="ADG95" s="15" t="n"/>
      <c r="ADH95" s="248" t="n"/>
      <c r="ADI95" s="248" t="n"/>
      <c r="ADJ95" s="240" t="n"/>
      <c r="ADK95" s="240" t="n"/>
      <c r="ADM95" s="15" t="n"/>
      <c r="ADN95" s="15" t="n"/>
      <c r="ADO95" s="248" t="n"/>
      <c r="ADP95" s="248" t="n"/>
      <c r="ADQ95" s="240" t="n"/>
      <c r="ADR95" s="240" t="n"/>
      <c r="ADT95" s="15" t="n"/>
      <c r="ADU95" s="15" t="n"/>
      <c r="ADV95" s="248" t="n"/>
      <c r="ADW95" s="248" t="n"/>
      <c r="ADX95" s="240" t="n"/>
      <c r="ADY95" s="240" t="n"/>
      <c r="AEA95" s="15" t="n"/>
      <c r="AEB95" s="15" t="n"/>
      <c r="AEC95" s="248" t="n"/>
      <c r="AED95" s="248" t="n"/>
      <c r="AEE95" s="240" t="n"/>
      <c r="AEF95" s="240" t="n"/>
      <c r="AEH95" s="15" t="n"/>
      <c r="AEI95" s="15" t="n"/>
      <c r="AEJ95" s="248" t="n"/>
      <c r="AEK95" s="248" t="n"/>
      <c r="AEL95" s="240" t="n"/>
      <c r="AEM95" s="240" t="n"/>
      <c r="AEO95" s="15" t="n"/>
      <c r="AEP95" s="15" t="n"/>
      <c r="AEQ95" s="248" t="n"/>
      <c r="AER95" s="248" t="n"/>
      <c r="AES95" s="240" t="n"/>
      <c r="AET95" s="240" t="n"/>
      <c r="AEV95" s="15" t="n"/>
      <c r="AEW95" s="15" t="n"/>
      <c r="AEX95" s="248" t="n"/>
      <c r="AEY95" s="248" t="n"/>
      <c r="AEZ95" s="240" t="n"/>
      <c r="AFA95" s="240" t="n"/>
      <c r="AFC95" s="15" t="n"/>
      <c r="AFD95" s="15" t="n"/>
      <c r="AFE95" s="248" t="n"/>
      <c r="AFF95" s="248" t="n"/>
      <c r="AFG95" s="240" t="n"/>
      <c r="AFH95" s="240" t="n"/>
      <c r="AFJ95" s="15" t="n"/>
      <c r="AFK95" s="15" t="n"/>
      <c r="AFL95" s="248" t="n"/>
      <c r="AFM95" s="248" t="n"/>
      <c r="AFN95" s="240" t="n"/>
      <c r="AFO95" s="240" t="n"/>
      <c r="AFQ95" s="15" t="n"/>
      <c r="AFR95" s="15" t="n"/>
      <c r="AFS95" s="248" t="n"/>
      <c r="AFT95" s="248" t="n"/>
      <c r="AFU95" s="240" t="n"/>
      <c r="AFV95" s="240" t="n"/>
      <c r="AFX95" s="15" t="n"/>
      <c r="AFY95" s="15" t="n"/>
      <c r="AFZ95" s="248" t="n"/>
      <c r="AGA95" s="248" t="n"/>
      <c r="AGB95" s="240" t="n"/>
      <c r="AGC95" s="240" t="n"/>
      <c r="AGE95" s="15" t="n"/>
      <c r="AGF95" s="15" t="n"/>
      <c r="AGG95" s="248" t="n"/>
      <c r="AGH95" s="248" t="n"/>
      <c r="AGI95" s="240" t="n"/>
      <c r="AGJ95" s="240" t="n"/>
      <c r="AGL95" s="15" t="n"/>
      <c r="AGM95" s="15" t="n"/>
      <c r="AGN95" s="248" t="n"/>
      <c r="AGO95" s="248" t="n"/>
      <c r="AGP95" s="240" t="n"/>
      <c r="AGQ95" s="240" t="n"/>
      <c r="AGS95" s="15" t="n"/>
      <c r="AGT95" s="15" t="n"/>
      <c r="AGU95" s="248" t="n"/>
      <c r="AGV95" s="248" t="n"/>
      <c r="AGW95" s="240" t="n"/>
      <c r="AGX95" s="240" t="n"/>
      <c r="AGZ95" s="15" t="n"/>
      <c r="AHA95" s="15" t="n"/>
      <c r="AHB95" s="248" t="n"/>
      <c r="AHC95" s="248" t="n"/>
      <c r="AHD95" s="240" t="n"/>
      <c r="AHE95" s="240" t="n"/>
      <c r="AHG95" s="15" t="n"/>
      <c r="AHH95" s="15" t="n"/>
      <c r="AHI95" s="248" t="n"/>
      <c r="AHJ95" s="248" t="n"/>
      <c r="AHK95" s="240" t="n"/>
      <c r="AHL95" s="240" t="n"/>
      <c r="AHN95" s="15" t="n"/>
      <c r="AHO95" s="15" t="n"/>
      <c r="AHP95" s="248" t="n"/>
      <c r="AHQ95" s="248" t="n"/>
      <c r="AHR95" s="240" t="n"/>
      <c r="AHS95" s="240" t="n"/>
      <c r="AHU95" s="15" t="n"/>
      <c r="AHV95" s="15" t="n"/>
      <c r="AHW95" s="248" t="n"/>
      <c r="AHX95" s="248" t="n"/>
      <c r="AHY95" s="240" t="n"/>
      <c r="AHZ95" s="240" t="n"/>
      <c r="AIB95" s="15" t="n"/>
      <c r="AIC95" s="15" t="n"/>
      <c r="AID95" s="248" t="n"/>
      <c r="AIE95" s="248" t="n"/>
      <c r="AIF95" s="240" t="n"/>
      <c r="AIG95" s="240" t="n"/>
      <c r="AII95" s="15" t="n"/>
      <c r="AIJ95" s="15" t="n"/>
      <c r="AIK95" s="248" t="n"/>
      <c r="AIL95" s="248" t="n"/>
      <c r="AIM95" s="240" t="n"/>
      <c r="AIN95" s="240" t="n"/>
      <c r="AIP95" s="15" t="n"/>
      <c r="AIQ95" s="15" t="n"/>
      <c r="AIR95" s="248" t="n"/>
      <c r="AIS95" s="248" t="n"/>
      <c r="AIT95" s="240" t="n"/>
      <c r="AIU95" s="240" t="n"/>
      <c r="AIW95" s="15" t="n"/>
      <c r="AIX95" s="15" t="n"/>
      <c r="AIY95" s="248" t="n"/>
      <c r="AIZ95" s="248" t="n"/>
      <c r="AJA95" s="240" t="n"/>
      <c r="AJB95" s="240" t="n"/>
      <c r="AJD95" s="15" t="n"/>
      <c r="AJE95" s="15" t="n"/>
      <c r="AJF95" s="248" t="n"/>
      <c r="AJG95" s="248" t="n"/>
      <c r="AJH95" s="240" t="n"/>
      <c r="AJI95" s="240" t="n"/>
      <c r="AJK95" s="15" t="n"/>
      <c r="AJL95" s="15" t="n"/>
      <c r="AJM95" s="248" t="n"/>
      <c r="AJN95" s="248" t="n"/>
      <c r="AJO95" s="240" t="n"/>
      <c r="AJP95" s="240" t="n"/>
      <c r="AJR95" s="15" t="n"/>
      <c r="AJS95" s="15" t="n"/>
      <c r="AJT95" s="248" t="n"/>
      <c r="AJU95" s="248" t="n"/>
      <c r="AJV95" s="240" t="n"/>
      <c r="AJW95" s="240" t="n"/>
      <c r="AJY95" s="15" t="n"/>
      <c r="AJZ95" s="15" t="n"/>
      <c r="AKA95" s="248" t="n"/>
      <c r="AKB95" s="248" t="n"/>
      <c r="AKC95" s="240" t="n"/>
      <c r="AKD95" s="240" t="n"/>
      <c r="AKF95" s="15" t="n"/>
      <c r="AKG95" s="15" t="n"/>
      <c r="AKH95" s="248" t="n"/>
      <c r="AKI95" s="248" t="n"/>
      <c r="AKJ95" s="240" t="n"/>
      <c r="AKK95" s="240" t="n"/>
      <c r="AKM95" s="15" t="n"/>
      <c r="AKN95" s="15" t="n"/>
      <c r="AKO95" s="248" t="n"/>
      <c r="AKP95" s="248" t="n"/>
      <c r="AKQ95" s="240" t="n"/>
      <c r="AKR95" s="240" t="n"/>
      <c r="AKT95" s="15" t="n"/>
      <c r="AKU95" s="15" t="n"/>
      <c r="AKV95" s="248" t="n"/>
      <c r="AKW95" s="248" t="n"/>
      <c r="AKX95" s="240" t="n"/>
      <c r="AKY95" s="240" t="n"/>
      <c r="ALA95" s="15" t="n"/>
      <c r="ALB95" s="15" t="n"/>
      <c r="ALC95" s="248" t="n"/>
      <c r="ALD95" s="248" t="n"/>
      <c r="ALE95" s="240" t="n"/>
      <c r="ALF95" s="240" t="n"/>
      <c r="ALH95" s="15" t="n"/>
      <c r="ALI95" s="15" t="n"/>
      <c r="ALJ95" s="248" t="n"/>
      <c r="ALK95" s="248" t="n"/>
      <c r="ALL95" s="240" t="n"/>
      <c r="ALM95" s="240" t="n"/>
      <c r="ALO95" s="15" t="n"/>
      <c r="ALP95" s="15" t="n"/>
      <c r="ALQ95" s="248" t="n"/>
      <c r="ALR95" s="248" t="n"/>
      <c r="ALS95" s="240" t="n"/>
      <c r="ALT95" s="240" t="n"/>
      <c r="ALV95" s="15" t="n"/>
      <c r="ALW95" s="15" t="n"/>
      <c r="ALX95" s="248" t="n"/>
      <c r="ALY95" s="248" t="n"/>
      <c r="ALZ95" s="240" t="n"/>
      <c r="AMA95" s="240" t="n"/>
      <c r="AMC95" s="15" t="n"/>
      <c r="AMD95" s="15" t="n"/>
      <c r="AME95" s="248" t="n"/>
      <c r="AMF95" s="248" t="n"/>
      <c r="AMG95" s="240" t="n"/>
      <c r="AMH95" s="240" t="n"/>
      <c r="AMJ95" s="15" t="n"/>
      <c r="AMK95" s="15" t="n"/>
      <c r="AML95" s="248" t="n"/>
      <c r="AMM95" s="248" t="n"/>
      <c r="AMN95" s="240" t="n"/>
      <c r="AMO95" s="240" t="n"/>
      <c r="AMQ95" s="15" t="n"/>
      <c r="AMR95" s="15" t="n"/>
      <c r="AMS95" s="248" t="n"/>
      <c r="AMT95" s="248" t="n"/>
      <c r="AMU95" s="240" t="n"/>
      <c r="AMV95" s="240" t="n"/>
      <c r="AMX95" s="15" t="n"/>
      <c r="AMY95" s="15" t="n"/>
      <c r="AMZ95" s="248" t="n"/>
      <c r="ANA95" s="248" t="n"/>
      <c r="ANB95" s="240" t="n"/>
      <c r="ANC95" s="240" t="n"/>
      <c r="ANE95" s="15" t="n"/>
      <c r="ANF95" s="15" t="n"/>
      <c r="ANG95" s="248" t="n"/>
      <c r="ANH95" s="248" t="n"/>
      <c r="ANI95" s="240" t="n"/>
      <c r="ANJ95" s="240" t="n"/>
      <c r="ANL95" s="15" t="n"/>
      <c r="ANM95" s="15" t="n"/>
      <c r="ANN95" s="248" t="n"/>
      <c r="ANO95" s="248" t="n"/>
      <c r="ANP95" s="240" t="n"/>
      <c r="ANQ95" s="240" t="n"/>
      <c r="ANS95" s="15" t="n"/>
      <c r="ANT95" s="15" t="n"/>
      <c r="ANU95" s="248" t="n"/>
      <c r="ANV95" s="248" t="n"/>
      <c r="ANW95" s="240" t="n"/>
      <c r="ANX95" s="240" t="n"/>
      <c r="ANZ95" s="15" t="n"/>
      <c r="AOA95" s="15" t="n"/>
      <c r="AOB95" s="248" t="n"/>
      <c r="AOC95" s="248" t="n"/>
      <c r="AOD95" s="240" t="n"/>
      <c r="AOE95" s="240" t="n"/>
      <c r="AOG95" s="15" t="n"/>
      <c r="AOH95" s="15" t="n"/>
      <c r="AOI95" s="248" t="n"/>
      <c r="AOJ95" s="248" t="n"/>
      <c r="AOK95" s="240" t="n"/>
      <c r="AOL95" s="240" t="n"/>
      <c r="AON95" s="15" t="n"/>
      <c r="AOO95" s="15" t="n"/>
      <c r="AOP95" s="248" t="n"/>
      <c r="AOQ95" s="248" t="n"/>
      <c r="AOR95" s="240" t="n"/>
      <c r="AOS95" s="240" t="n"/>
      <c r="AOU95" s="15" t="n"/>
      <c r="AOV95" s="15" t="n"/>
      <c r="AOW95" s="248" t="n"/>
      <c r="AOX95" s="248" t="n"/>
      <c r="AOY95" s="240" t="n"/>
      <c r="AOZ95" s="240" t="n"/>
      <c r="APB95" s="15" t="n"/>
      <c r="APC95" s="15" t="n"/>
      <c r="APD95" s="248" t="n"/>
      <c r="APE95" s="248" t="n"/>
      <c r="APF95" s="240" t="n"/>
      <c r="APG95" s="240" t="n"/>
      <c r="API95" s="15" t="n"/>
      <c r="APJ95" s="15" t="n"/>
      <c r="APK95" s="248" t="n"/>
      <c r="APL95" s="248" t="n"/>
      <c r="APM95" s="240" t="n"/>
      <c r="APN95" s="240" t="n"/>
      <c r="APP95" s="15" t="n"/>
      <c r="APQ95" s="15" t="n"/>
      <c r="APR95" s="248" t="n"/>
      <c r="APS95" s="248" t="n"/>
      <c r="APT95" s="240" t="n"/>
      <c r="APU95" s="240" t="n"/>
      <c r="APW95" s="15" t="n"/>
      <c r="APX95" s="15" t="n"/>
      <c r="APY95" s="248" t="n"/>
      <c r="APZ95" s="248" t="n"/>
      <c r="AQA95" s="240" t="n"/>
      <c r="AQB95" s="240" t="n"/>
      <c r="AQD95" s="15" t="n"/>
      <c r="AQE95" s="15" t="n"/>
      <c r="AQF95" s="248" t="n"/>
      <c r="AQG95" s="248" t="n"/>
      <c r="AQH95" s="240" t="n"/>
      <c r="AQI95" s="240" t="n"/>
      <c r="AQK95" s="15" t="n"/>
      <c r="AQL95" s="15" t="n"/>
      <c r="AQM95" s="248" t="n"/>
      <c r="AQN95" s="248" t="n"/>
      <c r="AQO95" s="240" t="n"/>
      <c r="AQP95" s="240" t="n"/>
      <c r="AQR95" s="15" t="n"/>
      <c r="AQS95" s="15" t="n"/>
      <c r="AQT95" s="248" t="n"/>
      <c r="AQU95" s="248" t="n"/>
      <c r="AQV95" s="240" t="n"/>
      <c r="AQW95" s="240" t="n"/>
      <c r="AQY95" s="15" t="n"/>
      <c r="AQZ95" s="15" t="n"/>
      <c r="ARA95" s="248" t="n"/>
      <c r="ARB95" s="248" t="n"/>
      <c r="ARC95" s="240" t="n"/>
      <c r="ARD95" s="240" t="n"/>
      <c r="ARF95" s="15" t="n"/>
      <c r="ARG95" s="15" t="n"/>
      <c r="ARH95" s="248" t="n"/>
      <c r="ARI95" s="248" t="n"/>
      <c r="ARJ95" s="240" t="n"/>
      <c r="ARK95" s="240" t="n"/>
      <c r="ARM95" s="15" t="n"/>
      <c r="ARN95" s="15" t="n"/>
      <c r="ARO95" s="248" t="n"/>
      <c r="ARP95" s="248" t="n"/>
      <c r="ARQ95" s="240" t="n"/>
      <c r="ARR95" s="240" t="n"/>
      <c r="ART95" s="15" t="n"/>
      <c r="ARU95" s="15" t="n"/>
      <c r="ARV95" s="248" t="n"/>
      <c r="ARW95" s="248" t="n"/>
      <c r="ARX95" s="240" t="n"/>
      <c r="ARY95" s="240" t="n"/>
      <c r="ASA95" s="15" t="n"/>
      <c r="ASB95" s="15" t="n"/>
      <c r="ASC95" s="248" t="n"/>
      <c r="ASD95" s="248" t="n"/>
      <c r="ASE95" s="240" t="n"/>
      <c r="ASF95" s="240" t="n"/>
      <c r="ASH95" s="15" t="n"/>
      <c r="ASI95" s="15" t="n"/>
      <c r="ASJ95" s="248" t="n"/>
      <c r="ASK95" s="248" t="n"/>
      <c r="ASL95" s="240" t="n"/>
      <c r="ASM95" s="240" t="n"/>
      <c r="ASO95" s="15" t="n"/>
      <c r="ASP95" s="15" t="n"/>
      <c r="ASQ95" s="248" t="n"/>
      <c r="ASR95" s="248" t="n"/>
      <c r="ASS95" s="240" t="n"/>
      <c r="AST95" s="240" t="n"/>
      <c r="ASV95" s="15" t="n"/>
      <c r="ASW95" s="15" t="n"/>
      <c r="ASX95" s="248" t="n"/>
      <c r="ASY95" s="248" t="n"/>
      <c r="ASZ95" s="240" t="n"/>
      <c r="ATA95" s="240" t="n"/>
      <c r="ATC95" s="15" t="n"/>
      <c r="ATD95" s="15" t="n"/>
      <c r="ATE95" s="248" t="n"/>
      <c r="ATF95" s="248" t="n"/>
      <c r="ATG95" s="240" t="n"/>
      <c r="ATH95" s="240" t="n"/>
      <c r="ATJ95" s="15" t="n"/>
      <c r="ATK95" s="15" t="n"/>
      <c r="ATL95" s="248" t="n"/>
      <c r="ATM95" s="248" t="n"/>
      <c r="ATN95" s="240" t="n"/>
      <c r="ATO95" s="240" t="n"/>
      <c r="ATQ95" s="15" t="n"/>
      <c r="ATR95" s="15" t="n"/>
      <c r="ATS95" s="248" t="n"/>
      <c r="ATT95" s="248" t="n"/>
      <c r="ATU95" s="240" t="n"/>
      <c r="ATV95" s="240" t="n"/>
      <c r="ATX95" s="15" t="n"/>
      <c r="ATY95" s="15" t="n"/>
      <c r="ATZ95" s="248" t="n"/>
      <c r="AUA95" s="248" t="n"/>
      <c r="AUB95" s="240" t="n"/>
      <c r="AUC95" s="240" t="n"/>
      <c r="AUE95" s="15" t="n"/>
      <c r="AUF95" s="15" t="n"/>
      <c r="AUG95" s="248" t="n"/>
      <c r="AUH95" s="248" t="n"/>
      <c r="AUI95" s="240" t="n"/>
      <c r="AUJ95" s="240" t="n"/>
      <c r="AUL95" s="15" t="n"/>
      <c r="AUM95" s="15" t="n"/>
      <c r="AUN95" s="248" t="n"/>
      <c r="AUO95" s="248" t="n"/>
      <c r="AUP95" s="240" t="n"/>
      <c r="AUQ95" s="240" t="n"/>
      <c r="AUS95" s="15" t="n"/>
      <c r="AUT95" s="15" t="n"/>
      <c r="AUU95" s="248" t="n"/>
      <c r="AUV95" s="248" t="n"/>
      <c r="AUW95" s="240" t="n"/>
      <c r="AUX95" s="240" t="n"/>
      <c r="AUZ95" s="15" t="n"/>
      <c r="AVA95" s="15" t="n"/>
      <c r="AVB95" s="248" t="n"/>
      <c r="AVC95" s="248" t="n"/>
      <c r="AVD95" s="240" t="n"/>
      <c r="AVE95" s="240" t="n"/>
      <c r="AVG95" s="15" t="n"/>
      <c r="AVH95" s="15" t="n"/>
      <c r="AVI95" s="248" t="n"/>
      <c r="AVJ95" s="248" t="n"/>
      <c r="AVK95" s="240" t="n"/>
      <c r="AVL95" s="240" t="n"/>
      <c r="AVN95" s="15" t="n"/>
      <c r="AVO95" s="15" t="n"/>
      <c r="AVP95" s="248" t="n"/>
      <c r="AVQ95" s="248" t="n"/>
      <c r="AVR95" s="240" t="n"/>
      <c r="AVS95" s="240" t="n"/>
      <c r="AVU95" s="15" t="n"/>
      <c r="AVV95" s="15" t="n"/>
      <c r="AVW95" s="248" t="n"/>
      <c r="AVX95" s="248" t="n"/>
      <c r="AVY95" s="240" t="n"/>
      <c r="AVZ95" s="240" t="n"/>
      <c r="AWB95" s="15" t="n"/>
      <c r="AWC95" s="15" t="n"/>
      <c r="AWD95" s="248" t="n"/>
      <c r="AWE95" s="248" t="n"/>
      <c r="AWF95" s="240" t="n"/>
      <c r="AWG95" s="240" t="n"/>
      <c r="AWI95" s="15" t="n"/>
      <c r="AWJ95" s="15" t="n"/>
      <c r="AWK95" s="248" t="n"/>
      <c r="AWL95" s="248" t="n"/>
      <c r="AWM95" s="240" t="n"/>
      <c r="AWN95" s="240" t="n"/>
      <c r="AWP95" s="15" t="n"/>
      <c r="AWQ95" s="15" t="n"/>
      <c r="AWR95" s="248" t="n"/>
      <c r="AWS95" s="248" t="n"/>
      <c r="AWT95" s="240" t="n"/>
      <c r="AWU95" s="240" t="n"/>
      <c r="AWW95" s="15" t="n"/>
      <c r="AWX95" s="15" t="n"/>
      <c r="AWY95" s="248" t="n"/>
      <c r="AWZ95" s="248" t="n"/>
      <c r="AXA95" s="240" t="n"/>
      <c r="AXB95" s="240" t="n"/>
      <c r="AXD95" s="15" t="n"/>
      <c r="AXE95" s="15" t="n"/>
      <c r="AXF95" s="248" t="n"/>
      <c r="AXG95" s="248" t="n"/>
      <c r="AXH95" s="240" t="n"/>
      <c r="AXI95" s="240" t="n"/>
      <c r="AXK95" s="15" t="n"/>
      <c r="AXL95" s="15" t="n"/>
      <c r="AXM95" s="248" t="n"/>
      <c r="AXN95" s="248" t="n"/>
      <c r="AXO95" s="240" t="n"/>
      <c r="AXP95" s="240" t="n"/>
      <c r="AXR95" s="15" t="n"/>
      <c r="AXS95" s="15" t="n"/>
      <c r="AXT95" s="248" t="n"/>
      <c r="AXU95" s="248" t="n"/>
      <c r="AXV95" s="240" t="n"/>
      <c r="AXW95" s="240" t="n"/>
      <c r="AXY95" s="15" t="n"/>
      <c r="AXZ95" s="15" t="n"/>
      <c r="AYA95" s="248" t="n"/>
      <c r="AYB95" s="248" t="n"/>
      <c r="AYC95" s="240" t="n"/>
      <c r="AYD95" s="240" t="n"/>
      <c r="AYF95" s="15" t="n"/>
      <c r="AYG95" s="15" t="n"/>
      <c r="AYH95" s="248" t="n"/>
      <c r="AYI95" s="248" t="n"/>
      <c r="AYJ95" s="240" t="n"/>
      <c r="AYK95" s="240" t="n"/>
      <c r="AYM95" s="15" t="n"/>
      <c r="AYN95" s="15" t="n"/>
      <c r="AYO95" s="248" t="n"/>
      <c r="AYP95" s="248" t="n"/>
      <c r="AYQ95" s="240" t="n"/>
      <c r="AYR95" s="240" t="n"/>
      <c r="AYT95" s="15" t="n"/>
      <c r="AYU95" s="15" t="n"/>
      <c r="AYV95" s="248" t="n"/>
      <c r="AYW95" s="248" t="n"/>
      <c r="AYX95" s="240" t="n"/>
      <c r="AYY95" s="240" t="n"/>
      <c r="AZA95" s="15" t="n"/>
      <c r="AZB95" s="15" t="n"/>
      <c r="AZC95" s="248" t="n"/>
      <c r="AZD95" s="248" t="n"/>
      <c r="AZE95" s="240" t="n"/>
      <c r="AZF95" s="240" t="n"/>
      <c r="AZH95" s="15" t="n"/>
      <c r="AZI95" s="15" t="n"/>
      <c r="AZJ95" s="248" t="n"/>
      <c r="AZK95" s="248" t="n"/>
      <c r="AZL95" s="240" t="n"/>
      <c r="AZM95" s="240" t="n"/>
      <c r="AZO95" s="15" t="n"/>
      <c r="AZP95" s="15" t="n"/>
      <c r="AZQ95" s="248" t="n"/>
      <c r="AZR95" s="248" t="n"/>
      <c r="AZS95" s="240" t="n"/>
      <c r="AZT95" s="240" t="n"/>
      <c r="AZV95" s="15" t="n"/>
      <c r="AZW95" s="15" t="n"/>
      <c r="AZX95" s="248" t="n"/>
      <c r="AZY95" s="248" t="n"/>
      <c r="AZZ95" s="240" t="n"/>
      <c r="BAA95" s="240" t="n"/>
      <c r="BAC95" s="15" t="n"/>
      <c r="BAD95" s="15" t="n"/>
      <c r="BAE95" s="248" t="n"/>
      <c r="BAF95" s="248" t="n"/>
      <c r="BAG95" s="240" t="n"/>
      <c r="BAH95" s="240" t="n"/>
      <c r="BAJ95" s="15" t="n"/>
      <c r="BAK95" s="15" t="n"/>
      <c r="BAL95" s="248" t="n"/>
      <c r="BAM95" s="248" t="n"/>
      <c r="BAN95" s="240" t="n"/>
      <c r="BAO95" s="240" t="n"/>
      <c r="BAQ95" s="15" t="n"/>
      <c r="BAR95" s="15" t="n"/>
      <c r="BAS95" s="248" t="n"/>
      <c r="BAT95" s="248" t="n"/>
      <c r="BAU95" s="240" t="n"/>
      <c r="BAV95" s="240" t="n"/>
      <c r="BAX95" s="15" t="n"/>
      <c r="BAY95" s="15" t="n"/>
      <c r="BAZ95" s="248" t="n"/>
      <c r="BBA95" s="248" t="n"/>
      <c r="BBB95" s="240" t="n"/>
      <c r="BBC95" s="240" t="n"/>
      <c r="BBE95" s="15" t="n"/>
      <c r="BBF95" s="15" t="n"/>
      <c r="BBG95" s="248" t="n"/>
      <c r="BBH95" s="248" t="n"/>
      <c r="BBI95" s="240" t="n"/>
      <c r="BBJ95" s="240" t="n"/>
      <c r="BBL95" s="15" t="n"/>
      <c r="BBM95" s="15" t="n"/>
      <c r="BBN95" s="248" t="n"/>
      <c r="BBO95" s="248" t="n"/>
      <c r="BBP95" s="240" t="n"/>
      <c r="BBQ95" s="240" t="n"/>
      <c r="BBS95" s="15" t="n"/>
      <c r="BBT95" s="15" t="n"/>
      <c r="BBU95" s="248" t="n"/>
      <c r="BBV95" s="248" t="n"/>
      <c r="BBW95" s="240" t="n"/>
      <c r="BBX95" s="240" t="n"/>
      <c r="BBZ95" s="15" t="n"/>
      <c r="BCA95" s="15" t="n"/>
      <c r="BCB95" s="248" t="n"/>
      <c r="BCC95" s="248" t="n"/>
      <c r="BCD95" s="240" t="n"/>
      <c r="BCE95" s="240" t="n"/>
      <c r="BCG95" s="15" t="n"/>
      <c r="BCH95" s="15" t="n"/>
      <c r="BCI95" s="248" t="n"/>
      <c r="BCJ95" s="248" t="n"/>
      <c r="BCK95" s="240" t="n"/>
      <c r="BCL95" s="240" t="n"/>
      <c r="BCN95" s="15" t="n"/>
      <c r="BCO95" s="15" t="n"/>
      <c r="BCP95" s="248" t="n"/>
      <c r="BCQ95" s="248" t="n"/>
      <c r="BCR95" s="240" t="n"/>
      <c r="BCS95" s="240" t="n"/>
      <c r="BCU95" s="15" t="n"/>
      <c r="BCV95" s="15" t="n"/>
      <c r="BCW95" s="248" t="n"/>
      <c r="BCX95" s="248" t="n"/>
      <c r="BCY95" s="240" t="n"/>
      <c r="BCZ95" s="240" t="n"/>
      <c r="BDB95" s="15" t="n"/>
      <c r="BDC95" s="15" t="n"/>
      <c r="BDD95" s="248" t="n"/>
      <c r="BDE95" s="248" t="n"/>
      <c r="BDF95" s="240" t="n"/>
      <c r="BDG95" s="240" t="n"/>
      <c r="BDI95" s="15" t="n"/>
      <c r="BDJ95" s="15" t="n"/>
      <c r="BDK95" s="248" t="n"/>
      <c r="BDL95" s="248" t="n"/>
      <c r="BDM95" s="240" t="n"/>
      <c r="BDN95" s="240" t="n"/>
      <c r="BDP95" s="15" t="n"/>
      <c r="BDQ95" s="15" t="n"/>
      <c r="BDR95" s="248" t="n"/>
      <c r="BDS95" s="248" t="n"/>
      <c r="BDT95" s="240" t="n"/>
      <c r="BDU95" s="240" t="n"/>
      <c r="BDW95" s="15" t="n"/>
      <c r="BDX95" s="15" t="n"/>
      <c r="BDY95" s="248" t="n"/>
      <c r="BDZ95" s="248" t="n"/>
      <c r="BEA95" s="240" t="n"/>
      <c r="BEB95" s="240" t="n"/>
      <c r="BED95" s="15" t="n"/>
      <c r="BEE95" s="15" t="n"/>
      <c r="BEF95" s="248" t="n"/>
      <c r="BEG95" s="248" t="n"/>
      <c r="BEH95" s="240" t="n"/>
      <c r="BEI95" s="240" t="n"/>
      <c r="BEK95" s="15" t="n"/>
      <c r="BEL95" s="15" t="n"/>
      <c r="BEM95" s="248" t="n"/>
      <c r="BEN95" s="248" t="n"/>
      <c r="BEO95" s="240" t="n"/>
      <c r="BEP95" s="240" t="n"/>
      <c r="BER95" s="15" t="n"/>
      <c r="BES95" s="15" t="n"/>
      <c r="BET95" s="248" t="n"/>
      <c r="BEU95" s="248" t="n"/>
      <c r="BEV95" s="240" t="n"/>
      <c r="BEW95" s="240" t="n"/>
      <c r="BEY95" s="15" t="n"/>
      <c r="BEZ95" s="15" t="n"/>
      <c r="BFA95" s="248" t="n"/>
      <c r="BFB95" s="248" t="n"/>
      <c r="BFC95" s="240" t="n"/>
      <c r="BFD95" s="240" t="n"/>
      <c r="BFF95" s="15" t="n"/>
      <c r="BFG95" s="15" t="n"/>
      <c r="BFH95" s="248" t="n"/>
      <c r="BFI95" s="248" t="n"/>
      <c r="BFJ95" s="240" t="n"/>
      <c r="BFK95" s="240" t="n"/>
      <c r="BFM95" s="15" t="n"/>
      <c r="BFN95" s="15" t="n"/>
      <c r="BFO95" s="248" t="n"/>
      <c r="BFP95" s="248" t="n"/>
      <c r="BFQ95" s="240" t="n"/>
      <c r="BFR95" s="240" t="n"/>
      <c r="BFT95" s="15" t="n"/>
      <c r="BFU95" s="15" t="n"/>
      <c r="BFV95" s="248" t="n"/>
      <c r="BFW95" s="248" t="n"/>
      <c r="BFX95" s="240" t="n"/>
      <c r="BFY95" s="240" t="n"/>
      <c r="BGA95" s="15" t="n"/>
      <c r="BGB95" s="15" t="n"/>
      <c r="BGC95" s="248" t="n"/>
      <c r="BGD95" s="248" t="n"/>
      <c r="BGE95" s="240" t="n"/>
      <c r="BGF95" s="240" t="n"/>
      <c r="BGH95" s="15" t="n"/>
      <c r="BGI95" s="15" t="n"/>
      <c r="BGJ95" s="248" t="n"/>
      <c r="BGK95" s="248" t="n"/>
      <c r="BGL95" s="240" t="n"/>
      <c r="BGM95" s="240" t="n"/>
      <c r="BGO95" s="15" t="n"/>
      <c r="BGP95" s="15" t="n"/>
      <c r="BGQ95" s="248" t="n"/>
      <c r="BGR95" s="248" t="n"/>
      <c r="BGS95" s="240" t="n"/>
      <c r="BGT95" s="240" t="n"/>
      <c r="BGV95" s="15" t="n"/>
      <c r="BGW95" s="15" t="n"/>
      <c r="BGX95" s="248" t="n"/>
      <c r="BGY95" s="248" t="n"/>
      <c r="BGZ95" s="240" t="n"/>
      <c r="BHA95" s="240" t="n"/>
      <c r="BHC95" s="15" t="n"/>
      <c r="BHD95" s="15" t="n"/>
      <c r="BHE95" s="248" t="n"/>
      <c r="BHF95" s="248" t="n"/>
      <c r="BHG95" s="240" t="n"/>
      <c r="BHH95" s="240" t="n"/>
      <c r="BHJ95" s="15" t="n"/>
      <c r="BHK95" s="15" t="n"/>
      <c r="BHL95" s="248" t="n"/>
      <c r="BHM95" s="248" t="n"/>
      <c r="BHN95" s="240" t="n"/>
      <c r="BHO95" s="240" t="n"/>
      <c r="BHQ95" s="15" t="n"/>
      <c r="BHR95" s="15" t="n"/>
      <c r="BHS95" s="248" t="n"/>
      <c r="BHT95" s="248" t="n"/>
      <c r="BHU95" s="240" t="n"/>
      <c r="BHV95" s="240" t="n"/>
      <c r="BHX95" s="15" t="n"/>
      <c r="BHY95" s="15" t="n"/>
      <c r="BHZ95" s="248" t="n"/>
      <c r="BIA95" s="248" t="n"/>
      <c r="BIB95" s="240" t="n"/>
      <c r="BIC95" s="240" t="n"/>
      <c r="BIE95" s="15" t="n"/>
      <c r="BIF95" s="15" t="n"/>
      <c r="BIG95" s="248" t="n"/>
      <c r="BIH95" s="248" t="n"/>
      <c r="BII95" s="240" t="n"/>
      <c r="BIJ95" s="240" t="n"/>
      <c r="BIL95" s="15" t="n"/>
      <c r="BIM95" s="15" t="n"/>
      <c r="BIN95" s="248" t="n"/>
      <c r="BIO95" s="248" t="n"/>
      <c r="BIP95" s="240" t="n"/>
      <c r="BIQ95" s="240" t="n"/>
      <c r="BIS95" s="15" t="n"/>
      <c r="BIT95" s="15" t="n"/>
      <c r="BIU95" s="248" t="n"/>
      <c r="BIV95" s="248" t="n"/>
      <c r="BIW95" s="240" t="n"/>
      <c r="BIX95" s="240" t="n"/>
      <c r="BIZ95" s="15" t="n"/>
      <c r="BJA95" s="15" t="n"/>
      <c r="BJB95" s="248" t="n"/>
      <c r="BJC95" s="248" t="n"/>
      <c r="BJD95" s="240" t="n"/>
      <c r="BJE95" s="240" t="n"/>
      <c r="BJG95" s="15" t="n"/>
      <c r="BJH95" s="15" t="n"/>
      <c r="BJI95" s="248" t="n"/>
      <c r="BJJ95" s="248" t="n"/>
      <c r="BJK95" s="240" t="n"/>
      <c r="BJL95" s="240" t="n"/>
      <c r="BJN95" s="15" t="n"/>
      <c r="BJO95" s="15" t="n"/>
      <c r="BJP95" s="248" t="n"/>
      <c r="BJQ95" s="248" t="n"/>
      <c r="BJR95" s="240" t="n"/>
      <c r="BJS95" s="240" t="n"/>
      <c r="BJU95" s="15" t="n"/>
      <c r="BJV95" s="15" t="n"/>
      <c r="BJW95" s="248" t="n"/>
      <c r="BJX95" s="248" t="n"/>
      <c r="BJY95" s="240" t="n"/>
      <c r="BJZ95" s="240" t="n"/>
      <c r="BKB95" s="15" t="n"/>
      <c r="BKC95" s="15" t="n"/>
      <c r="BKD95" s="248" t="n"/>
      <c r="BKE95" s="248" t="n"/>
      <c r="BKF95" s="240" t="n"/>
      <c r="BKG95" s="240" t="n"/>
      <c r="BKI95" s="15" t="n"/>
      <c r="BKJ95" s="15" t="n"/>
      <c r="BKK95" s="248" t="n"/>
      <c r="BKL95" s="248" t="n"/>
      <c r="BKM95" s="240" t="n"/>
      <c r="BKN95" s="240" t="n"/>
      <c r="BKP95" s="15" t="n"/>
      <c r="BKQ95" s="15" t="n"/>
      <c r="BKR95" s="248" t="n"/>
      <c r="BKS95" s="248" t="n"/>
      <c r="BKT95" s="240" t="n"/>
      <c r="BKU95" s="240" t="n"/>
      <c r="BKW95" s="15" t="n"/>
      <c r="BKX95" s="15" t="n"/>
      <c r="BKY95" s="248" t="n"/>
      <c r="BKZ95" s="248" t="n"/>
      <c r="BLA95" s="240" t="n"/>
      <c r="BLB95" s="240" t="n"/>
      <c r="BLD95" s="15" t="n"/>
      <c r="BLE95" s="15" t="n"/>
      <c r="BLF95" s="248" t="n"/>
      <c r="BLG95" s="248" t="n"/>
      <c r="BLH95" s="240" t="n"/>
      <c r="BLI95" s="240" t="n"/>
      <c r="BLK95" s="15" t="n"/>
      <c r="BLL95" s="15" t="n"/>
      <c r="BLM95" s="248" t="n"/>
      <c r="BLN95" s="248" t="n"/>
      <c r="BLO95" s="240" t="n"/>
      <c r="BLP95" s="240" t="n"/>
      <c r="BLR95" s="15" t="n"/>
      <c r="BLS95" s="15" t="n"/>
      <c r="BLT95" s="248" t="n"/>
      <c r="BLU95" s="248" t="n"/>
      <c r="BLV95" s="240" t="n"/>
      <c r="BLW95" s="240" t="n"/>
      <c r="BLY95" s="15" t="n"/>
      <c r="BLZ95" s="15" t="n"/>
      <c r="BMA95" s="248" t="n"/>
      <c r="BMB95" s="248" t="n"/>
      <c r="BMC95" s="240" t="n"/>
      <c r="BMD95" s="240" t="n"/>
      <c r="BMF95" s="15" t="n"/>
      <c r="BMG95" s="15" t="n"/>
      <c r="BMH95" s="248" t="n"/>
      <c r="BMI95" s="248" t="n"/>
      <c r="BMJ95" s="240" t="n"/>
      <c r="BMK95" s="240" t="n"/>
      <c r="BMM95" s="15" t="n"/>
      <c r="BMN95" s="15" t="n"/>
      <c r="BMO95" s="248" t="n"/>
      <c r="BMP95" s="248" t="n"/>
      <c r="BMQ95" s="240" t="n"/>
      <c r="BMR95" s="240" t="n"/>
      <c r="BMT95" s="15" t="n"/>
      <c r="BMU95" s="15" t="n"/>
      <c r="BMV95" s="248" t="n"/>
      <c r="BMW95" s="248" t="n"/>
      <c r="BMX95" s="240" t="n"/>
      <c r="BMY95" s="240" t="n"/>
      <c r="BNA95" s="15" t="n"/>
      <c r="BNB95" s="15" t="n"/>
      <c r="BNC95" s="248" t="n"/>
      <c r="BND95" s="248" t="n"/>
      <c r="BNE95" s="240" t="n"/>
      <c r="BNF95" s="240" t="n"/>
      <c r="BNH95" s="15" t="n"/>
      <c r="BNI95" s="15" t="n"/>
      <c r="BNJ95" s="248" t="n"/>
      <c r="BNK95" s="248" t="n"/>
      <c r="BNL95" s="240" t="n"/>
      <c r="BNM95" s="240" t="n"/>
      <c r="BNO95" s="15" t="n"/>
      <c r="BNP95" s="15" t="n"/>
      <c r="BNQ95" s="248" t="n"/>
      <c r="BNR95" s="248" t="n"/>
      <c r="BNS95" s="240" t="n"/>
      <c r="BNT95" s="240" t="n"/>
      <c r="BNV95" s="15" t="n"/>
      <c r="BNW95" s="15" t="n"/>
      <c r="BNX95" s="248" t="n"/>
      <c r="BNY95" s="248" t="n"/>
      <c r="BNZ95" s="240" t="n"/>
      <c r="BOA95" s="240" t="n"/>
      <c r="BOC95" s="15" t="n"/>
      <c r="BOD95" s="15" t="n"/>
      <c r="BOE95" s="248" t="n"/>
      <c r="BOF95" s="248" t="n"/>
      <c r="BOG95" s="240" t="n"/>
      <c r="BOH95" s="240" t="n"/>
      <c r="BOJ95" s="15" t="n"/>
      <c r="BOK95" s="15" t="n"/>
      <c r="BOL95" s="248" t="n"/>
      <c r="BOM95" s="248" t="n"/>
      <c r="BON95" s="240" t="n"/>
      <c r="BOO95" s="240" t="n"/>
      <c r="BOQ95" s="15" t="n"/>
      <c r="BOR95" s="15" t="n"/>
      <c r="BOS95" s="248" t="n"/>
      <c r="BOT95" s="248" t="n"/>
      <c r="BOU95" s="240" t="n"/>
      <c r="BOV95" s="240" t="n"/>
      <c r="BOX95" s="15" t="n"/>
      <c r="BOY95" s="15" t="n"/>
      <c r="BOZ95" s="248" t="n"/>
      <c r="BPA95" s="248" t="n"/>
      <c r="BPB95" s="240" t="n"/>
      <c r="BPC95" s="240" t="n"/>
      <c r="BPE95" s="15" t="n"/>
      <c r="BPF95" s="15" t="n"/>
      <c r="BPG95" s="248" t="n"/>
      <c r="BPH95" s="248" t="n"/>
      <c r="BPI95" s="240" t="n"/>
      <c r="BPJ95" s="240" t="n"/>
      <c r="BPL95" s="15" t="n"/>
      <c r="BPM95" s="15" t="n"/>
      <c r="BPN95" s="248" t="n"/>
      <c r="BPO95" s="248" t="n"/>
      <c r="BPP95" s="240" t="n"/>
      <c r="BPQ95" s="240" t="n"/>
      <c r="BPS95" s="15" t="n"/>
      <c r="BPT95" s="15" t="n"/>
      <c r="BPU95" s="248" t="n"/>
      <c r="BPV95" s="248" t="n"/>
      <c r="BPW95" s="240" t="n"/>
      <c r="BPX95" s="240" t="n"/>
      <c r="BPZ95" s="15" t="n"/>
      <c r="BQA95" s="15" t="n"/>
      <c r="BQB95" s="248" t="n"/>
      <c r="BQC95" s="248" t="n"/>
      <c r="BQD95" s="240" t="n"/>
      <c r="BQE95" s="240" t="n"/>
      <c r="BQG95" s="15" t="n"/>
      <c r="BQH95" s="15" t="n"/>
      <c r="BQI95" s="248" t="n"/>
      <c r="BQJ95" s="248" t="n"/>
      <c r="BQK95" s="240" t="n"/>
      <c r="BQL95" s="240" t="n"/>
      <c r="BQN95" s="15" t="n"/>
      <c r="BQO95" s="15" t="n"/>
      <c r="BQP95" s="248" t="n"/>
      <c r="BQQ95" s="248" t="n"/>
      <c r="BQR95" s="240" t="n"/>
      <c r="BQS95" s="240" t="n"/>
      <c r="BQU95" s="15" t="n"/>
      <c r="BQV95" s="15" t="n"/>
      <c r="BQW95" s="248" t="n"/>
      <c r="BQX95" s="248" t="n"/>
      <c r="BQY95" s="240" t="n"/>
      <c r="BQZ95" s="240" t="n"/>
      <c r="BRB95" s="15" t="n"/>
      <c r="BRC95" s="15" t="n"/>
      <c r="BRD95" s="248" t="n"/>
      <c r="BRE95" s="248" t="n"/>
      <c r="BRF95" s="240" t="n"/>
      <c r="BRG95" s="240" t="n"/>
      <c r="BRI95" s="15" t="n"/>
      <c r="BRJ95" s="15" t="n"/>
      <c r="BRK95" s="248" t="n"/>
      <c r="BRL95" s="248" t="n"/>
      <c r="BRM95" s="240" t="n"/>
      <c r="BRN95" s="240" t="n"/>
      <c r="BRP95" s="15" t="n"/>
      <c r="BRQ95" s="15" t="n"/>
      <c r="BRR95" s="248" t="n"/>
      <c r="BRS95" s="248" t="n"/>
      <c r="BRT95" s="240" t="n"/>
      <c r="BRU95" s="240" t="n"/>
      <c r="BRW95" s="15" t="n"/>
      <c r="BRX95" s="15" t="n"/>
      <c r="BRY95" s="248" t="n"/>
      <c r="BRZ95" s="248" t="n"/>
      <c r="BSA95" s="240" t="n"/>
      <c r="BSB95" s="240" t="n"/>
      <c r="BSD95" s="15" t="n"/>
      <c r="BSE95" s="15" t="n"/>
      <c r="BSF95" s="248" t="n"/>
      <c r="BSG95" s="248" t="n"/>
      <c r="BSH95" s="240" t="n"/>
      <c r="BSI95" s="240" t="n"/>
      <c r="BSK95" s="15" t="n"/>
      <c r="BSL95" s="15" t="n"/>
      <c r="BSM95" s="248" t="n"/>
      <c r="BSN95" s="248" t="n"/>
      <c r="BSO95" s="240" t="n"/>
      <c r="BSP95" s="240" t="n"/>
      <c r="BSR95" s="15" t="n"/>
      <c r="BSS95" s="15" t="n"/>
      <c r="BST95" s="248" t="n"/>
      <c r="BSU95" s="248" t="n"/>
      <c r="BSV95" s="240" t="n"/>
      <c r="BSW95" s="240" t="n"/>
      <c r="BSY95" s="15" t="n"/>
      <c r="BSZ95" s="15" t="n"/>
      <c r="BTA95" s="248" t="n"/>
      <c r="BTB95" s="248" t="n"/>
      <c r="BTC95" s="240" t="n"/>
      <c r="BTD95" s="240" t="n"/>
      <c r="BTF95" s="15" t="n"/>
      <c r="BTG95" s="15" t="n"/>
      <c r="BTH95" s="248" t="n"/>
      <c r="BTI95" s="248" t="n"/>
      <c r="BTJ95" s="240" t="n"/>
      <c r="BTK95" s="240" t="n"/>
      <c r="BTM95" s="15" t="n"/>
      <c r="BTN95" s="15" t="n"/>
      <c r="BTO95" s="248" t="n"/>
      <c r="BTP95" s="248" t="n"/>
      <c r="BTQ95" s="240" t="n"/>
      <c r="BTR95" s="240" t="n"/>
      <c r="BTT95" s="15" t="n"/>
      <c r="BTU95" s="15" t="n"/>
      <c r="BTV95" s="248" t="n"/>
      <c r="BTW95" s="248" t="n"/>
      <c r="BTX95" s="240" t="n"/>
      <c r="BTY95" s="240" t="n"/>
      <c r="BUA95" s="15" t="n"/>
      <c r="BUB95" s="15" t="n"/>
      <c r="BUC95" s="248" t="n"/>
      <c r="BUD95" s="248" t="n"/>
      <c r="BUE95" s="240" t="n"/>
      <c r="BUF95" s="240" t="n"/>
      <c r="BUH95" s="15" t="n"/>
      <c r="BUI95" s="15" t="n"/>
      <c r="BUJ95" s="248" t="n"/>
      <c r="BUK95" s="248" t="n"/>
      <c r="BUL95" s="240" t="n"/>
      <c r="BUM95" s="240" t="n"/>
      <c r="BUO95" s="15" t="n"/>
      <c r="BUP95" s="15" t="n"/>
      <c r="BUQ95" s="248" t="n"/>
      <c r="BUR95" s="248" t="n"/>
      <c r="BUS95" s="240" t="n"/>
      <c r="BUT95" s="240" t="n"/>
      <c r="BUV95" s="15" t="n"/>
      <c r="BUW95" s="15" t="n"/>
      <c r="BUX95" s="248" t="n"/>
      <c r="BUY95" s="248" t="n"/>
      <c r="BUZ95" s="240" t="n"/>
      <c r="BVA95" s="240" t="n"/>
      <c r="BVC95" s="15" t="n"/>
      <c r="BVD95" s="15" t="n"/>
      <c r="BVE95" s="248" t="n"/>
      <c r="BVF95" s="248" t="n"/>
      <c r="BVG95" s="240" t="n"/>
      <c r="BVH95" s="240" t="n"/>
      <c r="BVJ95" s="15" t="n"/>
      <c r="BVK95" s="15" t="n"/>
      <c r="BVL95" s="248" t="n"/>
      <c r="BVM95" s="248" t="n"/>
      <c r="BVN95" s="240" t="n"/>
      <c r="BVO95" s="240" t="n"/>
      <c r="BVQ95" s="15" t="n"/>
      <c r="BVR95" s="15" t="n"/>
      <c r="BVS95" s="248" t="n"/>
      <c r="BVT95" s="248" t="n"/>
      <c r="BVU95" s="240" t="n"/>
      <c r="BVV95" s="240" t="n"/>
      <c r="BVX95" s="15" t="n"/>
      <c r="BVY95" s="15" t="n"/>
      <c r="BVZ95" s="248" t="n"/>
      <c r="BWA95" s="248" t="n"/>
      <c r="BWB95" s="240" t="n"/>
      <c r="BWC95" s="240" t="n"/>
      <c r="BWE95" s="15" t="n"/>
      <c r="BWF95" s="15" t="n"/>
      <c r="BWG95" s="248" t="n"/>
      <c r="BWH95" s="248" t="n"/>
      <c r="BWI95" s="240" t="n"/>
      <c r="BWJ95" s="240" t="n"/>
      <c r="BWL95" s="15" t="n"/>
      <c r="BWM95" s="15" t="n"/>
      <c r="BWN95" s="248" t="n"/>
      <c r="BWO95" s="248" t="n"/>
      <c r="BWP95" s="240" t="n"/>
      <c r="BWQ95" s="240" t="n"/>
      <c r="BWS95" s="15" t="n"/>
      <c r="BWT95" s="15" t="n"/>
      <c r="BWU95" s="248" t="n"/>
      <c r="BWV95" s="248" t="n"/>
      <c r="BWW95" s="240" t="n"/>
      <c r="BWX95" s="240" t="n"/>
      <c r="BWZ95" s="15" t="n"/>
      <c r="BXA95" s="15" t="n"/>
      <c r="BXB95" s="248" t="n"/>
      <c r="BXC95" s="248" t="n"/>
      <c r="BXD95" s="240" t="n"/>
      <c r="BXE95" s="240" t="n"/>
      <c r="BXG95" s="15" t="n"/>
      <c r="BXH95" s="15" t="n"/>
      <c r="BXI95" s="248" t="n"/>
      <c r="BXJ95" s="248" t="n"/>
      <c r="BXK95" s="240" t="n"/>
      <c r="BXL95" s="240" t="n"/>
      <c r="BXN95" s="15" t="n"/>
      <c r="BXO95" s="15" t="n"/>
      <c r="BXP95" s="248" t="n"/>
      <c r="BXQ95" s="248" t="n"/>
      <c r="BXR95" s="240" t="n"/>
      <c r="BXS95" s="240" t="n"/>
      <c r="BXU95" s="15" t="n"/>
      <c r="BXV95" s="15" t="n"/>
      <c r="BXW95" s="248" t="n"/>
      <c r="BXX95" s="248" t="n"/>
      <c r="BXY95" s="240" t="n"/>
      <c r="BXZ95" s="240" t="n"/>
      <c r="BYB95" s="15" t="n"/>
      <c r="BYC95" s="15" t="n"/>
      <c r="BYD95" s="248" t="n"/>
      <c r="BYE95" s="248" t="n"/>
      <c r="BYF95" s="240" t="n"/>
      <c r="BYG95" s="240" t="n"/>
      <c r="BYI95" s="15" t="n"/>
      <c r="BYJ95" s="15" t="n"/>
      <c r="BYK95" s="248" t="n"/>
      <c r="BYL95" s="248" t="n"/>
      <c r="BYM95" s="240" t="n"/>
      <c r="BYN95" s="240" t="n"/>
      <c r="BYP95" s="15" t="n"/>
      <c r="BYQ95" s="15" t="n"/>
      <c r="BYR95" s="248" t="n"/>
      <c r="BYS95" s="248" t="n"/>
      <c r="BYT95" s="240" t="n"/>
      <c r="BYU95" s="240" t="n"/>
      <c r="BYW95" s="15" t="n"/>
      <c r="BYX95" s="15" t="n"/>
      <c r="BYY95" s="248" t="n"/>
      <c r="BYZ95" s="248" t="n"/>
      <c r="BZA95" s="240" t="n"/>
      <c r="BZB95" s="240" t="n"/>
      <c r="BZD95" s="15" t="n"/>
      <c r="BZE95" s="15" t="n"/>
      <c r="BZF95" s="248" t="n"/>
      <c r="BZG95" s="248" t="n"/>
      <c r="BZH95" s="240" t="n"/>
      <c r="BZI95" s="240" t="n"/>
      <c r="BZK95" s="15" t="n"/>
      <c r="BZL95" s="15" t="n"/>
      <c r="BZM95" s="248" t="n"/>
      <c r="BZN95" s="248" t="n"/>
      <c r="BZO95" s="240" t="n"/>
      <c r="BZP95" s="240" t="n"/>
      <c r="BZR95" s="15" t="n"/>
      <c r="BZS95" s="15" t="n"/>
      <c r="BZT95" s="248" t="n"/>
      <c r="BZU95" s="248" t="n"/>
      <c r="BZV95" s="240" t="n"/>
      <c r="BZW95" s="240" t="n"/>
      <c r="BZY95" s="15" t="n"/>
      <c r="BZZ95" s="15" t="n"/>
      <c r="CAA95" s="248" t="n"/>
      <c r="CAB95" s="248" t="n"/>
      <c r="CAC95" s="240" t="n"/>
      <c r="CAD95" s="240" t="n"/>
      <c r="CAF95" s="15" t="n"/>
      <c r="CAG95" s="15" t="n"/>
      <c r="CAH95" s="248" t="n"/>
      <c r="CAI95" s="248" t="n"/>
      <c r="CAJ95" s="240" t="n"/>
      <c r="CAK95" s="240" t="n"/>
      <c r="CAM95" s="15" t="n"/>
      <c r="CAN95" s="15" t="n"/>
      <c r="CAO95" s="248" t="n"/>
      <c r="CAP95" s="248" t="n"/>
      <c r="CAQ95" s="240" t="n"/>
      <c r="CAR95" s="240" t="n"/>
      <c r="CAT95" s="15" t="n"/>
      <c r="CAU95" s="15" t="n"/>
      <c r="CAV95" s="248" t="n"/>
      <c r="CAW95" s="248" t="n"/>
      <c r="CAX95" s="240" t="n"/>
      <c r="CAY95" s="240" t="n"/>
      <c r="CBA95" s="15" t="n"/>
      <c r="CBB95" s="15" t="n"/>
      <c r="CBC95" s="248" t="n"/>
      <c r="CBD95" s="248" t="n"/>
      <c r="CBE95" s="240" t="n"/>
      <c r="CBF95" s="240" t="n"/>
      <c r="CBH95" s="15" t="n"/>
      <c r="CBI95" s="15" t="n"/>
      <c r="CBJ95" s="248" t="n"/>
      <c r="CBK95" s="248" t="n"/>
      <c r="CBL95" s="240" t="n"/>
      <c r="CBM95" s="240" t="n"/>
      <c r="CBO95" s="15" t="n"/>
      <c r="CBP95" s="15" t="n"/>
      <c r="CBQ95" s="248" t="n"/>
      <c r="CBR95" s="248" t="n"/>
      <c r="CBS95" s="240" t="n"/>
      <c r="CBT95" s="240" t="n"/>
      <c r="CBV95" s="15" t="n"/>
      <c r="CBW95" s="15" t="n"/>
      <c r="CBX95" s="248" t="n"/>
      <c r="CBY95" s="248" t="n"/>
      <c r="CBZ95" s="240" t="n"/>
      <c r="CCA95" s="240" t="n"/>
      <c r="CCC95" s="15" t="n"/>
      <c r="CCD95" s="15" t="n"/>
      <c r="CCE95" s="248" t="n"/>
      <c r="CCF95" s="248" t="n"/>
      <c r="CCG95" s="240" t="n"/>
      <c r="CCH95" s="240" t="n"/>
      <c r="CCJ95" s="15" t="n"/>
      <c r="CCK95" s="15" t="n"/>
      <c r="CCL95" s="248" t="n"/>
      <c r="CCM95" s="248" t="n"/>
      <c r="CCN95" s="240" t="n"/>
      <c r="CCO95" s="240" t="n"/>
      <c r="CCQ95" s="15" t="n"/>
      <c r="CCR95" s="15" t="n"/>
      <c r="CCS95" s="248" t="n"/>
      <c r="CCT95" s="248" t="n"/>
      <c r="CCU95" s="240" t="n"/>
      <c r="CCV95" s="240" t="n"/>
      <c r="CCX95" s="15" t="n"/>
      <c r="CCY95" s="15" t="n"/>
      <c r="CCZ95" s="248" t="n"/>
      <c r="CDA95" s="248" t="n"/>
      <c r="CDB95" s="240" t="n"/>
      <c r="CDC95" s="240" t="n"/>
      <c r="CDE95" s="15" t="n"/>
      <c r="CDF95" s="15" t="n"/>
      <c r="CDG95" s="248" t="n"/>
      <c r="CDH95" s="248" t="n"/>
      <c r="CDI95" s="240" t="n"/>
      <c r="CDJ95" s="240" t="n"/>
      <c r="CDL95" s="15" t="n"/>
      <c r="CDM95" s="15" t="n"/>
      <c r="CDN95" s="248" t="n"/>
      <c r="CDO95" s="248" t="n"/>
      <c r="CDP95" s="240" t="n"/>
      <c r="CDQ95" s="240" t="n"/>
      <c r="CDS95" s="15" t="n"/>
      <c r="CDT95" s="15" t="n"/>
      <c r="CDU95" s="248" t="n"/>
      <c r="CDV95" s="248" t="n"/>
      <c r="CDW95" s="240" t="n"/>
      <c r="CDX95" s="240" t="n"/>
      <c r="CDZ95" s="15" t="n"/>
      <c r="CEA95" s="15" t="n"/>
      <c r="CEB95" s="248" t="n"/>
      <c r="CEC95" s="248" t="n"/>
      <c r="CED95" s="240" t="n"/>
      <c r="CEE95" s="240" t="n"/>
      <c r="CEG95" s="15" t="n"/>
      <c r="CEH95" s="15" t="n"/>
      <c r="CEI95" s="248" t="n"/>
      <c r="CEJ95" s="248" t="n"/>
      <c r="CEK95" s="240" t="n"/>
      <c r="CEL95" s="240" t="n"/>
      <c r="CEN95" s="15" t="n"/>
      <c r="CEO95" s="15" t="n"/>
      <c r="CEP95" s="248" t="n"/>
      <c r="CEQ95" s="248" t="n"/>
      <c r="CER95" s="240" t="n"/>
      <c r="CES95" s="240" t="n"/>
      <c r="CEU95" s="15" t="n"/>
      <c r="CEV95" s="15" t="n"/>
      <c r="CEW95" s="248" t="n"/>
      <c r="CEX95" s="248" t="n"/>
      <c r="CEY95" s="240" t="n"/>
      <c r="CEZ95" s="240" t="n"/>
      <c r="CFB95" s="15" t="n"/>
      <c r="CFC95" s="15" t="n"/>
      <c r="CFD95" s="248" t="n"/>
      <c r="CFE95" s="248" t="n"/>
      <c r="CFF95" s="240" t="n"/>
      <c r="CFG95" s="240" t="n"/>
      <c r="CFI95" s="15" t="n"/>
      <c r="CFJ95" s="15" t="n"/>
      <c r="CFK95" s="248" t="n"/>
      <c r="CFL95" s="248" t="n"/>
      <c r="CFM95" s="240" t="n"/>
      <c r="CFN95" s="240" t="n"/>
      <c r="CFP95" s="15" t="n"/>
      <c r="CFQ95" s="15" t="n"/>
      <c r="CFR95" s="248" t="n"/>
      <c r="CFS95" s="248" t="n"/>
      <c r="CFT95" s="240" t="n"/>
      <c r="CFU95" s="240" t="n"/>
      <c r="CFW95" s="15" t="n"/>
      <c r="CFX95" s="15" t="n"/>
      <c r="CFY95" s="248" t="n"/>
      <c r="CFZ95" s="248" t="n"/>
      <c r="CGA95" s="240" t="n"/>
      <c r="CGB95" s="240" t="n"/>
      <c r="CGD95" s="15" t="n"/>
      <c r="CGE95" s="15" t="n"/>
      <c r="CGF95" s="248" t="n"/>
      <c r="CGG95" s="248" t="n"/>
      <c r="CGH95" s="240" t="n"/>
      <c r="CGI95" s="240" t="n"/>
      <c r="CGK95" s="15" t="n"/>
      <c r="CGL95" s="15" t="n"/>
      <c r="CGM95" s="248" t="n"/>
      <c r="CGN95" s="248" t="n"/>
      <c r="CGO95" s="240" t="n"/>
      <c r="CGP95" s="240" t="n"/>
      <c r="CGR95" s="15" t="n"/>
      <c r="CGS95" s="15" t="n"/>
      <c r="CGT95" s="248" t="n"/>
      <c r="CGU95" s="248" t="n"/>
      <c r="CGV95" s="240" t="n"/>
      <c r="CGW95" s="240" t="n"/>
      <c r="CGY95" s="15" t="n"/>
      <c r="CGZ95" s="15" t="n"/>
      <c r="CHA95" s="248" t="n"/>
      <c r="CHB95" s="248" t="n"/>
      <c r="CHC95" s="240" t="n"/>
      <c r="CHD95" s="240" t="n"/>
      <c r="CHF95" s="15" t="n"/>
      <c r="CHG95" s="15" t="n"/>
      <c r="CHH95" s="248" t="n"/>
      <c r="CHI95" s="248" t="n"/>
      <c r="CHJ95" s="240" t="n"/>
      <c r="CHK95" s="240" t="n"/>
      <c r="CHM95" s="15" t="n"/>
      <c r="CHN95" s="15" t="n"/>
      <c r="CHO95" s="248" t="n"/>
      <c r="CHP95" s="248" t="n"/>
      <c r="CHQ95" s="240" t="n"/>
      <c r="CHR95" s="240" t="n"/>
      <c r="CHT95" s="15" t="n"/>
      <c r="CHU95" s="15" t="n"/>
      <c r="CHV95" s="248" t="n"/>
      <c r="CHW95" s="248" t="n"/>
      <c r="CHX95" s="240" t="n"/>
      <c r="CHY95" s="240" t="n"/>
      <c r="CIA95" s="15" t="n"/>
      <c r="CIB95" s="15" t="n"/>
      <c r="CIC95" s="248" t="n"/>
      <c r="CID95" s="248" t="n"/>
      <c r="CIE95" s="240" t="n"/>
      <c r="CIF95" s="240" t="n"/>
      <c r="CIH95" s="15" t="n"/>
      <c r="CII95" s="15" t="n"/>
      <c r="CIJ95" s="248" t="n"/>
      <c r="CIK95" s="248" t="n"/>
      <c r="CIL95" s="240" t="n"/>
      <c r="CIM95" s="240" t="n"/>
      <c r="CIO95" s="15" t="n"/>
      <c r="CIP95" s="15" t="n"/>
      <c r="CIQ95" s="248" t="n"/>
      <c r="CIR95" s="248" t="n"/>
      <c r="CIS95" s="240" t="n"/>
      <c r="CIT95" s="240" t="n"/>
      <c r="CIV95" s="15" t="n"/>
      <c r="CIW95" s="15" t="n"/>
      <c r="CIX95" s="248" t="n"/>
      <c r="CIY95" s="248" t="n"/>
      <c r="CIZ95" s="240" t="n"/>
      <c r="CJA95" s="240" t="n"/>
      <c r="CJC95" s="15" t="n"/>
      <c r="CJD95" s="15" t="n"/>
      <c r="CJE95" s="248" t="n"/>
      <c r="CJF95" s="248" t="n"/>
      <c r="CJG95" s="240" t="n"/>
      <c r="CJH95" s="240" t="n"/>
      <c r="CJJ95" s="15" t="n"/>
      <c r="CJK95" s="15" t="n"/>
      <c r="CJL95" s="248" t="n"/>
      <c r="CJM95" s="248" t="n"/>
      <c r="CJN95" s="240" t="n"/>
      <c r="CJO95" s="240" t="n"/>
      <c r="CJQ95" s="15" t="n"/>
      <c r="CJR95" s="15" t="n"/>
      <c r="CJS95" s="248" t="n"/>
      <c r="CJT95" s="248" t="n"/>
      <c r="CJU95" s="240" t="n"/>
      <c r="CJV95" s="240" t="n"/>
      <c r="CJX95" s="15" t="n"/>
      <c r="CJY95" s="15" t="n"/>
      <c r="CJZ95" s="248" t="n"/>
      <c r="CKA95" s="248" t="n"/>
      <c r="CKB95" s="240" t="n"/>
      <c r="CKC95" s="240" t="n"/>
      <c r="CKE95" s="15" t="n"/>
      <c r="CKF95" s="15" t="n"/>
      <c r="CKG95" s="248" t="n"/>
      <c r="CKH95" s="248" t="n"/>
      <c r="CKI95" s="240" t="n"/>
      <c r="CKJ95" s="240" t="n"/>
      <c r="CKL95" s="15" t="n"/>
      <c r="CKM95" s="15" t="n"/>
      <c r="CKN95" s="248" t="n"/>
      <c r="CKO95" s="248" t="n"/>
      <c r="CKP95" s="240" t="n"/>
      <c r="CKQ95" s="240" t="n"/>
      <c r="CKS95" s="15" t="n"/>
      <c r="CKT95" s="15" t="n"/>
      <c r="CKU95" s="248" t="n"/>
      <c r="CKV95" s="248" t="n"/>
      <c r="CKW95" s="240" t="n"/>
      <c r="CKX95" s="240" t="n"/>
      <c r="CKZ95" s="15" t="n"/>
      <c r="CLA95" s="15" t="n"/>
      <c r="CLB95" s="248" t="n"/>
      <c r="CLC95" s="248" t="n"/>
      <c r="CLD95" s="240" t="n"/>
      <c r="CLE95" s="240" t="n"/>
      <c r="CLG95" s="15" t="n"/>
      <c r="CLH95" s="15" t="n"/>
      <c r="CLI95" s="248" t="n"/>
      <c r="CLJ95" s="248" t="n"/>
      <c r="CLK95" s="240" t="n"/>
      <c r="CLL95" s="240" t="n"/>
      <c r="CLN95" s="15" t="n"/>
      <c r="CLO95" s="15" t="n"/>
      <c r="CLP95" s="248" t="n"/>
      <c r="CLQ95" s="248" t="n"/>
      <c r="CLR95" s="240" t="n"/>
      <c r="CLS95" s="240" t="n"/>
      <c r="CLU95" s="15" t="n"/>
      <c r="CLV95" s="15" t="n"/>
      <c r="CLW95" s="248" t="n"/>
      <c r="CLX95" s="248" t="n"/>
      <c r="CLY95" s="240" t="n"/>
      <c r="CLZ95" s="240" t="n"/>
      <c r="CMB95" s="15" t="n"/>
      <c r="CMC95" s="15" t="n"/>
      <c r="CMD95" s="248" t="n"/>
      <c r="CME95" s="248" t="n"/>
      <c r="CMF95" s="240" t="n"/>
      <c r="CMG95" s="240" t="n"/>
      <c r="CMI95" s="15" t="n"/>
      <c r="CMJ95" s="15" t="n"/>
      <c r="CMK95" s="248" t="n"/>
      <c r="CML95" s="248" t="n"/>
      <c r="CMM95" s="240" t="n"/>
      <c r="CMN95" s="240" t="n"/>
      <c r="CMP95" s="15" t="n"/>
      <c r="CMQ95" s="15" t="n"/>
      <c r="CMR95" s="248" t="n"/>
      <c r="CMS95" s="248" t="n"/>
      <c r="CMT95" s="240" t="n"/>
      <c r="CMU95" s="240" t="n"/>
      <c r="CMW95" s="15" t="n"/>
      <c r="CMX95" s="15" t="n"/>
      <c r="CMY95" s="248" t="n"/>
      <c r="CMZ95" s="248" t="n"/>
      <c r="CNA95" s="240" t="n"/>
      <c r="CNB95" s="240" t="n"/>
      <c r="CND95" s="15" t="n"/>
      <c r="CNE95" s="15" t="n"/>
      <c r="CNF95" s="248" t="n"/>
      <c r="CNG95" s="248" t="n"/>
      <c r="CNH95" s="240" t="n"/>
      <c r="CNI95" s="240" t="n"/>
      <c r="CNK95" s="15" t="n"/>
      <c r="CNL95" s="15" t="n"/>
      <c r="CNM95" s="248" t="n"/>
      <c r="CNN95" s="248" t="n"/>
      <c r="CNO95" s="240" t="n"/>
      <c r="CNP95" s="240" t="n"/>
      <c r="CNR95" s="15" t="n"/>
      <c r="CNS95" s="15" t="n"/>
      <c r="CNT95" s="248" t="n"/>
      <c r="CNU95" s="248" t="n"/>
      <c r="CNV95" s="240" t="n"/>
      <c r="CNW95" s="240" t="n"/>
      <c r="CNY95" s="15" t="n"/>
      <c r="CNZ95" s="15" t="n"/>
      <c r="COA95" s="248" t="n"/>
      <c r="COB95" s="248" t="n"/>
      <c r="COC95" s="240" t="n"/>
      <c r="COD95" s="240" t="n"/>
      <c r="COF95" s="15" t="n"/>
      <c r="COG95" s="15" t="n"/>
      <c r="COH95" s="248" t="n"/>
      <c r="COI95" s="248" t="n"/>
      <c r="COJ95" s="240" t="n"/>
      <c r="COK95" s="240" t="n"/>
      <c r="COM95" s="15" t="n"/>
      <c r="CON95" s="15" t="n"/>
      <c r="COO95" s="248" t="n"/>
      <c r="COP95" s="248" t="n"/>
      <c r="COQ95" s="240" t="n"/>
      <c r="COR95" s="240" t="n"/>
      <c r="COT95" s="15" t="n"/>
      <c r="COU95" s="15" t="n"/>
      <c r="COV95" s="248" t="n"/>
      <c r="COW95" s="248" t="n"/>
      <c r="COX95" s="240" t="n"/>
      <c r="COY95" s="240" t="n"/>
      <c r="CPA95" s="15" t="n"/>
      <c r="CPB95" s="15" t="n"/>
      <c r="CPC95" s="248" t="n"/>
      <c r="CPD95" s="248" t="n"/>
      <c r="CPE95" s="240" t="n"/>
      <c r="CPF95" s="240" t="n"/>
      <c r="CPH95" s="15" t="n"/>
      <c r="CPI95" s="15" t="n"/>
      <c r="CPJ95" s="248" t="n"/>
      <c r="CPK95" s="248" t="n"/>
      <c r="CPL95" s="240" t="n"/>
      <c r="CPM95" s="240" t="n"/>
      <c r="CPO95" s="15" t="n"/>
      <c r="CPP95" s="15" t="n"/>
      <c r="CPQ95" s="248" t="n"/>
      <c r="CPR95" s="248" t="n"/>
      <c r="CPS95" s="240" t="n"/>
      <c r="CPT95" s="240" t="n"/>
      <c r="CPV95" s="15" t="n"/>
      <c r="CPW95" s="15" t="n"/>
      <c r="CPX95" s="248" t="n"/>
      <c r="CPY95" s="248" t="n"/>
      <c r="CPZ95" s="240" t="n"/>
      <c r="CQA95" s="240" t="n"/>
      <c r="CQC95" s="15" t="n"/>
      <c r="CQD95" s="15" t="n"/>
      <c r="CQE95" s="248" t="n"/>
      <c r="CQF95" s="248" t="n"/>
      <c r="CQG95" s="240" t="n"/>
      <c r="CQH95" s="240" t="n"/>
      <c r="CQJ95" s="15" t="n"/>
      <c r="CQK95" s="15" t="n"/>
      <c r="CQL95" s="248" t="n"/>
      <c r="CQM95" s="248" t="n"/>
      <c r="CQN95" s="240" t="n"/>
      <c r="CQO95" s="240" t="n"/>
      <c r="CQQ95" s="15" t="n"/>
      <c r="CQR95" s="15" t="n"/>
      <c r="CQS95" s="248" t="n"/>
      <c r="CQT95" s="248" t="n"/>
      <c r="CQU95" s="240" t="n"/>
      <c r="CQV95" s="240" t="n"/>
      <c r="CQX95" s="15" t="n"/>
      <c r="CQY95" s="15" t="n"/>
      <c r="CQZ95" s="248" t="n"/>
      <c r="CRA95" s="248" t="n"/>
      <c r="CRB95" s="240" t="n"/>
      <c r="CRC95" s="240" t="n"/>
      <c r="CRE95" s="15" t="n"/>
      <c r="CRF95" s="15" t="n"/>
      <c r="CRG95" s="248" t="n"/>
      <c r="CRH95" s="248" t="n"/>
      <c r="CRI95" s="240" t="n"/>
      <c r="CRJ95" s="240" t="n"/>
      <c r="CRL95" s="15" t="n"/>
      <c r="CRM95" s="15" t="n"/>
      <c r="CRN95" s="248" t="n"/>
      <c r="CRO95" s="248" t="n"/>
      <c r="CRP95" s="240" t="n"/>
      <c r="CRQ95" s="240" t="n"/>
      <c r="CRS95" s="15" t="n"/>
      <c r="CRT95" s="15" t="n"/>
      <c r="CRU95" s="248" t="n"/>
      <c r="CRV95" s="248" t="n"/>
      <c r="CRW95" s="240" t="n"/>
      <c r="CRX95" s="240" t="n"/>
      <c r="CRZ95" s="15" t="n"/>
      <c r="CSA95" s="15" t="n"/>
      <c r="CSB95" s="248" t="n"/>
      <c r="CSC95" s="248" t="n"/>
      <c r="CSD95" s="240" t="n"/>
      <c r="CSE95" s="240" t="n"/>
      <c r="CSG95" s="15" t="n"/>
      <c r="CSH95" s="15" t="n"/>
      <c r="CSI95" s="248" t="n"/>
      <c r="CSJ95" s="248" t="n"/>
      <c r="CSK95" s="240" t="n"/>
      <c r="CSL95" s="240" t="n"/>
      <c r="CSN95" s="15" t="n"/>
      <c r="CSO95" s="15" t="n"/>
      <c r="CSP95" s="248" t="n"/>
      <c r="CSQ95" s="248" t="n"/>
      <c r="CSR95" s="240" t="n"/>
      <c r="CSS95" s="240" t="n"/>
      <c r="CSU95" s="15" t="n"/>
      <c r="CSV95" s="15" t="n"/>
      <c r="CSW95" s="248" t="n"/>
      <c r="CSX95" s="248" t="n"/>
      <c r="CSY95" s="240" t="n"/>
      <c r="CSZ95" s="240" t="n"/>
      <c r="CTB95" s="15" t="n"/>
      <c r="CTC95" s="15" t="n"/>
      <c r="CTD95" s="248" t="n"/>
      <c r="CTE95" s="248" t="n"/>
      <c r="CTF95" s="240" t="n"/>
      <c r="CTG95" s="240" t="n"/>
      <c r="CTI95" s="15" t="n"/>
      <c r="CTJ95" s="15" t="n"/>
      <c r="CTK95" s="248" t="n"/>
      <c r="CTL95" s="248" t="n"/>
      <c r="CTM95" s="240" t="n"/>
      <c r="CTN95" s="240" t="n"/>
      <c r="CTP95" s="15" t="n"/>
      <c r="CTQ95" s="15" t="n"/>
      <c r="CTR95" s="248" t="n"/>
      <c r="CTS95" s="248" t="n"/>
      <c r="CTT95" s="240" t="n"/>
      <c r="CTU95" s="240" t="n"/>
      <c r="CTW95" s="15" t="n"/>
      <c r="CTX95" s="15" t="n"/>
      <c r="CTY95" s="248" t="n"/>
      <c r="CTZ95" s="248" t="n"/>
      <c r="CUA95" s="240" t="n"/>
      <c r="CUB95" s="240" t="n"/>
      <c r="CUD95" s="15" t="n"/>
      <c r="CUE95" s="15" t="n"/>
      <c r="CUF95" s="248" t="n"/>
      <c r="CUG95" s="248" t="n"/>
      <c r="CUH95" s="240" t="n"/>
      <c r="CUI95" s="240" t="n"/>
      <c r="CUK95" s="15" t="n"/>
      <c r="CUL95" s="15" t="n"/>
      <c r="CUM95" s="248" t="n"/>
      <c r="CUN95" s="248" t="n"/>
      <c r="CUO95" s="240" t="n"/>
      <c r="CUP95" s="240" t="n"/>
      <c r="CUR95" s="15" t="n"/>
      <c r="CUS95" s="15" t="n"/>
      <c r="CUT95" s="248" t="n"/>
      <c r="CUU95" s="248" t="n"/>
      <c r="CUV95" s="240" t="n"/>
      <c r="CUW95" s="240" t="n"/>
      <c r="CUY95" s="15" t="n"/>
      <c r="CUZ95" s="15" t="n"/>
      <c r="CVA95" s="248" t="n"/>
      <c r="CVB95" s="248" t="n"/>
      <c r="CVC95" s="240" t="n"/>
      <c r="CVD95" s="240" t="n"/>
      <c r="CVF95" s="15" t="n"/>
      <c r="CVG95" s="15" t="n"/>
      <c r="CVH95" s="248" t="n"/>
      <c r="CVI95" s="248" t="n"/>
      <c r="CVJ95" s="240" t="n"/>
      <c r="CVK95" s="240" t="n"/>
      <c r="CVM95" s="15" t="n"/>
      <c r="CVN95" s="15" t="n"/>
      <c r="CVO95" s="248" t="n"/>
      <c r="CVP95" s="248" t="n"/>
      <c r="CVQ95" s="240" t="n"/>
      <c r="CVR95" s="240" t="n"/>
      <c r="CVT95" s="15" t="n"/>
      <c r="CVU95" s="15" t="n"/>
      <c r="CVV95" s="248" t="n"/>
      <c r="CVW95" s="248" t="n"/>
      <c r="CVX95" s="240" t="n"/>
      <c r="CVY95" s="240" t="n"/>
      <c r="CWA95" s="15" t="n"/>
      <c r="CWB95" s="15" t="n"/>
      <c r="CWC95" s="248" t="n"/>
      <c r="CWD95" s="248" t="n"/>
      <c r="CWE95" s="240" t="n"/>
      <c r="CWF95" s="240" t="n"/>
      <c r="CWH95" s="15" t="n"/>
      <c r="CWI95" s="15" t="n"/>
      <c r="CWJ95" s="248" t="n"/>
      <c r="CWK95" s="248" t="n"/>
      <c r="CWL95" s="240" t="n"/>
      <c r="CWM95" s="240" t="n"/>
      <c r="CWO95" s="15" t="n"/>
      <c r="CWP95" s="15" t="n"/>
      <c r="CWQ95" s="248" t="n"/>
      <c r="CWR95" s="248" t="n"/>
      <c r="CWS95" s="240" t="n"/>
      <c r="CWT95" s="240" t="n"/>
      <c r="CWV95" s="15" t="n"/>
      <c r="CWW95" s="15" t="n"/>
      <c r="CWX95" s="248" t="n"/>
      <c r="CWY95" s="248" t="n"/>
      <c r="CWZ95" s="240" t="n"/>
      <c r="CXA95" s="240" t="n"/>
      <c r="CXC95" s="15" t="n"/>
      <c r="CXD95" s="15" t="n"/>
      <c r="CXE95" s="248" t="n"/>
      <c r="CXF95" s="248" t="n"/>
      <c r="CXG95" s="240" t="n"/>
      <c r="CXH95" s="240" t="n"/>
      <c r="CXJ95" s="15" t="n"/>
      <c r="CXK95" s="15" t="n"/>
      <c r="CXL95" s="248" t="n"/>
      <c r="CXM95" s="248" t="n"/>
      <c r="CXN95" s="240" t="n"/>
      <c r="CXO95" s="240" t="n"/>
      <c r="CXQ95" s="15" t="n"/>
      <c r="CXR95" s="15" t="n"/>
      <c r="CXS95" s="248" t="n"/>
      <c r="CXT95" s="248" t="n"/>
      <c r="CXU95" s="240" t="n"/>
      <c r="CXV95" s="240" t="n"/>
      <c r="CXX95" s="15" t="n"/>
      <c r="CXY95" s="15" t="n"/>
      <c r="CXZ95" s="248" t="n"/>
      <c r="CYA95" s="248" t="n"/>
      <c r="CYB95" s="240" t="n"/>
      <c r="CYC95" s="240" t="n"/>
      <c r="CYE95" s="15" t="n"/>
      <c r="CYF95" s="15" t="n"/>
      <c r="CYG95" s="248" t="n"/>
      <c r="CYH95" s="248" t="n"/>
      <c r="CYI95" s="240" t="n"/>
      <c r="CYJ95" s="240" t="n"/>
      <c r="CYL95" s="15" t="n"/>
      <c r="CYM95" s="15" t="n"/>
      <c r="CYN95" s="248" t="n"/>
      <c r="CYO95" s="248" t="n"/>
      <c r="CYP95" s="240" t="n"/>
      <c r="CYQ95" s="240" t="n"/>
      <c r="CYS95" s="15" t="n"/>
      <c r="CYT95" s="15" t="n"/>
      <c r="CYU95" s="248" t="n"/>
      <c r="CYV95" s="248" t="n"/>
      <c r="CYW95" s="240" t="n"/>
      <c r="CYX95" s="240" t="n"/>
      <c r="CYZ95" s="15" t="n"/>
      <c r="CZA95" s="15" t="n"/>
      <c r="CZB95" s="248" t="n"/>
      <c r="CZC95" s="248" t="n"/>
      <c r="CZD95" s="240" t="n"/>
      <c r="CZE95" s="240" t="n"/>
      <c r="CZG95" s="15" t="n"/>
      <c r="CZH95" s="15" t="n"/>
      <c r="CZI95" s="248" t="n"/>
      <c r="CZJ95" s="248" t="n"/>
      <c r="CZK95" s="240" t="n"/>
      <c r="CZL95" s="240" t="n"/>
      <c r="CZN95" s="15" t="n"/>
      <c r="CZO95" s="15" t="n"/>
      <c r="CZP95" s="248" t="n"/>
      <c r="CZQ95" s="248" t="n"/>
      <c r="CZR95" s="240" t="n"/>
      <c r="CZS95" s="240" t="n"/>
      <c r="CZU95" s="15" t="n"/>
      <c r="CZV95" s="15" t="n"/>
      <c r="CZW95" s="248" t="n"/>
      <c r="CZX95" s="248" t="n"/>
      <c r="CZY95" s="240" t="n"/>
      <c r="CZZ95" s="240" t="n"/>
      <c r="DAB95" s="15" t="n"/>
      <c r="DAC95" s="15" t="n"/>
      <c r="DAD95" s="248" t="n"/>
      <c r="DAE95" s="248" t="n"/>
      <c r="DAF95" s="240" t="n"/>
      <c r="DAG95" s="240" t="n"/>
      <c r="DAI95" s="15" t="n"/>
      <c r="DAJ95" s="15" t="n"/>
      <c r="DAK95" s="248" t="n"/>
      <c r="DAL95" s="248" t="n"/>
      <c r="DAM95" s="240" t="n"/>
      <c r="DAN95" s="240" t="n"/>
      <c r="DAP95" s="15" t="n"/>
      <c r="DAQ95" s="15" t="n"/>
      <c r="DAR95" s="248" t="n"/>
      <c r="DAS95" s="248" t="n"/>
      <c r="DAT95" s="240" t="n"/>
      <c r="DAU95" s="240" t="n"/>
      <c r="DAW95" s="15" t="n"/>
      <c r="DAX95" s="15" t="n"/>
      <c r="DAY95" s="248" t="n"/>
      <c r="DAZ95" s="248" t="n"/>
      <c r="DBA95" s="240" t="n"/>
      <c r="DBB95" s="240" t="n"/>
      <c r="DBD95" s="15" t="n"/>
      <c r="DBE95" s="15" t="n"/>
      <c r="DBF95" s="248" t="n"/>
      <c r="DBG95" s="248" t="n"/>
      <c r="DBH95" s="240" t="n"/>
      <c r="DBI95" s="240" t="n"/>
      <c r="DBK95" s="15" t="n"/>
      <c r="DBL95" s="15" t="n"/>
      <c r="DBM95" s="248" t="n"/>
      <c r="DBN95" s="248" t="n"/>
      <c r="DBO95" s="240" t="n"/>
      <c r="DBP95" s="240" t="n"/>
      <c r="DBR95" s="15" t="n"/>
      <c r="DBS95" s="15" t="n"/>
      <c r="DBT95" s="248" t="n"/>
      <c r="DBU95" s="248" t="n"/>
      <c r="DBV95" s="240" t="n"/>
      <c r="DBW95" s="240" t="n"/>
      <c r="DBY95" s="15" t="n"/>
      <c r="DBZ95" s="15" t="n"/>
      <c r="DCA95" s="248" t="n"/>
      <c r="DCB95" s="248" t="n"/>
      <c r="DCC95" s="240" t="n"/>
      <c r="DCD95" s="240" t="n"/>
      <c r="DCF95" s="15" t="n"/>
      <c r="DCG95" s="15" t="n"/>
      <c r="DCH95" s="248" t="n"/>
      <c r="DCI95" s="248" t="n"/>
      <c r="DCJ95" s="240" t="n"/>
      <c r="DCK95" s="240" t="n"/>
      <c r="DCM95" s="15" t="n"/>
      <c r="DCN95" s="15" t="n"/>
      <c r="DCO95" s="248" t="n"/>
      <c r="DCP95" s="248" t="n"/>
      <c r="DCQ95" s="240" t="n"/>
      <c r="DCR95" s="240" t="n"/>
      <c r="DCT95" s="15" t="n"/>
      <c r="DCU95" s="15" t="n"/>
      <c r="DCV95" s="248" t="n"/>
      <c r="DCW95" s="248" t="n"/>
      <c r="DCX95" s="240" t="n"/>
      <c r="DCY95" s="240" t="n"/>
      <c r="DDA95" s="15" t="n"/>
      <c r="DDB95" s="15" t="n"/>
      <c r="DDC95" s="248" t="n"/>
      <c r="DDD95" s="248" t="n"/>
      <c r="DDE95" s="240" t="n"/>
      <c r="DDF95" s="240" t="n"/>
      <c r="DDH95" s="15" t="n"/>
      <c r="DDI95" s="15" t="n"/>
      <c r="DDJ95" s="248" t="n"/>
      <c r="DDK95" s="248" t="n"/>
      <c r="DDL95" s="240" t="n"/>
      <c r="DDM95" s="240" t="n"/>
      <c r="DDO95" s="15" t="n"/>
      <c r="DDP95" s="15" t="n"/>
      <c r="DDQ95" s="248" t="n"/>
      <c r="DDR95" s="248" t="n"/>
      <c r="DDS95" s="240" t="n"/>
      <c r="DDT95" s="240" t="n"/>
      <c r="DDV95" s="15" t="n"/>
      <c r="DDW95" s="15" t="n"/>
      <c r="DDX95" s="248" t="n"/>
      <c r="DDY95" s="248" t="n"/>
      <c r="DDZ95" s="240" t="n"/>
      <c r="DEA95" s="240" t="n"/>
      <c r="DEC95" s="15" t="n"/>
      <c r="DED95" s="15" t="n"/>
      <c r="DEE95" s="248" t="n"/>
      <c r="DEF95" s="248" t="n"/>
      <c r="DEG95" s="240" t="n"/>
      <c r="DEH95" s="240" t="n"/>
      <c r="DEJ95" s="15" t="n"/>
      <c r="DEK95" s="15" t="n"/>
      <c r="DEL95" s="248" t="n"/>
      <c r="DEM95" s="248" t="n"/>
      <c r="DEN95" s="240" t="n"/>
      <c r="DEO95" s="240" t="n"/>
      <c r="DEQ95" s="15" t="n"/>
      <c r="DER95" s="15" t="n"/>
      <c r="DES95" s="248" t="n"/>
      <c r="DET95" s="248" t="n"/>
      <c r="DEU95" s="240" t="n"/>
      <c r="DEV95" s="240" t="n"/>
      <c r="DEX95" s="15" t="n"/>
      <c r="DEY95" s="15" t="n"/>
      <c r="DEZ95" s="248" t="n"/>
      <c r="DFA95" s="248" t="n"/>
      <c r="DFB95" s="240" t="n"/>
      <c r="DFC95" s="240" t="n"/>
      <c r="DFE95" s="15" t="n"/>
      <c r="DFF95" s="15" t="n"/>
      <c r="DFG95" s="248" t="n"/>
      <c r="DFH95" s="248" t="n"/>
      <c r="DFI95" s="240" t="n"/>
      <c r="DFJ95" s="240" t="n"/>
      <c r="DFL95" s="15" t="n"/>
      <c r="DFM95" s="15" t="n"/>
      <c r="DFN95" s="248" t="n"/>
      <c r="DFO95" s="248" t="n"/>
      <c r="DFP95" s="240" t="n"/>
      <c r="DFQ95" s="240" t="n"/>
      <c r="DFS95" s="15" t="n"/>
      <c r="DFT95" s="15" t="n"/>
      <c r="DFU95" s="248" t="n"/>
      <c r="DFV95" s="248" t="n"/>
      <c r="DFW95" s="240" t="n"/>
      <c r="DFX95" s="240" t="n"/>
      <c r="DFZ95" s="15" t="n"/>
      <c r="DGA95" s="15" t="n"/>
      <c r="DGB95" s="248" t="n"/>
      <c r="DGC95" s="248" t="n"/>
      <c r="DGD95" s="240" t="n"/>
      <c r="DGE95" s="240" t="n"/>
      <c r="DGG95" s="15" t="n"/>
      <c r="DGH95" s="15" t="n"/>
      <c r="DGI95" s="248" t="n"/>
      <c r="DGJ95" s="248" t="n"/>
      <c r="DGK95" s="240" t="n"/>
      <c r="DGL95" s="240" t="n"/>
      <c r="DGN95" s="15" t="n"/>
      <c r="DGO95" s="15" t="n"/>
      <c r="DGP95" s="248" t="n"/>
      <c r="DGQ95" s="248" t="n"/>
      <c r="DGR95" s="240" t="n"/>
      <c r="DGS95" s="240" t="n"/>
      <c r="DGU95" s="15" t="n"/>
      <c r="DGV95" s="15" t="n"/>
      <c r="DGW95" s="248" t="n"/>
      <c r="DGX95" s="248" t="n"/>
      <c r="DGY95" s="240" t="n"/>
      <c r="DGZ95" s="240" t="n"/>
      <c r="DHB95" s="15" t="n"/>
      <c r="DHC95" s="15" t="n"/>
      <c r="DHD95" s="248" t="n"/>
      <c r="DHE95" s="248" t="n"/>
      <c r="DHF95" s="240" t="n"/>
      <c r="DHG95" s="240" t="n"/>
      <c r="DHI95" s="15" t="n"/>
      <c r="DHJ95" s="15" t="n"/>
      <c r="DHK95" s="248" t="n"/>
      <c r="DHL95" s="248" t="n"/>
      <c r="DHM95" s="240" t="n"/>
      <c r="DHN95" s="240" t="n"/>
      <c r="DHP95" s="15" t="n"/>
      <c r="DHQ95" s="15" t="n"/>
      <c r="DHR95" s="248" t="n"/>
      <c r="DHS95" s="248" t="n"/>
      <c r="DHT95" s="240" t="n"/>
      <c r="DHU95" s="240" t="n"/>
      <c r="DHW95" s="15" t="n"/>
      <c r="DHX95" s="15" t="n"/>
      <c r="DHY95" s="248" t="n"/>
      <c r="DHZ95" s="248" t="n"/>
      <c r="DIA95" s="240" t="n"/>
      <c r="DIB95" s="240" t="n"/>
      <c r="DID95" s="15" t="n"/>
      <c r="DIE95" s="15" t="n"/>
      <c r="DIF95" s="248" t="n"/>
      <c r="DIG95" s="248" t="n"/>
      <c r="DIH95" s="240" t="n"/>
      <c r="DII95" s="240" t="n"/>
      <c r="DIK95" s="15" t="n"/>
      <c r="DIL95" s="15" t="n"/>
      <c r="DIM95" s="248" t="n"/>
      <c r="DIN95" s="248" t="n"/>
      <c r="DIO95" s="240" t="n"/>
      <c r="DIP95" s="240" t="n"/>
      <c r="DIR95" s="15" t="n"/>
      <c r="DIS95" s="15" t="n"/>
      <c r="DIT95" s="248" t="n"/>
      <c r="DIU95" s="248" t="n"/>
      <c r="DIV95" s="240" t="n"/>
      <c r="DIW95" s="240" t="n"/>
      <c r="DIY95" s="15" t="n"/>
      <c r="DIZ95" s="15" t="n"/>
      <c r="DJA95" s="248" t="n"/>
      <c r="DJB95" s="248" t="n"/>
      <c r="DJC95" s="240" t="n"/>
      <c r="DJD95" s="240" t="n"/>
      <c r="DJF95" s="15" t="n"/>
      <c r="DJG95" s="15" t="n"/>
      <c r="DJH95" s="248" t="n"/>
      <c r="DJI95" s="248" t="n"/>
      <c r="DJJ95" s="240" t="n"/>
      <c r="DJK95" s="240" t="n"/>
      <c r="DJM95" s="15" t="n"/>
      <c r="DJN95" s="15" t="n"/>
      <c r="DJO95" s="248" t="n"/>
      <c r="DJP95" s="248" t="n"/>
      <c r="DJQ95" s="240" t="n"/>
      <c r="DJR95" s="240" t="n"/>
      <c r="DJT95" s="15" t="n"/>
      <c r="DJU95" s="15" t="n"/>
      <c r="DJV95" s="248" t="n"/>
      <c r="DJW95" s="248" t="n"/>
      <c r="DJX95" s="240" t="n"/>
      <c r="DJY95" s="240" t="n"/>
      <c r="DKA95" s="15" t="n"/>
      <c r="DKB95" s="15" t="n"/>
      <c r="DKC95" s="248" t="n"/>
      <c r="DKD95" s="248" t="n"/>
      <c r="DKE95" s="240" t="n"/>
      <c r="DKF95" s="240" t="n"/>
      <c r="DKH95" s="15" t="n"/>
      <c r="DKI95" s="15" t="n"/>
      <c r="DKJ95" s="248" t="n"/>
      <c r="DKK95" s="248" t="n"/>
      <c r="DKL95" s="240" t="n"/>
      <c r="DKM95" s="240" t="n"/>
      <c r="DKO95" s="15" t="n"/>
      <c r="DKP95" s="15" t="n"/>
      <c r="DKQ95" s="248" t="n"/>
      <c r="DKR95" s="248" t="n"/>
      <c r="DKS95" s="240" t="n"/>
      <c r="DKT95" s="240" t="n"/>
      <c r="DKV95" s="15" t="n"/>
      <c r="DKW95" s="15" t="n"/>
      <c r="DKX95" s="248" t="n"/>
      <c r="DKY95" s="248" t="n"/>
      <c r="DKZ95" s="240" t="n"/>
      <c r="DLA95" s="240" t="n"/>
      <c r="DLC95" s="15" t="n"/>
      <c r="DLD95" s="15" t="n"/>
      <c r="DLE95" s="248" t="n"/>
      <c r="DLF95" s="248" t="n"/>
      <c r="DLG95" s="240" t="n"/>
      <c r="DLH95" s="240" t="n"/>
      <c r="DLJ95" s="15" t="n"/>
      <c r="DLK95" s="15" t="n"/>
      <c r="DLL95" s="248" t="n"/>
      <c r="DLM95" s="248" t="n"/>
      <c r="DLN95" s="240" t="n"/>
      <c r="DLO95" s="240" t="n"/>
      <c r="DLQ95" s="15" t="n"/>
      <c r="DLR95" s="15" t="n"/>
      <c r="DLS95" s="248" t="n"/>
      <c r="DLT95" s="248" t="n"/>
      <c r="DLU95" s="240" t="n"/>
      <c r="DLV95" s="240" t="n"/>
      <c r="DLX95" s="15" t="n"/>
      <c r="DLY95" s="15" t="n"/>
      <c r="DLZ95" s="248" t="n"/>
      <c r="DMA95" s="248" t="n"/>
      <c r="DMB95" s="240" t="n"/>
      <c r="DMC95" s="240" t="n"/>
      <c r="DME95" s="15" t="n"/>
      <c r="DMF95" s="15" t="n"/>
      <c r="DMG95" s="248" t="n"/>
      <c r="DMH95" s="248" t="n"/>
      <c r="DMI95" s="240" t="n"/>
      <c r="DMJ95" s="240" t="n"/>
      <c r="DML95" s="15" t="n"/>
      <c r="DMM95" s="15" t="n"/>
      <c r="DMN95" s="248" t="n"/>
      <c r="DMO95" s="248" t="n"/>
      <c r="DMP95" s="240" t="n"/>
      <c r="DMQ95" s="240" t="n"/>
      <c r="DMS95" s="15" t="n"/>
      <c r="DMT95" s="15" t="n"/>
      <c r="DMU95" s="248" t="n"/>
      <c r="DMV95" s="248" t="n"/>
      <c r="DMW95" s="240" t="n"/>
      <c r="DMX95" s="240" t="n"/>
      <c r="DMZ95" s="15" t="n"/>
      <c r="DNA95" s="15" t="n"/>
      <c r="DNB95" s="248" t="n"/>
      <c r="DNC95" s="248" t="n"/>
      <c r="DND95" s="240" t="n"/>
      <c r="DNE95" s="240" t="n"/>
      <c r="DNG95" s="15" t="n"/>
      <c r="DNH95" s="15" t="n"/>
      <c r="DNI95" s="248" t="n"/>
      <c r="DNJ95" s="248" t="n"/>
      <c r="DNK95" s="240" t="n"/>
      <c r="DNL95" s="240" t="n"/>
      <c r="DNN95" s="15" t="n"/>
      <c r="DNO95" s="15" t="n"/>
      <c r="DNP95" s="248" t="n"/>
      <c r="DNQ95" s="248" t="n"/>
      <c r="DNR95" s="240" t="n"/>
      <c r="DNS95" s="240" t="n"/>
      <c r="DNU95" s="15" t="n"/>
      <c r="DNV95" s="15" t="n"/>
      <c r="DNW95" s="248" t="n"/>
      <c r="DNX95" s="248" t="n"/>
      <c r="DNY95" s="240" t="n"/>
      <c r="DNZ95" s="240" t="n"/>
      <c r="DOB95" s="15" t="n"/>
      <c r="DOC95" s="15" t="n"/>
      <c r="DOD95" s="248" t="n"/>
      <c r="DOE95" s="248" t="n"/>
      <c r="DOF95" s="240" t="n"/>
      <c r="DOG95" s="240" t="n"/>
      <c r="DOI95" s="15" t="n"/>
      <c r="DOJ95" s="15" t="n"/>
      <c r="DOK95" s="248" t="n"/>
      <c r="DOL95" s="248" t="n"/>
      <c r="DOM95" s="240" t="n"/>
      <c r="DON95" s="240" t="n"/>
      <c r="DOP95" s="15" t="n"/>
      <c r="DOQ95" s="15" t="n"/>
      <c r="DOR95" s="248" t="n"/>
      <c r="DOS95" s="248" t="n"/>
      <c r="DOT95" s="240" t="n"/>
      <c r="DOU95" s="240" t="n"/>
      <c r="DOW95" s="15" t="n"/>
      <c r="DOX95" s="15" t="n"/>
      <c r="DOY95" s="248" t="n"/>
      <c r="DOZ95" s="248" t="n"/>
      <c r="DPA95" s="240" t="n"/>
      <c r="DPB95" s="240" t="n"/>
      <c r="DPD95" s="15" t="n"/>
      <c r="DPE95" s="15" t="n"/>
      <c r="DPF95" s="248" t="n"/>
      <c r="DPG95" s="248" t="n"/>
      <c r="DPH95" s="240" t="n"/>
      <c r="DPI95" s="240" t="n"/>
      <c r="DPK95" s="15" t="n"/>
      <c r="DPL95" s="15" t="n"/>
      <c r="DPM95" s="248" t="n"/>
      <c r="DPN95" s="248" t="n"/>
      <c r="DPO95" s="240" t="n"/>
      <c r="DPP95" s="240" t="n"/>
      <c r="DPR95" s="15" t="n"/>
      <c r="DPS95" s="15" t="n"/>
      <c r="DPT95" s="248" t="n"/>
      <c r="DPU95" s="248" t="n"/>
      <c r="DPV95" s="240" t="n"/>
      <c r="DPW95" s="240" t="n"/>
      <c r="DPY95" s="15" t="n"/>
      <c r="DPZ95" s="15" t="n"/>
      <c r="DQA95" s="248" t="n"/>
      <c r="DQB95" s="248" t="n"/>
      <c r="DQC95" s="240" t="n"/>
      <c r="DQD95" s="240" t="n"/>
      <c r="DQF95" s="15" t="n"/>
      <c r="DQG95" s="15" t="n"/>
      <c r="DQH95" s="248" t="n"/>
      <c r="DQI95" s="248" t="n"/>
      <c r="DQJ95" s="240" t="n"/>
      <c r="DQK95" s="240" t="n"/>
      <c r="DQM95" s="15" t="n"/>
      <c r="DQN95" s="15" t="n"/>
      <c r="DQO95" s="248" t="n"/>
      <c r="DQP95" s="248" t="n"/>
      <c r="DQQ95" s="240" t="n"/>
      <c r="DQR95" s="240" t="n"/>
      <c r="DQT95" s="15" t="n"/>
      <c r="DQU95" s="15" t="n"/>
      <c r="DQV95" s="248" t="n"/>
      <c r="DQW95" s="248" t="n"/>
      <c r="DQX95" s="240" t="n"/>
      <c r="DQY95" s="240" t="n"/>
      <c r="DRA95" s="15" t="n"/>
      <c r="DRB95" s="15" t="n"/>
      <c r="DRC95" s="248" t="n"/>
      <c r="DRD95" s="248" t="n"/>
      <c r="DRE95" s="240" t="n"/>
      <c r="DRF95" s="240" t="n"/>
      <c r="DRH95" s="15" t="n"/>
      <c r="DRI95" s="15" t="n"/>
      <c r="DRJ95" s="248" t="n"/>
      <c r="DRK95" s="248" t="n"/>
      <c r="DRL95" s="240" t="n"/>
      <c r="DRM95" s="240" t="n"/>
      <c r="DRO95" s="15" t="n"/>
      <c r="DRP95" s="15" t="n"/>
      <c r="DRQ95" s="248" t="n"/>
      <c r="DRR95" s="248" t="n"/>
      <c r="DRS95" s="240" t="n"/>
      <c r="DRT95" s="240" t="n"/>
      <c r="DRV95" s="15" t="n"/>
      <c r="DRW95" s="15" t="n"/>
      <c r="DRX95" s="248" t="n"/>
      <c r="DRY95" s="248" t="n"/>
      <c r="DRZ95" s="240" t="n"/>
      <c r="DSA95" s="240" t="n"/>
      <c r="DSC95" s="15" t="n"/>
      <c r="DSD95" s="15" t="n"/>
      <c r="DSE95" s="248" t="n"/>
      <c r="DSF95" s="248" t="n"/>
      <c r="DSG95" s="240" t="n"/>
      <c r="DSH95" s="240" t="n"/>
      <c r="DSJ95" s="15" t="n"/>
      <c r="DSK95" s="15" t="n"/>
      <c r="DSL95" s="248" t="n"/>
      <c r="DSM95" s="248" t="n"/>
      <c r="DSN95" s="240" t="n"/>
      <c r="DSO95" s="240" t="n"/>
      <c r="DSQ95" s="15" t="n"/>
      <c r="DSR95" s="15" t="n"/>
      <c r="DSS95" s="248" t="n"/>
      <c r="DST95" s="248" t="n"/>
      <c r="DSU95" s="240" t="n"/>
      <c r="DSV95" s="240" t="n"/>
      <c r="DSX95" s="15" t="n"/>
      <c r="DSY95" s="15" t="n"/>
      <c r="DSZ95" s="248" t="n"/>
      <c r="DTA95" s="248" t="n"/>
      <c r="DTB95" s="240" t="n"/>
      <c r="DTC95" s="240" t="n"/>
      <c r="DTE95" s="15" t="n"/>
      <c r="DTF95" s="15" t="n"/>
      <c r="DTG95" s="248" t="n"/>
      <c r="DTH95" s="248" t="n"/>
      <c r="DTI95" s="240" t="n"/>
      <c r="DTJ95" s="240" t="n"/>
      <c r="DTL95" s="15" t="n"/>
      <c r="DTM95" s="15" t="n"/>
      <c r="DTN95" s="248" t="n"/>
      <c r="DTO95" s="248" t="n"/>
      <c r="DTP95" s="240" t="n"/>
      <c r="DTQ95" s="240" t="n"/>
      <c r="DTS95" s="15" t="n"/>
      <c r="DTT95" s="15" t="n"/>
      <c r="DTU95" s="248" t="n"/>
      <c r="DTV95" s="248" t="n"/>
      <c r="DTW95" s="240" t="n"/>
      <c r="DTX95" s="240" t="n"/>
      <c r="DTZ95" s="15" t="n"/>
      <c r="DUA95" s="15" t="n"/>
      <c r="DUB95" s="248" t="n"/>
      <c r="DUC95" s="248" t="n"/>
      <c r="DUD95" s="240" t="n"/>
      <c r="DUE95" s="240" t="n"/>
      <c r="DUG95" s="15" t="n"/>
      <c r="DUH95" s="15" t="n"/>
      <c r="DUI95" s="248" t="n"/>
      <c r="DUJ95" s="248" t="n"/>
      <c r="DUK95" s="240" t="n"/>
      <c r="DUL95" s="240" t="n"/>
      <c r="DUN95" s="15" t="n"/>
      <c r="DUO95" s="15" t="n"/>
      <c r="DUP95" s="248" t="n"/>
      <c r="DUQ95" s="248" t="n"/>
      <c r="DUR95" s="240" t="n"/>
      <c r="DUS95" s="240" t="n"/>
      <c r="DUU95" s="15" t="n"/>
      <c r="DUV95" s="15" t="n"/>
      <c r="DUW95" s="248" t="n"/>
      <c r="DUX95" s="248" t="n"/>
      <c r="DUY95" s="240" t="n"/>
      <c r="DUZ95" s="240" t="n"/>
      <c r="DVB95" s="15" t="n"/>
      <c r="DVC95" s="15" t="n"/>
      <c r="DVD95" s="248" t="n"/>
      <c r="DVE95" s="248" t="n"/>
      <c r="DVF95" s="240" t="n"/>
      <c r="DVG95" s="240" t="n"/>
      <c r="DVI95" s="15" t="n"/>
      <c r="DVJ95" s="15" t="n"/>
      <c r="DVK95" s="248" t="n"/>
      <c r="DVL95" s="248" t="n"/>
      <c r="DVM95" s="240" t="n"/>
      <c r="DVN95" s="240" t="n"/>
      <c r="DVP95" s="15" t="n"/>
      <c r="DVQ95" s="15" t="n"/>
      <c r="DVR95" s="248" t="n"/>
      <c r="DVS95" s="248" t="n"/>
      <c r="DVT95" s="240" t="n"/>
      <c r="DVU95" s="240" t="n"/>
      <c r="DVW95" s="15" t="n"/>
      <c r="DVX95" s="15" t="n"/>
      <c r="DVY95" s="248" t="n"/>
      <c r="DVZ95" s="248" t="n"/>
      <c r="DWA95" s="240" t="n"/>
      <c r="DWB95" s="240" t="n"/>
      <c r="DWD95" s="15" t="n"/>
      <c r="DWE95" s="15" t="n"/>
      <c r="DWF95" s="248" t="n"/>
      <c r="DWG95" s="248" t="n"/>
      <c r="DWH95" s="240" t="n"/>
      <c r="DWI95" s="240" t="n"/>
      <c r="DWK95" s="15" t="n"/>
      <c r="DWL95" s="15" t="n"/>
      <c r="DWM95" s="248" t="n"/>
      <c r="DWN95" s="248" t="n"/>
      <c r="DWO95" s="240" t="n"/>
      <c r="DWP95" s="240" t="n"/>
      <c r="DWR95" s="15" t="n"/>
      <c r="DWS95" s="15" t="n"/>
      <c r="DWT95" s="248" t="n"/>
      <c r="DWU95" s="248" t="n"/>
      <c r="DWV95" s="240" t="n"/>
      <c r="DWW95" s="240" t="n"/>
      <c r="DWY95" s="15" t="n"/>
      <c r="DWZ95" s="15" t="n"/>
      <c r="DXA95" s="248" t="n"/>
      <c r="DXB95" s="248" t="n"/>
      <c r="DXC95" s="240" t="n"/>
      <c r="DXD95" s="240" t="n"/>
      <c r="DXF95" s="15" t="n"/>
      <c r="DXG95" s="15" t="n"/>
      <c r="DXH95" s="248" t="n"/>
      <c r="DXI95" s="248" t="n"/>
      <c r="DXJ95" s="240" t="n"/>
      <c r="DXK95" s="240" t="n"/>
      <c r="DXM95" s="15" t="n"/>
      <c r="DXN95" s="15" t="n"/>
      <c r="DXO95" s="248" t="n"/>
      <c r="DXP95" s="248" t="n"/>
      <c r="DXQ95" s="240" t="n"/>
      <c r="DXR95" s="240" t="n"/>
      <c r="DXT95" s="15" t="n"/>
      <c r="DXU95" s="15" t="n"/>
      <c r="DXV95" s="248" t="n"/>
      <c r="DXW95" s="248" t="n"/>
      <c r="DXX95" s="240" t="n"/>
      <c r="DXY95" s="240" t="n"/>
      <c r="DYA95" s="15" t="n"/>
      <c r="DYB95" s="15" t="n"/>
      <c r="DYC95" s="248" t="n"/>
      <c r="DYD95" s="248" t="n"/>
      <c r="DYE95" s="240" t="n"/>
      <c r="DYF95" s="240" t="n"/>
      <c r="DYH95" s="15" t="n"/>
      <c r="DYI95" s="15" t="n"/>
      <c r="DYJ95" s="248" t="n"/>
      <c r="DYK95" s="248" t="n"/>
      <c r="DYL95" s="240" t="n"/>
      <c r="DYM95" s="240" t="n"/>
      <c r="DYO95" s="15" t="n"/>
      <c r="DYP95" s="15" t="n"/>
      <c r="DYQ95" s="248" t="n"/>
      <c r="DYR95" s="248" t="n"/>
      <c r="DYS95" s="240" t="n"/>
      <c r="DYT95" s="240" t="n"/>
      <c r="DYV95" s="15" t="n"/>
      <c r="DYW95" s="15" t="n"/>
      <c r="DYX95" s="248" t="n"/>
      <c r="DYY95" s="248" t="n"/>
      <c r="DYZ95" s="240" t="n"/>
      <c r="DZA95" s="240" t="n"/>
      <c r="DZC95" s="15" t="n"/>
      <c r="DZD95" s="15" t="n"/>
      <c r="DZE95" s="248" t="n"/>
      <c r="DZF95" s="248" t="n"/>
      <c r="DZG95" s="240" t="n"/>
      <c r="DZH95" s="240" t="n"/>
      <c r="DZJ95" s="15" t="n"/>
      <c r="DZK95" s="15" t="n"/>
      <c r="DZL95" s="248" t="n"/>
      <c r="DZM95" s="248" t="n"/>
      <c r="DZN95" s="240" t="n"/>
      <c r="DZO95" s="240" t="n"/>
      <c r="DZQ95" s="15" t="n"/>
      <c r="DZR95" s="15" t="n"/>
      <c r="DZS95" s="248" t="n"/>
      <c r="DZT95" s="248" t="n"/>
      <c r="DZU95" s="240" t="n"/>
      <c r="DZV95" s="240" t="n"/>
      <c r="DZX95" s="15" t="n"/>
      <c r="DZY95" s="15" t="n"/>
      <c r="DZZ95" s="248" t="n"/>
      <c r="EAA95" s="248" t="n"/>
      <c r="EAB95" s="240" t="n"/>
      <c r="EAC95" s="240" t="n"/>
      <c r="EAE95" s="15" t="n"/>
      <c r="EAF95" s="15" t="n"/>
      <c r="EAG95" s="248" t="n"/>
      <c r="EAH95" s="248" t="n"/>
      <c r="EAI95" s="240" t="n"/>
      <c r="EAJ95" s="240" t="n"/>
      <c r="EAL95" s="15" t="n"/>
      <c r="EAM95" s="15" t="n"/>
      <c r="EAN95" s="248" t="n"/>
      <c r="EAO95" s="248" t="n"/>
      <c r="EAP95" s="240" t="n"/>
      <c r="EAQ95" s="240" t="n"/>
      <c r="EAS95" s="15" t="n"/>
      <c r="EAT95" s="15" t="n"/>
      <c r="EAU95" s="248" t="n"/>
      <c r="EAV95" s="248" t="n"/>
      <c r="EAW95" s="240" t="n"/>
      <c r="EAX95" s="240" t="n"/>
      <c r="EAZ95" s="15" t="n"/>
      <c r="EBA95" s="15" t="n"/>
      <c r="EBB95" s="248" t="n"/>
      <c r="EBC95" s="248" t="n"/>
      <c r="EBD95" s="240" t="n"/>
      <c r="EBE95" s="240" t="n"/>
      <c r="EBG95" s="15" t="n"/>
      <c r="EBH95" s="15" t="n"/>
      <c r="EBI95" s="248" t="n"/>
      <c r="EBJ95" s="248" t="n"/>
      <c r="EBK95" s="240" t="n"/>
      <c r="EBL95" s="240" t="n"/>
      <c r="EBN95" s="15" t="n"/>
      <c r="EBO95" s="15" t="n"/>
      <c r="EBP95" s="248" t="n"/>
      <c r="EBQ95" s="248" t="n"/>
      <c r="EBR95" s="240" t="n"/>
      <c r="EBS95" s="240" t="n"/>
      <c r="EBU95" s="15" t="n"/>
      <c r="EBV95" s="15" t="n"/>
      <c r="EBW95" s="248" t="n"/>
      <c r="EBX95" s="248" t="n"/>
      <c r="EBY95" s="240" t="n"/>
      <c r="EBZ95" s="240" t="n"/>
      <c r="ECB95" s="15" t="n"/>
      <c r="ECC95" s="15" t="n"/>
      <c r="ECD95" s="248" t="n"/>
      <c r="ECE95" s="248" t="n"/>
      <c r="ECF95" s="240" t="n"/>
      <c r="ECG95" s="240" t="n"/>
      <c r="ECI95" s="15" t="n"/>
      <c r="ECJ95" s="15" t="n"/>
      <c r="ECK95" s="248" t="n"/>
      <c r="ECL95" s="248" t="n"/>
      <c r="ECM95" s="240" t="n"/>
      <c r="ECN95" s="240" t="n"/>
      <c r="ECP95" s="15" t="n"/>
      <c r="ECQ95" s="15" t="n"/>
      <c r="ECR95" s="248" t="n"/>
      <c r="ECS95" s="248" t="n"/>
      <c r="ECT95" s="240" t="n"/>
      <c r="ECU95" s="240" t="n"/>
      <c r="ECW95" s="15" t="n"/>
      <c r="ECX95" s="15" t="n"/>
      <c r="ECY95" s="248" t="n"/>
      <c r="ECZ95" s="248" t="n"/>
      <c r="EDA95" s="240" t="n"/>
      <c r="EDB95" s="240" t="n"/>
      <c r="EDD95" s="15" t="n"/>
      <c r="EDE95" s="15" t="n"/>
      <c r="EDF95" s="248" t="n"/>
      <c r="EDG95" s="248" t="n"/>
      <c r="EDH95" s="240" t="n"/>
      <c r="EDI95" s="240" t="n"/>
      <c r="EDK95" s="15" t="n"/>
      <c r="EDL95" s="15" t="n"/>
      <c r="EDM95" s="248" t="n"/>
      <c r="EDN95" s="248" t="n"/>
      <c r="EDO95" s="240" t="n"/>
      <c r="EDP95" s="240" t="n"/>
      <c r="EDR95" s="15" t="n"/>
      <c r="EDS95" s="15" t="n"/>
      <c r="EDT95" s="248" t="n"/>
      <c r="EDU95" s="248" t="n"/>
      <c r="EDV95" s="240" t="n"/>
      <c r="EDW95" s="240" t="n"/>
      <c r="EDY95" s="15" t="n"/>
      <c r="EDZ95" s="15" t="n"/>
      <c r="EEA95" s="248" t="n"/>
      <c r="EEB95" s="248" t="n"/>
      <c r="EEC95" s="240" t="n"/>
      <c r="EED95" s="240" t="n"/>
      <c r="EEF95" s="15" t="n"/>
      <c r="EEG95" s="15" t="n"/>
      <c r="EEH95" s="248" t="n"/>
      <c r="EEI95" s="248" t="n"/>
      <c r="EEJ95" s="240" t="n"/>
      <c r="EEK95" s="240" t="n"/>
      <c r="EEM95" s="15" t="n"/>
      <c r="EEN95" s="15" t="n"/>
      <c r="EEO95" s="248" t="n"/>
      <c r="EEP95" s="248" t="n"/>
      <c r="EEQ95" s="240" t="n"/>
      <c r="EER95" s="240" t="n"/>
      <c r="EET95" s="15" t="n"/>
      <c r="EEU95" s="15" t="n"/>
      <c r="EEV95" s="248" t="n"/>
      <c r="EEW95" s="248" t="n"/>
      <c r="EEX95" s="240" t="n"/>
      <c r="EEY95" s="240" t="n"/>
      <c r="EFA95" s="15" t="n"/>
      <c r="EFB95" s="15" t="n"/>
      <c r="EFC95" s="248" t="n"/>
      <c r="EFD95" s="248" t="n"/>
      <c r="EFE95" s="240" t="n"/>
      <c r="EFF95" s="240" t="n"/>
      <c r="EFH95" s="15" t="n"/>
      <c r="EFI95" s="15" t="n"/>
      <c r="EFJ95" s="248" t="n"/>
      <c r="EFK95" s="248" t="n"/>
      <c r="EFL95" s="240" t="n"/>
      <c r="EFM95" s="240" t="n"/>
      <c r="EFO95" s="15" t="n"/>
      <c r="EFP95" s="15" t="n"/>
      <c r="EFQ95" s="248" t="n"/>
      <c r="EFR95" s="248" t="n"/>
      <c r="EFS95" s="240" t="n"/>
      <c r="EFT95" s="240" t="n"/>
      <c r="EFV95" s="15" t="n"/>
      <c r="EFW95" s="15" t="n"/>
      <c r="EFX95" s="248" t="n"/>
      <c r="EFY95" s="248" t="n"/>
      <c r="EFZ95" s="240" t="n"/>
      <c r="EGA95" s="240" t="n"/>
      <c r="EGC95" s="15" t="n"/>
      <c r="EGD95" s="15" t="n"/>
      <c r="EGE95" s="248" t="n"/>
      <c r="EGF95" s="248" t="n"/>
      <c r="EGG95" s="240" t="n"/>
      <c r="EGH95" s="240" t="n"/>
      <c r="EGJ95" s="15" t="n"/>
      <c r="EGK95" s="15" t="n"/>
      <c r="EGL95" s="248" t="n"/>
      <c r="EGM95" s="248" t="n"/>
      <c r="EGN95" s="240" t="n"/>
      <c r="EGO95" s="240" t="n"/>
      <c r="EGQ95" s="15" t="n"/>
      <c r="EGR95" s="15" t="n"/>
      <c r="EGS95" s="248" t="n"/>
      <c r="EGT95" s="248" t="n"/>
      <c r="EGU95" s="240" t="n"/>
      <c r="EGV95" s="240" t="n"/>
      <c r="EGX95" s="15" t="n"/>
      <c r="EGY95" s="15" t="n"/>
      <c r="EGZ95" s="248" t="n"/>
      <c r="EHA95" s="248" t="n"/>
      <c r="EHB95" s="240" t="n"/>
      <c r="EHC95" s="240" t="n"/>
      <c r="EHE95" s="15" t="n"/>
      <c r="EHF95" s="15" t="n"/>
      <c r="EHG95" s="248" t="n"/>
      <c r="EHH95" s="248" t="n"/>
      <c r="EHI95" s="240" t="n"/>
      <c r="EHJ95" s="240" t="n"/>
      <c r="EHL95" s="15" t="n"/>
      <c r="EHM95" s="15" t="n"/>
      <c r="EHN95" s="248" t="n"/>
      <c r="EHO95" s="248" t="n"/>
      <c r="EHP95" s="240" t="n"/>
      <c r="EHQ95" s="240" t="n"/>
      <c r="EHS95" s="15" t="n"/>
      <c r="EHT95" s="15" t="n"/>
      <c r="EHU95" s="248" t="n"/>
      <c r="EHV95" s="248" t="n"/>
      <c r="EHW95" s="240" t="n"/>
      <c r="EHX95" s="240" t="n"/>
      <c r="EHZ95" s="15" t="n"/>
      <c r="EIA95" s="15" t="n"/>
      <c r="EIB95" s="248" t="n"/>
      <c r="EIC95" s="248" t="n"/>
      <c r="EID95" s="240" t="n"/>
      <c r="EIE95" s="240" t="n"/>
      <c r="EIG95" s="15" t="n"/>
      <c r="EIH95" s="15" t="n"/>
      <c r="EII95" s="248" t="n"/>
      <c r="EIJ95" s="248" t="n"/>
      <c r="EIK95" s="240" t="n"/>
      <c r="EIL95" s="240" t="n"/>
      <c r="EIN95" s="15" t="n"/>
      <c r="EIO95" s="15" t="n"/>
      <c r="EIP95" s="248" t="n"/>
      <c r="EIQ95" s="248" t="n"/>
      <c r="EIR95" s="240" t="n"/>
      <c r="EIS95" s="240" t="n"/>
      <c r="EIU95" s="15" t="n"/>
      <c r="EIV95" s="15" t="n"/>
      <c r="EIW95" s="248" t="n"/>
      <c r="EIX95" s="248" t="n"/>
      <c r="EIY95" s="240" t="n"/>
      <c r="EIZ95" s="240" t="n"/>
      <c r="EJB95" s="15" t="n"/>
      <c r="EJC95" s="15" t="n"/>
      <c r="EJD95" s="248" t="n"/>
      <c r="EJE95" s="248" t="n"/>
      <c r="EJF95" s="240" t="n"/>
      <c r="EJG95" s="240" t="n"/>
      <c r="EJI95" s="15" t="n"/>
      <c r="EJJ95" s="15" t="n"/>
      <c r="EJK95" s="248" t="n"/>
      <c r="EJL95" s="248" t="n"/>
      <c r="EJM95" s="240" t="n"/>
      <c r="EJN95" s="240" t="n"/>
      <c r="EJP95" s="15" t="n"/>
      <c r="EJQ95" s="15" t="n"/>
      <c r="EJR95" s="248" t="n"/>
      <c r="EJS95" s="248" t="n"/>
      <c r="EJT95" s="240" t="n"/>
      <c r="EJU95" s="240" t="n"/>
      <c r="EJW95" s="15" t="n"/>
      <c r="EJX95" s="15" t="n"/>
      <c r="EJY95" s="248" t="n"/>
      <c r="EJZ95" s="248" t="n"/>
      <c r="EKA95" s="240" t="n"/>
      <c r="EKB95" s="240" t="n"/>
      <c r="EKD95" s="15" t="n"/>
      <c r="EKE95" s="15" t="n"/>
      <c r="EKF95" s="248" t="n"/>
      <c r="EKG95" s="248" t="n"/>
      <c r="EKH95" s="240" t="n"/>
      <c r="EKI95" s="240" t="n"/>
      <c r="EKK95" s="15" t="n"/>
      <c r="EKL95" s="15" t="n"/>
      <c r="EKM95" s="248" t="n"/>
      <c r="EKN95" s="248" t="n"/>
      <c r="EKO95" s="240" t="n"/>
      <c r="EKP95" s="240" t="n"/>
      <c r="EKR95" s="15" t="n"/>
      <c r="EKS95" s="15" t="n"/>
      <c r="EKT95" s="248" t="n"/>
      <c r="EKU95" s="248" t="n"/>
      <c r="EKV95" s="240" t="n"/>
      <c r="EKW95" s="240" t="n"/>
      <c r="EKY95" s="15" t="n"/>
      <c r="EKZ95" s="15" t="n"/>
      <c r="ELA95" s="248" t="n"/>
      <c r="ELB95" s="248" t="n"/>
      <c r="ELC95" s="240" t="n"/>
      <c r="ELD95" s="240" t="n"/>
      <c r="ELF95" s="15" t="n"/>
      <c r="ELG95" s="15" t="n"/>
      <c r="ELH95" s="248" t="n"/>
      <c r="ELI95" s="248" t="n"/>
      <c r="ELJ95" s="240" t="n"/>
      <c r="ELK95" s="240" t="n"/>
      <c r="ELM95" s="15" t="n"/>
      <c r="ELN95" s="15" t="n"/>
      <c r="ELO95" s="248" t="n"/>
      <c r="ELP95" s="248" t="n"/>
      <c r="ELQ95" s="240" t="n"/>
      <c r="ELR95" s="240" t="n"/>
      <c r="ELT95" s="15" t="n"/>
      <c r="ELU95" s="15" t="n"/>
      <c r="ELV95" s="248" t="n"/>
      <c r="ELW95" s="248" t="n"/>
      <c r="ELX95" s="240" t="n"/>
      <c r="ELY95" s="240" t="n"/>
      <c r="EMA95" s="15" t="n"/>
      <c r="EMB95" s="15" t="n"/>
      <c r="EMC95" s="248" t="n"/>
      <c r="EMD95" s="248" t="n"/>
      <c r="EME95" s="240" t="n"/>
      <c r="EMF95" s="240" t="n"/>
      <c r="EMH95" s="15" t="n"/>
      <c r="EMI95" s="15" t="n"/>
      <c r="EMJ95" s="248" t="n"/>
      <c r="EMK95" s="248" t="n"/>
      <c r="EML95" s="240" t="n"/>
      <c r="EMM95" s="240" t="n"/>
      <c r="EMO95" s="15" t="n"/>
      <c r="EMP95" s="15" t="n"/>
      <c r="EMQ95" s="248" t="n"/>
      <c r="EMR95" s="248" t="n"/>
      <c r="EMS95" s="240" t="n"/>
      <c r="EMT95" s="240" t="n"/>
      <c r="EMV95" s="15" t="n"/>
      <c r="EMW95" s="15" t="n"/>
      <c r="EMX95" s="248" t="n"/>
      <c r="EMY95" s="248" t="n"/>
      <c r="EMZ95" s="240" t="n"/>
      <c r="ENA95" s="240" t="n"/>
      <c r="ENC95" s="15" t="n"/>
      <c r="END95" s="15" t="n"/>
      <c r="ENE95" s="248" t="n"/>
      <c r="ENF95" s="248" t="n"/>
      <c r="ENG95" s="240" t="n"/>
      <c r="ENH95" s="240" t="n"/>
      <c r="ENJ95" s="15" t="n"/>
      <c r="ENK95" s="15" t="n"/>
      <c r="ENL95" s="248" t="n"/>
      <c r="ENM95" s="248" t="n"/>
      <c r="ENN95" s="240" t="n"/>
      <c r="ENO95" s="240" t="n"/>
      <c r="ENQ95" s="15" t="n"/>
      <c r="ENR95" s="15" t="n"/>
      <c r="ENS95" s="248" t="n"/>
      <c r="ENT95" s="248" t="n"/>
      <c r="ENU95" s="240" t="n"/>
      <c r="ENV95" s="240" t="n"/>
      <c r="ENX95" s="15" t="n"/>
      <c r="ENY95" s="15" t="n"/>
      <c r="ENZ95" s="248" t="n"/>
      <c r="EOA95" s="248" t="n"/>
      <c r="EOB95" s="240" t="n"/>
      <c r="EOC95" s="240" t="n"/>
      <c r="EOE95" s="15" t="n"/>
      <c r="EOF95" s="15" t="n"/>
      <c r="EOG95" s="248" t="n"/>
      <c r="EOH95" s="248" t="n"/>
      <c r="EOI95" s="240" t="n"/>
      <c r="EOJ95" s="240" t="n"/>
      <c r="EOL95" s="15" t="n"/>
      <c r="EOM95" s="15" t="n"/>
      <c r="EON95" s="248" t="n"/>
      <c r="EOO95" s="248" t="n"/>
      <c r="EOP95" s="240" t="n"/>
      <c r="EOQ95" s="240" t="n"/>
      <c r="EOS95" s="15" t="n"/>
      <c r="EOT95" s="15" t="n"/>
      <c r="EOU95" s="248" t="n"/>
      <c r="EOV95" s="248" t="n"/>
      <c r="EOW95" s="240" t="n"/>
      <c r="EOX95" s="240" t="n"/>
      <c r="EOZ95" s="15" t="n"/>
      <c r="EPA95" s="15" t="n"/>
      <c r="EPB95" s="248" t="n"/>
      <c r="EPC95" s="248" t="n"/>
      <c r="EPD95" s="240" t="n"/>
      <c r="EPE95" s="240" t="n"/>
      <c r="EPG95" s="15" t="n"/>
      <c r="EPH95" s="15" t="n"/>
      <c r="EPI95" s="248" t="n"/>
      <c r="EPJ95" s="248" t="n"/>
      <c r="EPK95" s="240" t="n"/>
      <c r="EPL95" s="240" t="n"/>
      <c r="EPN95" s="15" t="n"/>
      <c r="EPO95" s="15" t="n"/>
      <c r="EPP95" s="248" t="n"/>
      <c r="EPQ95" s="248" t="n"/>
      <c r="EPR95" s="240" t="n"/>
      <c r="EPS95" s="240" t="n"/>
      <c r="EPU95" s="15" t="n"/>
      <c r="EPV95" s="15" t="n"/>
      <c r="EPW95" s="248" t="n"/>
      <c r="EPX95" s="248" t="n"/>
      <c r="EPY95" s="240" t="n"/>
      <c r="EPZ95" s="240" t="n"/>
      <c r="EQB95" s="15" t="n"/>
      <c r="EQC95" s="15" t="n"/>
      <c r="EQD95" s="248" t="n"/>
      <c r="EQE95" s="248" t="n"/>
      <c r="EQF95" s="240" t="n"/>
      <c r="EQG95" s="240" t="n"/>
      <c r="EQI95" s="15" t="n"/>
      <c r="EQJ95" s="15" t="n"/>
      <c r="EQK95" s="248" t="n"/>
      <c r="EQL95" s="248" t="n"/>
      <c r="EQM95" s="240" t="n"/>
      <c r="EQN95" s="240" t="n"/>
      <c r="EQP95" s="15" t="n"/>
      <c r="EQQ95" s="15" t="n"/>
      <c r="EQR95" s="248" t="n"/>
      <c r="EQS95" s="248" t="n"/>
      <c r="EQT95" s="240" t="n"/>
      <c r="EQU95" s="240" t="n"/>
      <c r="EQW95" s="15" t="n"/>
      <c r="EQX95" s="15" t="n"/>
      <c r="EQY95" s="248" t="n"/>
      <c r="EQZ95" s="248" t="n"/>
      <c r="ERA95" s="240" t="n"/>
      <c r="ERB95" s="240" t="n"/>
      <c r="ERD95" s="15" t="n"/>
      <c r="ERE95" s="15" t="n"/>
      <c r="ERF95" s="248" t="n"/>
      <c r="ERG95" s="248" t="n"/>
      <c r="ERH95" s="240" t="n"/>
      <c r="ERI95" s="240" t="n"/>
      <c r="ERK95" s="15" t="n"/>
      <c r="ERL95" s="15" t="n"/>
      <c r="ERM95" s="248" t="n"/>
      <c r="ERN95" s="248" t="n"/>
      <c r="ERO95" s="240" t="n"/>
      <c r="ERP95" s="240" t="n"/>
      <c r="ERR95" s="15" t="n"/>
      <c r="ERS95" s="15" t="n"/>
      <c r="ERT95" s="248" t="n"/>
      <c r="ERU95" s="248" t="n"/>
      <c r="ERV95" s="240" t="n"/>
      <c r="ERW95" s="240" t="n"/>
      <c r="ERY95" s="15" t="n"/>
      <c r="ERZ95" s="15" t="n"/>
      <c r="ESA95" s="248" t="n"/>
      <c r="ESB95" s="248" t="n"/>
      <c r="ESC95" s="240" t="n"/>
      <c r="ESD95" s="240" t="n"/>
      <c r="ESF95" s="15" t="n"/>
      <c r="ESG95" s="15" t="n"/>
      <c r="ESH95" s="248" t="n"/>
      <c r="ESI95" s="248" t="n"/>
      <c r="ESJ95" s="240" t="n"/>
      <c r="ESK95" s="240" t="n"/>
      <c r="ESM95" s="15" t="n"/>
      <c r="ESN95" s="15" t="n"/>
      <c r="ESO95" s="248" t="n"/>
      <c r="ESP95" s="248" t="n"/>
      <c r="ESQ95" s="240" t="n"/>
      <c r="ESR95" s="240" t="n"/>
      <c r="EST95" s="15" t="n"/>
      <c r="ESU95" s="15" t="n"/>
      <c r="ESV95" s="248" t="n"/>
      <c r="ESW95" s="248" t="n"/>
      <c r="ESX95" s="240" t="n"/>
      <c r="ESY95" s="240" t="n"/>
      <c r="ETA95" s="15" t="n"/>
      <c r="ETB95" s="15" t="n"/>
      <c r="ETC95" s="248" t="n"/>
      <c r="ETD95" s="248" t="n"/>
      <c r="ETE95" s="240" t="n"/>
      <c r="ETF95" s="240" t="n"/>
      <c r="ETH95" s="15" t="n"/>
      <c r="ETI95" s="15" t="n"/>
      <c r="ETJ95" s="248" t="n"/>
      <c r="ETK95" s="248" t="n"/>
      <c r="ETL95" s="240" t="n"/>
      <c r="ETM95" s="240" t="n"/>
      <c r="ETO95" s="15" t="n"/>
      <c r="ETP95" s="15" t="n"/>
      <c r="ETQ95" s="248" t="n"/>
      <c r="ETR95" s="248" t="n"/>
      <c r="ETS95" s="240" t="n"/>
      <c r="ETT95" s="240" t="n"/>
      <c r="ETV95" s="15" t="n"/>
      <c r="ETW95" s="15" t="n"/>
      <c r="ETX95" s="248" t="n"/>
      <c r="ETY95" s="248" t="n"/>
      <c r="ETZ95" s="240" t="n"/>
      <c r="EUA95" s="240" t="n"/>
      <c r="EUC95" s="15" t="n"/>
      <c r="EUD95" s="15" t="n"/>
      <c r="EUE95" s="248" t="n"/>
      <c r="EUF95" s="248" t="n"/>
      <c r="EUG95" s="240" t="n"/>
      <c r="EUH95" s="240" t="n"/>
      <c r="EUJ95" s="15" t="n"/>
      <c r="EUK95" s="15" t="n"/>
      <c r="EUL95" s="248" t="n"/>
      <c r="EUM95" s="248" t="n"/>
      <c r="EUN95" s="240" t="n"/>
      <c r="EUO95" s="240" t="n"/>
      <c r="EUQ95" s="15" t="n"/>
      <c r="EUR95" s="15" t="n"/>
      <c r="EUS95" s="248" t="n"/>
      <c r="EUT95" s="248" t="n"/>
      <c r="EUU95" s="240" t="n"/>
      <c r="EUV95" s="240" t="n"/>
      <c r="EUX95" s="15" t="n"/>
      <c r="EUY95" s="15" t="n"/>
      <c r="EUZ95" s="248" t="n"/>
      <c r="EVA95" s="248" t="n"/>
      <c r="EVB95" s="240" t="n"/>
      <c r="EVC95" s="240" t="n"/>
      <c r="EVE95" s="15" t="n"/>
      <c r="EVF95" s="15" t="n"/>
      <c r="EVG95" s="248" t="n"/>
      <c r="EVH95" s="248" t="n"/>
      <c r="EVI95" s="240" t="n"/>
      <c r="EVJ95" s="240" t="n"/>
      <c r="EVL95" s="15" t="n"/>
      <c r="EVM95" s="15" t="n"/>
      <c r="EVN95" s="248" t="n"/>
      <c r="EVO95" s="248" t="n"/>
      <c r="EVP95" s="240" t="n"/>
      <c r="EVQ95" s="240" t="n"/>
      <c r="EVS95" s="15" t="n"/>
      <c r="EVT95" s="15" t="n"/>
      <c r="EVU95" s="248" t="n"/>
      <c r="EVV95" s="248" t="n"/>
      <c r="EVW95" s="240" t="n"/>
      <c r="EVX95" s="240" t="n"/>
      <c r="EVZ95" s="15" t="n"/>
      <c r="EWA95" s="15" t="n"/>
      <c r="EWB95" s="248" t="n"/>
      <c r="EWC95" s="248" t="n"/>
      <c r="EWD95" s="240" t="n"/>
      <c r="EWE95" s="240" t="n"/>
      <c r="EWG95" s="15" t="n"/>
      <c r="EWH95" s="15" t="n"/>
      <c r="EWI95" s="248" t="n"/>
      <c r="EWJ95" s="248" t="n"/>
      <c r="EWK95" s="240" t="n"/>
      <c r="EWL95" s="240" t="n"/>
      <c r="EWN95" s="15" t="n"/>
      <c r="EWO95" s="15" t="n"/>
      <c r="EWP95" s="248" t="n"/>
      <c r="EWQ95" s="248" t="n"/>
      <c r="EWR95" s="240" t="n"/>
      <c r="EWS95" s="240" t="n"/>
      <c r="EWU95" s="15" t="n"/>
      <c r="EWV95" s="15" t="n"/>
      <c r="EWW95" s="248" t="n"/>
      <c r="EWX95" s="248" t="n"/>
      <c r="EWY95" s="240" t="n"/>
      <c r="EWZ95" s="240" t="n"/>
      <c r="EXB95" s="15" t="n"/>
      <c r="EXC95" s="15" t="n"/>
      <c r="EXD95" s="248" t="n"/>
      <c r="EXE95" s="248" t="n"/>
      <c r="EXF95" s="240" t="n"/>
      <c r="EXG95" s="240" t="n"/>
      <c r="EXI95" s="15" t="n"/>
      <c r="EXJ95" s="15" t="n"/>
      <c r="EXK95" s="248" t="n"/>
      <c r="EXL95" s="248" t="n"/>
      <c r="EXM95" s="240" t="n"/>
      <c r="EXN95" s="240" t="n"/>
      <c r="EXP95" s="15" t="n"/>
      <c r="EXQ95" s="15" t="n"/>
      <c r="EXR95" s="248" t="n"/>
      <c r="EXS95" s="248" t="n"/>
      <c r="EXT95" s="240" t="n"/>
      <c r="EXU95" s="240" t="n"/>
      <c r="EXW95" s="15" t="n"/>
      <c r="EXX95" s="15" t="n"/>
      <c r="EXY95" s="248" t="n"/>
      <c r="EXZ95" s="248" t="n"/>
      <c r="EYA95" s="240" t="n"/>
      <c r="EYB95" s="240" t="n"/>
      <c r="EYD95" s="15" t="n"/>
      <c r="EYE95" s="15" t="n"/>
      <c r="EYF95" s="248" t="n"/>
      <c r="EYG95" s="248" t="n"/>
      <c r="EYH95" s="240" t="n"/>
      <c r="EYI95" s="240" t="n"/>
      <c r="EYK95" s="15" t="n"/>
      <c r="EYL95" s="15" t="n"/>
      <c r="EYM95" s="248" t="n"/>
      <c r="EYN95" s="248" t="n"/>
      <c r="EYO95" s="240" t="n"/>
      <c r="EYP95" s="240" t="n"/>
      <c r="EYR95" s="15" t="n"/>
      <c r="EYS95" s="15" t="n"/>
      <c r="EYT95" s="248" t="n"/>
      <c r="EYU95" s="248" t="n"/>
      <c r="EYV95" s="240" t="n"/>
      <c r="EYW95" s="240" t="n"/>
      <c r="EYY95" s="15" t="n"/>
      <c r="EYZ95" s="15" t="n"/>
      <c r="EZA95" s="248" t="n"/>
      <c r="EZB95" s="248" t="n"/>
      <c r="EZC95" s="240" t="n"/>
      <c r="EZD95" s="240" t="n"/>
      <c r="EZF95" s="15" t="n"/>
      <c r="EZG95" s="15" t="n"/>
      <c r="EZH95" s="248" t="n"/>
      <c r="EZI95" s="248" t="n"/>
      <c r="EZJ95" s="240" t="n"/>
      <c r="EZK95" s="240" t="n"/>
      <c r="EZM95" s="15" t="n"/>
      <c r="EZN95" s="15" t="n"/>
      <c r="EZO95" s="248" t="n"/>
      <c r="EZP95" s="248" t="n"/>
      <c r="EZQ95" s="240" t="n"/>
      <c r="EZR95" s="240" t="n"/>
      <c r="EZT95" s="15" t="n"/>
      <c r="EZU95" s="15" t="n"/>
      <c r="EZV95" s="248" t="n"/>
      <c r="EZW95" s="248" t="n"/>
      <c r="EZX95" s="240" t="n"/>
      <c r="EZY95" s="240" t="n"/>
      <c r="FAA95" s="15" t="n"/>
      <c r="FAB95" s="15" t="n"/>
      <c r="FAC95" s="248" t="n"/>
      <c r="FAD95" s="248" t="n"/>
      <c r="FAE95" s="240" t="n"/>
      <c r="FAF95" s="240" t="n"/>
      <c r="FAH95" s="15" t="n"/>
      <c r="FAI95" s="15" t="n"/>
      <c r="FAJ95" s="248" t="n"/>
      <c r="FAK95" s="248" t="n"/>
      <c r="FAL95" s="240" t="n"/>
      <c r="FAM95" s="240" t="n"/>
      <c r="FAO95" s="15" t="n"/>
      <c r="FAP95" s="15" t="n"/>
      <c r="FAQ95" s="248" t="n"/>
      <c r="FAR95" s="248" t="n"/>
      <c r="FAS95" s="240" t="n"/>
      <c r="FAT95" s="240" t="n"/>
      <c r="FAV95" s="15" t="n"/>
      <c r="FAW95" s="15" t="n"/>
      <c r="FAX95" s="248" t="n"/>
      <c r="FAY95" s="248" t="n"/>
      <c r="FAZ95" s="240" t="n"/>
      <c r="FBA95" s="240" t="n"/>
      <c r="FBC95" s="15" t="n"/>
      <c r="FBD95" s="15" t="n"/>
      <c r="FBE95" s="248" t="n"/>
      <c r="FBF95" s="248" t="n"/>
      <c r="FBG95" s="240" t="n"/>
      <c r="FBH95" s="240" t="n"/>
      <c r="FBJ95" s="15" t="n"/>
      <c r="FBK95" s="15" t="n"/>
      <c r="FBL95" s="248" t="n"/>
      <c r="FBM95" s="248" t="n"/>
      <c r="FBN95" s="240" t="n"/>
      <c r="FBO95" s="240" t="n"/>
      <c r="FBQ95" s="15" t="n"/>
      <c r="FBR95" s="15" t="n"/>
      <c r="FBS95" s="248" t="n"/>
      <c r="FBT95" s="248" t="n"/>
      <c r="FBU95" s="240" t="n"/>
      <c r="FBV95" s="240" t="n"/>
      <c r="FBX95" s="15" t="n"/>
      <c r="FBY95" s="15" t="n"/>
      <c r="FBZ95" s="248" t="n"/>
      <c r="FCA95" s="248" t="n"/>
      <c r="FCB95" s="240" t="n"/>
      <c r="FCC95" s="240" t="n"/>
      <c r="FCE95" s="15" t="n"/>
      <c r="FCF95" s="15" t="n"/>
      <c r="FCG95" s="248" t="n"/>
      <c r="FCH95" s="248" t="n"/>
      <c r="FCI95" s="240" t="n"/>
      <c r="FCJ95" s="240" t="n"/>
      <c r="FCL95" s="15" t="n"/>
      <c r="FCM95" s="15" t="n"/>
      <c r="FCN95" s="248" t="n"/>
      <c r="FCO95" s="248" t="n"/>
      <c r="FCP95" s="240" t="n"/>
      <c r="FCQ95" s="240" t="n"/>
      <c r="FCS95" s="15" t="n"/>
      <c r="FCT95" s="15" t="n"/>
      <c r="FCU95" s="248" t="n"/>
      <c r="FCV95" s="248" t="n"/>
      <c r="FCW95" s="240" t="n"/>
      <c r="FCX95" s="240" t="n"/>
      <c r="FCZ95" s="15" t="n"/>
      <c r="FDA95" s="15" t="n"/>
      <c r="FDB95" s="248" t="n"/>
      <c r="FDC95" s="248" t="n"/>
      <c r="FDD95" s="240" t="n"/>
      <c r="FDE95" s="240" t="n"/>
      <c r="FDG95" s="15" t="n"/>
      <c r="FDH95" s="15" t="n"/>
      <c r="FDI95" s="248" t="n"/>
      <c r="FDJ95" s="248" t="n"/>
      <c r="FDK95" s="240" t="n"/>
      <c r="FDL95" s="240" t="n"/>
      <c r="FDN95" s="15" t="n"/>
      <c r="FDO95" s="15" t="n"/>
      <c r="FDP95" s="248" t="n"/>
      <c r="FDQ95" s="248" t="n"/>
      <c r="FDR95" s="240" t="n"/>
      <c r="FDS95" s="240" t="n"/>
      <c r="FDU95" s="15" t="n"/>
      <c r="FDV95" s="15" t="n"/>
      <c r="FDW95" s="248" t="n"/>
      <c r="FDX95" s="248" t="n"/>
      <c r="FDY95" s="240" t="n"/>
      <c r="FDZ95" s="240" t="n"/>
      <c r="FEB95" s="15" t="n"/>
      <c r="FEC95" s="15" t="n"/>
      <c r="FED95" s="248" t="n"/>
      <c r="FEE95" s="248" t="n"/>
      <c r="FEF95" s="240" t="n"/>
      <c r="FEG95" s="240" t="n"/>
      <c r="FEI95" s="15" t="n"/>
      <c r="FEJ95" s="15" t="n"/>
      <c r="FEK95" s="248" t="n"/>
      <c r="FEL95" s="248" t="n"/>
      <c r="FEM95" s="240" t="n"/>
      <c r="FEN95" s="240" t="n"/>
      <c r="FEP95" s="15" t="n"/>
      <c r="FEQ95" s="15" t="n"/>
      <c r="FER95" s="248" t="n"/>
      <c r="FES95" s="248" t="n"/>
      <c r="FET95" s="240" t="n"/>
      <c r="FEU95" s="240" t="n"/>
      <c r="FEW95" s="15" t="n"/>
      <c r="FEX95" s="15" t="n"/>
      <c r="FEY95" s="248" t="n"/>
      <c r="FEZ95" s="248" t="n"/>
      <c r="FFA95" s="240" t="n"/>
      <c r="FFB95" s="240" t="n"/>
      <c r="FFD95" s="15" t="n"/>
      <c r="FFE95" s="15" t="n"/>
      <c r="FFF95" s="248" t="n"/>
      <c r="FFG95" s="248" t="n"/>
      <c r="FFH95" s="240" t="n"/>
      <c r="FFI95" s="240" t="n"/>
      <c r="FFK95" s="15" t="n"/>
      <c r="FFL95" s="15" t="n"/>
      <c r="FFM95" s="248" t="n"/>
      <c r="FFN95" s="248" t="n"/>
      <c r="FFO95" s="240" t="n"/>
      <c r="FFP95" s="240" t="n"/>
      <c r="FFR95" s="15" t="n"/>
      <c r="FFS95" s="15" t="n"/>
      <c r="FFT95" s="248" t="n"/>
      <c r="FFU95" s="248" t="n"/>
      <c r="FFV95" s="240" t="n"/>
      <c r="FFW95" s="240" t="n"/>
      <c r="FFY95" s="15" t="n"/>
      <c r="FFZ95" s="15" t="n"/>
      <c r="FGA95" s="248" t="n"/>
      <c r="FGB95" s="248" t="n"/>
      <c r="FGC95" s="240" t="n"/>
      <c r="FGD95" s="240" t="n"/>
      <c r="FGF95" s="15" t="n"/>
      <c r="FGG95" s="15" t="n"/>
      <c r="FGH95" s="248" t="n"/>
      <c r="FGI95" s="248" t="n"/>
      <c r="FGJ95" s="240" t="n"/>
      <c r="FGK95" s="240" t="n"/>
      <c r="FGM95" s="15" t="n"/>
      <c r="FGN95" s="15" t="n"/>
      <c r="FGO95" s="248" t="n"/>
      <c r="FGP95" s="248" t="n"/>
      <c r="FGQ95" s="240" t="n"/>
      <c r="FGR95" s="240" t="n"/>
      <c r="FGT95" s="15" t="n"/>
      <c r="FGU95" s="15" t="n"/>
      <c r="FGV95" s="248" t="n"/>
      <c r="FGW95" s="248" t="n"/>
      <c r="FGX95" s="240" t="n"/>
      <c r="FGY95" s="240" t="n"/>
      <c r="FHA95" s="15" t="n"/>
      <c r="FHB95" s="15" t="n"/>
      <c r="FHC95" s="248" t="n"/>
      <c r="FHD95" s="248" t="n"/>
      <c r="FHE95" s="240" t="n"/>
      <c r="FHF95" s="240" t="n"/>
      <c r="FHH95" s="15" t="n"/>
      <c r="FHI95" s="15" t="n"/>
      <c r="FHJ95" s="248" t="n"/>
      <c r="FHK95" s="248" t="n"/>
      <c r="FHL95" s="240" t="n"/>
      <c r="FHM95" s="240" t="n"/>
      <c r="FHO95" s="15" t="n"/>
      <c r="FHP95" s="15" t="n"/>
      <c r="FHQ95" s="248" t="n"/>
      <c r="FHR95" s="248" t="n"/>
      <c r="FHS95" s="240" t="n"/>
      <c r="FHT95" s="240" t="n"/>
      <c r="FHV95" s="15" t="n"/>
      <c r="FHW95" s="15" t="n"/>
      <c r="FHX95" s="248" t="n"/>
      <c r="FHY95" s="248" t="n"/>
      <c r="FHZ95" s="240" t="n"/>
      <c r="FIA95" s="240" t="n"/>
      <c r="FIC95" s="15" t="n"/>
      <c r="FID95" s="15" t="n"/>
      <c r="FIE95" s="248" t="n"/>
      <c r="FIF95" s="248" t="n"/>
      <c r="FIG95" s="240" t="n"/>
      <c r="FIH95" s="240" t="n"/>
      <c r="FIJ95" s="15" t="n"/>
      <c r="FIK95" s="15" t="n"/>
      <c r="FIL95" s="248" t="n"/>
      <c r="FIM95" s="248" t="n"/>
      <c r="FIN95" s="240" t="n"/>
      <c r="FIO95" s="240" t="n"/>
      <c r="FIQ95" s="15" t="n"/>
      <c r="FIR95" s="15" t="n"/>
      <c r="FIS95" s="248" t="n"/>
      <c r="FIT95" s="248" t="n"/>
      <c r="FIU95" s="240" t="n"/>
      <c r="FIV95" s="240" t="n"/>
      <c r="FIX95" s="15" t="n"/>
      <c r="FIY95" s="15" t="n"/>
      <c r="FIZ95" s="248" t="n"/>
      <c r="FJA95" s="248" t="n"/>
      <c r="FJB95" s="240" t="n"/>
      <c r="FJC95" s="240" t="n"/>
      <c r="FJE95" s="15" t="n"/>
      <c r="FJF95" s="15" t="n"/>
      <c r="FJG95" s="248" t="n"/>
      <c r="FJH95" s="248" t="n"/>
      <c r="FJI95" s="240" t="n"/>
      <c r="FJJ95" s="240" t="n"/>
      <c r="FJL95" s="15" t="n"/>
      <c r="FJM95" s="15" t="n"/>
      <c r="FJN95" s="248" t="n"/>
      <c r="FJO95" s="248" t="n"/>
      <c r="FJP95" s="240" t="n"/>
      <c r="FJQ95" s="240" t="n"/>
      <c r="FJS95" s="15" t="n"/>
      <c r="FJT95" s="15" t="n"/>
      <c r="FJU95" s="248" t="n"/>
      <c r="FJV95" s="248" t="n"/>
      <c r="FJW95" s="240" t="n"/>
      <c r="FJX95" s="240" t="n"/>
      <c r="FJZ95" s="15" t="n"/>
      <c r="FKA95" s="15" t="n"/>
      <c r="FKB95" s="248" t="n"/>
      <c r="FKC95" s="248" t="n"/>
      <c r="FKD95" s="240" t="n"/>
      <c r="FKE95" s="240" t="n"/>
      <c r="FKG95" s="15" t="n"/>
      <c r="FKH95" s="15" t="n"/>
      <c r="FKI95" s="248" t="n"/>
      <c r="FKJ95" s="248" t="n"/>
      <c r="FKK95" s="240" t="n"/>
      <c r="FKL95" s="240" t="n"/>
      <c r="FKN95" s="15" t="n"/>
      <c r="FKO95" s="15" t="n"/>
      <c r="FKP95" s="248" t="n"/>
      <c r="FKQ95" s="248" t="n"/>
      <c r="FKR95" s="240" t="n"/>
      <c r="FKS95" s="240" t="n"/>
      <c r="FKU95" s="15" t="n"/>
      <c r="FKV95" s="15" t="n"/>
      <c r="FKW95" s="248" t="n"/>
      <c r="FKX95" s="248" t="n"/>
      <c r="FKY95" s="240" t="n"/>
      <c r="FKZ95" s="240" t="n"/>
      <c r="FLB95" s="15" t="n"/>
      <c r="FLC95" s="15" t="n"/>
      <c r="FLD95" s="248" t="n"/>
      <c r="FLE95" s="248" t="n"/>
      <c r="FLF95" s="240" t="n"/>
      <c r="FLG95" s="240" t="n"/>
      <c r="FLI95" s="15" t="n"/>
      <c r="FLJ95" s="15" t="n"/>
      <c r="FLK95" s="248" t="n"/>
      <c r="FLL95" s="248" t="n"/>
      <c r="FLM95" s="240" t="n"/>
      <c r="FLN95" s="240" t="n"/>
      <c r="FLP95" s="15" t="n"/>
      <c r="FLQ95" s="15" t="n"/>
      <c r="FLR95" s="248" t="n"/>
      <c r="FLS95" s="248" t="n"/>
      <c r="FLT95" s="240" t="n"/>
      <c r="FLU95" s="240" t="n"/>
      <c r="FLW95" s="15" t="n"/>
      <c r="FLX95" s="15" t="n"/>
      <c r="FLY95" s="248" t="n"/>
      <c r="FLZ95" s="248" t="n"/>
      <c r="FMA95" s="240" t="n"/>
      <c r="FMB95" s="240" t="n"/>
      <c r="FMD95" s="15" t="n"/>
      <c r="FME95" s="15" t="n"/>
      <c r="FMF95" s="248" t="n"/>
      <c r="FMG95" s="248" t="n"/>
      <c r="FMH95" s="240" t="n"/>
      <c r="FMI95" s="240" t="n"/>
      <c r="FMK95" s="15" t="n"/>
      <c r="FML95" s="15" t="n"/>
      <c r="FMM95" s="248" t="n"/>
      <c r="FMN95" s="248" t="n"/>
      <c r="FMO95" s="240" t="n"/>
      <c r="FMP95" s="240" t="n"/>
      <c r="FMR95" s="15" t="n"/>
      <c r="FMS95" s="15" t="n"/>
      <c r="FMT95" s="248" t="n"/>
      <c r="FMU95" s="248" t="n"/>
      <c r="FMV95" s="240" t="n"/>
      <c r="FMW95" s="240" t="n"/>
      <c r="FMY95" s="15" t="n"/>
      <c r="FMZ95" s="15" t="n"/>
      <c r="FNA95" s="248" t="n"/>
      <c r="FNB95" s="248" t="n"/>
      <c r="FNC95" s="240" t="n"/>
      <c r="FND95" s="240" t="n"/>
      <c r="FNF95" s="15" t="n"/>
      <c r="FNG95" s="15" t="n"/>
      <c r="FNH95" s="248" t="n"/>
      <c r="FNI95" s="248" t="n"/>
      <c r="FNJ95" s="240" t="n"/>
      <c r="FNK95" s="240" t="n"/>
      <c r="FNM95" s="15" t="n"/>
      <c r="FNN95" s="15" t="n"/>
      <c r="FNO95" s="248" t="n"/>
      <c r="FNP95" s="248" t="n"/>
      <c r="FNQ95" s="240" t="n"/>
      <c r="FNR95" s="240" t="n"/>
      <c r="FNT95" s="15" t="n"/>
      <c r="FNU95" s="15" t="n"/>
      <c r="FNV95" s="248" t="n"/>
      <c r="FNW95" s="248" t="n"/>
      <c r="FNX95" s="240" t="n"/>
      <c r="FNY95" s="240" t="n"/>
      <c r="FOA95" s="15" t="n"/>
      <c r="FOB95" s="15" t="n"/>
      <c r="FOC95" s="248" t="n"/>
      <c r="FOD95" s="248" t="n"/>
      <c r="FOE95" s="240" t="n"/>
      <c r="FOF95" s="240" t="n"/>
      <c r="FOH95" s="15" t="n"/>
      <c r="FOI95" s="15" t="n"/>
      <c r="FOJ95" s="248" t="n"/>
      <c r="FOK95" s="248" t="n"/>
      <c r="FOL95" s="240" t="n"/>
      <c r="FOM95" s="240" t="n"/>
      <c r="FOO95" s="15" t="n"/>
      <c r="FOP95" s="15" t="n"/>
      <c r="FOQ95" s="248" t="n"/>
      <c r="FOR95" s="248" t="n"/>
      <c r="FOS95" s="240" t="n"/>
      <c r="FOT95" s="240" t="n"/>
      <c r="FOV95" s="15" t="n"/>
      <c r="FOW95" s="15" t="n"/>
      <c r="FOX95" s="248" t="n"/>
      <c r="FOY95" s="248" t="n"/>
      <c r="FOZ95" s="240" t="n"/>
      <c r="FPA95" s="240" t="n"/>
      <c r="FPC95" s="15" t="n"/>
      <c r="FPD95" s="15" t="n"/>
      <c r="FPE95" s="248" t="n"/>
      <c r="FPF95" s="248" t="n"/>
      <c r="FPG95" s="240" t="n"/>
      <c r="FPH95" s="240" t="n"/>
      <c r="FPJ95" s="15" t="n"/>
      <c r="FPK95" s="15" t="n"/>
      <c r="FPL95" s="248" t="n"/>
      <c r="FPM95" s="248" t="n"/>
      <c r="FPN95" s="240" t="n"/>
      <c r="FPO95" s="240" t="n"/>
      <c r="FPQ95" s="15" t="n"/>
      <c r="FPR95" s="15" t="n"/>
      <c r="FPS95" s="248" t="n"/>
      <c r="FPT95" s="248" t="n"/>
      <c r="FPU95" s="240" t="n"/>
      <c r="FPV95" s="240" t="n"/>
      <c r="FPX95" s="15" t="n"/>
      <c r="FPY95" s="15" t="n"/>
      <c r="FPZ95" s="248" t="n"/>
      <c r="FQA95" s="248" t="n"/>
      <c r="FQB95" s="240" t="n"/>
      <c r="FQC95" s="240" t="n"/>
      <c r="FQE95" s="15" t="n"/>
      <c r="FQF95" s="15" t="n"/>
      <c r="FQG95" s="248" t="n"/>
      <c r="FQH95" s="248" t="n"/>
      <c r="FQI95" s="240" t="n"/>
      <c r="FQJ95" s="240" t="n"/>
      <c r="FQL95" s="15" t="n"/>
      <c r="FQM95" s="15" t="n"/>
      <c r="FQN95" s="248" t="n"/>
      <c r="FQO95" s="248" t="n"/>
      <c r="FQP95" s="240" t="n"/>
      <c r="FQQ95" s="240" t="n"/>
      <c r="FQS95" s="15" t="n"/>
      <c r="FQT95" s="15" t="n"/>
      <c r="FQU95" s="248" t="n"/>
      <c r="FQV95" s="248" t="n"/>
      <c r="FQW95" s="240" t="n"/>
      <c r="FQX95" s="240" t="n"/>
      <c r="FQZ95" s="15" t="n"/>
      <c r="FRA95" s="15" t="n"/>
      <c r="FRB95" s="248" t="n"/>
      <c r="FRC95" s="248" t="n"/>
      <c r="FRD95" s="240" t="n"/>
      <c r="FRE95" s="240" t="n"/>
      <c r="FRG95" s="15" t="n"/>
      <c r="FRH95" s="15" t="n"/>
      <c r="FRI95" s="248" t="n"/>
      <c r="FRJ95" s="248" t="n"/>
      <c r="FRK95" s="240" t="n"/>
      <c r="FRL95" s="240" t="n"/>
      <c r="FRN95" s="15" t="n"/>
      <c r="FRO95" s="15" t="n"/>
      <c r="FRP95" s="248" t="n"/>
      <c r="FRQ95" s="248" t="n"/>
      <c r="FRR95" s="240" t="n"/>
      <c r="FRS95" s="240" t="n"/>
      <c r="FRU95" s="15" t="n"/>
      <c r="FRV95" s="15" t="n"/>
      <c r="FRW95" s="248" t="n"/>
      <c r="FRX95" s="248" t="n"/>
      <c r="FRY95" s="240" t="n"/>
      <c r="FRZ95" s="240" t="n"/>
      <c r="FSB95" s="15" t="n"/>
      <c r="FSC95" s="15" t="n"/>
      <c r="FSD95" s="248" t="n"/>
      <c r="FSE95" s="248" t="n"/>
      <c r="FSF95" s="240" t="n"/>
      <c r="FSG95" s="240" t="n"/>
      <c r="FSI95" s="15" t="n"/>
      <c r="FSJ95" s="15" t="n"/>
      <c r="FSK95" s="248" t="n"/>
      <c r="FSL95" s="248" t="n"/>
      <c r="FSM95" s="240" t="n"/>
      <c r="FSN95" s="240" t="n"/>
      <c r="FSP95" s="15" t="n"/>
      <c r="FSQ95" s="15" t="n"/>
      <c r="FSR95" s="248" t="n"/>
      <c r="FSS95" s="248" t="n"/>
      <c r="FST95" s="240" t="n"/>
      <c r="FSU95" s="240" t="n"/>
      <c r="FSW95" s="15" t="n"/>
      <c r="FSX95" s="15" t="n"/>
      <c r="FSY95" s="248" t="n"/>
      <c r="FSZ95" s="248" t="n"/>
      <c r="FTA95" s="240" t="n"/>
      <c r="FTB95" s="240" t="n"/>
      <c r="FTD95" s="15" t="n"/>
      <c r="FTE95" s="15" t="n"/>
      <c r="FTF95" s="248" t="n"/>
      <c r="FTG95" s="248" t="n"/>
      <c r="FTH95" s="240" t="n"/>
      <c r="FTI95" s="240" t="n"/>
      <c r="FTK95" s="15" t="n"/>
      <c r="FTL95" s="15" t="n"/>
      <c r="FTM95" s="248" t="n"/>
      <c r="FTN95" s="248" t="n"/>
      <c r="FTO95" s="240" t="n"/>
      <c r="FTP95" s="240" t="n"/>
      <c r="FTR95" s="15" t="n"/>
      <c r="FTS95" s="15" t="n"/>
      <c r="FTT95" s="248" t="n"/>
      <c r="FTU95" s="248" t="n"/>
      <c r="FTV95" s="240" t="n"/>
      <c r="FTW95" s="240" t="n"/>
      <c r="FTY95" s="15" t="n"/>
      <c r="FTZ95" s="15" t="n"/>
      <c r="FUA95" s="248" t="n"/>
      <c r="FUB95" s="248" t="n"/>
      <c r="FUC95" s="240" t="n"/>
      <c r="FUD95" s="240" t="n"/>
      <c r="FUF95" s="15" t="n"/>
      <c r="FUG95" s="15" t="n"/>
      <c r="FUH95" s="248" t="n"/>
      <c r="FUI95" s="248" t="n"/>
      <c r="FUJ95" s="240" t="n"/>
      <c r="FUK95" s="240" t="n"/>
      <c r="FUM95" s="15" t="n"/>
      <c r="FUN95" s="15" t="n"/>
      <c r="FUO95" s="248" t="n"/>
      <c r="FUP95" s="248" t="n"/>
      <c r="FUQ95" s="240" t="n"/>
      <c r="FUR95" s="240" t="n"/>
      <c r="FUT95" s="15" t="n"/>
      <c r="FUU95" s="15" t="n"/>
      <c r="FUV95" s="248" t="n"/>
      <c r="FUW95" s="248" t="n"/>
      <c r="FUX95" s="240" t="n"/>
      <c r="FUY95" s="240" t="n"/>
      <c r="FVA95" s="15" t="n"/>
      <c r="FVB95" s="15" t="n"/>
      <c r="FVC95" s="248" t="n"/>
      <c r="FVD95" s="248" t="n"/>
      <c r="FVE95" s="240" t="n"/>
      <c r="FVF95" s="240" t="n"/>
      <c r="FVH95" s="15" t="n"/>
      <c r="FVI95" s="15" t="n"/>
      <c r="FVJ95" s="248" t="n"/>
      <c r="FVK95" s="248" t="n"/>
      <c r="FVL95" s="240" t="n"/>
      <c r="FVM95" s="240" t="n"/>
      <c r="FVO95" s="15" t="n"/>
      <c r="FVP95" s="15" t="n"/>
      <c r="FVQ95" s="248" t="n"/>
      <c r="FVR95" s="248" t="n"/>
      <c r="FVS95" s="240" t="n"/>
      <c r="FVT95" s="240" t="n"/>
      <c r="FVV95" s="15" t="n"/>
      <c r="FVW95" s="15" t="n"/>
      <c r="FVX95" s="248" t="n"/>
      <c r="FVY95" s="248" t="n"/>
      <c r="FVZ95" s="240" t="n"/>
      <c r="FWA95" s="240" t="n"/>
      <c r="FWC95" s="15" t="n"/>
      <c r="FWD95" s="15" t="n"/>
      <c r="FWE95" s="248" t="n"/>
      <c r="FWF95" s="248" t="n"/>
      <c r="FWG95" s="240" t="n"/>
      <c r="FWH95" s="240" t="n"/>
      <c r="FWJ95" s="15" t="n"/>
      <c r="FWK95" s="15" t="n"/>
      <c r="FWL95" s="248" t="n"/>
      <c r="FWM95" s="248" t="n"/>
      <c r="FWN95" s="240" t="n"/>
      <c r="FWO95" s="240" t="n"/>
      <c r="FWQ95" s="15" t="n"/>
      <c r="FWR95" s="15" t="n"/>
      <c r="FWS95" s="248" t="n"/>
      <c r="FWT95" s="248" t="n"/>
      <c r="FWU95" s="240" t="n"/>
      <c r="FWV95" s="240" t="n"/>
      <c r="FWX95" s="15" t="n"/>
      <c r="FWY95" s="15" t="n"/>
      <c r="FWZ95" s="248" t="n"/>
      <c r="FXA95" s="248" t="n"/>
      <c r="FXB95" s="240" t="n"/>
      <c r="FXC95" s="240" t="n"/>
      <c r="FXE95" s="15" t="n"/>
      <c r="FXF95" s="15" t="n"/>
      <c r="FXG95" s="248" t="n"/>
      <c r="FXH95" s="248" t="n"/>
      <c r="FXI95" s="240" t="n"/>
      <c r="FXJ95" s="240" t="n"/>
      <c r="FXL95" s="15" t="n"/>
      <c r="FXM95" s="15" t="n"/>
      <c r="FXN95" s="248" t="n"/>
      <c r="FXO95" s="248" t="n"/>
      <c r="FXP95" s="240" t="n"/>
      <c r="FXQ95" s="240" t="n"/>
      <c r="FXS95" s="15" t="n"/>
      <c r="FXT95" s="15" t="n"/>
      <c r="FXU95" s="248" t="n"/>
      <c r="FXV95" s="248" t="n"/>
      <c r="FXW95" s="240" t="n"/>
      <c r="FXX95" s="240" t="n"/>
      <c r="FXZ95" s="15" t="n"/>
      <c r="FYA95" s="15" t="n"/>
      <c r="FYB95" s="248" t="n"/>
      <c r="FYC95" s="248" t="n"/>
      <c r="FYD95" s="240" t="n"/>
      <c r="FYE95" s="240" t="n"/>
      <c r="FYG95" s="15" t="n"/>
      <c r="FYH95" s="15" t="n"/>
      <c r="FYI95" s="248" t="n"/>
      <c r="FYJ95" s="248" t="n"/>
      <c r="FYK95" s="240" t="n"/>
      <c r="FYL95" s="240" t="n"/>
      <c r="FYN95" s="15" t="n"/>
      <c r="FYO95" s="15" t="n"/>
      <c r="FYP95" s="248" t="n"/>
      <c r="FYQ95" s="248" t="n"/>
      <c r="FYR95" s="240" t="n"/>
      <c r="FYS95" s="240" t="n"/>
      <c r="FYU95" s="15" t="n"/>
      <c r="FYV95" s="15" t="n"/>
      <c r="FYW95" s="248" t="n"/>
      <c r="FYX95" s="248" t="n"/>
      <c r="FYY95" s="240" t="n"/>
      <c r="FYZ95" s="240" t="n"/>
      <c r="FZB95" s="15" t="n"/>
      <c r="FZC95" s="15" t="n"/>
      <c r="FZD95" s="248" t="n"/>
      <c r="FZE95" s="248" t="n"/>
      <c r="FZF95" s="240" t="n"/>
      <c r="FZG95" s="240" t="n"/>
      <c r="FZI95" s="15" t="n"/>
      <c r="FZJ95" s="15" t="n"/>
      <c r="FZK95" s="248" t="n"/>
      <c r="FZL95" s="248" t="n"/>
      <c r="FZM95" s="240" t="n"/>
      <c r="FZN95" s="240" t="n"/>
      <c r="FZP95" s="15" t="n"/>
      <c r="FZQ95" s="15" t="n"/>
      <c r="FZR95" s="248" t="n"/>
      <c r="FZS95" s="248" t="n"/>
      <c r="FZT95" s="240" t="n"/>
      <c r="FZU95" s="240" t="n"/>
      <c r="FZW95" s="15" t="n"/>
      <c r="FZX95" s="15" t="n"/>
      <c r="FZY95" s="248" t="n"/>
      <c r="FZZ95" s="248" t="n"/>
      <c r="GAA95" s="240" t="n"/>
      <c r="GAB95" s="240" t="n"/>
      <c r="GAD95" s="15" t="n"/>
      <c r="GAE95" s="15" t="n"/>
      <c r="GAF95" s="248" t="n"/>
      <c r="GAG95" s="248" t="n"/>
      <c r="GAH95" s="240" t="n"/>
      <c r="GAI95" s="240" t="n"/>
      <c r="GAK95" s="15" t="n"/>
      <c r="GAL95" s="15" t="n"/>
      <c r="GAM95" s="248" t="n"/>
      <c r="GAN95" s="248" t="n"/>
      <c r="GAO95" s="240" t="n"/>
      <c r="GAP95" s="240" t="n"/>
      <c r="GAR95" s="15" t="n"/>
      <c r="GAS95" s="15" t="n"/>
      <c r="GAT95" s="248" t="n"/>
      <c r="GAU95" s="248" t="n"/>
      <c r="GAV95" s="240" t="n"/>
      <c r="GAW95" s="240" t="n"/>
      <c r="GAY95" s="15" t="n"/>
      <c r="GAZ95" s="15" t="n"/>
      <c r="GBA95" s="248" t="n"/>
      <c r="GBB95" s="248" t="n"/>
      <c r="GBC95" s="240" t="n"/>
      <c r="GBD95" s="240" t="n"/>
      <c r="GBF95" s="15" t="n"/>
      <c r="GBG95" s="15" t="n"/>
      <c r="GBH95" s="248" t="n"/>
      <c r="GBI95" s="248" t="n"/>
      <c r="GBJ95" s="240" t="n"/>
      <c r="GBK95" s="240" t="n"/>
      <c r="GBM95" s="15" t="n"/>
      <c r="GBN95" s="15" t="n"/>
      <c r="GBO95" s="248" t="n"/>
      <c r="GBP95" s="248" t="n"/>
      <c r="GBQ95" s="240" t="n"/>
      <c r="GBR95" s="240" t="n"/>
      <c r="GBT95" s="15" t="n"/>
      <c r="GBU95" s="15" t="n"/>
      <c r="GBV95" s="248" t="n"/>
      <c r="GBW95" s="248" t="n"/>
      <c r="GBX95" s="240" t="n"/>
      <c r="GBY95" s="240" t="n"/>
      <c r="GCA95" s="15" t="n"/>
      <c r="GCB95" s="15" t="n"/>
      <c r="GCC95" s="248" t="n"/>
      <c r="GCD95" s="248" t="n"/>
      <c r="GCE95" s="240" t="n"/>
      <c r="GCF95" s="240" t="n"/>
      <c r="GCH95" s="15" t="n"/>
      <c r="GCI95" s="15" t="n"/>
      <c r="GCJ95" s="248" t="n"/>
      <c r="GCK95" s="248" t="n"/>
      <c r="GCL95" s="240" t="n"/>
      <c r="GCM95" s="240" t="n"/>
      <c r="GCO95" s="15" t="n"/>
      <c r="GCP95" s="15" t="n"/>
      <c r="GCQ95" s="248" t="n"/>
      <c r="GCR95" s="248" t="n"/>
      <c r="GCS95" s="240" t="n"/>
      <c r="GCT95" s="240" t="n"/>
      <c r="GCV95" s="15" t="n"/>
      <c r="GCW95" s="15" t="n"/>
      <c r="GCX95" s="248" t="n"/>
      <c r="GCY95" s="248" t="n"/>
      <c r="GCZ95" s="240" t="n"/>
      <c r="GDA95" s="240" t="n"/>
      <c r="GDC95" s="15" t="n"/>
      <c r="GDD95" s="15" t="n"/>
      <c r="GDE95" s="248" t="n"/>
      <c r="GDF95" s="248" t="n"/>
      <c r="GDG95" s="240" t="n"/>
      <c r="GDH95" s="240" t="n"/>
      <c r="GDJ95" s="15" t="n"/>
      <c r="GDK95" s="15" t="n"/>
      <c r="GDL95" s="248" t="n"/>
      <c r="GDM95" s="248" t="n"/>
      <c r="GDN95" s="240" t="n"/>
      <c r="GDO95" s="240" t="n"/>
      <c r="GDQ95" s="15" t="n"/>
      <c r="GDR95" s="15" t="n"/>
      <c r="GDS95" s="248" t="n"/>
      <c r="GDT95" s="248" t="n"/>
      <c r="GDU95" s="240" t="n"/>
      <c r="GDV95" s="240" t="n"/>
      <c r="GDX95" s="15" t="n"/>
      <c r="GDY95" s="15" t="n"/>
      <c r="GDZ95" s="248" t="n"/>
      <c r="GEA95" s="248" t="n"/>
      <c r="GEB95" s="240" t="n"/>
      <c r="GEC95" s="240" t="n"/>
      <c r="GEE95" s="15" t="n"/>
      <c r="GEF95" s="15" t="n"/>
      <c r="GEG95" s="248" t="n"/>
      <c r="GEH95" s="248" t="n"/>
      <c r="GEI95" s="240" t="n"/>
      <c r="GEJ95" s="240" t="n"/>
      <c r="GEL95" s="15" t="n"/>
      <c r="GEM95" s="15" t="n"/>
      <c r="GEN95" s="248" t="n"/>
      <c r="GEO95" s="248" t="n"/>
      <c r="GEP95" s="240" t="n"/>
      <c r="GEQ95" s="240" t="n"/>
      <c r="GES95" s="15" t="n"/>
      <c r="GET95" s="15" t="n"/>
      <c r="GEU95" s="248" t="n"/>
      <c r="GEV95" s="248" t="n"/>
      <c r="GEW95" s="240" t="n"/>
      <c r="GEX95" s="240" t="n"/>
      <c r="GEZ95" s="15" t="n"/>
      <c r="GFA95" s="15" t="n"/>
      <c r="GFB95" s="248" t="n"/>
      <c r="GFC95" s="248" t="n"/>
      <c r="GFD95" s="240" t="n"/>
      <c r="GFE95" s="240" t="n"/>
      <c r="GFG95" s="15" t="n"/>
      <c r="GFH95" s="15" t="n"/>
      <c r="GFI95" s="248" t="n"/>
      <c r="GFJ95" s="248" t="n"/>
      <c r="GFK95" s="240" t="n"/>
      <c r="GFL95" s="240" t="n"/>
      <c r="GFN95" s="15" t="n"/>
      <c r="GFO95" s="15" t="n"/>
      <c r="GFP95" s="248" t="n"/>
      <c r="GFQ95" s="248" t="n"/>
      <c r="GFR95" s="240" t="n"/>
      <c r="GFS95" s="240" t="n"/>
      <c r="GFU95" s="15" t="n"/>
      <c r="GFV95" s="15" t="n"/>
      <c r="GFW95" s="248" t="n"/>
      <c r="GFX95" s="248" t="n"/>
      <c r="GFY95" s="240" t="n"/>
      <c r="GFZ95" s="240" t="n"/>
      <c r="GGB95" s="15" t="n"/>
      <c r="GGC95" s="15" t="n"/>
      <c r="GGD95" s="248" t="n"/>
      <c r="GGE95" s="248" t="n"/>
      <c r="GGF95" s="240" t="n"/>
      <c r="GGG95" s="240" t="n"/>
      <c r="GGI95" s="15" t="n"/>
      <c r="GGJ95" s="15" t="n"/>
      <c r="GGK95" s="248" t="n"/>
      <c r="GGL95" s="248" t="n"/>
      <c r="GGM95" s="240" t="n"/>
      <c r="GGN95" s="240" t="n"/>
      <c r="GGP95" s="15" t="n"/>
      <c r="GGQ95" s="15" t="n"/>
      <c r="GGR95" s="248" t="n"/>
      <c r="GGS95" s="248" t="n"/>
      <c r="GGT95" s="240" t="n"/>
      <c r="GGU95" s="240" t="n"/>
      <c r="GGW95" s="15" t="n"/>
      <c r="GGX95" s="15" t="n"/>
      <c r="GGY95" s="248" t="n"/>
      <c r="GGZ95" s="248" t="n"/>
      <c r="GHA95" s="240" t="n"/>
      <c r="GHB95" s="240" t="n"/>
      <c r="GHD95" s="15" t="n"/>
      <c r="GHE95" s="15" t="n"/>
      <c r="GHF95" s="248" t="n"/>
      <c r="GHG95" s="248" t="n"/>
      <c r="GHH95" s="240" t="n"/>
      <c r="GHI95" s="240" t="n"/>
      <c r="GHK95" s="15" t="n"/>
      <c r="GHL95" s="15" t="n"/>
      <c r="GHM95" s="248" t="n"/>
      <c r="GHN95" s="248" t="n"/>
      <c r="GHO95" s="240" t="n"/>
      <c r="GHP95" s="240" t="n"/>
      <c r="GHR95" s="15" t="n"/>
      <c r="GHS95" s="15" t="n"/>
      <c r="GHT95" s="248" t="n"/>
      <c r="GHU95" s="248" t="n"/>
      <c r="GHV95" s="240" t="n"/>
      <c r="GHW95" s="240" t="n"/>
      <c r="GHY95" s="15" t="n"/>
      <c r="GHZ95" s="15" t="n"/>
      <c r="GIA95" s="248" t="n"/>
      <c r="GIB95" s="248" t="n"/>
      <c r="GIC95" s="240" t="n"/>
      <c r="GID95" s="240" t="n"/>
      <c r="GIF95" s="15" t="n"/>
      <c r="GIG95" s="15" t="n"/>
      <c r="GIH95" s="248" t="n"/>
      <c r="GII95" s="248" t="n"/>
      <c r="GIJ95" s="240" t="n"/>
      <c r="GIK95" s="240" t="n"/>
      <c r="GIM95" s="15" t="n"/>
      <c r="GIN95" s="15" t="n"/>
      <c r="GIO95" s="248" t="n"/>
      <c r="GIP95" s="248" t="n"/>
      <c r="GIQ95" s="240" t="n"/>
      <c r="GIR95" s="240" t="n"/>
      <c r="GIT95" s="15" t="n"/>
      <c r="GIU95" s="15" t="n"/>
      <c r="GIV95" s="248" t="n"/>
      <c r="GIW95" s="248" t="n"/>
      <c r="GIX95" s="240" t="n"/>
      <c r="GIY95" s="240" t="n"/>
      <c r="GJA95" s="15" t="n"/>
      <c r="GJB95" s="15" t="n"/>
      <c r="GJC95" s="248" t="n"/>
      <c r="GJD95" s="248" t="n"/>
      <c r="GJE95" s="240" t="n"/>
      <c r="GJF95" s="240" t="n"/>
      <c r="GJH95" s="15" t="n"/>
      <c r="GJI95" s="15" t="n"/>
      <c r="GJJ95" s="248" t="n"/>
      <c r="GJK95" s="248" t="n"/>
      <c r="GJL95" s="240" t="n"/>
      <c r="GJM95" s="240" t="n"/>
      <c r="GJO95" s="15" t="n"/>
      <c r="GJP95" s="15" t="n"/>
      <c r="GJQ95" s="248" t="n"/>
      <c r="GJR95" s="248" t="n"/>
      <c r="GJS95" s="240" t="n"/>
      <c r="GJT95" s="240" t="n"/>
      <c r="GJV95" s="15" t="n"/>
      <c r="GJW95" s="15" t="n"/>
      <c r="GJX95" s="248" t="n"/>
      <c r="GJY95" s="248" t="n"/>
      <c r="GJZ95" s="240" t="n"/>
      <c r="GKA95" s="240" t="n"/>
      <c r="GKC95" s="15" t="n"/>
      <c r="GKD95" s="15" t="n"/>
      <c r="GKE95" s="248" t="n"/>
      <c r="GKF95" s="248" t="n"/>
      <c r="GKG95" s="240" t="n"/>
      <c r="GKH95" s="240" t="n"/>
      <c r="GKJ95" s="15" t="n"/>
      <c r="GKK95" s="15" t="n"/>
      <c r="GKL95" s="248" t="n"/>
      <c r="GKM95" s="248" t="n"/>
      <c r="GKN95" s="240" t="n"/>
      <c r="GKO95" s="240" t="n"/>
      <c r="GKQ95" s="15" t="n"/>
      <c r="GKR95" s="15" t="n"/>
      <c r="GKS95" s="248" t="n"/>
      <c r="GKT95" s="248" t="n"/>
      <c r="GKU95" s="240" t="n"/>
      <c r="GKV95" s="240" t="n"/>
      <c r="GKX95" s="15" t="n"/>
      <c r="GKY95" s="15" t="n"/>
      <c r="GKZ95" s="248" t="n"/>
      <c r="GLA95" s="248" t="n"/>
      <c r="GLB95" s="240" t="n"/>
      <c r="GLC95" s="240" t="n"/>
      <c r="GLE95" s="15" t="n"/>
      <c r="GLF95" s="15" t="n"/>
      <c r="GLG95" s="248" t="n"/>
      <c r="GLH95" s="248" t="n"/>
      <c r="GLI95" s="240" t="n"/>
      <c r="GLJ95" s="240" t="n"/>
      <c r="GLL95" s="15" t="n"/>
      <c r="GLM95" s="15" t="n"/>
      <c r="GLN95" s="248" t="n"/>
      <c r="GLO95" s="248" t="n"/>
      <c r="GLP95" s="240" t="n"/>
      <c r="GLQ95" s="240" t="n"/>
      <c r="GLS95" s="15" t="n"/>
      <c r="GLT95" s="15" t="n"/>
      <c r="GLU95" s="248" t="n"/>
      <c r="GLV95" s="248" t="n"/>
      <c r="GLW95" s="240" t="n"/>
      <c r="GLX95" s="240" t="n"/>
      <c r="GLZ95" s="15" t="n"/>
      <c r="GMA95" s="15" t="n"/>
      <c r="GMB95" s="248" t="n"/>
      <c r="GMC95" s="248" t="n"/>
      <c r="GMD95" s="240" t="n"/>
      <c r="GME95" s="240" t="n"/>
      <c r="GMG95" s="15" t="n"/>
      <c r="GMH95" s="15" t="n"/>
      <c r="GMI95" s="248" t="n"/>
      <c r="GMJ95" s="248" t="n"/>
      <c r="GMK95" s="240" t="n"/>
      <c r="GML95" s="240" t="n"/>
      <c r="GMN95" s="15" t="n"/>
      <c r="GMO95" s="15" t="n"/>
      <c r="GMP95" s="248" t="n"/>
      <c r="GMQ95" s="248" t="n"/>
      <c r="GMR95" s="240" t="n"/>
      <c r="GMS95" s="240" t="n"/>
      <c r="GMU95" s="15" t="n"/>
      <c r="GMV95" s="15" t="n"/>
      <c r="GMW95" s="248" t="n"/>
      <c r="GMX95" s="248" t="n"/>
      <c r="GMY95" s="240" t="n"/>
      <c r="GMZ95" s="240" t="n"/>
      <c r="GNB95" s="15" t="n"/>
      <c r="GNC95" s="15" t="n"/>
      <c r="GND95" s="248" t="n"/>
      <c r="GNE95" s="248" t="n"/>
      <c r="GNF95" s="240" t="n"/>
      <c r="GNG95" s="240" t="n"/>
      <c r="GNI95" s="15" t="n"/>
      <c r="GNJ95" s="15" t="n"/>
      <c r="GNK95" s="248" t="n"/>
      <c r="GNL95" s="248" t="n"/>
      <c r="GNM95" s="240" t="n"/>
      <c r="GNN95" s="240" t="n"/>
      <c r="GNP95" s="15" t="n"/>
      <c r="GNQ95" s="15" t="n"/>
      <c r="GNR95" s="248" t="n"/>
      <c r="GNS95" s="248" t="n"/>
      <c r="GNT95" s="240" t="n"/>
      <c r="GNU95" s="240" t="n"/>
      <c r="GNW95" s="15" t="n"/>
      <c r="GNX95" s="15" t="n"/>
      <c r="GNY95" s="248" t="n"/>
      <c r="GNZ95" s="248" t="n"/>
      <c r="GOA95" s="240" t="n"/>
      <c r="GOB95" s="240" t="n"/>
      <c r="GOD95" s="15" t="n"/>
      <c r="GOE95" s="15" t="n"/>
      <c r="GOF95" s="248" t="n"/>
      <c r="GOG95" s="248" t="n"/>
      <c r="GOH95" s="240" t="n"/>
      <c r="GOI95" s="240" t="n"/>
      <c r="GOK95" s="15" t="n"/>
      <c r="GOL95" s="15" t="n"/>
      <c r="GOM95" s="248" t="n"/>
      <c r="GON95" s="248" t="n"/>
      <c r="GOO95" s="240" t="n"/>
      <c r="GOP95" s="240" t="n"/>
      <c r="GOR95" s="15" t="n"/>
      <c r="GOS95" s="15" t="n"/>
      <c r="GOT95" s="248" t="n"/>
      <c r="GOU95" s="248" t="n"/>
      <c r="GOV95" s="240" t="n"/>
      <c r="GOW95" s="240" t="n"/>
      <c r="GOY95" s="15" t="n"/>
      <c r="GOZ95" s="15" t="n"/>
      <c r="GPA95" s="248" t="n"/>
      <c r="GPB95" s="248" t="n"/>
      <c r="GPC95" s="240" t="n"/>
      <c r="GPD95" s="240" t="n"/>
      <c r="GPF95" s="15" t="n"/>
      <c r="GPG95" s="15" t="n"/>
      <c r="GPH95" s="248" t="n"/>
      <c r="GPI95" s="248" t="n"/>
      <c r="GPJ95" s="240" t="n"/>
      <c r="GPK95" s="240" t="n"/>
      <c r="GPM95" s="15" t="n"/>
      <c r="GPN95" s="15" t="n"/>
      <c r="GPO95" s="248" t="n"/>
      <c r="GPP95" s="248" t="n"/>
      <c r="GPQ95" s="240" t="n"/>
      <c r="GPR95" s="240" t="n"/>
      <c r="GPT95" s="15" t="n"/>
      <c r="GPU95" s="15" t="n"/>
      <c r="GPV95" s="248" t="n"/>
      <c r="GPW95" s="248" t="n"/>
      <c r="GPX95" s="240" t="n"/>
      <c r="GPY95" s="240" t="n"/>
      <c r="GQA95" s="15" t="n"/>
      <c r="GQB95" s="15" t="n"/>
      <c r="GQC95" s="248" t="n"/>
      <c r="GQD95" s="248" t="n"/>
      <c r="GQE95" s="240" t="n"/>
      <c r="GQF95" s="240" t="n"/>
      <c r="GQH95" s="15" t="n"/>
      <c r="GQI95" s="15" t="n"/>
      <c r="GQJ95" s="248" t="n"/>
      <c r="GQK95" s="248" t="n"/>
      <c r="GQL95" s="240" t="n"/>
      <c r="GQM95" s="240" t="n"/>
      <c r="GQO95" s="15" t="n"/>
      <c r="GQP95" s="15" t="n"/>
      <c r="GQQ95" s="248" t="n"/>
      <c r="GQR95" s="248" t="n"/>
      <c r="GQS95" s="240" t="n"/>
      <c r="GQT95" s="240" t="n"/>
      <c r="GQV95" s="15" t="n"/>
      <c r="GQW95" s="15" t="n"/>
      <c r="GQX95" s="248" t="n"/>
      <c r="GQY95" s="248" t="n"/>
      <c r="GQZ95" s="240" t="n"/>
      <c r="GRA95" s="240" t="n"/>
      <c r="GRC95" s="15" t="n"/>
      <c r="GRD95" s="15" t="n"/>
      <c r="GRE95" s="248" t="n"/>
      <c r="GRF95" s="248" t="n"/>
      <c r="GRG95" s="240" t="n"/>
      <c r="GRH95" s="240" t="n"/>
      <c r="GRJ95" s="15" t="n"/>
      <c r="GRK95" s="15" t="n"/>
      <c r="GRL95" s="248" t="n"/>
      <c r="GRM95" s="248" t="n"/>
      <c r="GRN95" s="240" t="n"/>
      <c r="GRO95" s="240" t="n"/>
      <c r="GRQ95" s="15" t="n"/>
      <c r="GRR95" s="15" t="n"/>
      <c r="GRS95" s="248" t="n"/>
      <c r="GRT95" s="248" t="n"/>
      <c r="GRU95" s="240" t="n"/>
      <c r="GRV95" s="240" t="n"/>
      <c r="GRX95" s="15" t="n"/>
      <c r="GRY95" s="15" t="n"/>
      <c r="GRZ95" s="248" t="n"/>
      <c r="GSA95" s="248" t="n"/>
      <c r="GSB95" s="240" t="n"/>
      <c r="GSC95" s="240" t="n"/>
      <c r="GSE95" s="15" t="n"/>
      <c r="GSF95" s="15" t="n"/>
      <c r="GSG95" s="248" t="n"/>
      <c r="GSH95" s="248" t="n"/>
      <c r="GSI95" s="240" t="n"/>
      <c r="GSJ95" s="240" t="n"/>
      <c r="GSL95" s="15" t="n"/>
      <c r="GSM95" s="15" t="n"/>
      <c r="GSN95" s="248" t="n"/>
      <c r="GSO95" s="248" t="n"/>
      <c r="GSP95" s="240" t="n"/>
      <c r="GSQ95" s="240" t="n"/>
      <c r="GSS95" s="15" t="n"/>
      <c r="GST95" s="15" t="n"/>
      <c r="GSU95" s="248" t="n"/>
      <c r="GSV95" s="248" t="n"/>
      <c r="GSW95" s="240" t="n"/>
      <c r="GSX95" s="240" t="n"/>
      <c r="GSZ95" s="15" t="n"/>
      <c r="GTA95" s="15" t="n"/>
      <c r="GTB95" s="248" t="n"/>
      <c r="GTC95" s="248" t="n"/>
      <c r="GTD95" s="240" t="n"/>
      <c r="GTE95" s="240" t="n"/>
      <c r="GTG95" s="15" t="n"/>
      <c r="GTH95" s="15" t="n"/>
      <c r="GTI95" s="248" t="n"/>
      <c r="GTJ95" s="248" t="n"/>
      <c r="GTK95" s="240" t="n"/>
      <c r="GTL95" s="240" t="n"/>
      <c r="GTN95" s="15" t="n"/>
      <c r="GTO95" s="15" t="n"/>
      <c r="GTP95" s="248" t="n"/>
      <c r="GTQ95" s="248" t="n"/>
      <c r="GTR95" s="240" t="n"/>
      <c r="GTS95" s="240" t="n"/>
      <c r="GTU95" s="15" t="n"/>
      <c r="GTV95" s="15" t="n"/>
      <c r="GTW95" s="248" t="n"/>
      <c r="GTX95" s="248" t="n"/>
      <c r="GTY95" s="240" t="n"/>
      <c r="GTZ95" s="240" t="n"/>
      <c r="GUB95" s="15" t="n"/>
      <c r="GUC95" s="15" t="n"/>
      <c r="GUD95" s="248" t="n"/>
      <c r="GUE95" s="248" t="n"/>
      <c r="GUF95" s="240" t="n"/>
      <c r="GUG95" s="240" t="n"/>
      <c r="GUI95" s="15" t="n"/>
      <c r="GUJ95" s="15" t="n"/>
      <c r="GUK95" s="248" t="n"/>
      <c r="GUL95" s="248" t="n"/>
      <c r="GUM95" s="240" t="n"/>
      <c r="GUN95" s="240" t="n"/>
      <c r="GUP95" s="15" t="n"/>
      <c r="GUQ95" s="15" t="n"/>
      <c r="GUR95" s="248" t="n"/>
      <c r="GUS95" s="248" t="n"/>
      <c r="GUT95" s="240" t="n"/>
      <c r="GUU95" s="240" t="n"/>
      <c r="GUW95" s="15" t="n"/>
      <c r="GUX95" s="15" t="n"/>
      <c r="GUY95" s="248" t="n"/>
      <c r="GUZ95" s="248" t="n"/>
      <c r="GVA95" s="240" t="n"/>
      <c r="GVB95" s="240" t="n"/>
      <c r="GVD95" s="15" t="n"/>
      <c r="GVE95" s="15" t="n"/>
      <c r="GVF95" s="248" t="n"/>
      <c r="GVG95" s="248" t="n"/>
      <c r="GVH95" s="240" t="n"/>
      <c r="GVI95" s="240" t="n"/>
      <c r="GVK95" s="15" t="n"/>
      <c r="GVL95" s="15" t="n"/>
      <c r="GVM95" s="248" t="n"/>
      <c r="GVN95" s="248" t="n"/>
      <c r="GVO95" s="240" t="n"/>
      <c r="GVP95" s="240" t="n"/>
      <c r="GVR95" s="15" t="n"/>
      <c r="GVS95" s="15" t="n"/>
      <c r="GVT95" s="248" t="n"/>
      <c r="GVU95" s="248" t="n"/>
      <c r="GVV95" s="240" t="n"/>
      <c r="GVW95" s="240" t="n"/>
      <c r="GVY95" s="15" t="n"/>
      <c r="GVZ95" s="15" t="n"/>
      <c r="GWA95" s="248" t="n"/>
      <c r="GWB95" s="248" t="n"/>
      <c r="GWC95" s="240" t="n"/>
      <c r="GWD95" s="240" t="n"/>
      <c r="GWF95" s="15" t="n"/>
      <c r="GWG95" s="15" t="n"/>
      <c r="GWH95" s="248" t="n"/>
      <c r="GWI95" s="248" t="n"/>
      <c r="GWJ95" s="240" t="n"/>
      <c r="GWK95" s="240" t="n"/>
      <c r="GWM95" s="15" t="n"/>
      <c r="GWN95" s="15" t="n"/>
      <c r="GWO95" s="248" t="n"/>
      <c r="GWP95" s="248" t="n"/>
      <c r="GWQ95" s="240" t="n"/>
      <c r="GWR95" s="240" t="n"/>
      <c r="GWT95" s="15" t="n"/>
      <c r="GWU95" s="15" t="n"/>
      <c r="GWV95" s="248" t="n"/>
      <c r="GWW95" s="248" t="n"/>
      <c r="GWX95" s="240" t="n"/>
      <c r="GWY95" s="240" t="n"/>
      <c r="GXA95" s="15" t="n"/>
      <c r="GXB95" s="15" t="n"/>
      <c r="GXC95" s="248" t="n"/>
      <c r="GXD95" s="248" t="n"/>
      <c r="GXE95" s="240" t="n"/>
      <c r="GXF95" s="240" t="n"/>
      <c r="GXH95" s="15" t="n"/>
      <c r="GXI95" s="15" t="n"/>
      <c r="GXJ95" s="248" t="n"/>
      <c r="GXK95" s="248" t="n"/>
      <c r="GXL95" s="240" t="n"/>
      <c r="GXM95" s="240" t="n"/>
      <c r="GXO95" s="15" t="n"/>
      <c r="GXP95" s="15" t="n"/>
      <c r="GXQ95" s="248" t="n"/>
      <c r="GXR95" s="248" t="n"/>
      <c r="GXS95" s="240" t="n"/>
      <c r="GXT95" s="240" t="n"/>
      <c r="GXV95" s="15" t="n"/>
      <c r="GXW95" s="15" t="n"/>
      <c r="GXX95" s="248" t="n"/>
      <c r="GXY95" s="248" t="n"/>
      <c r="GXZ95" s="240" t="n"/>
      <c r="GYA95" s="240" t="n"/>
      <c r="GYC95" s="15" t="n"/>
      <c r="GYD95" s="15" t="n"/>
      <c r="GYE95" s="248" t="n"/>
      <c r="GYF95" s="248" t="n"/>
      <c r="GYG95" s="240" t="n"/>
      <c r="GYH95" s="240" t="n"/>
      <c r="GYJ95" s="15" t="n"/>
      <c r="GYK95" s="15" t="n"/>
      <c r="GYL95" s="248" t="n"/>
      <c r="GYM95" s="248" t="n"/>
      <c r="GYN95" s="240" t="n"/>
      <c r="GYO95" s="240" t="n"/>
      <c r="GYQ95" s="15" t="n"/>
      <c r="GYR95" s="15" t="n"/>
      <c r="GYS95" s="248" t="n"/>
      <c r="GYT95" s="248" t="n"/>
      <c r="GYU95" s="240" t="n"/>
      <c r="GYV95" s="240" t="n"/>
      <c r="GYX95" s="15" t="n"/>
      <c r="GYY95" s="15" t="n"/>
      <c r="GYZ95" s="248" t="n"/>
      <c r="GZA95" s="248" t="n"/>
      <c r="GZB95" s="240" t="n"/>
      <c r="GZC95" s="240" t="n"/>
      <c r="GZE95" s="15" t="n"/>
      <c r="GZF95" s="15" t="n"/>
      <c r="GZG95" s="248" t="n"/>
      <c r="GZH95" s="248" t="n"/>
      <c r="GZI95" s="240" t="n"/>
      <c r="GZJ95" s="240" t="n"/>
      <c r="GZL95" s="15" t="n"/>
      <c r="GZM95" s="15" t="n"/>
      <c r="GZN95" s="248" t="n"/>
      <c r="GZO95" s="248" t="n"/>
      <c r="GZP95" s="240" t="n"/>
      <c r="GZQ95" s="240" t="n"/>
      <c r="GZS95" s="15" t="n"/>
      <c r="GZT95" s="15" t="n"/>
      <c r="GZU95" s="248" t="n"/>
      <c r="GZV95" s="248" t="n"/>
      <c r="GZW95" s="240" t="n"/>
      <c r="GZX95" s="240" t="n"/>
      <c r="GZZ95" s="15" t="n"/>
      <c r="HAA95" s="15" t="n"/>
      <c r="HAB95" s="248" t="n"/>
      <c r="HAC95" s="248" t="n"/>
      <c r="HAD95" s="240" t="n"/>
      <c r="HAE95" s="240" t="n"/>
      <c r="HAG95" s="15" t="n"/>
      <c r="HAH95" s="15" t="n"/>
      <c r="HAI95" s="248" t="n"/>
      <c r="HAJ95" s="248" t="n"/>
      <c r="HAK95" s="240" t="n"/>
      <c r="HAL95" s="240" t="n"/>
      <c r="HAN95" s="15" t="n"/>
      <c r="HAO95" s="15" t="n"/>
      <c r="HAP95" s="248" t="n"/>
      <c r="HAQ95" s="248" t="n"/>
      <c r="HAR95" s="240" t="n"/>
      <c r="HAS95" s="240" t="n"/>
      <c r="HAU95" s="15" t="n"/>
      <c r="HAV95" s="15" t="n"/>
      <c r="HAW95" s="248" t="n"/>
      <c r="HAX95" s="248" t="n"/>
      <c r="HAY95" s="240" t="n"/>
      <c r="HAZ95" s="240" t="n"/>
      <c r="HBB95" s="15" t="n"/>
      <c r="HBC95" s="15" t="n"/>
      <c r="HBD95" s="248" t="n"/>
      <c r="HBE95" s="248" t="n"/>
      <c r="HBF95" s="240" t="n"/>
      <c r="HBG95" s="240" t="n"/>
      <c r="HBI95" s="15" t="n"/>
      <c r="HBJ95" s="15" t="n"/>
      <c r="HBK95" s="248" t="n"/>
      <c r="HBL95" s="248" t="n"/>
      <c r="HBM95" s="240" t="n"/>
      <c r="HBN95" s="240" t="n"/>
      <c r="HBP95" s="15" t="n"/>
      <c r="HBQ95" s="15" t="n"/>
      <c r="HBR95" s="248" t="n"/>
      <c r="HBS95" s="248" t="n"/>
      <c r="HBT95" s="240" t="n"/>
      <c r="HBU95" s="240" t="n"/>
      <c r="HBW95" s="15" t="n"/>
      <c r="HBX95" s="15" t="n"/>
      <c r="HBY95" s="248" t="n"/>
      <c r="HBZ95" s="248" t="n"/>
      <c r="HCA95" s="240" t="n"/>
      <c r="HCB95" s="240" t="n"/>
      <c r="HCD95" s="15" t="n"/>
      <c r="HCE95" s="15" t="n"/>
      <c r="HCF95" s="248" t="n"/>
      <c r="HCG95" s="248" t="n"/>
      <c r="HCH95" s="240" t="n"/>
      <c r="HCI95" s="240" t="n"/>
      <c r="HCK95" s="15" t="n"/>
      <c r="HCL95" s="15" t="n"/>
      <c r="HCM95" s="248" t="n"/>
      <c r="HCN95" s="248" t="n"/>
      <c r="HCO95" s="240" t="n"/>
      <c r="HCP95" s="240" t="n"/>
      <c r="HCR95" s="15" t="n"/>
      <c r="HCS95" s="15" t="n"/>
      <c r="HCT95" s="248" t="n"/>
      <c r="HCU95" s="248" t="n"/>
      <c r="HCV95" s="240" t="n"/>
      <c r="HCW95" s="240" t="n"/>
      <c r="HCY95" s="15" t="n"/>
      <c r="HCZ95" s="15" t="n"/>
      <c r="HDA95" s="248" t="n"/>
      <c r="HDB95" s="248" t="n"/>
      <c r="HDC95" s="240" t="n"/>
      <c r="HDD95" s="240" t="n"/>
      <c r="HDF95" s="15" t="n"/>
      <c r="HDG95" s="15" t="n"/>
      <c r="HDH95" s="248" t="n"/>
      <c r="HDI95" s="248" t="n"/>
      <c r="HDJ95" s="240" t="n"/>
      <c r="HDK95" s="240" t="n"/>
      <c r="HDM95" s="15" t="n"/>
      <c r="HDN95" s="15" t="n"/>
      <c r="HDO95" s="248" t="n"/>
      <c r="HDP95" s="248" t="n"/>
      <c r="HDQ95" s="240" t="n"/>
      <c r="HDR95" s="240" t="n"/>
      <c r="HDT95" s="15" t="n"/>
      <c r="HDU95" s="15" t="n"/>
      <c r="HDV95" s="248" t="n"/>
      <c r="HDW95" s="248" t="n"/>
      <c r="HDX95" s="240" t="n"/>
      <c r="HDY95" s="240" t="n"/>
      <c r="HEA95" s="15" t="n"/>
      <c r="HEB95" s="15" t="n"/>
      <c r="HEC95" s="248" t="n"/>
      <c r="HED95" s="248" t="n"/>
      <c r="HEE95" s="240" t="n"/>
      <c r="HEF95" s="240" t="n"/>
      <c r="HEH95" s="15" t="n"/>
      <c r="HEI95" s="15" t="n"/>
      <c r="HEJ95" s="248" t="n"/>
      <c r="HEK95" s="248" t="n"/>
      <c r="HEL95" s="240" t="n"/>
      <c r="HEM95" s="240" t="n"/>
      <c r="HEO95" s="15" t="n"/>
      <c r="HEP95" s="15" t="n"/>
      <c r="HEQ95" s="248" t="n"/>
      <c r="HER95" s="248" t="n"/>
      <c r="HES95" s="240" t="n"/>
      <c r="HET95" s="240" t="n"/>
      <c r="HEV95" s="15" t="n"/>
      <c r="HEW95" s="15" t="n"/>
      <c r="HEX95" s="248" t="n"/>
      <c r="HEY95" s="248" t="n"/>
      <c r="HEZ95" s="240" t="n"/>
      <c r="HFA95" s="240" t="n"/>
      <c r="HFC95" s="15" t="n"/>
      <c r="HFD95" s="15" t="n"/>
      <c r="HFE95" s="248" t="n"/>
      <c r="HFF95" s="248" t="n"/>
      <c r="HFG95" s="240" t="n"/>
      <c r="HFH95" s="240" t="n"/>
      <c r="HFJ95" s="15" t="n"/>
      <c r="HFK95" s="15" t="n"/>
      <c r="HFL95" s="248" t="n"/>
      <c r="HFM95" s="248" t="n"/>
      <c r="HFN95" s="240" t="n"/>
      <c r="HFO95" s="240" t="n"/>
      <c r="HFQ95" s="15" t="n"/>
      <c r="HFR95" s="15" t="n"/>
      <c r="HFS95" s="248" t="n"/>
      <c r="HFT95" s="248" t="n"/>
      <c r="HFU95" s="240" t="n"/>
      <c r="HFV95" s="240" t="n"/>
      <c r="HFX95" s="15" t="n"/>
      <c r="HFY95" s="15" t="n"/>
      <c r="HFZ95" s="248" t="n"/>
      <c r="HGA95" s="248" t="n"/>
      <c r="HGB95" s="240" t="n"/>
      <c r="HGC95" s="240" t="n"/>
      <c r="HGE95" s="15" t="n"/>
      <c r="HGF95" s="15" t="n"/>
      <c r="HGG95" s="248" t="n"/>
      <c r="HGH95" s="248" t="n"/>
      <c r="HGI95" s="240" t="n"/>
      <c r="HGJ95" s="240" t="n"/>
      <c r="HGL95" s="15" t="n"/>
      <c r="HGM95" s="15" t="n"/>
      <c r="HGN95" s="248" t="n"/>
      <c r="HGO95" s="248" t="n"/>
      <c r="HGP95" s="240" t="n"/>
      <c r="HGQ95" s="240" t="n"/>
      <c r="HGS95" s="15" t="n"/>
      <c r="HGT95" s="15" t="n"/>
      <c r="HGU95" s="248" t="n"/>
      <c r="HGV95" s="248" t="n"/>
      <c r="HGW95" s="240" t="n"/>
      <c r="HGX95" s="240" t="n"/>
      <c r="HGZ95" s="15" t="n"/>
      <c r="HHA95" s="15" t="n"/>
      <c r="HHB95" s="248" t="n"/>
      <c r="HHC95" s="248" t="n"/>
      <c r="HHD95" s="240" t="n"/>
      <c r="HHE95" s="240" t="n"/>
      <c r="HHG95" s="15" t="n"/>
      <c r="HHH95" s="15" t="n"/>
      <c r="HHI95" s="248" t="n"/>
      <c r="HHJ95" s="248" t="n"/>
      <c r="HHK95" s="240" t="n"/>
      <c r="HHL95" s="240" t="n"/>
      <c r="HHN95" s="15" t="n"/>
      <c r="HHO95" s="15" t="n"/>
      <c r="HHP95" s="248" t="n"/>
      <c r="HHQ95" s="248" t="n"/>
      <c r="HHR95" s="240" t="n"/>
      <c r="HHS95" s="240" t="n"/>
      <c r="HHU95" s="15" t="n"/>
      <c r="HHV95" s="15" t="n"/>
      <c r="HHW95" s="248" t="n"/>
      <c r="HHX95" s="248" t="n"/>
      <c r="HHY95" s="240" t="n"/>
      <c r="HHZ95" s="240" t="n"/>
      <c r="HIB95" s="15" t="n"/>
      <c r="HIC95" s="15" t="n"/>
      <c r="HID95" s="248" t="n"/>
      <c r="HIE95" s="248" t="n"/>
      <c r="HIF95" s="240" t="n"/>
      <c r="HIG95" s="240" t="n"/>
      <c r="HII95" s="15" t="n"/>
      <c r="HIJ95" s="15" t="n"/>
      <c r="HIK95" s="248" t="n"/>
      <c r="HIL95" s="248" t="n"/>
      <c r="HIM95" s="240" t="n"/>
      <c r="HIN95" s="240" t="n"/>
      <c r="HIP95" s="15" t="n"/>
      <c r="HIQ95" s="15" t="n"/>
      <c r="HIR95" s="248" t="n"/>
      <c r="HIS95" s="248" t="n"/>
      <c r="HIT95" s="240" t="n"/>
      <c r="HIU95" s="240" t="n"/>
      <c r="HIW95" s="15" t="n"/>
      <c r="HIX95" s="15" t="n"/>
      <c r="HIY95" s="248" t="n"/>
      <c r="HIZ95" s="248" t="n"/>
      <c r="HJA95" s="240" t="n"/>
      <c r="HJB95" s="240" t="n"/>
      <c r="HJD95" s="15" t="n"/>
      <c r="HJE95" s="15" t="n"/>
      <c r="HJF95" s="248" t="n"/>
      <c r="HJG95" s="248" t="n"/>
      <c r="HJH95" s="240" t="n"/>
      <c r="HJI95" s="240" t="n"/>
      <c r="HJK95" s="15" t="n"/>
      <c r="HJL95" s="15" t="n"/>
      <c r="HJM95" s="248" t="n"/>
      <c r="HJN95" s="248" t="n"/>
      <c r="HJO95" s="240" t="n"/>
      <c r="HJP95" s="240" t="n"/>
      <c r="HJR95" s="15" t="n"/>
      <c r="HJS95" s="15" t="n"/>
      <c r="HJT95" s="248" t="n"/>
      <c r="HJU95" s="248" t="n"/>
      <c r="HJV95" s="240" t="n"/>
      <c r="HJW95" s="240" t="n"/>
      <c r="HJY95" s="15" t="n"/>
      <c r="HJZ95" s="15" t="n"/>
      <c r="HKA95" s="248" t="n"/>
      <c r="HKB95" s="248" t="n"/>
      <c r="HKC95" s="240" t="n"/>
      <c r="HKD95" s="240" t="n"/>
      <c r="HKF95" s="15" t="n"/>
      <c r="HKG95" s="15" t="n"/>
      <c r="HKH95" s="248" t="n"/>
      <c r="HKI95" s="248" t="n"/>
      <c r="HKJ95" s="240" t="n"/>
      <c r="HKK95" s="240" t="n"/>
      <c r="HKM95" s="15" t="n"/>
      <c r="HKN95" s="15" t="n"/>
      <c r="HKO95" s="248" t="n"/>
      <c r="HKP95" s="248" t="n"/>
      <c r="HKQ95" s="240" t="n"/>
      <c r="HKR95" s="240" t="n"/>
      <c r="HKT95" s="15" t="n"/>
      <c r="HKU95" s="15" t="n"/>
      <c r="HKV95" s="248" t="n"/>
      <c r="HKW95" s="248" t="n"/>
      <c r="HKX95" s="240" t="n"/>
      <c r="HKY95" s="240" t="n"/>
      <c r="HLA95" s="15" t="n"/>
      <c r="HLB95" s="15" t="n"/>
      <c r="HLC95" s="248" t="n"/>
      <c r="HLD95" s="248" t="n"/>
      <c r="HLE95" s="240" t="n"/>
      <c r="HLF95" s="240" t="n"/>
      <c r="HLH95" s="15" t="n"/>
      <c r="HLI95" s="15" t="n"/>
      <c r="HLJ95" s="248" t="n"/>
      <c r="HLK95" s="248" t="n"/>
      <c r="HLL95" s="240" t="n"/>
      <c r="HLM95" s="240" t="n"/>
      <c r="HLO95" s="15" t="n"/>
      <c r="HLP95" s="15" t="n"/>
      <c r="HLQ95" s="248" t="n"/>
      <c r="HLR95" s="248" t="n"/>
      <c r="HLS95" s="240" t="n"/>
      <c r="HLT95" s="240" t="n"/>
      <c r="HLV95" s="15" t="n"/>
      <c r="HLW95" s="15" t="n"/>
      <c r="HLX95" s="248" t="n"/>
      <c r="HLY95" s="248" t="n"/>
      <c r="HLZ95" s="240" t="n"/>
      <c r="HMA95" s="240" t="n"/>
      <c r="HMC95" s="15" t="n"/>
      <c r="HMD95" s="15" t="n"/>
      <c r="HME95" s="248" t="n"/>
      <c r="HMF95" s="248" t="n"/>
      <c r="HMG95" s="240" t="n"/>
      <c r="HMH95" s="240" t="n"/>
      <c r="HMJ95" s="15" t="n"/>
      <c r="HMK95" s="15" t="n"/>
      <c r="HML95" s="248" t="n"/>
      <c r="HMM95" s="248" t="n"/>
      <c r="HMN95" s="240" t="n"/>
      <c r="HMO95" s="240" t="n"/>
      <c r="HMQ95" s="15" t="n"/>
      <c r="HMR95" s="15" t="n"/>
      <c r="HMS95" s="248" t="n"/>
      <c r="HMT95" s="248" t="n"/>
      <c r="HMU95" s="240" t="n"/>
      <c r="HMV95" s="240" t="n"/>
      <c r="HMX95" s="15" t="n"/>
      <c r="HMY95" s="15" t="n"/>
      <c r="HMZ95" s="248" t="n"/>
      <c r="HNA95" s="248" t="n"/>
      <c r="HNB95" s="240" t="n"/>
      <c r="HNC95" s="240" t="n"/>
      <c r="HNE95" s="15" t="n"/>
      <c r="HNF95" s="15" t="n"/>
      <c r="HNG95" s="248" t="n"/>
      <c r="HNH95" s="248" t="n"/>
      <c r="HNI95" s="240" t="n"/>
      <c r="HNJ95" s="240" t="n"/>
      <c r="HNL95" s="15" t="n"/>
      <c r="HNM95" s="15" t="n"/>
      <c r="HNN95" s="248" t="n"/>
      <c r="HNO95" s="248" t="n"/>
      <c r="HNP95" s="240" t="n"/>
      <c r="HNQ95" s="240" t="n"/>
      <c r="HNS95" s="15" t="n"/>
      <c r="HNT95" s="15" t="n"/>
      <c r="HNU95" s="248" t="n"/>
      <c r="HNV95" s="248" t="n"/>
      <c r="HNW95" s="240" t="n"/>
      <c r="HNX95" s="240" t="n"/>
      <c r="HNZ95" s="15" t="n"/>
      <c r="HOA95" s="15" t="n"/>
      <c r="HOB95" s="248" t="n"/>
      <c r="HOC95" s="248" t="n"/>
      <c r="HOD95" s="240" t="n"/>
      <c r="HOE95" s="240" t="n"/>
      <c r="HOG95" s="15" t="n"/>
      <c r="HOH95" s="15" t="n"/>
      <c r="HOI95" s="248" t="n"/>
      <c r="HOJ95" s="248" t="n"/>
      <c r="HOK95" s="240" t="n"/>
      <c r="HOL95" s="240" t="n"/>
      <c r="HON95" s="15" t="n"/>
      <c r="HOO95" s="15" t="n"/>
      <c r="HOP95" s="248" t="n"/>
      <c r="HOQ95" s="248" t="n"/>
      <c r="HOR95" s="240" t="n"/>
      <c r="HOS95" s="240" t="n"/>
      <c r="HOU95" s="15" t="n"/>
      <c r="HOV95" s="15" t="n"/>
      <c r="HOW95" s="248" t="n"/>
      <c r="HOX95" s="248" t="n"/>
      <c r="HOY95" s="240" t="n"/>
      <c r="HOZ95" s="240" t="n"/>
      <c r="HPB95" s="15" t="n"/>
      <c r="HPC95" s="15" t="n"/>
      <c r="HPD95" s="248" t="n"/>
      <c r="HPE95" s="248" t="n"/>
      <c r="HPF95" s="240" t="n"/>
      <c r="HPG95" s="240" t="n"/>
      <c r="HPI95" s="15" t="n"/>
      <c r="HPJ95" s="15" t="n"/>
      <c r="HPK95" s="248" t="n"/>
      <c r="HPL95" s="248" t="n"/>
      <c r="HPM95" s="240" t="n"/>
      <c r="HPN95" s="240" t="n"/>
      <c r="HPP95" s="15" t="n"/>
      <c r="HPQ95" s="15" t="n"/>
      <c r="HPR95" s="248" t="n"/>
      <c r="HPS95" s="248" t="n"/>
      <c r="HPT95" s="240" t="n"/>
      <c r="HPU95" s="240" t="n"/>
      <c r="HPW95" s="15" t="n"/>
      <c r="HPX95" s="15" t="n"/>
      <c r="HPY95" s="248" t="n"/>
      <c r="HPZ95" s="248" t="n"/>
      <c r="HQA95" s="240" t="n"/>
      <c r="HQB95" s="240" t="n"/>
      <c r="HQD95" s="15" t="n"/>
      <c r="HQE95" s="15" t="n"/>
      <c r="HQF95" s="248" t="n"/>
      <c r="HQG95" s="248" t="n"/>
      <c r="HQH95" s="240" t="n"/>
      <c r="HQI95" s="240" t="n"/>
      <c r="HQK95" s="15" t="n"/>
      <c r="HQL95" s="15" t="n"/>
      <c r="HQM95" s="248" t="n"/>
      <c r="HQN95" s="248" t="n"/>
      <c r="HQO95" s="240" t="n"/>
      <c r="HQP95" s="240" t="n"/>
      <c r="HQR95" s="15" t="n"/>
      <c r="HQS95" s="15" t="n"/>
      <c r="HQT95" s="248" t="n"/>
      <c r="HQU95" s="248" t="n"/>
      <c r="HQV95" s="240" t="n"/>
      <c r="HQW95" s="240" t="n"/>
      <c r="HQY95" s="15" t="n"/>
      <c r="HQZ95" s="15" t="n"/>
      <c r="HRA95" s="248" t="n"/>
      <c r="HRB95" s="248" t="n"/>
      <c r="HRC95" s="240" t="n"/>
      <c r="HRD95" s="240" t="n"/>
      <c r="HRF95" s="15" t="n"/>
      <c r="HRG95" s="15" t="n"/>
      <c r="HRH95" s="248" t="n"/>
      <c r="HRI95" s="248" t="n"/>
      <c r="HRJ95" s="240" t="n"/>
      <c r="HRK95" s="240" t="n"/>
      <c r="HRM95" s="15" t="n"/>
      <c r="HRN95" s="15" t="n"/>
      <c r="HRO95" s="248" t="n"/>
      <c r="HRP95" s="248" t="n"/>
      <c r="HRQ95" s="240" t="n"/>
      <c r="HRR95" s="240" t="n"/>
      <c r="HRT95" s="15" t="n"/>
      <c r="HRU95" s="15" t="n"/>
      <c r="HRV95" s="248" t="n"/>
      <c r="HRW95" s="248" t="n"/>
      <c r="HRX95" s="240" t="n"/>
      <c r="HRY95" s="240" t="n"/>
      <c r="HSA95" s="15" t="n"/>
      <c r="HSB95" s="15" t="n"/>
      <c r="HSC95" s="248" t="n"/>
      <c r="HSD95" s="248" t="n"/>
      <c r="HSE95" s="240" t="n"/>
      <c r="HSF95" s="240" t="n"/>
      <c r="HSH95" s="15" t="n"/>
      <c r="HSI95" s="15" t="n"/>
      <c r="HSJ95" s="248" t="n"/>
      <c r="HSK95" s="248" t="n"/>
      <c r="HSL95" s="240" t="n"/>
      <c r="HSM95" s="240" t="n"/>
      <c r="HSO95" s="15" t="n"/>
      <c r="HSP95" s="15" t="n"/>
      <c r="HSQ95" s="248" t="n"/>
      <c r="HSR95" s="248" t="n"/>
      <c r="HSS95" s="240" t="n"/>
      <c r="HST95" s="240" t="n"/>
      <c r="HSV95" s="15" t="n"/>
      <c r="HSW95" s="15" t="n"/>
      <c r="HSX95" s="248" t="n"/>
      <c r="HSY95" s="248" t="n"/>
      <c r="HSZ95" s="240" t="n"/>
      <c r="HTA95" s="240" t="n"/>
      <c r="HTC95" s="15" t="n"/>
      <c r="HTD95" s="15" t="n"/>
      <c r="HTE95" s="248" t="n"/>
      <c r="HTF95" s="248" t="n"/>
      <c r="HTG95" s="240" t="n"/>
      <c r="HTH95" s="240" t="n"/>
      <c r="HTJ95" s="15" t="n"/>
      <c r="HTK95" s="15" t="n"/>
      <c r="HTL95" s="248" t="n"/>
      <c r="HTM95" s="248" t="n"/>
      <c r="HTN95" s="240" t="n"/>
      <c r="HTO95" s="240" t="n"/>
      <c r="HTQ95" s="15" t="n"/>
      <c r="HTR95" s="15" t="n"/>
      <c r="HTS95" s="248" t="n"/>
      <c r="HTT95" s="248" t="n"/>
      <c r="HTU95" s="240" t="n"/>
      <c r="HTV95" s="240" t="n"/>
      <c r="HTX95" s="15" t="n"/>
      <c r="HTY95" s="15" t="n"/>
      <c r="HTZ95" s="248" t="n"/>
      <c r="HUA95" s="248" t="n"/>
      <c r="HUB95" s="240" t="n"/>
      <c r="HUC95" s="240" t="n"/>
      <c r="HUE95" s="15" t="n"/>
      <c r="HUF95" s="15" t="n"/>
      <c r="HUG95" s="248" t="n"/>
      <c r="HUH95" s="248" t="n"/>
      <c r="HUI95" s="240" t="n"/>
      <c r="HUJ95" s="240" t="n"/>
      <c r="HUL95" s="15" t="n"/>
      <c r="HUM95" s="15" t="n"/>
      <c r="HUN95" s="248" t="n"/>
      <c r="HUO95" s="248" t="n"/>
      <c r="HUP95" s="240" t="n"/>
      <c r="HUQ95" s="240" t="n"/>
      <c r="HUS95" s="15" t="n"/>
      <c r="HUT95" s="15" t="n"/>
      <c r="HUU95" s="248" t="n"/>
      <c r="HUV95" s="248" t="n"/>
      <c r="HUW95" s="240" t="n"/>
      <c r="HUX95" s="240" t="n"/>
      <c r="HUZ95" s="15" t="n"/>
      <c r="HVA95" s="15" t="n"/>
      <c r="HVB95" s="248" t="n"/>
      <c r="HVC95" s="248" t="n"/>
      <c r="HVD95" s="240" t="n"/>
      <c r="HVE95" s="240" t="n"/>
      <c r="HVG95" s="15" t="n"/>
      <c r="HVH95" s="15" t="n"/>
      <c r="HVI95" s="248" t="n"/>
      <c r="HVJ95" s="248" t="n"/>
      <c r="HVK95" s="240" t="n"/>
      <c r="HVL95" s="240" t="n"/>
      <c r="HVN95" s="15" t="n"/>
      <c r="HVO95" s="15" t="n"/>
      <c r="HVP95" s="248" t="n"/>
      <c r="HVQ95" s="248" t="n"/>
      <c r="HVR95" s="240" t="n"/>
      <c r="HVS95" s="240" t="n"/>
      <c r="HVU95" s="15" t="n"/>
      <c r="HVV95" s="15" t="n"/>
      <c r="HVW95" s="248" t="n"/>
      <c r="HVX95" s="248" t="n"/>
      <c r="HVY95" s="240" t="n"/>
      <c r="HVZ95" s="240" t="n"/>
      <c r="HWB95" s="15" t="n"/>
      <c r="HWC95" s="15" t="n"/>
      <c r="HWD95" s="248" t="n"/>
      <c r="HWE95" s="248" t="n"/>
      <c r="HWF95" s="240" t="n"/>
      <c r="HWG95" s="240" t="n"/>
      <c r="HWI95" s="15" t="n"/>
      <c r="HWJ95" s="15" t="n"/>
      <c r="HWK95" s="248" t="n"/>
      <c r="HWL95" s="248" t="n"/>
      <c r="HWM95" s="240" t="n"/>
      <c r="HWN95" s="240" t="n"/>
      <c r="HWP95" s="15" t="n"/>
      <c r="HWQ95" s="15" t="n"/>
      <c r="HWR95" s="248" t="n"/>
      <c r="HWS95" s="248" t="n"/>
      <c r="HWT95" s="240" t="n"/>
      <c r="HWU95" s="240" t="n"/>
      <c r="HWW95" s="15" t="n"/>
      <c r="HWX95" s="15" t="n"/>
      <c r="HWY95" s="248" t="n"/>
      <c r="HWZ95" s="248" t="n"/>
      <c r="HXA95" s="240" t="n"/>
      <c r="HXB95" s="240" t="n"/>
      <c r="HXD95" s="15" t="n"/>
      <c r="HXE95" s="15" t="n"/>
      <c r="HXF95" s="248" t="n"/>
      <c r="HXG95" s="248" t="n"/>
      <c r="HXH95" s="240" t="n"/>
      <c r="HXI95" s="240" t="n"/>
      <c r="HXK95" s="15" t="n"/>
      <c r="HXL95" s="15" t="n"/>
      <c r="HXM95" s="248" t="n"/>
      <c r="HXN95" s="248" t="n"/>
      <c r="HXO95" s="240" t="n"/>
      <c r="HXP95" s="240" t="n"/>
      <c r="HXR95" s="15" t="n"/>
      <c r="HXS95" s="15" t="n"/>
      <c r="HXT95" s="248" t="n"/>
      <c r="HXU95" s="248" t="n"/>
      <c r="HXV95" s="240" t="n"/>
      <c r="HXW95" s="240" t="n"/>
      <c r="HXY95" s="15" t="n"/>
      <c r="HXZ95" s="15" t="n"/>
      <c r="HYA95" s="248" t="n"/>
      <c r="HYB95" s="248" t="n"/>
      <c r="HYC95" s="240" t="n"/>
      <c r="HYD95" s="240" t="n"/>
      <c r="HYF95" s="15" t="n"/>
      <c r="HYG95" s="15" t="n"/>
      <c r="HYH95" s="248" t="n"/>
      <c r="HYI95" s="248" t="n"/>
      <c r="HYJ95" s="240" t="n"/>
      <c r="HYK95" s="240" t="n"/>
      <c r="HYM95" s="15" t="n"/>
      <c r="HYN95" s="15" t="n"/>
      <c r="HYO95" s="248" t="n"/>
      <c r="HYP95" s="248" t="n"/>
      <c r="HYQ95" s="240" t="n"/>
      <c r="HYR95" s="240" t="n"/>
      <c r="HYT95" s="15" t="n"/>
      <c r="HYU95" s="15" t="n"/>
      <c r="HYV95" s="248" t="n"/>
      <c r="HYW95" s="248" t="n"/>
      <c r="HYX95" s="240" t="n"/>
      <c r="HYY95" s="240" t="n"/>
      <c r="HZA95" s="15" t="n"/>
      <c r="HZB95" s="15" t="n"/>
      <c r="HZC95" s="248" t="n"/>
      <c r="HZD95" s="248" t="n"/>
      <c r="HZE95" s="240" t="n"/>
      <c r="HZF95" s="240" t="n"/>
      <c r="HZH95" s="15" t="n"/>
      <c r="HZI95" s="15" t="n"/>
      <c r="HZJ95" s="248" t="n"/>
      <c r="HZK95" s="248" t="n"/>
      <c r="HZL95" s="240" t="n"/>
      <c r="HZM95" s="240" t="n"/>
      <c r="HZO95" s="15" t="n"/>
      <c r="HZP95" s="15" t="n"/>
      <c r="HZQ95" s="248" t="n"/>
      <c r="HZR95" s="248" t="n"/>
      <c r="HZS95" s="240" t="n"/>
      <c r="HZT95" s="240" t="n"/>
      <c r="HZV95" s="15" t="n"/>
      <c r="HZW95" s="15" t="n"/>
      <c r="HZX95" s="248" t="n"/>
      <c r="HZY95" s="248" t="n"/>
      <c r="HZZ95" s="240" t="n"/>
      <c r="IAA95" s="240" t="n"/>
      <c r="IAC95" s="15" t="n"/>
      <c r="IAD95" s="15" t="n"/>
      <c r="IAE95" s="248" t="n"/>
      <c r="IAF95" s="248" t="n"/>
      <c r="IAG95" s="240" t="n"/>
      <c r="IAH95" s="240" t="n"/>
      <c r="IAJ95" s="15" t="n"/>
      <c r="IAK95" s="15" t="n"/>
      <c r="IAL95" s="248" t="n"/>
      <c r="IAM95" s="248" t="n"/>
      <c r="IAN95" s="240" t="n"/>
      <c r="IAO95" s="240" t="n"/>
      <c r="IAQ95" s="15" t="n"/>
      <c r="IAR95" s="15" t="n"/>
      <c r="IAS95" s="248" t="n"/>
      <c r="IAT95" s="248" t="n"/>
      <c r="IAU95" s="240" t="n"/>
      <c r="IAV95" s="240" t="n"/>
      <c r="IAX95" s="15" t="n"/>
      <c r="IAY95" s="15" t="n"/>
      <c r="IAZ95" s="248" t="n"/>
      <c r="IBA95" s="248" t="n"/>
      <c r="IBB95" s="240" t="n"/>
      <c r="IBC95" s="240" t="n"/>
      <c r="IBE95" s="15" t="n"/>
      <c r="IBF95" s="15" t="n"/>
      <c r="IBG95" s="248" t="n"/>
      <c r="IBH95" s="248" t="n"/>
      <c r="IBI95" s="240" t="n"/>
      <c r="IBJ95" s="240" t="n"/>
      <c r="IBL95" s="15" t="n"/>
      <c r="IBM95" s="15" t="n"/>
      <c r="IBN95" s="248" t="n"/>
      <c r="IBO95" s="248" t="n"/>
      <c r="IBP95" s="240" t="n"/>
      <c r="IBQ95" s="240" t="n"/>
      <c r="IBS95" s="15" t="n"/>
      <c r="IBT95" s="15" t="n"/>
      <c r="IBU95" s="248" t="n"/>
      <c r="IBV95" s="248" t="n"/>
      <c r="IBW95" s="240" t="n"/>
      <c r="IBX95" s="240" t="n"/>
      <c r="IBZ95" s="15" t="n"/>
      <c r="ICA95" s="15" t="n"/>
      <c r="ICB95" s="248" t="n"/>
      <c r="ICC95" s="248" t="n"/>
      <c r="ICD95" s="240" t="n"/>
      <c r="ICE95" s="240" t="n"/>
      <c r="ICG95" s="15" t="n"/>
      <c r="ICH95" s="15" t="n"/>
      <c r="ICI95" s="248" t="n"/>
      <c r="ICJ95" s="248" t="n"/>
      <c r="ICK95" s="240" t="n"/>
      <c r="ICL95" s="240" t="n"/>
      <c r="ICN95" s="15" t="n"/>
      <c r="ICO95" s="15" t="n"/>
      <c r="ICP95" s="248" t="n"/>
      <c r="ICQ95" s="248" t="n"/>
      <c r="ICR95" s="240" t="n"/>
      <c r="ICS95" s="240" t="n"/>
      <c r="ICU95" s="15" t="n"/>
      <c r="ICV95" s="15" t="n"/>
      <c r="ICW95" s="248" t="n"/>
      <c r="ICX95" s="248" t="n"/>
      <c r="ICY95" s="240" t="n"/>
      <c r="ICZ95" s="240" t="n"/>
      <c r="IDB95" s="15" t="n"/>
      <c r="IDC95" s="15" t="n"/>
      <c r="IDD95" s="248" t="n"/>
      <c r="IDE95" s="248" t="n"/>
      <c r="IDF95" s="240" t="n"/>
      <c r="IDG95" s="240" t="n"/>
      <c r="IDI95" s="15" t="n"/>
      <c r="IDJ95" s="15" t="n"/>
      <c r="IDK95" s="248" t="n"/>
      <c r="IDL95" s="248" t="n"/>
      <c r="IDM95" s="240" t="n"/>
      <c r="IDN95" s="240" t="n"/>
      <c r="IDP95" s="15" t="n"/>
      <c r="IDQ95" s="15" t="n"/>
      <c r="IDR95" s="248" t="n"/>
      <c r="IDS95" s="248" t="n"/>
      <c r="IDT95" s="240" t="n"/>
      <c r="IDU95" s="240" t="n"/>
      <c r="IDW95" s="15" t="n"/>
      <c r="IDX95" s="15" t="n"/>
      <c r="IDY95" s="248" t="n"/>
      <c r="IDZ95" s="248" t="n"/>
      <c r="IEA95" s="240" t="n"/>
      <c r="IEB95" s="240" t="n"/>
      <c r="IED95" s="15" t="n"/>
      <c r="IEE95" s="15" t="n"/>
      <c r="IEF95" s="248" t="n"/>
      <c r="IEG95" s="248" t="n"/>
      <c r="IEH95" s="240" t="n"/>
      <c r="IEI95" s="240" t="n"/>
      <c r="IEK95" s="15" t="n"/>
      <c r="IEL95" s="15" t="n"/>
      <c r="IEM95" s="248" t="n"/>
      <c r="IEN95" s="248" t="n"/>
      <c r="IEO95" s="240" t="n"/>
      <c r="IEP95" s="240" t="n"/>
      <c r="IER95" s="15" t="n"/>
      <c r="IES95" s="15" t="n"/>
      <c r="IET95" s="248" t="n"/>
      <c r="IEU95" s="248" t="n"/>
      <c r="IEV95" s="240" t="n"/>
      <c r="IEW95" s="240" t="n"/>
      <c r="IEY95" s="15" t="n"/>
      <c r="IEZ95" s="15" t="n"/>
      <c r="IFA95" s="248" t="n"/>
      <c r="IFB95" s="248" t="n"/>
      <c r="IFC95" s="240" t="n"/>
      <c r="IFD95" s="240" t="n"/>
      <c r="IFF95" s="15" t="n"/>
      <c r="IFG95" s="15" t="n"/>
      <c r="IFH95" s="248" t="n"/>
      <c r="IFI95" s="248" t="n"/>
      <c r="IFJ95" s="240" t="n"/>
      <c r="IFK95" s="240" t="n"/>
      <c r="IFM95" s="15" t="n"/>
      <c r="IFN95" s="15" t="n"/>
      <c r="IFO95" s="248" t="n"/>
      <c r="IFP95" s="248" t="n"/>
      <c r="IFQ95" s="240" t="n"/>
      <c r="IFR95" s="240" t="n"/>
      <c r="IFT95" s="15" t="n"/>
      <c r="IFU95" s="15" t="n"/>
      <c r="IFV95" s="248" t="n"/>
      <c r="IFW95" s="248" t="n"/>
      <c r="IFX95" s="240" t="n"/>
      <c r="IFY95" s="240" t="n"/>
      <c r="IGA95" s="15" t="n"/>
      <c r="IGB95" s="15" t="n"/>
      <c r="IGC95" s="248" t="n"/>
      <c r="IGD95" s="248" t="n"/>
      <c r="IGE95" s="240" t="n"/>
      <c r="IGF95" s="240" t="n"/>
      <c r="IGH95" s="15" t="n"/>
      <c r="IGI95" s="15" t="n"/>
      <c r="IGJ95" s="248" t="n"/>
      <c r="IGK95" s="248" t="n"/>
      <c r="IGL95" s="240" t="n"/>
      <c r="IGM95" s="240" t="n"/>
      <c r="IGO95" s="15" t="n"/>
      <c r="IGP95" s="15" t="n"/>
      <c r="IGQ95" s="248" t="n"/>
      <c r="IGR95" s="248" t="n"/>
      <c r="IGS95" s="240" t="n"/>
      <c r="IGT95" s="240" t="n"/>
      <c r="IGV95" s="15" t="n"/>
      <c r="IGW95" s="15" t="n"/>
      <c r="IGX95" s="248" t="n"/>
      <c r="IGY95" s="248" t="n"/>
      <c r="IGZ95" s="240" t="n"/>
      <c r="IHA95" s="240" t="n"/>
      <c r="IHC95" s="15" t="n"/>
      <c r="IHD95" s="15" t="n"/>
      <c r="IHE95" s="248" t="n"/>
      <c r="IHF95" s="248" t="n"/>
      <c r="IHG95" s="240" t="n"/>
      <c r="IHH95" s="240" t="n"/>
      <c r="IHJ95" s="15" t="n"/>
      <c r="IHK95" s="15" t="n"/>
      <c r="IHL95" s="248" t="n"/>
      <c r="IHM95" s="248" t="n"/>
      <c r="IHN95" s="240" t="n"/>
      <c r="IHO95" s="240" t="n"/>
      <c r="IHQ95" s="15" t="n"/>
      <c r="IHR95" s="15" t="n"/>
      <c r="IHS95" s="248" t="n"/>
      <c r="IHT95" s="248" t="n"/>
      <c r="IHU95" s="240" t="n"/>
      <c r="IHV95" s="240" t="n"/>
      <c r="IHX95" s="15" t="n"/>
      <c r="IHY95" s="15" t="n"/>
      <c r="IHZ95" s="248" t="n"/>
      <c r="IIA95" s="248" t="n"/>
      <c r="IIB95" s="240" t="n"/>
      <c r="IIC95" s="240" t="n"/>
      <c r="IIE95" s="15" t="n"/>
      <c r="IIF95" s="15" t="n"/>
      <c r="IIG95" s="248" t="n"/>
      <c r="IIH95" s="248" t="n"/>
      <c r="III95" s="240" t="n"/>
      <c r="IIJ95" s="240" t="n"/>
      <c r="IIL95" s="15" t="n"/>
      <c r="IIM95" s="15" t="n"/>
      <c r="IIN95" s="248" t="n"/>
      <c r="IIO95" s="248" t="n"/>
      <c r="IIP95" s="240" t="n"/>
      <c r="IIQ95" s="240" t="n"/>
      <c r="IIS95" s="15" t="n"/>
      <c r="IIT95" s="15" t="n"/>
      <c r="IIU95" s="248" t="n"/>
      <c r="IIV95" s="248" t="n"/>
      <c r="IIW95" s="240" t="n"/>
      <c r="IIX95" s="240" t="n"/>
      <c r="IIZ95" s="15" t="n"/>
      <c r="IJA95" s="15" t="n"/>
      <c r="IJB95" s="248" t="n"/>
      <c r="IJC95" s="248" t="n"/>
      <c r="IJD95" s="240" t="n"/>
      <c r="IJE95" s="240" t="n"/>
      <c r="IJG95" s="15" t="n"/>
      <c r="IJH95" s="15" t="n"/>
      <c r="IJI95" s="248" t="n"/>
      <c r="IJJ95" s="248" t="n"/>
      <c r="IJK95" s="240" t="n"/>
      <c r="IJL95" s="240" t="n"/>
      <c r="IJN95" s="15" t="n"/>
      <c r="IJO95" s="15" t="n"/>
      <c r="IJP95" s="248" t="n"/>
      <c r="IJQ95" s="248" t="n"/>
      <c r="IJR95" s="240" t="n"/>
      <c r="IJS95" s="240" t="n"/>
      <c r="IJU95" s="15" t="n"/>
      <c r="IJV95" s="15" t="n"/>
      <c r="IJW95" s="248" t="n"/>
      <c r="IJX95" s="248" t="n"/>
      <c r="IJY95" s="240" t="n"/>
      <c r="IJZ95" s="240" t="n"/>
      <c r="IKB95" s="15" t="n"/>
      <c r="IKC95" s="15" t="n"/>
      <c r="IKD95" s="248" t="n"/>
      <c r="IKE95" s="248" t="n"/>
      <c r="IKF95" s="240" t="n"/>
      <c r="IKG95" s="240" t="n"/>
      <c r="IKI95" s="15" t="n"/>
      <c r="IKJ95" s="15" t="n"/>
      <c r="IKK95" s="248" t="n"/>
      <c r="IKL95" s="248" t="n"/>
      <c r="IKM95" s="240" t="n"/>
      <c r="IKN95" s="240" t="n"/>
      <c r="IKP95" s="15" t="n"/>
      <c r="IKQ95" s="15" t="n"/>
      <c r="IKR95" s="248" t="n"/>
      <c r="IKS95" s="248" t="n"/>
      <c r="IKT95" s="240" t="n"/>
      <c r="IKU95" s="240" t="n"/>
      <c r="IKW95" s="15" t="n"/>
      <c r="IKX95" s="15" t="n"/>
      <c r="IKY95" s="248" t="n"/>
      <c r="IKZ95" s="248" t="n"/>
      <c r="ILA95" s="240" t="n"/>
      <c r="ILB95" s="240" t="n"/>
      <c r="ILD95" s="15" t="n"/>
      <c r="ILE95" s="15" t="n"/>
      <c r="ILF95" s="248" t="n"/>
      <c r="ILG95" s="248" t="n"/>
      <c r="ILH95" s="240" t="n"/>
      <c r="ILI95" s="240" t="n"/>
      <c r="ILK95" s="15" t="n"/>
      <c r="ILL95" s="15" t="n"/>
      <c r="ILM95" s="248" t="n"/>
      <c r="ILN95" s="248" t="n"/>
      <c r="ILO95" s="240" t="n"/>
      <c r="ILP95" s="240" t="n"/>
      <c r="ILR95" s="15" t="n"/>
      <c r="ILS95" s="15" t="n"/>
      <c r="ILT95" s="248" t="n"/>
      <c r="ILU95" s="248" t="n"/>
      <c r="ILV95" s="240" t="n"/>
      <c r="ILW95" s="240" t="n"/>
      <c r="ILY95" s="15" t="n"/>
      <c r="ILZ95" s="15" t="n"/>
      <c r="IMA95" s="248" t="n"/>
      <c r="IMB95" s="248" t="n"/>
      <c r="IMC95" s="240" t="n"/>
      <c r="IMD95" s="240" t="n"/>
      <c r="IMF95" s="15" t="n"/>
      <c r="IMG95" s="15" t="n"/>
      <c r="IMH95" s="248" t="n"/>
      <c r="IMI95" s="248" t="n"/>
      <c r="IMJ95" s="240" t="n"/>
      <c r="IMK95" s="240" t="n"/>
      <c r="IMM95" s="15" t="n"/>
      <c r="IMN95" s="15" t="n"/>
      <c r="IMO95" s="248" t="n"/>
      <c r="IMP95" s="248" t="n"/>
      <c r="IMQ95" s="240" t="n"/>
      <c r="IMR95" s="240" t="n"/>
      <c r="IMT95" s="15" t="n"/>
      <c r="IMU95" s="15" t="n"/>
      <c r="IMV95" s="248" t="n"/>
      <c r="IMW95" s="248" t="n"/>
      <c r="IMX95" s="240" t="n"/>
      <c r="IMY95" s="240" t="n"/>
      <c r="INA95" s="15" t="n"/>
      <c r="INB95" s="15" t="n"/>
      <c r="INC95" s="248" t="n"/>
      <c r="IND95" s="248" t="n"/>
      <c r="INE95" s="240" t="n"/>
      <c r="INF95" s="240" t="n"/>
      <c r="INH95" s="15" t="n"/>
      <c r="INI95" s="15" t="n"/>
      <c r="INJ95" s="248" t="n"/>
      <c r="INK95" s="248" t="n"/>
      <c r="INL95" s="240" t="n"/>
      <c r="INM95" s="240" t="n"/>
      <c r="INO95" s="15" t="n"/>
      <c r="INP95" s="15" t="n"/>
      <c r="INQ95" s="248" t="n"/>
      <c r="INR95" s="248" t="n"/>
      <c r="INS95" s="240" t="n"/>
      <c r="INT95" s="240" t="n"/>
      <c r="INV95" s="15" t="n"/>
      <c r="INW95" s="15" t="n"/>
      <c r="INX95" s="248" t="n"/>
      <c r="INY95" s="248" t="n"/>
      <c r="INZ95" s="240" t="n"/>
      <c r="IOA95" s="240" t="n"/>
      <c r="IOC95" s="15" t="n"/>
      <c r="IOD95" s="15" t="n"/>
      <c r="IOE95" s="248" t="n"/>
      <c r="IOF95" s="248" t="n"/>
      <c r="IOG95" s="240" t="n"/>
      <c r="IOH95" s="240" t="n"/>
      <c r="IOJ95" s="15" t="n"/>
      <c r="IOK95" s="15" t="n"/>
      <c r="IOL95" s="248" t="n"/>
      <c r="IOM95" s="248" t="n"/>
      <c r="ION95" s="240" t="n"/>
      <c r="IOO95" s="240" t="n"/>
      <c r="IOQ95" s="15" t="n"/>
      <c r="IOR95" s="15" t="n"/>
      <c r="IOS95" s="248" t="n"/>
      <c r="IOT95" s="248" t="n"/>
      <c r="IOU95" s="240" t="n"/>
      <c r="IOV95" s="240" t="n"/>
      <c r="IOX95" s="15" t="n"/>
      <c r="IOY95" s="15" t="n"/>
      <c r="IOZ95" s="248" t="n"/>
      <c r="IPA95" s="248" t="n"/>
      <c r="IPB95" s="240" t="n"/>
      <c r="IPC95" s="240" t="n"/>
      <c r="IPE95" s="15" t="n"/>
      <c r="IPF95" s="15" t="n"/>
      <c r="IPG95" s="248" t="n"/>
      <c r="IPH95" s="248" t="n"/>
      <c r="IPI95" s="240" t="n"/>
      <c r="IPJ95" s="240" t="n"/>
      <c r="IPL95" s="15" t="n"/>
      <c r="IPM95" s="15" t="n"/>
      <c r="IPN95" s="248" t="n"/>
      <c r="IPO95" s="248" t="n"/>
      <c r="IPP95" s="240" t="n"/>
      <c r="IPQ95" s="240" t="n"/>
      <c r="IPS95" s="15" t="n"/>
      <c r="IPT95" s="15" t="n"/>
      <c r="IPU95" s="248" t="n"/>
      <c r="IPV95" s="248" t="n"/>
      <c r="IPW95" s="240" t="n"/>
      <c r="IPX95" s="240" t="n"/>
      <c r="IPZ95" s="15" t="n"/>
      <c r="IQA95" s="15" t="n"/>
      <c r="IQB95" s="248" t="n"/>
      <c r="IQC95" s="248" t="n"/>
      <c r="IQD95" s="240" t="n"/>
      <c r="IQE95" s="240" t="n"/>
      <c r="IQG95" s="15" t="n"/>
      <c r="IQH95" s="15" t="n"/>
      <c r="IQI95" s="248" t="n"/>
      <c r="IQJ95" s="248" t="n"/>
      <c r="IQK95" s="240" t="n"/>
      <c r="IQL95" s="240" t="n"/>
      <c r="IQN95" s="15" t="n"/>
      <c r="IQO95" s="15" t="n"/>
      <c r="IQP95" s="248" t="n"/>
      <c r="IQQ95" s="248" t="n"/>
      <c r="IQR95" s="240" t="n"/>
      <c r="IQS95" s="240" t="n"/>
      <c r="IQU95" s="15" t="n"/>
      <c r="IQV95" s="15" t="n"/>
      <c r="IQW95" s="248" t="n"/>
      <c r="IQX95" s="248" t="n"/>
      <c r="IQY95" s="240" t="n"/>
      <c r="IQZ95" s="240" t="n"/>
      <c r="IRB95" s="15" t="n"/>
      <c r="IRC95" s="15" t="n"/>
      <c r="IRD95" s="248" t="n"/>
      <c r="IRE95" s="248" t="n"/>
      <c r="IRF95" s="240" t="n"/>
      <c r="IRG95" s="240" t="n"/>
      <c r="IRI95" s="15" t="n"/>
      <c r="IRJ95" s="15" t="n"/>
      <c r="IRK95" s="248" t="n"/>
      <c r="IRL95" s="248" t="n"/>
      <c r="IRM95" s="240" t="n"/>
      <c r="IRN95" s="240" t="n"/>
      <c r="IRP95" s="15" t="n"/>
      <c r="IRQ95" s="15" t="n"/>
      <c r="IRR95" s="248" t="n"/>
      <c r="IRS95" s="248" t="n"/>
      <c r="IRT95" s="240" t="n"/>
      <c r="IRU95" s="240" t="n"/>
      <c r="IRW95" s="15" t="n"/>
      <c r="IRX95" s="15" t="n"/>
      <c r="IRY95" s="248" t="n"/>
      <c r="IRZ95" s="248" t="n"/>
      <c r="ISA95" s="240" t="n"/>
      <c r="ISB95" s="240" t="n"/>
      <c r="ISD95" s="15" t="n"/>
      <c r="ISE95" s="15" t="n"/>
      <c r="ISF95" s="248" t="n"/>
      <c r="ISG95" s="248" t="n"/>
      <c r="ISH95" s="240" t="n"/>
      <c r="ISI95" s="240" t="n"/>
      <c r="ISK95" s="15" t="n"/>
      <c r="ISL95" s="15" t="n"/>
      <c r="ISM95" s="248" t="n"/>
      <c r="ISN95" s="248" t="n"/>
      <c r="ISO95" s="240" t="n"/>
      <c r="ISP95" s="240" t="n"/>
      <c r="ISR95" s="15" t="n"/>
      <c r="ISS95" s="15" t="n"/>
      <c r="IST95" s="248" t="n"/>
      <c r="ISU95" s="248" t="n"/>
      <c r="ISV95" s="240" t="n"/>
      <c r="ISW95" s="240" t="n"/>
      <c r="ISY95" s="15" t="n"/>
      <c r="ISZ95" s="15" t="n"/>
      <c r="ITA95" s="248" t="n"/>
      <c r="ITB95" s="248" t="n"/>
      <c r="ITC95" s="240" t="n"/>
      <c r="ITD95" s="240" t="n"/>
      <c r="ITF95" s="15" t="n"/>
      <c r="ITG95" s="15" t="n"/>
      <c r="ITH95" s="248" t="n"/>
      <c r="ITI95" s="248" t="n"/>
      <c r="ITJ95" s="240" t="n"/>
      <c r="ITK95" s="240" t="n"/>
      <c r="ITM95" s="15" t="n"/>
      <c r="ITN95" s="15" t="n"/>
      <c r="ITO95" s="248" t="n"/>
      <c r="ITP95" s="248" t="n"/>
      <c r="ITQ95" s="240" t="n"/>
      <c r="ITR95" s="240" t="n"/>
      <c r="ITT95" s="15" t="n"/>
      <c r="ITU95" s="15" t="n"/>
      <c r="ITV95" s="248" t="n"/>
      <c r="ITW95" s="248" t="n"/>
      <c r="ITX95" s="240" t="n"/>
      <c r="ITY95" s="240" t="n"/>
      <c r="IUA95" s="15" t="n"/>
      <c r="IUB95" s="15" t="n"/>
      <c r="IUC95" s="248" t="n"/>
      <c r="IUD95" s="248" t="n"/>
      <c r="IUE95" s="240" t="n"/>
      <c r="IUF95" s="240" t="n"/>
      <c r="IUH95" s="15" t="n"/>
      <c r="IUI95" s="15" t="n"/>
      <c r="IUJ95" s="248" t="n"/>
      <c r="IUK95" s="248" t="n"/>
      <c r="IUL95" s="240" t="n"/>
      <c r="IUM95" s="240" t="n"/>
      <c r="IUO95" s="15" t="n"/>
      <c r="IUP95" s="15" t="n"/>
      <c r="IUQ95" s="248" t="n"/>
      <c r="IUR95" s="248" t="n"/>
      <c r="IUS95" s="240" t="n"/>
      <c r="IUT95" s="240" t="n"/>
      <c r="IUV95" s="15" t="n"/>
      <c r="IUW95" s="15" t="n"/>
      <c r="IUX95" s="248" t="n"/>
      <c r="IUY95" s="248" t="n"/>
      <c r="IUZ95" s="240" t="n"/>
      <c r="IVA95" s="240" t="n"/>
      <c r="IVC95" s="15" t="n"/>
      <c r="IVD95" s="15" t="n"/>
      <c r="IVE95" s="248" t="n"/>
      <c r="IVF95" s="248" t="n"/>
      <c r="IVG95" s="240" t="n"/>
      <c r="IVH95" s="240" t="n"/>
      <c r="IVJ95" s="15" t="n"/>
      <c r="IVK95" s="15" t="n"/>
      <c r="IVL95" s="248" t="n"/>
      <c r="IVM95" s="248" t="n"/>
      <c r="IVN95" s="240" t="n"/>
      <c r="IVO95" s="240" t="n"/>
      <c r="IVQ95" s="15" t="n"/>
      <c r="IVR95" s="15" t="n"/>
      <c r="IVS95" s="248" t="n"/>
      <c r="IVT95" s="248" t="n"/>
      <c r="IVU95" s="240" t="n"/>
      <c r="IVV95" s="240" t="n"/>
      <c r="IVX95" s="15" t="n"/>
      <c r="IVY95" s="15" t="n"/>
      <c r="IVZ95" s="248" t="n"/>
      <c r="IWA95" s="248" t="n"/>
      <c r="IWB95" s="240" t="n"/>
      <c r="IWC95" s="240" t="n"/>
      <c r="IWE95" s="15" t="n"/>
      <c r="IWF95" s="15" t="n"/>
      <c r="IWG95" s="248" t="n"/>
      <c r="IWH95" s="248" t="n"/>
      <c r="IWI95" s="240" t="n"/>
      <c r="IWJ95" s="240" t="n"/>
      <c r="IWL95" s="15" t="n"/>
      <c r="IWM95" s="15" t="n"/>
      <c r="IWN95" s="248" t="n"/>
      <c r="IWO95" s="248" t="n"/>
      <c r="IWP95" s="240" t="n"/>
      <c r="IWQ95" s="240" t="n"/>
      <c r="IWS95" s="15" t="n"/>
      <c r="IWT95" s="15" t="n"/>
      <c r="IWU95" s="248" t="n"/>
      <c r="IWV95" s="248" t="n"/>
      <c r="IWW95" s="240" t="n"/>
      <c r="IWX95" s="240" t="n"/>
      <c r="IWZ95" s="15" t="n"/>
      <c r="IXA95" s="15" t="n"/>
      <c r="IXB95" s="248" t="n"/>
      <c r="IXC95" s="248" t="n"/>
      <c r="IXD95" s="240" t="n"/>
      <c r="IXE95" s="240" t="n"/>
      <c r="IXG95" s="15" t="n"/>
      <c r="IXH95" s="15" t="n"/>
      <c r="IXI95" s="248" t="n"/>
      <c r="IXJ95" s="248" t="n"/>
      <c r="IXK95" s="240" t="n"/>
      <c r="IXL95" s="240" t="n"/>
      <c r="IXN95" s="15" t="n"/>
      <c r="IXO95" s="15" t="n"/>
      <c r="IXP95" s="248" t="n"/>
      <c r="IXQ95" s="248" t="n"/>
      <c r="IXR95" s="240" t="n"/>
      <c r="IXS95" s="240" t="n"/>
      <c r="IXU95" s="15" t="n"/>
      <c r="IXV95" s="15" t="n"/>
      <c r="IXW95" s="248" t="n"/>
      <c r="IXX95" s="248" t="n"/>
      <c r="IXY95" s="240" t="n"/>
      <c r="IXZ95" s="240" t="n"/>
      <c r="IYB95" s="15" t="n"/>
      <c r="IYC95" s="15" t="n"/>
      <c r="IYD95" s="248" t="n"/>
      <c r="IYE95" s="248" t="n"/>
      <c r="IYF95" s="240" t="n"/>
      <c r="IYG95" s="240" t="n"/>
      <c r="IYI95" s="15" t="n"/>
      <c r="IYJ95" s="15" t="n"/>
      <c r="IYK95" s="248" t="n"/>
      <c r="IYL95" s="248" t="n"/>
      <c r="IYM95" s="240" t="n"/>
      <c r="IYN95" s="240" t="n"/>
      <c r="IYP95" s="15" t="n"/>
      <c r="IYQ95" s="15" t="n"/>
      <c r="IYR95" s="248" t="n"/>
      <c r="IYS95" s="248" t="n"/>
      <c r="IYT95" s="240" t="n"/>
      <c r="IYU95" s="240" t="n"/>
      <c r="IYW95" s="15" t="n"/>
      <c r="IYX95" s="15" t="n"/>
      <c r="IYY95" s="248" t="n"/>
      <c r="IYZ95" s="248" t="n"/>
      <c r="IZA95" s="240" t="n"/>
      <c r="IZB95" s="240" t="n"/>
      <c r="IZD95" s="15" t="n"/>
      <c r="IZE95" s="15" t="n"/>
      <c r="IZF95" s="248" t="n"/>
      <c r="IZG95" s="248" t="n"/>
      <c r="IZH95" s="240" t="n"/>
      <c r="IZI95" s="240" t="n"/>
      <c r="IZK95" s="15" t="n"/>
      <c r="IZL95" s="15" t="n"/>
      <c r="IZM95" s="248" t="n"/>
      <c r="IZN95" s="248" t="n"/>
      <c r="IZO95" s="240" t="n"/>
      <c r="IZP95" s="240" t="n"/>
      <c r="IZR95" s="15" t="n"/>
      <c r="IZS95" s="15" t="n"/>
      <c r="IZT95" s="248" t="n"/>
      <c r="IZU95" s="248" t="n"/>
      <c r="IZV95" s="240" t="n"/>
      <c r="IZW95" s="240" t="n"/>
      <c r="IZY95" s="15" t="n"/>
      <c r="IZZ95" s="15" t="n"/>
      <c r="JAA95" s="248" t="n"/>
      <c r="JAB95" s="248" t="n"/>
      <c r="JAC95" s="240" t="n"/>
      <c r="JAD95" s="240" t="n"/>
      <c r="JAF95" s="15" t="n"/>
      <c r="JAG95" s="15" t="n"/>
      <c r="JAH95" s="248" t="n"/>
      <c r="JAI95" s="248" t="n"/>
      <c r="JAJ95" s="240" t="n"/>
      <c r="JAK95" s="240" t="n"/>
      <c r="JAM95" s="15" t="n"/>
      <c r="JAN95" s="15" t="n"/>
      <c r="JAO95" s="248" t="n"/>
      <c r="JAP95" s="248" t="n"/>
      <c r="JAQ95" s="240" t="n"/>
      <c r="JAR95" s="240" t="n"/>
      <c r="JAT95" s="15" t="n"/>
      <c r="JAU95" s="15" t="n"/>
      <c r="JAV95" s="248" t="n"/>
      <c r="JAW95" s="248" t="n"/>
      <c r="JAX95" s="240" t="n"/>
      <c r="JAY95" s="240" t="n"/>
      <c r="JBA95" s="15" t="n"/>
      <c r="JBB95" s="15" t="n"/>
      <c r="JBC95" s="248" t="n"/>
      <c r="JBD95" s="248" t="n"/>
      <c r="JBE95" s="240" t="n"/>
      <c r="JBF95" s="240" t="n"/>
      <c r="JBH95" s="15" t="n"/>
      <c r="JBI95" s="15" t="n"/>
      <c r="JBJ95" s="248" t="n"/>
      <c r="JBK95" s="248" t="n"/>
      <c r="JBL95" s="240" t="n"/>
      <c r="JBM95" s="240" t="n"/>
      <c r="JBO95" s="15" t="n"/>
      <c r="JBP95" s="15" t="n"/>
      <c r="JBQ95" s="248" t="n"/>
      <c r="JBR95" s="248" t="n"/>
      <c r="JBS95" s="240" t="n"/>
      <c r="JBT95" s="240" t="n"/>
      <c r="JBV95" s="15" t="n"/>
      <c r="JBW95" s="15" t="n"/>
      <c r="JBX95" s="248" t="n"/>
      <c r="JBY95" s="248" t="n"/>
      <c r="JBZ95" s="240" t="n"/>
      <c r="JCA95" s="240" t="n"/>
      <c r="JCC95" s="15" t="n"/>
      <c r="JCD95" s="15" t="n"/>
      <c r="JCE95" s="248" t="n"/>
      <c r="JCF95" s="248" t="n"/>
      <c r="JCG95" s="240" t="n"/>
      <c r="JCH95" s="240" t="n"/>
      <c r="JCJ95" s="15" t="n"/>
      <c r="JCK95" s="15" t="n"/>
      <c r="JCL95" s="248" t="n"/>
      <c r="JCM95" s="248" t="n"/>
      <c r="JCN95" s="240" t="n"/>
      <c r="JCO95" s="240" t="n"/>
      <c r="JCQ95" s="15" t="n"/>
      <c r="JCR95" s="15" t="n"/>
      <c r="JCS95" s="248" t="n"/>
      <c r="JCT95" s="248" t="n"/>
      <c r="JCU95" s="240" t="n"/>
      <c r="JCV95" s="240" t="n"/>
      <c r="JCX95" s="15" t="n"/>
      <c r="JCY95" s="15" t="n"/>
      <c r="JCZ95" s="248" t="n"/>
      <c r="JDA95" s="248" t="n"/>
      <c r="JDB95" s="240" t="n"/>
      <c r="JDC95" s="240" t="n"/>
      <c r="JDE95" s="15" t="n"/>
      <c r="JDF95" s="15" t="n"/>
      <c r="JDG95" s="248" t="n"/>
      <c r="JDH95" s="248" t="n"/>
      <c r="JDI95" s="240" t="n"/>
      <c r="JDJ95" s="240" t="n"/>
      <c r="JDL95" s="15" t="n"/>
      <c r="JDM95" s="15" t="n"/>
      <c r="JDN95" s="248" t="n"/>
      <c r="JDO95" s="248" t="n"/>
      <c r="JDP95" s="240" t="n"/>
      <c r="JDQ95" s="240" t="n"/>
      <c r="JDS95" s="15" t="n"/>
      <c r="JDT95" s="15" t="n"/>
      <c r="JDU95" s="248" t="n"/>
      <c r="JDV95" s="248" t="n"/>
      <c r="JDW95" s="240" t="n"/>
      <c r="JDX95" s="240" t="n"/>
      <c r="JDZ95" s="15" t="n"/>
      <c r="JEA95" s="15" t="n"/>
      <c r="JEB95" s="248" t="n"/>
      <c r="JEC95" s="248" t="n"/>
      <c r="JED95" s="240" t="n"/>
      <c r="JEE95" s="240" t="n"/>
      <c r="JEG95" s="15" t="n"/>
      <c r="JEH95" s="15" t="n"/>
      <c r="JEI95" s="248" t="n"/>
      <c r="JEJ95" s="248" t="n"/>
      <c r="JEK95" s="240" t="n"/>
      <c r="JEL95" s="240" t="n"/>
      <c r="JEN95" s="15" t="n"/>
      <c r="JEO95" s="15" t="n"/>
      <c r="JEP95" s="248" t="n"/>
      <c r="JEQ95" s="248" t="n"/>
      <c r="JER95" s="240" t="n"/>
      <c r="JES95" s="240" t="n"/>
      <c r="JEU95" s="15" t="n"/>
      <c r="JEV95" s="15" t="n"/>
      <c r="JEW95" s="248" t="n"/>
      <c r="JEX95" s="248" t="n"/>
      <c r="JEY95" s="240" t="n"/>
      <c r="JEZ95" s="240" t="n"/>
      <c r="JFB95" s="15" t="n"/>
      <c r="JFC95" s="15" t="n"/>
      <c r="JFD95" s="248" t="n"/>
      <c r="JFE95" s="248" t="n"/>
      <c r="JFF95" s="240" t="n"/>
      <c r="JFG95" s="240" t="n"/>
      <c r="JFI95" s="15" t="n"/>
      <c r="JFJ95" s="15" t="n"/>
      <c r="JFK95" s="248" t="n"/>
      <c r="JFL95" s="248" t="n"/>
      <c r="JFM95" s="240" t="n"/>
      <c r="JFN95" s="240" t="n"/>
      <c r="JFP95" s="15" t="n"/>
      <c r="JFQ95" s="15" t="n"/>
      <c r="JFR95" s="248" t="n"/>
      <c r="JFS95" s="248" t="n"/>
      <c r="JFT95" s="240" t="n"/>
      <c r="JFU95" s="240" t="n"/>
      <c r="JFW95" s="15" t="n"/>
      <c r="JFX95" s="15" t="n"/>
      <c r="JFY95" s="248" t="n"/>
      <c r="JFZ95" s="248" t="n"/>
      <c r="JGA95" s="240" t="n"/>
      <c r="JGB95" s="240" t="n"/>
      <c r="JGD95" s="15" t="n"/>
      <c r="JGE95" s="15" t="n"/>
      <c r="JGF95" s="248" t="n"/>
      <c r="JGG95" s="248" t="n"/>
      <c r="JGH95" s="240" t="n"/>
      <c r="JGI95" s="240" t="n"/>
      <c r="JGK95" s="15" t="n"/>
      <c r="JGL95" s="15" t="n"/>
      <c r="JGM95" s="248" t="n"/>
      <c r="JGN95" s="248" t="n"/>
      <c r="JGO95" s="240" t="n"/>
      <c r="JGP95" s="240" t="n"/>
      <c r="JGR95" s="15" t="n"/>
      <c r="JGS95" s="15" t="n"/>
      <c r="JGT95" s="248" t="n"/>
      <c r="JGU95" s="248" t="n"/>
      <c r="JGV95" s="240" t="n"/>
      <c r="JGW95" s="240" t="n"/>
      <c r="JGY95" s="15" t="n"/>
      <c r="JGZ95" s="15" t="n"/>
      <c r="JHA95" s="248" t="n"/>
      <c r="JHB95" s="248" t="n"/>
      <c r="JHC95" s="240" t="n"/>
      <c r="JHD95" s="240" t="n"/>
      <c r="JHF95" s="15" t="n"/>
      <c r="JHG95" s="15" t="n"/>
      <c r="JHH95" s="248" t="n"/>
      <c r="JHI95" s="248" t="n"/>
      <c r="JHJ95" s="240" t="n"/>
      <c r="JHK95" s="240" t="n"/>
      <c r="JHM95" s="15" t="n"/>
      <c r="JHN95" s="15" t="n"/>
      <c r="JHO95" s="248" t="n"/>
      <c r="JHP95" s="248" t="n"/>
      <c r="JHQ95" s="240" t="n"/>
      <c r="JHR95" s="240" t="n"/>
      <c r="JHT95" s="15" t="n"/>
      <c r="JHU95" s="15" t="n"/>
      <c r="JHV95" s="248" t="n"/>
      <c r="JHW95" s="248" t="n"/>
      <c r="JHX95" s="240" t="n"/>
      <c r="JHY95" s="240" t="n"/>
      <c r="JIA95" s="15" t="n"/>
      <c r="JIB95" s="15" t="n"/>
      <c r="JIC95" s="248" t="n"/>
      <c r="JID95" s="248" t="n"/>
      <c r="JIE95" s="240" t="n"/>
      <c r="JIF95" s="240" t="n"/>
      <c r="JIH95" s="15" t="n"/>
      <c r="JII95" s="15" t="n"/>
      <c r="JIJ95" s="248" t="n"/>
      <c r="JIK95" s="248" t="n"/>
      <c r="JIL95" s="240" t="n"/>
      <c r="JIM95" s="240" t="n"/>
      <c r="JIO95" s="15" t="n"/>
      <c r="JIP95" s="15" t="n"/>
      <c r="JIQ95" s="248" t="n"/>
      <c r="JIR95" s="248" t="n"/>
      <c r="JIS95" s="240" t="n"/>
      <c r="JIT95" s="240" t="n"/>
      <c r="JIV95" s="15" t="n"/>
      <c r="JIW95" s="15" t="n"/>
      <c r="JIX95" s="248" t="n"/>
      <c r="JIY95" s="248" t="n"/>
      <c r="JIZ95" s="240" t="n"/>
      <c r="JJA95" s="240" t="n"/>
      <c r="JJC95" s="15" t="n"/>
      <c r="JJD95" s="15" t="n"/>
      <c r="JJE95" s="248" t="n"/>
      <c r="JJF95" s="248" t="n"/>
      <c r="JJG95" s="240" t="n"/>
      <c r="JJH95" s="240" t="n"/>
      <c r="JJJ95" s="15" t="n"/>
      <c r="JJK95" s="15" t="n"/>
      <c r="JJL95" s="248" t="n"/>
      <c r="JJM95" s="248" t="n"/>
      <c r="JJN95" s="240" t="n"/>
      <c r="JJO95" s="240" t="n"/>
      <c r="JJQ95" s="15" t="n"/>
      <c r="JJR95" s="15" t="n"/>
      <c r="JJS95" s="248" t="n"/>
      <c r="JJT95" s="248" t="n"/>
      <c r="JJU95" s="240" t="n"/>
      <c r="JJV95" s="240" t="n"/>
      <c r="JJX95" s="15" t="n"/>
      <c r="JJY95" s="15" t="n"/>
      <c r="JJZ95" s="248" t="n"/>
      <c r="JKA95" s="248" t="n"/>
      <c r="JKB95" s="240" t="n"/>
      <c r="JKC95" s="240" t="n"/>
      <c r="JKE95" s="15" t="n"/>
      <c r="JKF95" s="15" t="n"/>
      <c r="JKG95" s="248" t="n"/>
      <c r="JKH95" s="248" t="n"/>
      <c r="JKI95" s="240" t="n"/>
      <c r="JKJ95" s="240" t="n"/>
      <c r="JKL95" s="15" t="n"/>
      <c r="JKM95" s="15" t="n"/>
      <c r="JKN95" s="248" t="n"/>
      <c r="JKO95" s="248" t="n"/>
      <c r="JKP95" s="240" t="n"/>
      <c r="JKQ95" s="240" t="n"/>
      <c r="JKS95" s="15" t="n"/>
      <c r="JKT95" s="15" t="n"/>
      <c r="JKU95" s="248" t="n"/>
      <c r="JKV95" s="248" t="n"/>
      <c r="JKW95" s="240" t="n"/>
      <c r="JKX95" s="240" t="n"/>
      <c r="JKZ95" s="15" t="n"/>
      <c r="JLA95" s="15" t="n"/>
      <c r="JLB95" s="248" t="n"/>
      <c r="JLC95" s="248" t="n"/>
      <c r="JLD95" s="240" t="n"/>
      <c r="JLE95" s="240" t="n"/>
      <c r="JLG95" s="15" t="n"/>
      <c r="JLH95" s="15" t="n"/>
      <c r="JLI95" s="248" t="n"/>
      <c r="JLJ95" s="248" t="n"/>
      <c r="JLK95" s="240" t="n"/>
      <c r="JLL95" s="240" t="n"/>
      <c r="JLN95" s="15" t="n"/>
      <c r="JLO95" s="15" t="n"/>
      <c r="JLP95" s="248" t="n"/>
      <c r="JLQ95" s="248" t="n"/>
      <c r="JLR95" s="240" t="n"/>
      <c r="JLS95" s="240" t="n"/>
      <c r="JLU95" s="15" t="n"/>
      <c r="JLV95" s="15" t="n"/>
      <c r="JLW95" s="248" t="n"/>
      <c r="JLX95" s="248" t="n"/>
      <c r="JLY95" s="240" t="n"/>
      <c r="JLZ95" s="240" t="n"/>
      <c r="JMB95" s="15" t="n"/>
      <c r="JMC95" s="15" t="n"/>
      <c r="JMD95" s="248" t="n"/>
      <c r="JME95" s="248" t="n"/>
      <c r="JMF95" s="240" t="n"/>
      <c r="JMG95" s="240" t="n"/>
      <c r="JMI95" s="15" t="n"/>
      <c r="JMJ95" s="15" t="n"/>
      <c r="JMK95" s="248" t="n"/>
      <c r="JML95" s="248" t="n"/>
      <c r="JMM95" s="240" t="n"/>
      <c r="JMN95" s="240" t="n"/>
      <c r="JMP95" s="15" t="n"/>
      <c r="JMQ95" s="15" t="n"/>
      <c r="JMR95" s="248" t="n"/>
      <c r="JMS95" s="248" t="n"/>
      <c r="JMT95" s="240" t="n"/>
      <c r="JMU95" s="240" t="n"/>
      <c r="JMW95" s="15" t="n"/>
      <c r="JMX95" s="15" t="n"/>
      <c r="JMY95" s="248" t="n"/>
      <c r="JMZ95" s="248" t="n"/>
      <c r="JNA95" s="240" t="n"/>
      <c r="JNB95" s="240" t="n"/>
      <c r="JND95" s="15" t="n"/>
      <c r="JNE95" s="15" t="n"/>
      <c r="JNF95" s="248" t="n"/>
      <c r="JNG95" s="248" t="n"/>
      <c r="JNH95" s="240" t="n"/>
      <c r="JNI95" s="240" t="n"/>
      <c r="JNK95" s="15" t="n"/>
      <c r="JNL95" s="15" t="n"/>
      <c r="JNM95" s="248" t="n"/>
      <c r="JNN95" s="248" t="n"/>
      <c r="JNO95" s="240" t="n"/>
      <c r="JNP95" s="240" t="n"/>
      <c r="JNR95" s="15" t="n"/>
      <c r="JNS95" s="15" t="n"/>
      <c r="JNT95" s="248" t="n"/>
      <c r="JNU95" s="248" t="n"/>
      <c r="JNV95" s="240" t="n"/>
      <c r="JNW95" s="240" t="n"/>
      <c r="JNY95" s="15" t="n"/>
      <c r="JNZ95" s="15" t="n"/>
      <c r="JOA95" s="248" t="n"/>
      <c r="JOB95" s="248" t="n"/>
      <c r="JOC95" s="240" t="n"/>
      <c r="JOD95" s="240" t="n"/>
      <c r="JOF95" s="15" t="n"/>
      <c r="JOG95" s="15" t="n"/>
      <c r="JOH95" s="248" t="n"/>
      <c r="JOI95" s="248" t="n"/>
      <c r="JOJ95" s="240" t="n"/>
      <c r="JOK95" s="240" t="n"/>
      <c r="JOM95" s="15" t="n"/>
      <c r="JON95" s="15" t="n"/>
      <c r="JOO95" s="248" t="n"/>
      <c r="JOP95" s="248" t="n"/>
      <c r="JOQ95" s="240" t="n"/>
      <c r="JOR95" s="240" t="n"/>
      <c r="JOT95" s="15" t="n"/>
      <c r="JOU95" s="15" t="n"/>
      <c r="JOV95" s="248" t="n"/>
      <c r="JOW95" s="248" t="n"/>
      <c r="JOX95" s="240" t="n"/>
      <c r="JOY95" s="240" t="n"/>
      <c r="JPA95" s="15" t="n"/>
      <c r="JPB95" s="15" t="n"/>
      <c r="JPC95" s="248" t="n"/>
      <c r="JPD95" s="248" t="n"/>
      <c r="JPE95" s="240" t="n"/>
      <c r="JPF95" s="240" t="n"/>
      <c r="JPH95" s="15" t="n"/>
      <c r="JPI95" s="15" t="n"/>
      <c r="JPJ95" s="248" t="n"/>
      <c r="JPK95" s="248" t="n"/>
      <c r="JPL95" s="240" t="n"/>
      <c r="JPM95" s="240" t="n"/>
      <c r="JPO95" s="15" t="n"/>
      <c r="JPP95" s="15" t="n"/>
      <c r="JPQ95" s="248" t="n"/>
      <c r="JPR95" s="248" t="n"/>
      <c r="JPS95" s="240" t="n"/>
      <c r="JPT95" s="240" t="n"/>
      <c r="JPV95" s="15" t="n"/>
      <c r="JPW95" s="15" t="n"/>
      <c r="JPX95" s="248" t="n"/>
      <c r="JPY95" s="248" t="n"/>
      <c r="JPZ95" s="240" t="n"/>
      <c r="JQA95" s="240" t="n"/>
      <c r="JQC95" s="15" t="n"/>
      <c r="JQD95" s="15" t="n"/>
      <c r="JQE95" s="248" t="n"/>
      <c r="JQF95" s="248" t="n"/>
      <c r="JQG95" s="240" t="n"/>
      <c r="JQH95" s="240" t="n"/>
      <c r="JQJ95" s="15" t="n"/>
      <c r="JQK95" s="15" t="n"/>
      <c r="JQL95" s="248" t="n"/>
      <c r="JQM95" s="248" t="n"/>
      <c r="JQN95" s="240" t="n"/>
      <c r="JQO95" s="240" t="n"/>
      <c r="JQQ95" s="15" t="n"/>
      <c r="JQR95" s="15" t="n"/>
      <c r="JQS95" s="248" t="n"/>
      <c r="JQT95" s="248" t="n"/>
      <c r="JQU95" s="240" t="n"/>
      <c r="JQV95" s="240" t="n"/>
      <c r="JQX95" s="15" t="n"/>
      <c r="JQY95" s="15" t="n"/>
      <c r="JQZ95" s="248" t="n"/>
      <c r="JRA95" s="248" t="n"/>
      <c r="JRB95" s="240" t="n"/>
      <c r="JRC95" s="240" t="n"/>
      <c r="JRE95" s="15" t="n"/>
      <c r="JRF95" s="15" t="n"/>
      <c r="JRG95" s="248" t="n"/>
      <c r="JRH95" s="248" t="n"/>
      <c r="JRI95" s="240" t="n"/>
      <c r="JRJ95" s="240" t="n"/>
      <c r="JRL95" s="15" t="n"/>
      <c r="JRM95" s="15" t="n"/>
      <c r="JRN95" s="248" t="n"/>
      <c r="JRO95" s="248" t="n"/>
      <c r="JRP95" s="240" t="n"/>
      <c r="JRQ95" s="240" t="n"/>
      <c r="JRS95" s="15" t="n"/>
      <c r="JRT95" s="15" t="n"/>
      <c r="JRU95" s="248" t="n"/>
      <c r="JRV95" s="248" t="n"/>
      <c r="JRW95" s="240" t="n"/>
      <c r="JRX95" s="240" t="n"/>
      <c r="JRZ95" s="15" t="n"/>
      <c r="JSA95" s="15" t="n"/>
      <c r="JSB95" s="248" t="n"/>
      <c r="JSC95" s="248" t="n"/>
      <c r="JSD95" s="240" t="n"/>
      <c r="JSE95" s="240" t="n"/>
      <c r="JSG95" s="15" t="n"/>
      <c r="JSH95" s="15" t="n"/>
      <c r="JSI95" s="248" t="n"/>
      <c r="JSJ95" s="248" t="n"/>
      <c r="JSK95" s="240" t="n"/>
      <c r="JSL95" s="240" t="n"/>
      <c r="JSN95" s="15" t="n"/>
      <c r="JSO95" s="15" t="n"/>
      <c r="JSP95" s="248" t="n"/>
      <c r="JSQ95" s="248" t="n"/>
      <c r="JSR95" s="240" t="n"/>
      <c r="JSS95" s="240" t="n"/>
      <c r="JSU95" s="15" t="n"/>
      <c r="JSV95" s="15" t="n"/>
      <c r="JSW95" s="248" t="n"/>
      <c r="JSX95" s="248" t="n"/>
      <c r="JSY95" s="240" t="n"/>
      <c r="JSZ95" s="240" t="n"/>
      <c r="JTB95" s="15" t="n"/>
      <c r="JTC95" s="15" t="n"/>
      <c r="JTD95" s="248" t="n"/>
      <c r="JTE95" s="248" t="n"/>
      <c r="JTF95" s="240" t="n"/>
      <c r="JTG95" s="240" t="n"/>
      <c r="JTI95" s="15" t="n"/>
      <c r="JTJ95" s="15" t="n"/>
      <c r="JTK95" s="248" t="n"/>
      <c r="JTL95" s="248" t="n"/>
      <c r="JTM95" s="240" t="n"/>
      <c r="JTN95" s="240" t="n"/>
      <c r="JTP95" s="15" t="n"/>
      <c r="JTQ95" s="15" t="n"/>
      <c r="JTR95" s="248" t="n"/>
      <c r="JTS95" s="248" t="n"/>
      <c r="JTT95" s="240" t="n"/>
      <c r="JTU95" s="240" t="n"/>
      <c r="JTW95" s="15" t="n"/>
      <c r="JTX95" s="15" t="n"/>
      <c r="JTY95" s="248" t="n"/>
      <c r="JTZ95" s="248" t="n"/>
      <c r="JUA95" s="240" t="n"/>
      <c r="JUB95" s="240" t="n"/>
      <c r="JUD95" s="15" t="n"/>
      <c r="JUE95" s="15" t="n"/>
      <c r="JUF95" s="248" t="n"/>
      <c r="JUG95" s="248" t="n"/>
      <c r="JUH95" s="240" t="n"/>
      <c r="JUI95" s="240" t="n"/>
      <c r="JUK95" s="15" t="n"/>
      <c r="JUL95" s="15" t="n"/>
      <c r="JUM95" s="248" t="n"/>
      <c r="JUN95" s="248" t="n"/>
      <c r="JUO95" s="240" t="n"/>
      <c r="JUP95" s="240" t="n"/>
      <c r="JUR95" s="15" t="n"/>
      <c r="JUS95" s="15" t="n"/>
      <c r="JUT95" s="248" t="n"/>
      <c r="JUU95" s="248" t="n"/>
      <c r="JUV95" s="240" t="n"/>
      <c r="JUW95" s="240" t="n"/>
      <c r="JUY95" s="15" t="n"/>
      <c r="JUZ95" s="15" t="n"/>
      <c r="JVA95" s="248" t="n"/>
      <c r="JVB95" s="248" t="n"/>
      <c r="JVC95" s="240" t="n"/>
      <c r="JVD95" s="240" t="n"/>
      <c r="JVF95" s="15" t="n"/>
      <c r="JVG95" s="15" t="n"/>
      <c r="JVH95" s="248" t="n"/>
      <c r="JVI95" s="248" t="n"/>
      <c r="JVJ95" s="240" t="n"/>
      <c r="JVK95" s="240" t="n"/>
      <c r="JVM95" s="15" t="n"/>
      <c r="JVN95" s="15" t="n"/>
      <c r="JVO95" s="248" t="n"/>
      <c r="JVP95" s="248" t="n"/>
      <c r="JVQ95" s="240" t="n"/>
      <c r="JVR95" s="240" t="n"/>
      <c r="JVT95" s="15" t="n"/>
      <c r="JVU95" s="15" t="n"/>
      <c r="JVV95" s="248" t="n"/>
      <c r="JVW95" s="248" t="n"/>
      <c r="JVX95" s="240" t="n"/>
      <c r="JVY95" s="240" t="n"/>
      <c r="JWA95" s="15" t="n"/>
      <c r="JWB95" s="15" t="n"/>
      <c r="JWC95" s="248" t="n"/>
      <c r="JWD95" s="248" t="n"/>
      <c r="JWE95" s="240" t="n"/>
      <c r="JWF95" s="240" t="n"/>
      <c r="JWH95" s="15" t="n"/>
      <c r="JWI95" s="15" t="n"/>
      <c r="JWJ95" s="248" t="n"/>
      <c r="JWK95" s="248" t="n"/>
      <c r="JWL95" s="240" t="n"/>
      <c r="JWM95" s="240" t="n"/>
      <c r="JWO95" s="15" t="n"/>
      <c r="JWP95" s="15" t="n"/>
      <c r="JWQ95" s="248" t="n"/>
      <c r="JWR95" s="248" t="n"/>
      <c r="JWS95" s="240" t="n"/>
      <c r="JWT95" s="240" t="n"/>
      <c r="JWV95" s="15" t="n"/>
      <c r="JWW95" s="15" t="n"/>
      <c r="JWX95" s="248" t="n"/>
      <c r="JWY95" s="248" t="n"/>
      <c r="JWZ95" s="240" t="n"/>
      <c r="JXA95" s="240" t="n"/>
      <c r="JXC95" s="15" t="n"/>
      <c r="JXD95" s="15" t="n"/>
      <c r="JXE95" s="248" t="n"/>
      <c r="JXF95" s="248" t="n"/>
      <c r="JXG95" s="240" t="n"/>
      <c r="JXH95" s="240" t="n"/>
      <c r="JXJ95" s="15" t="n"/>
      <c r="JXK95" s="15" t="n"/>
      <c r="JXL95" s="248" t="n"/>
      <c r="JXM95" s="248" t="n"/>
      <c r="JXN95" s="240" t="n"/>
      <c r="JXO95" s="240" t="n"/>
      <c r="JXQ95" s="15" t="n"/>
      <c r="JXR95" s="15" t="n"/>
      <c r="JXS95" s="248" t="n"/>
      <c r="JXT95" s="248" t="n"/>
      <c r="JXU95" s="240" t="n"/>
      <c r="JXV95" s="240" t="n"/>
      <c r="JXX95" s="15" t="n"/>
      <c r="JXY95" s="15" t="n"/>
      <c r="JXZ95" s="248" t="n"/>
      <c r="JYA95" s="248" t="n"/>
      <c r="JYB95" s="240" t="n"/>
      <c r="JYC95" s="240" t="n"/>
      <c r="JYE95" s="15" t="n"/>
      <c r="JYF95" s="15" t="n"/>
      <c r="JYG95" s="248" t="n"/>
      <c r="JYH95" s="248" t="n"/>
      <c r="JYI95" s="240" t="n"/>
      <c r="JYJ95" s="240" t="n"/>
      <c r="JYL95" s="15" t="n"/>
      <c r="JYM95" s="15" t="n"/>
      <c r="JYN95" s="248" t="n"/>
      <c r="JYO95" s="248" t="n"/>
      <c r="JYP95" s="240" t="n"/>
      <c r="JYQ95" s="240" t="n"/>
      <c r="JYS95" s="15" t="n"/>
      <c r="JYT95" s="15" t="n"/>
      <c r="JYU95" s="248" t="n"/>
      <c r="JYV95" s="248" t="n"/>
      <c r="JYW95" s="240" t="n"/>
      <c r="JYX95" s="240" t="n"/>
      <c r="JYZ95" s="15" t="n"/>
      <c r="JZA95" s="15" t="n"/>
      <c r="JZB95" s="248" t="n"/>
      <c r="JZC95" s="248" t="n"/>
      <c r="JZD95" s="240" t="n"/>
      <c r="JZE95" s="240" t="n"/>
      <c r="JZG95" s="15" t="n"/>
      <c r="JZH95" s="15" t="n"/>
      <c r="JZI95" s="248" t="n"/>
      <c r="JZJ95" s="248" t="n"/>
      <c r="JZK95" s="240" t="n"/>
      <c r="JZL95" s="240" t="n"/>
      <c r="JZN95" s="15" t="n"/>
      <c r="JZO95" s="15" t="n"/>
      <c r="JZP95" s="248" t="n"/>
      <c r="JZQ95" s="248" t="n"/>
      <c r="JZR95" s="240" t="n"/>
      <c r="JZS95" s="240" t="n"/>
      <c r="JZU95" s="15" t="n"/>
      <c r="JZV95" s="15" t="n"/>
      <c r="JZW95" s="248" t="n"/>
      <c r="JZX95" s="248" t="n"/>
      <c r="JZY95" s="240" t="n"/>
      <c r="JZZ95" s="240" t="n"/>
      <c r="KAB95" s="15" t="n"/>
      <c r="KAC95" s="15" t="n"/>
      <c r="KAD95" s="248" t="n"/>
      <c r="KAE95" s="248" t="n"/>
      <c r="KAF95" s="240" t="n"/>
      <c r="KAG95" s="240" t="n"/>
      <c r="KAI95" s="15" t="n"/>
      <c r="KAJ95" s="15" t="n"/>
      <c r="KAK95" s="248" t="n"/>
      <c r="KAL95" s="248" t="n"/>
      <c r="KAM95" s="240" t="n"/>
      <c r="KAN95" s="240" t="n"/>
      <c r="KAP95" s="15" t="n"/>
      <c r="KAQ95" s="15" t="n"/>
      <c r="KAR95" s="248" t="n"/>
      <c r="KAS95" s="248" t="n"/>
      <c r="KAT95" s="240" t="n"/>
      <c r="KAU95" s="240" t="n"/>
      <c r="KAW95" s="15" t="n"/>
      <c r="KAX95" s="15" t="n"/>
      <c r="KAY95" s="248" t="n"/>
      <c r="KAZ95" s="248" t="n"/>
      <c r="KBA95" s="240" t="n"/>
      <c r="KBB95" s="240" t="n"/>
      <c r="KBD95" s="15" t="n"/>
      <c r="KBE95" s="15" t="n"/>
      <c r="KBF95" s="248" t="n"/>
      <c r="KBG95" s="248" t="n"/>
      <c r="KBH95" s="240" t="n"/>
      <c r="KBI95" s="240" t="n"/>
      <c r="KBK95" s="15" t="n"/>
      <c r="KBL95" s="15" t="n"/>
      <c r="KBM95" s="248" t="n"/>
      <c r="KBN95" s="248" t="n"/>
      <c r="KBO95" s="240" t="n"/>
      <c r="KBP95" s="240" t="n"/>
      <c r="KBR95" s="15" t="n"/>
      <c r="KBS95" s="15" t="n"/>
      <c r="KBT95" s="248" t="n"/>
      <c r="KBU95" s="248" t="n"/>
      <c r="KBV95" s="240" t="n"/>
      <c r="KBW95" s="240" t="n"/>
      <c r="KBY95" s="15" t="n"/>
      <c r="KBZ95" s="15" t="n"/>
      <c r="KCA95" s="248" t="n"/>
      <c r="KCB95" s="248" t="n"/>
      <c r="KCC95" s="240" t="n"/>
      <c r="KCD95" s="240" t="n"/>
      <c r="KCF95" s="15" t="n"/>
      <c r="KCG95" s="15" t="n"/>
      <c r="KCH95" s="248" t="n"/>
      <c r="KCI95" s="248" t="n"/>
      <c r="KCJ95" s="240" t="n"/>
      <c r="KCK95" s="240" t="n"/>
      <c r="KCM95" s="15" t="n"/>
      <c r="KCN95" s="15" t="n"/>
      <c r="KCO95" s="248" t="n"/>
      <c r="KCP95" s="248" t="n"/>
      <c r="KCQ95" s="240" t="n"/>
      <c r="KCR95" s="240" t="n"/>
      <c r="KCT95" s="15" t="n"/>
      <c r="KCU95" s="15" t="n"/>
      <c r="KCV95" s="248" t="n"/>
      <c r="KCW95" s="248" t="n"/>
      <c r="KCX95" s="240" t="n"/>
      <c r="KCY95" s="240" t="n"/>
      <c r="KDA95" s="15" t="n"/>
      <c r="KDB95" s="15" t="n"/>
      <c r="KDC95" s="248" t="n"/>
      <c r="KDD95" s="248" t="n"/>
      <c r="KDE95" s="240" t="n"/>
      <c r="KDF95" s="240" t="n"/>
      <c r="KDH95" s="15" t="n"/>
      <c r="KDI95" s="15" t="n"/>
      <c r="KDJ95" s="248" t="n"/>
      <c r="KDK95" s="248" t="n"/>
      <c r="KDL95" s="240" t="n"/>
      <c r="KDM95" s="240" t="n"/>
      <c r="KDO95" s="15" t="n"/>
      <c r="KDP95" s="15" t="n"/>
      <c r="KDQ95" s="248" t="n"/>
      <c r="KDR95" s="248" t="n"/>
      <c r="KDS95" s="240" t="n"/>
      <c r="KDT95" s="240" t="n"/>
      <c r="KDV95" s="15" t="n"/>
      <c r="KDW95" s="15" t="n"/>
      <c r="KDX95" s="248" t="n"/>
      <c r="KDY95" s="248" t="n"/>
      <c r="KDZ95" s="240" t="n"/>
      <c r="KEA95" s="240" t="n"/>
      <c r="KEC95" s="15" t="n"/>
      <c r="KED95" s="15" t="n"/>
      <c r="KEE95" s="248" t="n"/>
      <c r="KEF95" s="248" t="n"/>
      <c r="KEG95" s="240" t="n"/>
      <c r="KEH95" s="240" t="n"/>
      <c r="KEJ95" s="15" t="n"/>
      <c r="KEK95" s="15" t="n"/>
      <c r="KEL95" s="248" t="n"/>
      <c r="KEM95" s="248" t="n"/>
      <c r="KEN95" s="240" t="n"/>
      <c r="KEO95" s="240" t="n"/>
      <c r="KEQ95" s="15" t="n"/>
      <c r="KER95" s="15" t="n"/>
      <c r="KES95" s="248" t="n"/>
      <c r="KET95" s="248" t="n"/>
      <c r="KEU95" s="240" t="n"/>
      <c r="KEV95" s="240" t="n"/>
      <c r="KEX95" s="15" t="n"/>
      <c r="KEY95" s="15" t="n"/>
      <c r="KEZ95" s="248" t="n"/>
      <c r="KFA95" s="248" t="n"/>
      <c r="KFB95" s="240" t="n"/>
      <c r="KFC95" s="240" t="n"/>
      <c r="KFE95" s="15" t="n"/>
      <c r="KFF95" s="15" t="n"/>
      <c r="KFG95" s="248" t="n"/>
      <c r="KFH95" s="248" t="n"/>
      <c r="KFI95" s="240" t="n"/>
      <c r="KFJ95" s="240" t="n"/>
      <c r="KFL95" s="15" t="n"/>
      <c r="KFM95" s="15" t="n"/>
      <c r="KFN95" s="248" t="n"/>
      <c r="KFO95" s="248" t="n"/>
      <c r="KFP95" s="240" t="n"/>
      <c r="KFQ95" s="240" t="n"/>
      <c r="KFS95" s="15" t="n"/>
      <c r="KFT95" s="15" t="n"/>
      <c r="KFU95" s="248" t="n"/>
      <c r="KFV95" s="248" t="n"/>
      <c r="KFW95" s="240" t="n"/>
      <c r="KFX95" s="240" t="n"/>
      <c r="KFZ95" s="15" t="n"/>
      <c r="KGA95" s="15" t="n"/>
      <c r="KGB95" s="248" t="n"/>
      <c r="KGC95" s="248" t="n"/>
      <c r="KGD95" s="240" t="n"/>
      <c r="KGE95" s="240" t="n"/>
      <c r="KGG95" s="15" t="n"/>
      <c r="KGH95" s="15" t="n"/>
      <c r="KGI95" s="248" t="n"/>
      <c r="KGJ95" s="248" t="n"/>
      <c r="KGK95" s="240" t="n"/>
      <c r="KGL95" s="240" t="n"/>
      <c r="KGN95" s="15" t="n"/>
      <c r="KGO95" s="15" t="n"/>
      <c r="KGP95" s="248" t="n"/>
      <c r="KGQ95" s="248" t="n"/>
      <c r="KGR95" s="240" t="n"/>
      <c r="KGS95" s="240" t="n"/>
      <c r="KGU95" s="15" t="n"/>
      <c r="KGV95" s="15" t="n"/>
      <c r="KGW95" s="248" t="n"/>
      <c r="KGX95" s="248" t="n"/>
      <c r="KGY95" s="240" t="n"/>
      <c r="KGZ95" s="240" t="n"/>
      <c r="KHB95" s="15" t="n"/>
      <c r="KHC95" s="15" t="n"/>
      <c r="KHD95" s="248" t="n"/>
      <c r="KHE95" s="248" t="n"/>
      <c r="KHF95" s="240" t="n"/>
      <c r="KHG95" s="240" t="n"/>
      <c r="KHI95" s="15" t="n"/>
      <c r="KHJ95" s="15" t="n"/>
      <c r="KHK95" s="248" t="n"/>
      <c r="KHL95" s="248" t="n"/>
      <c r="KHM95" s="240" t="n"/>
      <c r="KHN95" s="240" t="n"/>
      <c r="KHP95" s="15" t="n"/>
      <c r="KHQ95" s="15" t="n"/>
      <c r="KHR95" s="248" t="n"/>
      <c r="KHS95" s="248" t="n"/>
      <c r="KHT95" s="240" t="n"/>
      <c r="KHU95" s="240" t="n"/>
      <c r="KHW95" s="15" t="n"/>
      <c r="KHX95" s="15" t="n"/>
      <c r="KHY95" s="248" t="n"/>
      <c r="KHZ95" s="248" t="n"/>
      <c r="KIA95" s="240" t="n"/>
      <c r="KIB95" s="240" t="n"/>
      <c r="KID95" s="15" t="n"/>
      <c r="KIE95" s="15" t="n"/>
      <c r="KIF95" s="248" t="n"/>
      <c r="KIG95" s="248" t="n"/>
      <c r="KIH95" s="240" t="n"/>
      <c r="KII95" s="240" t="n"/>
      <c r="KIK95" s="15" t="n"/>
      <c r="KIL95" s="15" t="n"/>
      <c r="KIM95" s="248" t="n"/>
      <c r="KIN95" s="248" t="n"/>
      <c r="KIO95" s="240" t="n"/>
      <c r="KIP95" s="240" t="n"/>
      <c r="KIR95" s="15" t="n"/>
      <c r="KIS95" s="15" t="n"/>
      <c r="KIT95" s="248" t="n"/>
      <c r="KIU95" s="248" t="n"/>
      <c r="KIV95" s="240" t="n"/>
      <c r="KIW95" s="240" t="n"/>
      <c r="KIY95" s="15" t="n"/>
      <c r="KIZ95" s="15" t="n"/>
      <c r="KJA95" s="248" t="n"/>
      <c r="KJB95" s="248" t="n"/>
      <c r="KJC95" s="240" t="n"/>
      <c r="KJD95" s="240" t="n"/>
      <c r="KJF95" s="15" t="n"/>
      <c r="KJG95" s="15" t="n"/>
      <c r="KJH95" s="248" t="n"/>
      <c r="KJI95" s="248" t="n"/>
      <c r="KJJ95" s="240" t="n"/>
      <c r="KJK95" s="240" t="n"/>
      <c r="KJM95" s="15" t="n"/>
      <c r="KJN95" s="15" t="n"/>
      <c r="KJO95" s="248" t="n"/>
      <c r="KJP95" s="248" t="n"/>
      <c r="KJQ95" s="240" t="n"/>
      <c r="KJR95" s="240" t="n"/>
      <c r="KJT95" s="15" t="n"/>
      <c r="KJU95" s="15" t="n"/>
      <c r="KJV95" s="248" t="n"/>
      <c r="KJW95" s="248" t="n"/>
      <c r="KJX95" s="240" t="n"/>
      <c r="KJY95" s="240" t="n"/>
      <c r="KKA95" s="15" t="n"/>
      <c r="KKB95" s="15" t="n"/>
      <c r="KKC95" s="248" t="n"/>
      <c r="KKD95" s="248" t="n"/>
      <c r="KKE95" s="240" t="n"/>
      <c r="KKF95" s="240" t="n"/>
      <c r="KKH95" s="15" t="n"/>
      <c r="KKI95" s="15" t="n"/>
      <c r="KKJ95" s="248" t="n"/>
      <c r="KKK95" s="248" t="n"/>
      <c r="KKL95" s="240" t="n"/>
      <c r="KKM95" s="240" t="n"/>
      <c r="KKO95" s="15" t="n"/>
      <c r="KKP95" s="15" t="n"/>
      <c r="KKQ95" s="248" t="n"/>
      <c r="KKR95" s="248" t="n"/>
      <c r="KKS95" s="240" t="n"/>
      <c r="KKT95" s="240" t="n"/>
      <c r="KKV95" s="15" t="n"/>
      <c r="KKW95" s="15" t="n"/>
      <c r="KKX95" s="248" t="n"/>
      <c r="KKY95" s="248" t="n"/>
      <c r="KKZ95" s="240" t="n"/>
      <c r="KLA95" s="240" t="n"/>
      <c r="KLC95" s="15" t="n"/>
      <c r="KLD95" s="15" t="n"/>
      <c r="KLE95" s="248" t="n"/>
      <c r="KLF95" s="248" t="n"/>
      <c r="KLG95" s="240" t="n"/>
      <c r="KLH95" s="240" t="n"/>
      <c r="KLJ95" s="15" t="n"/>
      <c r="KLK95" s="15" t="n"/>
      <c r="KLL95" s="248" t="n"/>
      <c r="KLM95" s="248" t="n"/>
      <c r="KLN95" s="240" t="n"/>
      <c r="KLO95" s="240" t="n"/>
      <c r="KLQ95" s="15" t="n"/>
      <c r="KLR95" s="15" t="n"/>
      <c r="KLS95" s="248" t="n"/>
      <c r="KLT95" s="248" t="n"/>
      <c r="KLU95" s="240" t="n"/>
      <c r="KLV95" s="240" t="n"/>
      <c r="KLX95" s="15" t="n"/>
      <c r="KLY95" s="15" t="n"/>
      <c r="KLZ95" s="248" t="n"/>
      <c r="KMA95" s="248" t="n"/>
      <c r="KMB95" s="240" t="n"/>
      <c r="KMC95" s="240" t="n"/>
      <c r="KME95" s="15" t="n"/>
      <c r="KMF95" s="15" t="n"/>
      <c r="KMG95" s="248" t="n"/>
      <c r="KMH95" s="248" t="n"/>
      <c r="KMI95" s="240" t="n"/>
      <c r="KMJ95" s="240" t="n"/>
      <c r="KML95" s="15" t="n"/>
      <c r="KMM95" s="15" t="n"/>
      <c r="KMN95" s="248" t="n"/>
      <c r="KMO95" s="248" t="n"/>
      <c r="KMP95" s="240" t="n"/>
      <c r="KMQ95" s="240" t="n"/>
      <c r="KMS95" s="15" t="n"/>
      <c r="KMT95" s="15" t="n"/>
      <c r="KMU95" s="248" t="n"/>
      <c r="KMV95" s="248" t="n"/>
      <c r="KMW95" s="240" t="n"/>
      <c r="KMX95" s="240" t="n"/>
      <c r="KMZ95" s="15" t="n"/>
      <c r="KNA95" s="15" t="n"/>
      <c r="KNB95" s="248" t="n"/>
      <c r="KNC95" s="248" t="n"/>
      <c r="KND95" s="240" t="n"/>
      <c r="KNE95" s="240" t="n"/>
      <c r="KNG95" s="15" t="n"/>
      <c r="KNH95" s="15" t="n"/>
      <c r="KNI95" s="248" t="n"/>
      <c r="KNJ95" s="248" t="n"/>
      <c r="KNK95" s="240" t="n"/>
      <c r="KNL95" s="240" t="n"/>
      <c r="KNN95" s="15" t="n"/>
      <c r="KNO95" s="15" t="n"/>
      <c r="KNP95" s="248" t="n"/>
      <c r="KNQ95" s="248" t="n"/>
      <c r="KNR95" s="240" t="n"/>
      <c r="KNS95" s="240" t="n"/>
      <c r="KNU95" s="15" t="n"/>
      <c r="KNV95" s="15" t="n"/>
      <c r="KNW95" s="248" t="n"/>
      <c r="KNX95" s="248" t="n"/>
      <c r="KNY95" s="240" t="n"/>
      <c r="KNZ95" s="240" t="n"/>
      <c r="KOB95" s="15" t="n"/>
      <c r="KOC95" s="15" t="n"/>
      <c r="KOD95" s="248" t="n"/>
      <c r="KOE95" s="248" t="n"/>
      <c r="KOF95" s="240" t="n"/>
      <c r="KOG95" s="240" t="n"/>
      <c r="KOI95" s="15" t="n"/>
      <c r="KOJ95" s="15" t="n"/>
      <c r="KOK95" s="248" t="n"/>
      <c r="KOL95" s="248" t="n"/>
      <c r="KOM95" s="240" t="n"/>
      <c r="KON95" s="240" t="n"/>
      <c r="KOP95" s="15" t="n"/>
      <c r="KOQ95" s="15" t="n"/>
      <c r="KOR95" s="248" t="n"/>
      <c r="KOS95" s="248" t="n"/>
      <c r="KOT95" s="240" t="n"/>
      <c r="KOU95" s="240" t="n"/>
      <c r="KOW95" s="15" t="n"/>
      <c r="KOX95" s="15" t="n"/>
      <c r="KOY95" s="248" t="n"/>
      <c r="KOZ95" s="248" t="n"/>
      <c r="KPA95" s="240" t="n"/>
      <c r="KPB95" s="240" t="n"/>
      <c r="KPD95" s="15" t="n"/>
      <c r="KPE95" s="15" t="n"/>
      <c r="KPF95" s="248" t="n"/>
      <c r="KPG95" s="248" t="n"/>
      <c r="KPH95" s="240" t="n"/>
      <c r="KPI95" s="240" t="n"/>
      <c r="KPK95" s="15" t="n"/>
      <c r="KPL95" s="15" t="n"/>
      <c r="KPM95" s="248" t="n"/>
      <c r="KPN95" s="248" t="n"/>
      <c r="KPO95" s="240" t="n"/>
      <c r="KPP95" s="240" t="n"/>
      <c r="KPR95" s="15" t="n"/>
      <c r="KPS95" s="15" t="n"/>
      <c r="KPT95" s="248" t="n"/>
      <c r="KPU95" s="248" t="n"/>
      <c r="KPV95" s="240" t="n"/>
      <c r="KPW95" s="240" t="n"/>
      <c r="KPY95" s="15" t="n"/>
      <c r="KPZ95" s="15" t="n"/>
      <c r="KQA95" s="248" t="n"/>
      <c r="KQB95" s="248" t="n"/>
      <c r="KQC95" s="240" t="n"/>
      <c r="KQD95" s="240" t="n"/>
      <c r="KQF95" s="15" t="n"/>
      <c r="KQG95" s="15" t="n"/>
      <c r="KQH95" s="248" t="n"/>
      <c r="KQI95" s="248" t="n"/>
      <c r="KQJ95" s="240" t="n"/>
      <c r="KQK95" s="240" t="n"/>
      <c r="KQM95" s="15" t="n"/>
      <c r="KQN95" s="15" t="n"/>
      <c r="KQO95" s="248" t="n"/>
      <c r="KQP95" s="248" t="n"/>
      <c r="KQQ95" s="240" t="n"/>
      <c r="KQR95" s="240" t="n"/>
      <c r="KQT95" s="15" t="n"/>
      <c r="KQU95" s="15" t="n"/>
      <c r="KQV95" s="248" t="n"/>
      <c r="KQW95" s="248" t="n"/>
      <c r="KQX95" s="240" t="n"/>
      <c r="KQY95" s="240" t="n"/>
      <c r="KRA95" s="15" t="n"/>
      <c r="KRB95" s="15" t="n"/>
      <c r="KRC95" s="248" t="n"/>
      <c r="KRD95" s="248" t="n"/>
      <c r="KRE95" s="240" t="n"/>
      <c r="KRF95" s="240" t="n"/>
      <c r="KRH95" s="15" t="n"/>
      <c r="KRI95" s="15" t="n"/>
      <c r="KRJ95" s="248" t="n"/>
      <c r="KRK95" s="248" t="n"/>
      <c r="KRL95" s="240" t="n"/>
      <c r="KRM95" s="240" t="n"/>
      <c r="KRO95" s="15" t="n"/>
      <c r="KRP95" s="15" t="n"/>
      <c r="KRQ95" s="248" t="n"/>
      <c r="KRR95" s="248" t="n"/>
      <c r="KRS95" s="240" t="n"/>
      <c r="KRT95" s="240" t="n"/>
      <c r="KRV95" s="15" t="n"/>
      <c r="KRW95" s="15" t="n"/>
      <c r="KRX95" s="248" t="n"/>
      <c r="KRY95" s="248" t="n"/>
      <c r="KRZ95" s="240" t="n"/>
      <c r="KSA95" s="240" t="n"/>
      <c r="KSC95" s="15" t="n"/>
      <c r="KSD95" s="15" t="n"/>
      <c r="KSE95" s="248" t="n"/>
      <c r="KSF95" s="248" t="n"/>
      <c r="KSG95" s="240" t="n"/>
      <c r="KSH95" s="240" t="n"/>
      <c r="KSJ95" s="15" t="n"/>
      <c r="KSK95" s="15" t="n"/>
      <c r="KSL95" s="248" t="n"/>
      <c r="KSM95" s="248" t="n"/>
      <c r="KSN95" s="240" t="n"/>
      <c r="KSO95" s="240" t="n"/>
      <c r="KSQ95" s="15" t="n"/>
      <c r="KSR95" s="15" t="n"/>
      <c r="KSS95" s="248" t="n"/>
      <c r="KST95" s="248" t="n"/>
      <c r="KSU95" s="240" t="n"/>
      <c r="KSV95" s="240" t="n"/>
      <c r="KSX95" s="15" t="n"/>
      <c r="KSY95" s="15" t="n"/>
      <c r="KSZ95" s="248" t="n"/>
      <c r="KTA95" s="248" t="n"/>
      <c r="KTB95" s="240" t="n"/>
      <c r="KTC95" s="240" t="n"/>
      <c r="KTE95" s="15" t="n"/>
      <c r="KTF95" s="15" t="n"/>
      <c r="KTG95" s="248" t="n"/>
      <c r="KTH95" s="248" t="n"/>
      <c r="KTI95" s="240" t="n"/>
      <c r="KTJ95" s="240" t="n"/>
      <c r="KTL95" s="15" t="n"/>
      <c r="KTM95" s="15" t="n"/>
      <c r="KTN95" s="248" t="n"/>
      <c r="KTO95" s="248" t="n"/>
      <c r="KTP95" s="240" t="n"/>
      <c r="KTQ95" s="240" t="n"/>
      <c r="KTS95" s="15" t="n"/>
      <c r="KTT95" s="15" t="n"/>
      <c r="KTU95" s="248" t="n"/>
      <c r="KTV95" s="248" t="n"/>
      <c r="KTW95" s="240" t="n"/>
      <c r="KTX95" s="240" t="n"/>
      <c r="KTZ95" s="15" t="n"/>
      <c r="KUA95" s="15" t="n"/>
      <c r="KUB95" s="248" t="n"/>
      <c r="KUC95" s="248" t="n"/>
      <c r="KUD95" s="240" t="n"/>
      <c r="KUE95" s="240" t="n"/>
      <c r="KUG95" s="15" t="n"/>
      <c r="KUH95" s="15" t="n"/>
      <c r="KUI95" s="248" t="n"/>
      <c r="KUJ95" s="248" t="n"/>
      <c r="KUK95" s="240" t="n"/>
      <c r="KUL95" s="240" t="n"/>
      <c r="KUN95" s="15" t="n"/>
      <c r="KUO95" s="15" t="n"/>
      <c r="KUP95" s="248" t="n"/>
      <c r="KUQ95" s="248" t="n"/>
      <c r="KUR95" s="240" t="n"/>
      <c r="KUS95" s="240" t="n"/>
      <c r="KUU95" s="15" t="n"/>
      <c r="KUV95" s="15" t="n"/>
      <c r="KUW95" s="248" t="n"/>
      <c r="KUX95" s="248" t="n"/>
      <c r="KUY95" s="240" t="n"/>
      <c r="KUZ95" s="240" t="n"/>
      <c r="KVB95" s="15" t="n"/>
      <c r="KVC95" s="15" t="n"/>
      <c r="KVD95" s="248" t="n"/>
      <c r="KVE95" s="248" t="n"/>
      <c r="KVF95" s="240" t="n"/>
      <c r="KVG95" s="240" t="n"/>
      <c r="KVI95" s="15" t="n"/>
      <c r="KVJ95" s="15" t="n"/>
      <c r="KVK95" s="248" t="n"/>
      <c r="KVL95" s="248" t="n"/>
      <c r="KVM95" s="240" t="n"/>
      <c r="KVN95" s="240" t="n"/>
      <c r="KVP95" s="15" t="n"/>
      <c r="KVQ95" s="15" t="n"/>
      <c r="KVR95" s="248" t="n"/>
      <c r="KVS95" s="248" t="n"/>
      <c r="KVT95" s="240" t="n"/>
      <c r="KVU95" s="240" t="n"/>
      <c r="KVW95" s="15" t="n"/>
      <c r="KVX95" s="15" t="n"/>
      <c r="KVY95" s="248" t="n"/>
      <c r="KVZ95" s="248" t="n"/>
      <c r="KWA95" s="240" t="n"/>
      <c r="KWB95" s="240" t="n"/>
      <c r="KWD95" s="15" t="n"/>
      <c r="KWE95" s="15" t="n"/>
      <c r="KWF95" s="248" t="n"/>
      <c r="KWG95" s="248" t="n"/>
      <c r="KWH95" s="240" t="n"/>
      <c r="KWI95" s="240" t="n"/>
      <c r="KWK95" s="15" t="n"/>
      <c r="KWL95" s="15" t="n"/>
      <c r="KWM95" s="248" t="n"/>
      <c r="KWN95" s="248" t="n"/>
      <c r="KWO95" s="240" t="n"/>
      <c r="KWP95" s="240" t="n"/>
      <c r="KWR95" s="15" t="n"/>
      <c r="KWS95" s="15" t="n"/>
      <c r="KWT95" s="248" t="n"/>
      <c r="KWU95" s="248" t="n"/>
      <c r="KWV95" s="240" t="n"/>
      <c r="KWW95" s="240" t="n"/>
      <c r="KWY95" s="15" t="n"/>
      <c r="KWZ95" s="15" t="n"/>
      <c r="KXA95" s="248" t="n"/>
      <c r="KXB95" s="248" t="n"/>
      <c r="KXC95" s="240" t="n"/>
      <c r="KXD95" s="240" t="n"/>
      <c r="KXF95" s="15" t="n"/>
      <c r="KXG95" s="15" t="n"/>
      <c r="KXH95" s="248" t="n"/>
      <c r="KXI95" s="248" t="n"/>
      <c r="KXJ95" s="240" t="n"/>
      <c r="KXK95" s="240" t="n"/>
      <c r="KXM95" s="15" t="n"/>
      <c r="KXN95" s="15" t="n"/>
      <c r="KXO95" s="248" t="n"/>
      <c r="KXP95" s="248" t="n"/>
      <c r="KXQ95" s="240" t="n"/>
      <c r="KXR95" s="240" t="n"/>
      <c r="KXT95" s="15" t="n"/>
      <c r="KXU95" s="15" t="n"/>
      <c r="KXV95" s="248" t="n"/>
      <c r="KXW95" s="248" t="n"/>
      <c r="KXX95" s="240" t="n"/>
      <c r="KXY95" s="240" t="n"/>
      <c r="KYA95" s="15" t="n"/>
      <c r="KYB95" s="15" t="n"/>
      <c r="KYC95" s="248" t="n"/>
      <c r="KYD95" s="248" t="n"/>
      <c r="KYE95" s="240" t="n"/>
      <c r="KYF95" s="240" t="n"/>
      <c r="KYH95" s="15" t="n"/>
      <c r="KYI95" s="15" t="n"/>
      <c r="KYJ95" s="248" t="n"/>
      <c r="KYK95" s="248" t="n"/>
      <c r="KYL95" s="240" t="n"/>
      <c r="KYM95" s="240" t="n"/>
      <c r="KYO95" s="15" t="n"/>
      <c r="KYP95" s="15" t="n"/>
      <c r="KYQ95" s="248" t="n"/>
      <c r="KYR95" s="248" t="n"/>
      <c r="KYS95" s="240" t="n"/>
      <c r="KYT95" s="240" t="n"/>
      <c r="KYV95" s="15" t="n"/>
      <c r="KYW95" s="15" t="n"/>
      <c r="KYX95" s="248" t="n"/>
      <c r="KYY95" s="248" t="n"/>
      <c r="KYZ95" s="240" t="n"/>
      <c r="KZA95" s="240" t="n"/>
      <c r="KZC95" s="15" t="n"/>
      <c r="KZD95" s="15" t="n"/>
      <c r="KZE95" s="248" t="n"/>
      <c r="KZF95" s="248" t="n"/>
      <c r="KZG95" s="240" t="n"/>
      <c r="KZH95" s="240" t="n"/>
      <c r="KZJ95" s="15" t="n"/>
      <c r="KZK95" s="15" t="n"/>
      <c r="KZL95" s="248" t="n"/>
      <c r="KZM95" s="248" t="n"/>
      <c r="KZN95" s="240" t="n"/>
      <c r="KZO95" s="240" t="n"/>
      <c r="KZQ95" s="15" t="n"/>
      <c r="KZR95" s="15" t="n"/>
      <c r="KZS95" s="248" t="n"/>
      <c r="KZT95" s="248" t="n"/>
      <c r="KZU95" s="240" t="n"/>
      <c r="KZV95" s="240" t="n"/>
      <c r="KZX95" s="15" t="n"/>
      <c r="KZY95" s="15" t="n"/>
      <c r="KZZ95" s="248" t="n"/>
      <c r="LAA95" s="248" t="n"/>
      <c r="LAB95" s="240" t="n"/>
      <c r="LAC95" s="240" t="n"/>
      <c r="LAE95" s="15" t="n"/>
      <c r="LAF95" s="15" t="n"/>
      <c r="LAG95" s="248" t="n"/>
      <c r="LAH95" s="248" t="n"/>
      <c r="LAI95" s="240" t="n"/>
      <c r="LAJ95" s="240" t="n"/>
      <c r="LAL95" s="15" t="n"/>
      <c r="LAM95" s="15" t="n"/>
      <c r="LAN95" s="248" t="n"/>
      <c r="LAO95" s="248" t="n"/>
      <c r="LAP95" s="240" t="n"/>
      <c r="LAQ95" s="240" t="n"/>
      <c r="LAS95" s="15" t="n"/>
      <c r="LAT95" s="15" t="n"/>
      <c r="LAU95" s="248" t="n"/>
      <c r="LAV95" s="248" t="n"/>
      <c r="LAW95" s="240" t="n"/>
      <c r="LAX95" s="240" t="n"/>
      <c r="LAZ95" s="15" t="n"/>
      <c r="LBA95" s="15" t="n"/>
      <c r="LBB95" s="248" t="n"/>
      <c r="LBC95" s="248" t="n"/>
      <c r="LBD95" s="240" t="n"/>
      <c r="LBE95" s="240" t="n"/>
      <c r="LBG95" s="15" t="n"/>
      <c r="LBH95" s="15" t="n"/>
      <c r="LBI95" s="248" t="n"/>
      <c r="LBJ95" s="248" t="n"/>
      <c r="LBK95" s="240" t="n"/>
      <c r="LBL95" s="240" t="n"/>
      <c r="LBN95" s="15" t="n"/>
      <c r="LBO95" s="15" t="n"/>
      <c r="LBP95" s="248" t="n"/>
      <c r="LBQ95" s="248" t="n"/>
      <c r="LBR95" s="240" t="n"/>
      <c r="LBS95" s="240" t="n"/>
      <c r="LBU95" s="15" t="n"/>
      <c r="LBV95" s="15" t="n"/>
      <c r="LBW95" s="248" t="n"/>
      <c r="LBX95" s="248" t="n"/>
      <c r="LBY95" s="240" t="n"/>
      <c r="LBZ95" s="240" t="n"/>
      <c r="LCB95" s="15" t="n"/>
      <c r="LCC95" s="15" t="n"/>
      <c r="LCD95" s="248" t="n"/>
      <c r="LCE95" s="248" t="n"/>
      <c r="LCF95" s="240" t="n"/>
      <c r="LCG95" s="240" t="n"/>
      <c r="LCI95" s="15" t="n"/>
      <c r="LCJ95" s="15" t="n"/>
      <c r="LCK95" s="248" t="n"/>
      <c r="LCL95" s="248" t="n"/>
      <c r="LCM95" s="240" t="n"/>
      <c r="LCN95" s="240" t="n"/>
      <c r="LCP95" s="15" t="n"/>
      <c r="LCQ95" s="15" t="n"/>
      <c r="LCR95" s="248" t="n"/>
      <c r="LCS95" s="248" t="n"/>
      <c r="LCT95" s="240" t="n"/>
      <c r="LCU95" s="240" t="n"/>
      <c r="LCW95" s="15" t="n"/>
      <c r="LCX95" s="15" t="n"/>
      <c r="LCY95" s="248" t="n"/>
      <c r="LCZ95" s="248" t="n"/>
      <c r="LDA95" s="240" t="n"/>
      <c r="LDB95" s="240" t="n"/>
      <c r="LDD95" s="15" t="n"/>
      <c r="LDE95" s="15" t="n"/>
      <c r="LDF95" s="248" t="n"/>
      <c r="LDG95" s="248" t="n"/>
      <c r="LDH95" s="240" t="n"/>
      <c r="LDI95" s="240" t="n"/>
      <c r="LDK95" s="15" t="n"/>
      <c r="LDL95" s="15" t="n"/>
      <c r="LDM95" s="248" t="n"/>
      <c r="LDN95" s="248" t="n"/>
      <c r="LDO95" s="240" t="n"/>
      <c r="LDP95" s="240" t="n"/>
      <c r="LDR95" s="15" t="n"/>
      <c r="LDS95" s="15" t="n"/>
      <c r="LDT95" s="248" t="n"/>
      <c r="LDU95" s="248" t="n"/>
      <c r="LDV95" s="240" t="n"/>
      <c r="LDW95" s="240" t="n"/>
      <c r="LDY95" s="15" t="n"/>
      <c r="LDZ95" s="15" t="n"/>
      <c r="LEA95" s="248" t="n"/>
      <c r="LEB95" s="248" t="n"/>
      <c r="LEC95" s="240" t="n"/>
      <c r="LED95" s="240" t="n"/>
      <c r="LEF95" s="15" t="n"/>
      <c r="LEG95" s="15" t="n"/>
      <c r="LEH95" s="248" t="n"/>
      <c r="LEI95" s="248" t="n"/>
      <c r="LEJ95" s="240" t="n"/>
      <c r="LEK95" s="240" t="n"/>
      <c r="LEM95" s="15" t="n"/>
      <c r="LEN95" s="15" t="n"/>
      <c r="LEO95" s="248" t="n"/>
      <c r="LEP95" s="248" t="n"/>
      <c r="LEQ95" s="240" t="n"/>
      <c r="LER95" s="240" t="n"/>
      <c r="LET95" s="15" t="n"/>
      <c r="LEU95" s="15" t="n"/>
      <c r="LEV95" s="248" t="n"/>
      <c r="LEW95" s="248" t="n"/>
      <c r="LEX95" s="240" t="n"/>
      <c r="LEY95" s="240" t="n"/>
      <c r="LFA95" s="15" t="n"/>
      <c r="LFB95" s="15" t="n"/>
      <c r="LFC95" s="248" t="n"/>
      <c r="LFD95" s="248" t="n"/>
      <c r="LFE95" s="240" t="n"/>
      <c r="LFF95" s="240" t="n"/>
      <c r="LFH95" s="15" t="n"/>
      <c r="LFI95" s="15" t="n"/>
      <c r="LFJ95" s="248" t="n"/>
      <c r="LFK95" s="248" t="n"/>
      <c r="LFL95" s="240" t="n"/>
      <c r="LFM95" s="240" t="n"/>
      <c r="LFO95" s="15" t="n"/>
      <c r="LFP95" s="15" t="n"/>
      <c r="LFQ95" s="248" t="n"/>
      <c r="LFR95" s="248" t="n"/>
      <c r="LFS95" s="240" t="n"/>
      <c r="LFT95" s="240" t="n"/>
      <c r="LFV95" s="15" t="n"/>
      <c r="LFW95" s="15" t="n"/>
      <c r="LFX95" s="248" t="n"/>
      <c r="LFY95" s="248" t="n"/>
      <c r="LFZ95" s="240" t="n"/>
      <c r="LGA95" s="240" t="n"/>
      <c r="LGC95" s="15" t="n"/>
      <c r="LGD95" s="15" t="n"/>
      <c r="LGE95" s="248" t="n"/>
      <c r="LGF95" s="248" t="n"/>
      <c r="LGG95" s="240" t="n"/>
      <c r="LGH95" s="240" t="n"/>
      <c r="LGJ95" s="15" t="n"/>
      <c r="LGK95" s="15" t="n"/>
      <c r="LGL95" s="248" t="n"/>
      <c r="LGM95" s="248" t="n"/>
      <c r="LGN95" s="240" t="n"/>
      <c r="LGO95" s="240" t="n"/>
      <c r="LGQ95" s="15" t="n"/>
      <c r="LGR95" s="15" t="n"/>
      <c r="LGS95" s="248" t="n"/>
      <c r="LGT95" s="248" t="n"/>
      <c r="LGU95" s="240" t="n"/>
      <c r="LGV95" s="240" t="n"/>
      <c r="LGX95" s="15" t="n"/>
      <c r="LGY95" s="15" t="n"/>
      <c r="LGZ95" s="248" t="n"/>
      <c r="LHA95" s="248" t="n"/>
      <c r="LHB95" s="240" t="n"/>
      <c r="LHC95" s="240" t="n"/>
      <c r="LHE95" s="15" t="n"/>
      <c r="LHF95" s="15" t="n"/>
      <c r="LHG95" s="248" t="n"/>
      <c r="LHH95" s="248" t="n"/>
      <c r="LHI95" s="240" t="n"/>
      <c r="LHJ95" s="240" t="n"/>
      <c r="LHL95" s="15" t="n"/>
      <c r="LHM95" s="15" t="n"/>
      <c r="LHN95" s="248" t="n"/>
      <c r="LHO95" s="248" t="n"/>
      <c r="LHP95" s="240" t="n"/>
      <c r="LHQ95" s="240" t="n"/>
      <c r="LHS95" s="15" t="n"/>
      <c r="LHT95" s="15" t="n"/>
      <c r="LHU95" s="248" t="n"/>
      <c r="LHV95" s="248" t="n"/>
      <c r="LHW95" s="240" t="n"/>
      <c r="LHX95" s="240" t="n"/>
      <c r="LHZ95" s="15" t="n"/>
      <c r="LIA95" s="15" t="n"/>
      <c r="LIB95" s="248" t="n"/>
      <c r="LIC95" s="248" t="n"/>
      <c r="LID95" s="240" t="n"/>
      <c r="LIE95" s="240" t="n"/>
      <c r="LIG95" s="15" t="n"/>
      <c r="LIH95" s="15" t="n"/>
      <c r="LII95" s="248" t="n"/>
      <c r="LIJ95" s="248" t="n"/>
      <c r="LIK95" s="240" t="n"/>
      <c r="LIL95" s="240" t="n"/>
      <c r="LIN95" s="15" t="n"/>
      <c r="LIO95" s="15" t="n"/>
      <c r="LIP95" s="248" t="n"/>
      <c r="LIQ95" s="248" t="n"/>
      <c r="LIR95" s="240" t="n"/>
      <c r="LIS95" s="240" t="n"/>
      <c r="LIU95" s="15" t="n"/>
      <c r="LIV95" s="15" t="n"/>
      <c r="LIW95" s="248" t="n"/>
      <c r="LIX95" s="248" t="n"/>
      <c r="LIY95" s="240" t="n"/>
      <c r="LIZ95" s="240" t="n"/>
      <c r="LJB95" s="15" t="n"/>
      <c r="LJC95" s="15" t="n"/>
      <c r="LJD95" s="248" t="n"/>
      <c r="LJE95" s="248" t="n"/>
      <c r="LJF95" s="240" t="n"/>
      <c r="LJG95" s="240" t="n"/>
      <c r="LJI95" s="15" t="n"/>
      <c r="LJJ95" s="15" t="n"/>
      <c r="LJK95" s="248" t="n"/>
      <c r="LJL95" s="248" t="n"/>
      <c r="LJM95" s="240" t="n"/>
      <c r="LJN95" s="240" t="n"/>
      <c r="LJP95" s="15" t="n"/>
      <c r="LJQ95" s="15" t="n"/>
      <c r="LJR95" s="248" t="n"/>
      <c r="LJS95" s="248" t="n"/>
      <c r="LJT95" s="240" t="n"/>
      <c r="LJU95" s="240" t="n"/>
      <c r="LJW95" s="15" t="n"/>
      <c r="LJX95" s="15" t="n"/>
      <c r="LJY95" s="248" t="n"/>
      <c r="LJZ95" s="248" t="n"/>
      <c r="LKA95" s="240" t="n"/>
      <c r="LKB95" s="240" t="n"/>
      <c r="LKD95" s="15" t="n"/>
      <c r="LKE95" s="15" t="n"/>
      <c r="LKF95" s="248" t="n"/>
      <c r="LKG95" s="248" t="n"/>
      <c r="LKH95" s="240" t="n"/>
      <c r="LKI95" s="240" t="n"/>
      <c r="LKK95" s="15" t="n"/>
      <c r="LKL95" s="15" t="n"/>
      <c r="LKM95" s="248" t="n"/>
      <c r="LKN95" s="248" t="n"/>
      <c r="LKO95" s="240" t="n"/>
      <c r="LKP95" s="240" t="n"/>
      <c r="LKR95" s="15" t="n"/>
      <c r="LKS95" s="15" t="n"/>
      <c r="LKT95" s="248" t="n"/>
      <c r="LKU95" s="248" t="n"/>
      <c r="LKV95" s="240" t="n"/>
      <c r="LKW95" s="240" t="n"/>
      <c r="LKY95" s="15" t="n"/>
      <c r="LKZ95" s="15" t="n"/>
      <c r="LLA95" s="248" t="n"/>
      <c r="LLB95" s="248" t="n"/>
      <c r="LLC95" s="240" t="n"/>
      <c r="LLD95" s="240" t="n"/>
      <c r="LLF95" s="15" t="n"/>
      <c r="LLG95" s="15" t="n"/>
      <c r="LLH95" s="248" t="n"/>
      <c r="LLI95" s="248" t="n"/>
      <c r="LLJ95" s="240" t="n"/>
      <c r="LLK95" s="240" t="n"/>
      <c r="LLM95" s="15" t="n"/>
      <c r="LLN95" s="15" t="n"/>
      <c r="LLO95" s="248" t="n"/>
      <c r="LLP95" s="248" t="n"/>
      <c r="LLQ95" s="240" t="n"/>
      <c r="LLR95" s="240" t="n"/>
      <c r="LLT95" s="15" t="n"/>
      <c r="LLU95" s="15" t="n"/>
      <c r="LLV95" s="248" t="n"/>
      <c r="LLW95" s="248" t="n"/>
      <c r="LLX95" s="240" t="n"/>
      <c r="LLY95" s="240" t="n"/>
      <c r="LMA95" s="15" t="n"/>
      <c r="LMB95" s="15" t="n"/>
      <c r="LMC95" s="248" t="n"/>
      <c r="LMD95" s="248" t="n"/>
      <c r="LME95" s="240" t="n"/>
      <c r="LMF95" s="240" t="n"/>
      <c r="LMH95" s="15" t="n"/>
      <c r="LMI95" s="15" t="n"/>
      <c r="LMJ95" s="248" t="n"/>
      <c r="LMK95" s="248" t="n"/>
      <c r="LML95" s="240" t="n"/>
      <c r="LMM95" s="240" t="n"/>
      <c r="LMO95" s="15" t="n"/>
      <c r="LMP95" s="15" t="n"/>
      <c r="LMQ95" s="248" t="n"/>
      <c r="LMR95" s="248" t="n"/>
      <c r="LMS95" s="240" t="n"/>
      <c r="LMT95" s="240" t="n"/>
      <c r="LMV95" s="15" t="n"/>
      <c r="LMW95" s="15" t="n"/>
      <c r="LMX95" s="248" t="n"/>
      <c r="LMY95" s="248" t="n"/>
      <c r="LMZ95" s="240" t="n"/>
      <c r="LNA95" s="240" t="n"/>
      <c r="LNC95" s="15" t="n"/>
      <c r="LND95" s="15" t="n"/>
      <c r="LNE95" s="248" t="n"/>
      <c r="LNF95" s="248" t="n"/>
      <c r="LNG95" s="240" t="n"/>
      <c r="LNH95" s="240" t="n"/>
      <c r="LNJ95" s="15" t="n"/>
      <c r="LNK95" s="15" t="n"/>
      <c r="LNL95" s="248" t="n"/>
      <c r="LNM95" s="248" t="n"/>
      <c r="LNN95" s="240" t="n"/>
      <c r="LNO95" s="240" t="n"/>
      <c r="LNQ95" s="15" t="n"/>
      <c r="LNR95" s="15" t="n"/>
      <c r="LNS95" s="248" t="n"/>
      <c r="LNT95" s="248" t="n"/>
      <c r="LNU95" s="240" t="n"/>
      <c r="LNV95" s="240" t="n"/>
      <c r="LNX95" s="15" t="n"/>
      <c r="LNY95" s="15" t="n"/>
      <c r="LNZ95" s="248" t="n"/>
      <c r="LOA95" s="248" t="n"/>
      <c r="LOB95" s="240" t="n"/>
      <c r="LOC95" s="240" t="n"/>
      <c r="LOE95" s="15" t="n"/>
      <c r="LOF95" s="15" t="n"/>
      <c r="LOG95" s="248" t="n"/>
      <c r="LOH95" s="248" t="n"/>
      <c r="LOI95" s="240" t="n"/>
      <c r="LOJ95" s="240" t="n"/>
      <c r="LOL95" s="15" t="n"/>
      <c r="LOM95" s="15" t="n"/>
      <c r="LON95" s="248" t="n"/>
      <c r="LOO95" s="248" t="n"/>
      <c r="LOP95" s="240" t="n"/>
      <c r="LOQ95" s="240" t="n"/>
      <c r="LOS95" s="15" t="n"/>
      <c r="LOT95" s="15" t="n"/>
      <c r="LOU95" s="248" t="n"/>
      <c r="LOV95" s="248" t="n"/>
      <c r="LOW95" s="240" t="n"/>
      <c r="LOX95" s="240" t="n"/>
      <c r="LOZ95" s="15" t="n"/>
      <c r="LPA95" s="15" t="n"/>
      <c r="LPB95" s="248" t="n"/>
      <c r="LPC95" s="248" t="n"/>
      <c r="LPD95" s="240" t="n"/>
      <c r="LPE95" s="240" t="n"/>
      <c r="LPG95" s="15" t="n"/>
      <c r="LPH95" s="15" t="n"/>
      <c r="LPI95" s="248" t="n"/>
      <c r="LPJ95" s="248" t="n"/>
      <c r="LPK95" s="240" t="n"/>
      <c r="LPL95" s="240" t="n"/>
      <c r="LPN95" s="15" t="n"/>
      <c r="LPO95" s="15" t="n"/>
      <c r="LPP95" s="248" t="n"/>
      <c r="LPQ95" s="248" t="n"/>
      <c r="LPR95" s="240" t="n"/>
      <c r="LPS95" s="240" t="n"/>
      <c r="LPU95" s="15" t="n"/>
      <c r="LPV95" s="15" t="n"/>
      <c r="LPW95" s="248" t="n"/>
      <c r="LPX95" s="248" t="n"/>
      <c r="LPY95" s="240" t="n"/>
      <c r="LPZ95" s="240" t="n"/>
      <c r="LQB95" s="15" t="n"/>
      <c r="LQC95" s="15" t="n"/>
      <c r="LQD95" s="248" t="n"/>
      <c r="LQE95" s="248" t="n"/>
      <c r="LQF95" s="240" t="n"/>
      <c r="LQG95" s="240" t="n"/>
      <c r="LQI95" s="15" t="n"/>
      <c r="LQJ95" s="15" t="n"/>
      <c r="LQK95" s="248" t="n"/>
      <c r="LQL95" s="248" t="n"/>
      <c r="LQM95" s="240" t="n"/>
      <c r="LQN95" s="240" t="n"/>
      <c r="LQP95" s="15" t="n"/>
      <c r="LQQ95" s="15" t="n"/>
      <c r="LQR95" s="248" t="n"/>
      <c r="LQS95" s="248" t="n"/>
      <c r="LQT95" s="240" t="n"/>
      <c r="LQU95" s="240" t="n"/>
      <c r="LQW95" s="15" t="n"/>
      <c r="LQX95" s="15" t="n"/>
      <c r="LQY95" s="248" t="n"/>
      <c r="LQZ95" s="248" t="n"/>
      <c r="LRA95" s="240" t="n"/>
      <c r="LRB95" s="240" t="n"/>
      <c r="LRD95" s="15" t="n"/>
      <c r="LRE95" s="15" t="n"/>
      <c r="LRF95" s="248" t="n"/>
      <c r="LRG95" s="248" t="n"/>
      <c r="LRH95" s="240" t="n"/>
      <c r="LRI95" s="240" t="n"/>
      <c r="LRK95" s="15" t="n"/>
      <c r="LRL95" s="15" t="n"/>
      <c r="LRM95" s="248" t="n"/>
      <c r="LRN95" s="248" t="n"/>
      <c r="LRO95" s="240" t="n"/>
      <c r="LRP95" s="240" t="n"/>
      <c r="LRR95" s="15" t="n"/>
      <c r="LRS95" s="15" t="n"/>
      <c r="LRT95" s="248" t="n"/>
      <c r="LRU95" s="248" t="n"/>
      <c r="LRV95" s="240" t="n"/>
      <c r="LRW95" s="240" t="n"/>
      <c r="LRY95" s="15" t="n"/>
      <c r="LRZ95" s="15" t="n"/>
      <c r="LSA95" s="248" t="n"/>
      <c r="LSB95" s="248" t="n"/>
      <c r="LSC95" s="240" t="n"/>
      <c r="LSD95" s="240" t="n"/>
      <c r="LSF95" s="15" t="n"/>
      <c r="LSG95" s="15" t="n"/>
      <c r="LSH95" s="248" t="n"/>
      <c r="LSI95" s="248" t="n"/>
      <c r="LSJ95" s="240" t="n"/>
      <c r="LSK95" s="240" t="n"/>
      <c r="LSM95" s="15" t="n"/>
      <c r="LSN95" s="15" t="n"/>
      <c r="LSO95" s="248" t="n"/>
      <c r="LSP95" s="248" t="n"/>
      <c r="LSQ95" s="240" t="n"/>
      <c r="LSR95" s="240" t="n"/>
      <c r="LST95" s="15" t="n"/>
      <c r="LSU95" s="15" t="n"/>
      <c r="LSV95" s="248" t="n"/>
      <c r="LSW95" s="248" t="n"/>
      <c r="LSX95" s="240" t="n"/>
      <c r="LSY95" s="240" t="n"/>
      <c r="LTA95" s="15" t="n"/>
      <c r="LTB95" s="15" t="n"/>
      <c r="LTC95" s="248" t="n"/>
      <c r="LTD95" s="248" t="n"/>
      <c r="LTE95" s="240" t="n"/>
      <c r="LTF95" s="240" t="n"/>
      <c r="LTH95" s="15" t="n"/>
      <c r="LTI95" s="15" t="n"/>
      <c r="LTJ95" s="248" t="n"/>
      <c r="LTK95" s="248" t="n"/>
      <c r="LTL95" s="240" t="n"/>
      <c r="LTM95" s="240" t="n"/>
      <c r="LTO95" s="15" t="n"/>
      <c r="LTP95" s="15" t="n"/>
      <c r="LTQ95" s="248" t="n"/>
      <c r="LTR95" s="248" t="n"/>
      <c r="LTS95" s="240" t="n"/>
      <c r="LTT95" s="240" t="n"/>
      <c r="LTV95" s="15" t="n"/>
      <c r="LTW95" s="15" t="n"/>
      <c r="LTX95" s="248" t="n"/>
      <c r="LTY95" s="248" t="n"/>
      <c r="LTZ95" s="240" t="n"/>
      <c r="LUA95" s="240" t="n"/>
      <c r="LUC95" s="15" t="n"/>
      <c r="LUD95" s="15" t="n"/>
      <c r="LUE95" s="248" t="n"/>
      <c r="LUF95" s="248" t="n"/>
      <c r="LUG95" s="240" t="n"/>
      <c r="LUH95" s="240" t="n"/>
      <c r="LUJ95" s="15" t="n"/>
      <c r="LUK95" s="15" t="n"/>
      <c r="LUL95" s="248" t="n"/>
      <c r="LUM95" s="248" t="n"/>
      <c r="LUN95" s="240" t="n"/>
      <c r="LUO95" s="240" t="n"/>
      <c r="LUQ95" s="15" t="n"/>
      <c r="LUR95" s="15" t="n"/>
      <c r="LUS95" s="248" t="n"/>
      <c r="LUT95" s="248" t="n"/>
      <c r="LUU95" s="240" t="n"/>
      <c r="LUV95" s="240" t="n"/>
      <c r="LUX95" s="15" t="n"/>
      <c r="LUY95" s="15" t="n"/>
      <c r="LUZ95" s="248" t="n"/>
      <c r="LVA95" s="248" t="n"/>
      <c r="LVB95" s="240" t="n"/>
      <c r="LVC95" s="240" t="n"/>
      <c r="LVE95" s="15" t="n"/>
      <c r="LVF95" s="15" t="n"/>
      <c r="LVG95" s="248" t="n"/>
      <c r="LVH95" s="248" t="n"/>
      <c r="LVI95" s="240" t="n"/>
      <c r="LVJ95" s="240" t="n"/>
      <c r="LVL95" s="15" t="n"/>
      <c r="LVM95" s="15" t="n"/>
      <c r="LVN95" s="248" t="n"/>
      <c r="LVO95" s="248" t="n"/>
      <c r="LVP95" s="240" t="n"/>
      <c r="LVQ95" s="240" t="n"/>
      <c r="LVS95" s="15" t="n"/>
      <c r="LVT95" s="15" t="n"/>
      <c r="LVU95" s="248" t="n"/>
      <c r="LVV95" s="248" t="n"/>
      <c r="LVW95" s="240" t="n"/>
      <c r="LVX95" s="240" t="n"/>
      <c r="LVZ95" s="15" t="n"/>
      <c r="LWA95" s="15" t="n"/>
      <c r="LWB95" s="248" t="n"/>
      <c r="LWC95" s="248" t="n"/>
      <c r="LWD95" s="240" t="n"/>
      <c r="LWE95" s="240" t="n"/>
      <c r="LWG95" s="15" t="n"/>
      <c r="LWH95" s="15" t="n"/>
      <c r="LWI95" s="248" t="n"/>
      <c r="LWJ95" s="248" t="n"/>
      <c r="LWK95" s="240" t="n"/>
      <c r="LWL95" s="240" t="n"/>
      <c r="LWN95" s="15" t="n"/>
      <c r="LWO95" s="15" t="n"/>
      <c r="LWP95" s="248" t="n"/>
      <c r="LWQ95" s="248" t="n"/>
      <c r="LWR95" s="240" t="n"/>
      <c r="LWS95" s="240" t="n"/>
      <c r="LWU95" s="15" t="n"/>
      <c r="LWV95" s="15" t="n"/>
      <c r="LWW95" s="248" t="n"/>
      <c r="LWX95" s="248" t="n"/>
      <c r="LWY95" s="240" t="n"/>
      <c r="LWZ95" s="240" t="n"/>
      <c r="LXB95" s="15" t="n"/>
      <c r="LXC95" s="15" t="n"/>
      <c r="LXD95" s="248" t="n"/>
      <c r="LXE95" s="248" t="n"/>
      <c r="LXF95" s="240" t="n"/>
      <c r="LXG95" s="240" t="n"/>
      <c r="LXI95" s="15" t="n"/>
      <c r="LXJ95" s="15" t="n"/>
      <c r="LXK95" s="248" t="n"/>
      <c r="LXL95" s="248" t="n"/>
      <c r="LXM95" s="240" t="n"/>
      <c r="LXN95" s="240" t="n"/>
      <c r="LXP95" s="15" t="n"/>
      <c r="LXQ95" s="15" t="n"/>
      <c r="LXR95" s="248" t="n"/>
      <c r="LXS95" s="248" t="n"/>
      <c r="LXT95" s="240" t="n"/>
      <c r="LXU95" s="240" t="n"/>
      <c r="LXW95" s="15" t="n"/>
      <c r="LXX95" s="15" t="n"/>
      <c r="LXY95" s="248" t="n"/>
      <c r="LXZ95" s="248" t="n"/>
      <c r="LYA95" s="240" t="n"/>
      <c r="LYB95" s="240" t="n"/>
      <c r="LYD95" s="15" t="n"/>
      <c r="LYE95" s="15" t="n"/>
      <c r="LYF95" s="248" t="n"/>
      <c r="LYG95" s="248" t="n"/>
      <c r="LYH95" s="240" t="n"/>
      <c r="LYI95" s="240" t="n"/>
      <c r="LYK95" s="15" t="n"/>
      <c r="LYL95" s="15" t="n"/>
      <c r="LYM95" s="248" t="n"/>
      <c r="LYN95" s="248" t="n"/>
      <c r="LYO95" s="240" t="n"/>
      <c r="LYP95" s="240" t="n"/>
      <c r="LYR95" s="15" t="n"/>
      <c r="LYS95" s="15" t="n"/>
      <c r="LYT95" s="248" t="n"/>
      <c r="LYU95" s="248" t="n"/>
      <c r="LYV95" s="240" t="n"/>
      <c r="LYW95" s="240" t="n"/>
      <c r="LYY95" s="15" t="n"/>
      <c r="LYZ95" s="15" t="n"/>
      <c r="LZA95" s="248" t="n"/>
      <c r="LZB95" s="248" t="n"/>
      <c r="LZC95" s="240" t="n"/>
      <c r="LZD95" s="240" t="n"/>
      <c r="LZF95" s="15" t="n"/>
      <c r="LZG95" s="15" t="n"/>
      <c r="LZH95" s="248" t="n"/>
      <c r="LZI95" s="248" t="n"/>
      <c r="LZJ95" s="240" t="n"/>
      <c r="LZK95" s="240" t="n"/>
      <c r="LZM95" s="15" t="n"/>
      <c r="LZN95" s="15" t="n"/>
      <c r="LZO95" s="248" t="n"/>
      <c r="LZP95" s="248" t="n"/>
      <c r="LZQ95" s="240" t="n"/>
      <c r="LZR95" s="240" t="n"/>
      <c r="LZT95" s="15" t="n"/>
      <c r="LZU95" s="15" t="n"/>
      <c r="LZV95" s="248" t="n"/>
      <c r="LZW95" s="248" t="n"/>
      <c r="LZX95" s="240" t="n"/>
      <c r="LZY95" s="240" t="n"/>
      <c r="MAA95" s="15" t="n"/>
      <c r="MAB95" s="15" t="n"/>
      <c r="MAC95" s="248" t="n"/>
      <c r="MAD95" s="248" t="n"/>
      <c r="MAE95" s="240" t="n"/>
      <c r="MAF95" s="240" t="n"/>
      <c r="MAH95" s="15" t="n"/>
      <c r="MAI95" s="15" t="n"/>
      <c r="MAJ95" s="248" t="n"/>
      <c r="MAK95" s="248" t="n"/>
      <c r="MAL95" s="240" t="n"/>
      <c r="MAM95" s="240" t="n"/>
      <c r="MAO95" s="15" t="n"/>
      <c r="MAP95" s="15" t="n"/>
      <c r="MAQ95" s="248" t="n"/>
      <c r="MAR95" s="248" t="n"/>
      <c r="MAS95" s="240" t="n"/>
      <c r="MAT95" s="240" t="n"/>
      <c r="MAV95" s="15" t="n"/>
      <c r="MAW95" s="15" t="n"/>
      <c r="MAX95" s="248" t="n"/>
      <c r="MAY95" s="248" t="n"/>
      <c r="MAZ95" s="240" t="n"/>
      <c r="MBA95" s="240" t="n"/>
      <c r="MBC95" s="15" t="n"/>
      <c r="MBD95" s="15" t="n"/>
      <c r="MBE95" s="248" t="n"/>
      <c r="MBF95" s="248" t="n"/>
      <c r="MBG95" s="240" t="n"/>
      <c r="MBH95" s="240" t="n"/>
      <c r="MBJ95" s="15" t="n"/>
      <c r="MBK95" s="15" t="n"/>
      <c r="MBL95" s="248" t="n"/>
      <c r="MBM95" s="248" t="n"/>
      <c r="MBN95" s="240" t="n"/>
      <c r="MBO95" s="240" t="n"/>
      <c r="MBQ95" s="15" t="n"/>
      <c r="MBR95" s="15" t="n"/>
      <c r="MBS95" s="248" t="n"/>
      <c r="MBT95" s="248" t="n"/>
      <c r="MBU95" s="240" t="n"/>
      <c r="MBV95" s="240" t="n"/>
      <c r="MBX95" s="15" t="n"/>
      <c r="MBY95" s="15" t="n"/>
      <c r="MBZ95" s="248" t="n"/>
      <c r="MCA95" s="248" t="n"/>
      <c r="MCB95" s="240" t="n"/>
      <c r="MCC95" s="240" t="n"/>
      <c r="MCE95" s="15" t="n"/>
      <c r="MCF95" s="15" t="n"/>
      <c r="MCG95" s="248" t="n"/>
      <c r="MCH95" s="248" t="n"/>
      <c r="MCI95" s="240" t="n"/>
      <c r="MCJ95" s="240" t="n"/>
      <c r="MCL95" s="15" t="n"/>
      <c r="MCM95" s="15" t="n"/>
      <c r="MCN95" s="248" t="n"/>
      <c r="MCO95" s="248" t="n"/>
      <c r="MCP95" s="240" t="n"/>
      <c r="MCQ95" s="240" t="n"/>
      <c r="MCS95" s="15" t="n"/>
      <c r="MCT95" s="15" t="n"/>
      <c r="MCU95" s="248" t="n"/>
      <c r="MCV95" s="248" t="n"/>
      <c r="MCW95" s="240" t="n"/>
      <c r="MCX95" s="240" t="n"/>
      <c r="MCZ95" s="15" t="n"/>
      <c r="MDA95" s="15" t="n"/>
      <c r="MDB95" s="248" t="n"/>
      <c r="MDC95" s="248" t="n"/>
      <c r="MDD95" s="240" t="n"/>
      <c r="MDE95" s="240" t="n"/>
      <c r="MDG95" s="15" t="n"/>
      <c r="MDH95" s="15" t="n"/>
      <c r="MDI95" s="248" t="n"/>
      <c r="MDJ95" s="248" t="n"/>
      <c r="MDK95" s="240" t="n"/>
      <c r="MDL95" s="240" t="n"/>
      <c r="MDN95" s="15" t="n"/>
      <c r="MDO95" s="15" t="n"/>
      <c r="MDP95" s="248" t="n"/>
      <c r="MDQ95" s="248" t="n"/>
      <c r="MDR95" s="240" t="n"/>
      <c r="MDS95" s="240" t="n"/>
      <c r="MDU95" s="15" t="n"/>
      <c r="MDV95" s="15" t="n"/>
      <c r="MDW95" s="248" t="n"/>
      <c r="MDX95" s="248" t="n"/>
      <c r="MDY95" s="240" t="n"/>
      <c r="MDZ95" s="240" t="n"/>
      <c r="MEB95" s="15" t="n"/>
      <c r="MEC95" s="15" t="n"/>
      <c r="MED95" s="248" t="n"/>
      <c r="MEE95" s="248" t="n"/>
      <c r="MEF95" s="240" t="n"/>
      <c r="MEG95" s="240" t="n"/>
      <c r="MEI95" s="15" t="n"/>
      <c r="MEJ95" s="15" t="n"/>
      <c r="MEK95" s="248" t="n"/>
      <c r="MEL95" s="248" t="n"/>
      <c r="MEM95" s="240" t="n"/>
      <c r="MEN95" s="240" t="n"/>
      <c r="MEP95" s="15" t="n"/>
      <c r="MEQ95" s="15" t="n"/>
      <c r="MER95" s="248" t="n"/>
      <c r="MES95" s="248" t="n"/>
      <c r="MET95" s="240" t="n"/>
      <c r="MEU95" s="240" t="n"/>
      <c r="MEW95" s="15" t="n"/>
      <c r="MEX95" s="15" t="n"/>
      <c r="MEY95" s="248" t="n"/>
      <c r="MEZ95" s="248" t="n"/>
      <c r="MFA95" s="240" t="n"/>
      <c r="MFB95" s="240" t="n"/>
      <c r="MFD95" s="15" t="n"/>
      <c r="MFE95" s="15" t="n"/>
      <c r="MFF95" s="248" t="n"/>
      <c r="MFG95" s="248" t="n"/>
      <c r="MFH95" s="240" t="n"/>
      <c r="MFI95" s="240" t="n"/>
      <c r="MFK95" s="15" t="n"/>
      <c r="MFL95" s="15" t="n"/>
      <c r="MFM95" s="248" t="n"/>
      <c r="MFN95" s="248" t="n"/>
      <c r="MFO95" s="240" t="n"/>
      <c r="MFP95" s="240" t="n"/>
      <c r="MFR95" s="15" t="n"/>
      <c r="MFS95" s="15" t="n"/>
      <c r="MFT95" s="248" t="n"/>
      <c r="MFU95" s="248" t="n"/>
      <c r="MFV95" s="240" t="n"/>
      <c r="MFW95" s="240" t="n"/>
      <c r="MFY95" s="15" t="n"/>
      <c r="MFZ95" s="15" t="n"/>
      <c r="MGA95" s="248" t="n"/>
      <c r="MGB95" s="248" t="n"/>
      <c r="MGC95" s="240" t="n"/>
      <c r="MGD95" s="240" t="n"/>
      <c r="MGF95" s="15" t="n"/>
      <c r="MGG95" s="15" t="n"/>
      <c r="MGH95" s="248" t="n"/>
      <c r="MGI95" s="248" t="n"/>
      <c r="MGJ95" s="240" t="n"/>
      <c r="MGK95" s="240" t="n"/>
      <c r="MGM95" s="15" t="n"/>
      <c r="MGN95" s="15" t="n"/>
      <c r="MGO95" s="248" t="n"/>
      <c r="MGP95" s="248" t="n"/>
      <c r="MGQ95" s="240" t="n"/>
      <c r="MGR95" s="240" t="n"/>
      <c r="MGT95" s="15" t="n"/>
      <c r="MGU95" s="15" t="n"/>
      <c r="MGV95" s="248" t="n"/>
      <c r="MGW95" s="248" t="n"/>
      <c r="MGX95" s="240" t="n"/>
      <c r="MGY95" s="240" t="n"/>
      <c r="MHA95" s="15" t="n"/>
      <c r="MHB95" s="15" t="n"/>
      <c r="MHC95" s="248" t="n"/>
      <c r="MHD95" s="248" t="n"/>
      <c r="MHE95" s="240" t="n"/>
      <c r="MHF95" s="240" t="n"/>
      <c r="MHH95" s="15" t="n"/>
      <c r="MHI95" s="15" t="n"/>
      <c r="MHJ95" s="248" t="n"/>
      <c r="MHK95" s="248" t="n"/>
      <c r="MHL95" s="240" t="n"/>
      <c r="MHM95" s="240" t="n"/>
      <c r="MHO95" s="15" t="n"/>
      <c r="MHP95" s="15" t="n"/>
      <c r="MHQ95" s="248" t="n"/>
      <c r="MHR95" s="248" t="n"/>
      <c r="MHS95" s="240" t="n"/>
      <c r="MHT95" s="240" t="n"/>
      <c r="MHV95" s="15" t="n"/>
      <c r="MHW95" s="15" t="n"/>
      <c r="MHX95" s="248" t="n"/>
      <c r="MHY95" s="248" t="n"/>
      <c r="MHZ95" s="240" t="n"/>
      <c r="MIA95" s="240" t="n"/>
      <c r="MIC95" s="15" t="n"/>
      <c r="MID95" s="15" t="n"/>
      <c r="MIE95" s="248" t="n"/>
      <c r="MIF95" s="248" t="n"/>
      <c r="MIG95" s="240" t="n"/>
      <c r="MIH95" s="240" t="n"/>
      <c r="MIJ95" s="15" t="n"/>
      <c r="MIK95" s="15" t="n"/>
      <c r="MIL95" s="248" t="n"/>
      <c r="MIM95" s="248" t="n"/>
      <c r="MIN95" s="240" t="n"/>
      <c r="MIO95" s="240" t="n"/>
      <c r="MIQ95" s="15" t="n"/>
      <c r="MIR95" s="15" t="n"/>
      <c r="MIS95" s="248" t="n"/>
      <c r="MIT95" s="248" t="n"/>
      <c r="MIU95" s="240" t="n"/>
      <c r="MIV95" s="240" t="n"/>
      <c r="MIX95" s="15" t="n"/>
      <c r="MIY95" s="15" t="n"/>
      <c r="MIZ95" s="248" t="n"/>
      <c r="MJA95" s="248" t="n"/>
      <c r="MJB95" s="240" t="n"/>
      <c r="MJC95" s="240" t="n"/>
      <c r="MJE95" s="15" t="n"/>
      <c r="MJF95" s="15" t="n"/>
      <c r="MJG95" s="248" t="n"/>
      <c r="MJH95" s="248" t="n"/>
      <c r="MJI95" s="240" t="n"/>
      <c r="MJJ95" s="240" t="n"/>
      <c r="MJL95" s="15" t="n"/>
      <c r="MJM95" s="15" t="n"/>
      <c r="MJN95" s="248" t="n"/>
      <c r="MJO95" s="248" t="n"/>
      <c r="MJP95" s="240" t="n"/>
      <c r="MJQ95" s="240" t="n"/>
      <c r="MJS95" s="15" t="n"/>
      <c r="MJT95" s="15" t="n"/>
      <c r="MJU95" s="248" t="n"/>
      <c r="MJV95" s="248" t="n"/>
      <c r="MJW95" s="240" t="n"/>
      <c r="MJX95" s="240" t="n"/>
      <c r="MJZ95" s="15" t="n"/>
      <c r="MKA95" s="15" t="n"/>
      <c r="MKB95" s="248" t="n"/>
      <c r="MKC95" s="248" t="n"/>
      <c r="MKD95" s="240" t="n"/>
      <c r="MKE95" s="240" t="n"/>
      <c r="MKG95" s="15" t="n"/>
      <c r="MKH95" s="15" t="n"/>
      <c r="MKI95" s="248" t="n"/>
      <c r="MKJ95" s="248" t="n"/>
      <c r="MKK95" s="240" t="n"/>
      <c r="MKL95" s="240" t="n"/>
      <c r="MKN95" s="15" t="n"/>
      <c r="MKO95" s="15" t="n"/>
      <c r="MKP95" s="248" t="n"/>
      <c r="MKQ95" s="248" t="n"/>
      <c r="MKR95" s="240" t="n"/>
      <c r="MKS95" s="240" t="n"/>
      <c r="MKU95" s="15" t="n"/>
      <c r="MKV95" s="15" t="n"/>
      <c r="MKW95" s="248" t="n"/>
      <c r="MKX95" s="248" t="n"/>
      <c r="MKY95" s="240" t="n"/>
      <c r="MKZ95" s="240" t="n"/>
      <c r="MLB95" s="15" t="n"/>
      <c r="MLC95" s="15" t="n"/>
      <c r="MLD95" s="248" t="n"/>
      <c r="MLE95" s="248" t="n"/>
      <c r="MLF95" s="240" t="n"/>
      <c r="MLG95" s="240" t="n"/>
      <c r="MLI95" s="15" t="n"/>
      <c r="MLJ95" s="15" t="n"/>
      <c r="MLK95" s="248" t="n"/>
      <c r="MLL95" s="248" t="n"/>
      <c r="MLM95" s="240" t="n"/>
      <c r="MLN95" s="240" t="n"/>
      <c r="MLP95" s="15" t="n"/>
      <c r="MLQ95" s="15" t="n"/>
      <c r="MLR95" s="248" t="n"/>
      <c r="MLS95" s="248" t="n"/>
      <c r="MLT95" s="240" t="n"/>
      <c r="MLU95" s="240" t="n"/>
      <c r="MLW95" s="15" t="n"/>
      <c r="MLX95" s="15" t="n"/>
      <c r="MLY95" s="248" t="n"/>
      <c r="MLZ95" s="248" t="n"/>
      <c r="MMA95" s="240" t="n"/>
      <c r="MMB95" s="240" t="n"/>
      <c r="MMD95" s="15" t="n"/>
      <c r="MME95" s="15" t="n"/>
      <c r="MMF95" s="248" t="n"/>
      <c r="MMG95" s="248" t="n"/>
      <c r="MMH95" s="240" t="n"/>
      <c r="MMI95" s="240" t="n"/>
      <c r="MMK95" s="15" t="n"/>
      <c r="MML95" s="15" t="n"/>
      <c r="MMM95" s="248" t="n"/>
      <c r="MMN95" s="248" t="n"/>
      <c r="MMO95" s="240" t="n"/>
      <c r="MMP95" s="240" t="n"/>
      <c r="MMR95" s="15" t="n"/>
      <c r="MMS95" s="15" t="n"/>
      <c r="MMT95" s="248" t="n"/>
      <c r="MMU95" s="248" t="n"/>
      <c r="MMV95" s="240" t="n"/>
      <c r="MMW95" s="240" t="n"/>
      <c r="MMY95" s="15" t="n"/>
      <c r="MMZ95" s="15" t="n"/>
      <c r="MNA95" s="248" t="n"/>
      <c r="MNB95" s="248" t="n"/>
      <c r="MNC95" s="240" t="n"/>
      <c r="MND95" s="240" t="n"/>
      <c r="MNF95" s="15" t="n"/>
      <c r="MNG95" s="15" t="n"/>
      <c r="MNH95" s="248" t="n"/>
      <c r="MNI95" s="248" t="n"/>
      <c r="MNJ95" s="240" t="n"/>
      <c r="MNK95" s="240" t="n"/>
      <c r="MNM95" s="15" t="n"/>
      <c r="MNN95" s="15" t="n"/>
      <c r="MNO95" s="248" t="n"/>
      <c r="MNP95" s="248" t="n"/>
      <c r="MNQ95" s="240" t="n"/>
      <c r="MNR95" s="240" t="n"/>
      <c r="MNT95" s="15" t="n"/>
      <c r="MNU95" s="15" t="n"/>
      <c r="MNV95" s="248" t="n"/>
      <c r="MNW95" s="248" t="n"/>
      <c r="MNX95" s="240" t="n"/>
      <c r="MNY95" s="240" t="n"/>
      <c r="MOA95" s="15" t="n"/>
      <c r="MOB95" s="15" t="n"/>
      <c r="MOC95" s="248" t="n"/>
      <c r="MOD95" s="248" t="n"/>
      <c r="MOE95" s="240" t="n"/>
      <c r="MOF95" s="240" t="n"/>
      <c r="MOH95" s="15" t="n"/>
      <c r="MOI95" s="15" t="n"/>
      <c r="MOJ95" s="248" t="n"/>
      <c r="MOK95" s="248" t="n"/>
      <c r="MOL95" s="240" t="n"/>
      <c r="MOM95" s="240" t="n"/>
      <c r="MOO95" s="15" t="n"/>
      <c r="MOP95" s="15" t="n"/>
      <c r="MOQ95" s="248" t="n"/>
      <c r="MOR95" s="248" t="n"/>
      <c r="MOS95" s="240" t="n"/>
      <c r="MOT95" s="240" t="n"/>
      <c r="MOV95" s="15" t="n"/>
      <c r="MOW95" s="15" t="n"/>
      <c r="MOX95" s="248" t="n"/>
      <c r="MOY95" s="248" t="n"/>
      <c r="MOZ95" s="240" t="n"/>
      <c r="MPA95" s="240" t="n"/>
      <c r="MPC95" s="15" t="n"/>
      <c r="MPD95" s="15" t="n"/>
      <c r="MPE95" s="248" t="n"/>
      <c r="MPF95" s="248" t="n"/>
      <c r="MPG95" s="240" t="n"/>
      <c r="MPH95" s="240" t="n"/>
      <c r="MPJ95" s="15" t="n"/>
      <c r="MPK95" s="15" t="n"/>
      <c r="MPL95" s="248" t="n"/>
      <c r="MPM95" s="248" t="n"/>
      <c r="MPN95" s="240" t="n"/>
      <c r="MPO95" s="240" t="n"/>
      <c r="MPQ95" s="15" t="n"/>
      <c r="MPR95" s="15" t="n"/>
      <c r="MPS95" s="248" t="n"/>
      <c r="MPT95" s="248" t="n"/>
      <c r="MPU95" s="240" t="n"/>
      <c r="MPV95" s="240" t="n"/>
      <c r="MPX95" s="15" t="n"/>
      <c r="MPY95" s="15" t="n"/>
      <c r="MPZ95" s="248" t="n"/>
      <c r="MQA95" s="248" t="n"/>
      <c r="MQB95" s="240" t="n"/>
      <c r="MQC95" s="240" t="n"/>
      <c r="MQE95" s="15" t="n"/>
      <c r="MQF95" s="15" t="n"/>
      <c r="MQG95" s="248" t="n"/>
      <c r="MQH95" s="248" t="n"/>
      <c r="MQI95" s="240" t="n"/>
      <c r="MQJ95" s="240" t="n"/>
      <c r="MQL95" s="15" t="n"/>
      <c r="MQM95" s="15" t="n"/>
      <c r="MQN95" s="248" t="n"/>
      <c r="MQO95" s="248" t="n"/>
      <c r="MQP95" s="240" t="n"/>
      <c r="MQQ95" s="240" t="n"/>
      <c r="MQS95" s="15" t="n"/>
      <c r="MQT95" s="15" t="n"/>
      <c r="MQU95" s="248" t="n"/>
      <c r="MQV95" s="248" t="n"/>
      <c r="MQW95" s="240" t="n"/>
      <c r="MQX95" s="240" t="n"/>
      <c r="MQZ95" s="15" t="n"/>
      <c r="MRA95" s="15" t="n"/>
      <c r="MRB95" s="248" t="n"/>
      <c r="MRC95" s="248" t="n"/>
      <c r="MRD95" s="240" t="n"/>
      <c r="MRE95" s="240" t="n"/>
      <c r="MRG95" s="15" t="n"/>
      <c r="MRH95" s="15" t="n"/>
      <c r="MRI95" s="248" t="n"/>
      <c r="MRJ95" s="248" t="n"/>
      <c r="MRK95" s="240" t="n"/>
      <c r="MRL95" s="240" t="n"/>
      <c r="MRN95" s="15" t="n"/>
      <c r="MRO95" s="15" t="n"/>
      <c r="MRP95" s="248" t="n"/>
      <c r="MRQ95" s="248" t="n"/>
      <c r="MRR95" s="240" t="n"/>
      <c r="MRS95" s="240" t="n"/>
      <c r="MRU95" s="15" t="n"/>
      <c r="MRV95" s="15" t="n"/>
      <c r="MRW95" s="248" t="n"/>
      <c r="MRX95" s="248" t="n"/>
      <c r="MRY95" s="240" t="n"/>
      <c r="MRZ95" s="240" t="n"/>
      <c r="MSB95" s="15" t="n"/>
      <c r="MSC95" s="15" t="n"/>
      <c r="MSD95" s="248" t="n"/>
      <c r="MSE95" s="248" t="n"/>
      <c r="MSF95" s="240" t="n"/>
      <c r="MSG95" s="240" t="n"/>
      <c r="MSI95" s="15" t="n"/>
      <c r="MSJ95" s="15" t="n"/>
      <c r="MSK95" s="248" t="n"/>
      <c r="MSL95" s="248" t="n"/>
      <c r="MSM95" s="240" t="n"/>
      <c r="MSN95" s="240" t="n"/>
      <c r="MSP95" s="15" t="n"/>
      <c r="MSQ95" s="15" t="n"/>
      <c r="MSR95" s="248" t="n"/>
      <c r="MSS95" s="248" t="n"/>
      <c r="MST95" s="240" t="n"/>
      <c r="MSU95" s="240" t="n"/>
      <c r="MSW95" s="15" t="n"/>
      <c r="MSX95" s="15" t="n"/>
      <c r="MSY95" s="248" t="n"/>
      <c r="MSZ95" s="248" t="n"/>
      <c r="MTA95" s="240" t="n"/>
      <c r="MTB95" s="240" t="n"/>
      <c r="MTD95" s="15" t="n"/>
      <c r="MTE95" s="15" t="n"/>
      <c r="MTF95" s="248" t="n"/>
      <c r="MTG95" s="248" t="n"/>
      <c r="MTH95" s="240" t="n"/>
      <c r="MTI95" s="240" t="n"/>
      <c r="MTK95" s="15" t="n"/>
      <c r="MTL95" s="15" t="n"/>
      <c r="MTM95" s="248" t="n"/>
      <c r="MTN95" s="248" t="n"/>
      <c r="MTO95" s="240" t="n"/>
      <c r="MTP95" s="240" t="n"/>
      <c r="MTR95" s="15" t="n"/>
      <c r="MTS95" s="15" t="n"/>
      <c r="MTT95" s="248" t="n"/>
      <c r="MTU95" s="248" t="n"/>
      <c r="MTV95" s="240" t="n"/>
      <c r="MTW95" s="240" t="n"/>
      <c r="MTY95" s="15" t="n"/>
      <c r="MTZ95" s="15" t="n"/>
      <c r="MUA95" s="248" t="n"/>
      <c r="MUB95" s="248" t="n"/>
      <c r="MUC95" s="240" t="n"/>
      <c r="MUD95" s="240" t="n"/>
      <c r="MUF95" s="15" t="n"/>
      <c r="MUG95" s="15" t="n"/>
      <c r="MUH95" s="248" t="n"/>
      <c r="MUI95" s="248" t="n"/>
      <c r="MUJ95" s="240" t="n"/>
      <c r="MUK95" s="240" t="n"/>
      <c r="MUM95" s="15" t="n"/>
      <c r="MUN95" s="15" t="n"/>
      <c r="MUO95" s="248" t="n"/>
      <c r="MUP95" s="248" t="n"/>
      <c r="MUQ95" s="240" t="n"/>
      <c r="MUR95" s="240" t="n"/>
      <c r="MUT95" s="15" t="n"/>
      <c r="MUU95" s="15" t="n"/>
      <c r="MUV95" s="248" t="n"/>
      <c r="MUW95" s="248" t="n"/>
      <c r="MUX95" s="240" t="n"/>
      <c r="MUY95" s="240" t="n"/>
      <c r="MVA95" s="15" t="n"/>
      <c r="MVB95" s="15" t="n"/>
      <c r="MVC95" s="248" t="n"/>
      <c r="MVD95" s="248" t="n"/>
      <c r="MVE95" s="240" t="n"/>
      <c r="MVF95" s="240" t="n"/>
      <c r="MVH95" s="15" t="n"/>
      <c r="MVI95" s="15" t="n"/>
      <c r="MVJ95" s="248" t="n"/>
      <c r="MVK95" s="248" t="n"/>
      <c r="MVL95" s="240" t="n"/>
      <c r="MVM95" s="240" t="n"/>
      <c r="MVO95" s="15" t="n"/>
      <c r="MVP95" s="15" t="n"/>
      <c r="MVQ95" s="248" t="n"/>
      <c r="MVR95" s="248" t="n"/>
      <c r="MVS95" s="240" t="n"/>
      <c r="MVT95" s="240" t="n"/>
      <c r="MVV95" s="15" t="n"/>
      <c r="MVW95" s="15" t="n"/>
      <c r="MVX95" s="248" t="n"/>
      <c r="MVY95" s="248" t="n"/>
      <c r="MVZ95" s="240" t="n"/>
      <c r="MWA95" s="240" t="n"/>
      <c r="MWC95" s="15" t="n"/>
      <c r="MWD95" s="15" t="n"/>
      <c r="MWE95" s="248" t="n"/>
      <c r="MWF95" s="248" t="n"/>
      <c r="MWG95" s="240" t="n"/>
      <c r="MWH95" s="240" t="n"/>
      <c r="MWJ95" s="15" t="n"/>
      <c r="MWK95" s="15" t="n"/>
      <c r="MWL95" s="248" t="n"/>
      <c r="MWM95" s="248" t="n"/>
      <c r="MWN95" s="240" t="n"/>
      <c r="MWO95" s="240" t="n"/>
      <c r="MWQ95" s="15" t="n"/>
      <c r="MWR95" s="15" t="n"/>
      <c r="MWS95" s="248" t="n"/>
      <c r="MWT95" s="248" t="n"/>
      <c r="MWU95" s="240" t="n"/>
      <c r="MWV95" s="240" t="n"/>
      <c r="MWX95" s="15" t="n"/>
      <c r="MWY95" s="15" t="n"/>
      <c r="MWZ95" s="248" t="n"/>
      <c r="MXA95" s="248" t="n"/>
      <c r="MXB95" s="240" t="n"/>
      <c r="MXC95" s="240" t="n"/>
      <c r="MXE95" s="15" t="n"/>
      <c r="MXF95" s="15" t="n"/>
      <c r="MXG95" s="248" t="n"/>
      <c r="MXH95" s="248" t="n"/>
      <c r="MXI95" s="240" t="n"/>
      <c r="MXJ95" s="240" t="n"/>
      <c r="MXL95" s="15" t="n"/>
      <c r="MXM95" s="15" t="n"/>
      <c r="MXN95" s="248" t="n"/>
      <c r="MXO95" s="248" t="n"/>
      <c r="MXP95" s="240" t="n"/>
      <c r="MXQ95" s="240" t="n"/>
      <c r="MXS95" s="15" t="n"/>
      <c r="MXT95" s="15" t="n"/>
      <c r="MXU95" s="248" t="n"/>
      <c r="MXV95" s="248" t="n"/>
      <c r="MXW95" s="240" t="n"/>
      <c r="MXX95" s="240" t="n"/>
      <c r="MXZ95" s="15" t="n"/>
      <c r="MYA95" s="15" t="n"/>
      <c r="MYB95" s="248" t="n"/>
      <c r="MYC95" s="248" t="n"/>
      <c r="MYD95" s="240" t="n"/>
      <c r="MYE95" s="240" t="n"/>
      <c r="MYG95" s="15" t="n"/>
      <c r="MYH95" s="15" t="n"/>
      <c r="MYI95" s="248" t="n"/>
      <c r="MYJ95" s="248" t="n"/>
      <c r="MYK95" s="240" t="n"/>
      <c r="MYL95" s="240" t="n"/>
      <c r="MYN95" s="15" t="n"/>
      <c r="MYO95" s="15" t="n"/>
      <c r="MYP95" s="248" t="n"/>
      <c r="MYQ95" s="248" t="n"/>
      <c r="MYR95" s="240" t="n"/>
      <c r="MYS95" s="240" t="n"/>
      <c r="MYU95" s="15" t="n"/>
      <c r="MYV95" s="15" t="n"/>
      <c r="MYW95" s="248" t="n"/>
      <c r="MYX95" s="248" t="n"/>
      <c r="MYY95" s="240" t="n"/>
      <c r="MYZ95" s="240" t="n"/>
      <c r="MZB95" s="15" t="n"/>
      <c r="MZC95" s="15" t="n"/>
      <c r="MZD95" s="248" t="n"/>
      <c r="MZE95" s="248" t="n"/>
      <c r="MZF95" s="240" t="n"/>
      <c r="MZG95" s="240" t="n"/>
      <c r="MZI95" s="15" t="n"/>
      <c r="MZJ95" s="15" t="n"/>
      <c r="MZK95" s="248" t="n"/>
      <c r="MZL95" s="248" t="n"/>
      <c r="MZM95" s="240" t="n"/>
      <c r="MZN95" s="240" t="n"/>
      <c r="MZP95" s="15" t="n"/>
      <c r="MZQ95" s="15" t="n"/>
      <c r="MZR95" s="248" t="n"/>
      <c r="MZS95" s="248" t="n"/>
      <c r="MZT95" s="240" t="n"/>
      <c r="MZU95" s="240" t="n"/>
      <c r="MZW95" s="15" t="n"/>
      <c r="MZX95" s="15" t="n"/>
      <c r="MZY95" s="248" t="n"/>
      <c r="MZZ95" s="248" t="n"/>
      <c r="NAA95" s="240" t="n"/>
      <c r="NAB95" s="240" t="n"/>
      <c r="NAD95" s="15" t="n"/>
      <c r="NAE95" s="15" t="n"/>
      <c r="NAF95" s="248" t="n"/>
      <c r="NAG95" s="248" t="n"/>
      <c r="NAH95" s="240" t="n"/>
      <c r="NAI95" s="240" t="n"/>
      <c r="NAK95" s="15" t="n"/>
      <c r="NAL95" s="15" t="n"/>
      <c r="NAM95" s="248" t="n"/>
      <c r="NAN95" s="248" t="n"/>
      <c r="NAO95" s="240" t="n"/>
      <c r="NAP95" s="240" t="n"/>
      <c r="NAR95" s="15" t="n"/>
      <c r="NAS95" s="15" t="n"/>
      <c r="NAT95" s="248" t="n"/>
      <c r="NAU95" s="248" t="n"/>
      <c r="NAV95" s="240" t="n"/>
      <c r="NAW95" s="240" t="n"/>
      <c r="NAY95" s="15" t="n"/>
      <c r="NAZ95" s="15" t="n"/>
      <c r="NBA95" s="248" t="n"/>
      <c r="NBB95" s="248" t="n"/>
      <c r="NBC95" s="240" t="n"/>
      <c r="NBD95" s="240" t="n"/>
      <c r="NBF95" s="15" t="n"/>
      <c r="NBG95" s="15" t="n"/>
      <c r="NBH95" s="248" t="n"/>
      <c r="NBI95" s="248" t="n"/>
      <c r="NBJ95" s="240" t="n"/>
      <c r="NBK95" s="240" t="n"/>
      <c r="NBM95" s="15" t="n"/>
      <c r="NBN95" s="15" t="n"/>
      <c r="NBO95" s="248" t="n"/>
      <c r="NBP95" s="248" t="n"/>
      <c r="NBQ95" s="240" t="n"/>
      <c r="NBR95" s="240" t="n"/>
      <c r="NBT95" s="15" t="n"/>
      <c r="NBU95" s="15" t="n"/>
      <c r="NBV95" s="248" t="n"/>
      <c r="NBW95" s="248" t="n"/>
      <c r="NBX95" s="240" t="n"/>
      <c r="NBY95" s="240" t="n"/>
      <c r="NCA95" s="15" t="n"/>
      <c r="NCB95" s="15" t="n"/>
      <c r="NCC95" s="248" t="n"/>
      <c r="NCD95" s="248" t="n"/>
      <c r="NCE95" s="240" t="n"/>
      <c r="NCF95" s="240" t="n"/>
      <c r="NCH95" s="15" t="n"/>
      <c r="NCI95" s="15" t="n"/>
      <c r="NCJ95" s="248" t="n"/>
      <c r="NCK95" s="248" t="n"/>
      <c r="NCL95" s="240" t="n"/>
      <c r="NCM95" s="240" t="n"/>
      <c r="NCO95" s="15" t="n"/>
      <c r="NCP95" s="15" t="n"/>
      <c r="NCQ95" s="248" t="n"/>
      <c r="NCR95" s="248" t="n"/>
      <c r="NCS95" s="240" t="n"/>
      <c r="NCT95" s="240" t="n"/>
      <c r="NCV95" s="15" t="n"/>
      <c r="NCW95" s="15" t="n"/>
      <c r="NCX95" s="248" t="n"/>
      <c r="NCY95" s="248" t="n"/>
      <c r="NCZ95" s="240" t="n"/>
      <c r="NDA95" s="240" t="n"/>
      <c r="NDC95" s="15" t="n"/>
      <c r="NDD95" s="15" t="n"/>
      <c r="NDE95" s="248" t="n"/>
      <c r="NDF95" s="248" t="n"/>
      <c r="NDG95" s="240" t="n"/>
      <c r="NDH95" s="240" t="n"/>
      <c r="NDJ95" s="15" t="n"/>
      <c r="NDK95" s="15" t="n"/>
      <c r="NDL95" s="248" t="n"/>
      <c r="NDM95" s="248" t="n"/>
      <c r="NDN95" s="240" t="n"/>
      <c r="NDO95" s="240" t="n"/>
      <c r="NDQ95" s="15" t="n"/>
      <c r="NDR95" s="15" t="n"/>
      <c r="NDS95" s="248" t="n"/>
      <c r="NDT95" s="248" t="n"/>
      <c r="NDU95" s="240" t="n"/>
      <c r="NDV95" s="240" t="n"/>
      <c r="NDX95" s="15" t="n"/>
      <c r="NDY95" s="15" t="n"/>
      <c r="NDZ95" s="248" t="n"/>
      <c r="NEA95" s="248" t="n"/>
      <c r="NEB95" s="240" t="n"/>
      <c r="NEC95" s="240" t="n"/>
      <c r="NEE95" s="15" t="n"/>
      <c r="NEF95" s="15" t="n"/>
      <c r="NEG95" s="248" t="n"/>
      <c r="NEH95" s="248" t="n"/>
      <c r="NEI95" s="240" t="n"/>
      <c r="NEJ95" s="240" t="n"/>
      <c r="NEL95" s="15" t="n"/>
      <c r="NEM95" s="15" t="n"/>
      <c r="NEN95" s="248" t="n"/>
      <c r="NEO95" s="248" t="n"/>
      <c r="NEP95" s="240" t="n"/>
      <c r="NEQ95" s="240" t="n"/>
      <c r="NES95" s="15" t="n"/>
      <c r="NET95" s="15" t="n"/>
      <c r="NEU95" s="248" t="n"/>
      <c r="NEV95" s="248" t="n"/>
      <c r="NEW95" s="240" t="n"/>
      <c r="NEX95" s="240" t="n"/>
      <c r="NEZ95" s="15" t="n"/>
      <c r="NFA95" s="15" t="n"/>
      <c r="NFB95" s="248" t="n"/>
      <c r="NFC95" s="248" t="n"/>
      <c r="NFD95" s="240" t="n"/>
      <c r="NFE95" s="240" t="n"/>
      <c r="NFG95" s="15" t="n"/>
      <c r="NFH95" s="15" t="n"/>
      <c r="NFI95" s="248" t="n"/>
      <c r="NFJ95" s="248" t="n"/>
      <c r="NFK95" s="240" t="n"/>
      <c r="NFL95" s="240" t="n"/>
      <c r="NFN95" s="15" t="n"/>
      <c r="NFO95" s="15" t="n"/>
      <c r="NFP95" s="248" t="n"/>
      <c r="NFQ95" s="248" t="n"/>
      <c r="NFR95" s="240" t="n"/>
      <c r="NFS95" s="240" t="n"/>
      <c r="NFU95" s="15" t="n"/>
      <c r="NFV95" s="15" t="n"/>
      <c r="NFW95" s="248" t="n"/>
      <c r="NFX95" s="248" t="n"/>
      <c r="NFY95" s="240" t="n"/>
      <c r="NFZ95" s="240" t="n"/>
      <c r="NGB95" s="15" t="n"/>
      <c r="NGC95" s="15" t="n"/>
      <c r="NGD95" s="248" t="n"/>
      <c r="NGE95" s="248" t="n"/>
      <c r="NGF95" s="240" t="n"/>
      <c r="NGG95" s="240" t="n"/>
      <c r="NGI95" s="15" t="n"/>
      <c r="NGJ95" s="15" t="n"/>
      <c r="NGK95" s="248" t="n"/>
      <c r="NGL95" s="248" t="n"/>
      <c r="NGM95" s="240" t="n"/>
      <c r="NGN95" s="240" t="n"/>
      <c r="NGP95" s="15" t="n"/>
      <c r="NGQ95" s="15" t="n"/>
      <c r="NGR95" s="248" t="n"/>
      <c r="NGS95" s="248" t="n"/>
      <c r="NGT95" s="240" t="n"/>
      <c r="NGU95" s="240" t="n"/>
      <c r="NGW95" s="15" t="n"/>
      <c r="NGX95" s="15" t="n"/>
      <c r="NGY95" s="248" t="n"/>
      <c r="NGZ95" s="248" t="n"/>
      <c r="NHA95" s="240" t="n"/>
      <c r="NHB95" s="240" t="n"/>
      <c r="NHD95" s="15" t="n"/>
      <c r="NHE95" s="15" t="n"/>
      <c r="NHF95" s="248" t="n"/>
      <c r="NHG95" s="248" t="n"/>
      <c r="NHH95" s="240" t="n"/>
      <c r="NHI95" s="240" t="n"/>
      <c r="NHK95" s="15" t="n"/>
      <c r="NHL95" s="15" t="n"/>
      <c r="NHM95" s="248" t="n"/>
      <c r="NHN95" s="248" t="n"/>
      <c r="NHO95" s="240" t="n"/>
      <c r="NHP95" s="240" t="n"/>
      <c r="NHR95" s="15" t="n"/>
      <c r="NHS95" s="15" t="n"/>
      <c r="NHT95" s="248" t="n"/>
      <c r="NHU95" s="248" t="n"/>
      <c r="NHV95" s="240" t="n"/>
      <c r="NHW95" s="240" t="n"/>
      <c r="NHY95" s="15" t="n"/>
      <c r="NHZ95" s="15" t="n"/>
      <c r="NIA95" s="248" t="n"/>
      <c r="NIB95" s="248" t="n"/>
      <c r="NIC95" s="240" t="n"/>
      <c r="NID95" s="240" t="n"/>
      <c r="NIF95" s="15" t="n"/>
      <c r="NIG95" s="15" t="n"/>
      <c r="NIH95" s="248" t="n"/>
      <c r="NII95" s="248" t="n"/>
      <c r="NIJ95" s="240" t="n"/>
      <c r="NIK95" s="240" t="n"/>
      <c r="NIM95" s="15" t="n"/>
      <c r="NIN95" s="15" t="n"/>
      <c r="NIO95" s="248" t="n"/>
      <c r="NIP95" s="248" t="n"/>
      <c r="NIQ95" s="240" t="n"/>
      <c r="NIR95" s="240" t="n"/>
      <c r="NIT95" s="15" t="n"/>
      <c r="NIU95" s="15" t="n"/>
      <c r="NIV95" s="248" t="n"/>
      <c r="NIW95" s="248" t="n"/>
      <c r="NIX95" s="240" t="n"/>
      <c r="NIY95" s="240" t="n"/>
      <c r="NJA95" s="15" t="n"/>
      <c r="NJB95" s="15" t="n"/>
      <c r="NJC95" s="248" t="n"/>
      <c r="NJD95" s="248" t="n"/>
      <c r="NJE95" s="240" t="n"/>
      <c r="NJF95" s="240" t="n"/>
      <c r="NJH95" s="15" t="n"/>
      <c r="NJI95" s="15" t="n"/>
      <c r="NJJ95" s="248" t="n"/>
      <c r="NJK95" s="248" t="n"/>
      <c r="NJL95" s="240" t="n"/>
      <c r="NJM95" s="240" t="n"/>
      <c r="NJO95" s="15" t="n"/>
      <c r="NJP95" s="15" t="n"/>
      <c r="NJQ95" s="248" t="n"/>
      <c r="NJR95" s="248" t="n"/>
      <c r="NJS95" s="240" t="n"/>
      <c r="NJT95" s="240" t="n"/>
      <c r="NJV95" s="15" t="n"/>
      <c r="NJW95" s="15" t="n"/>
      <c r="NJX95" s="248" t="n"/>
      <c r="NJY95" s="248" t="n"/>
      <c r="NJZ95" s="240" t="n"/>
      <c r="NKA95" s="240" t="n"/>
      <c r="NKC95" s="15" t="n"/>
      <c r="NKD95" s="15" t="n"/>
      <c r="NKE95" s="248" t="n"/>
      <c r="NKF95" s="248" t="n"/>
      <c r="NKG95" s="240" t="n"/>
      <c r="NKH95" s="240" t="n"/>
      <c r="NKJ95" s="15" t="n"/>
      <c r="NKK95" s="15" t="n"/>
      <c r="NKL95" s="248" t="n"/>
      <c r="NKM95" s="248" t="n"/>
      <c r="NKN95" s="240" t="n"/>
      <c r="NKO95" s="240" t="n"/>
      <c r="NKQ95" s="15" t="n"/>
      <c r="NKR95" s="15" t="n"/>
      <c r="NKS95" s="248" t="n"/>
      <c r="NKT95" s="248" t="n"/>
      <c r="NKU95" s="240" t="n"/>
      <c r="NKV95" s="240" t="n"/>
      <c r="NKX95" s="15" t="n"/>
      <c r="NKY95" s="15" t="n"/>
      <c r="NKZ95" s="248" t="n"/>
      <c r="NLA95" s="248" t="n"/>
      <c r="NLB95" s="240" t="n"/>
      <c r="NLC95" s="240" t="n"/>
      <c r="NLE95" s="15" t="n"/>
      <c r="NLF95" s="15" t="n"/>
      <c r="NLG95" s="248" t="n"/>
      <c r="NLH95" s="248" t="n"/>
      <c r="NLI95" s="240" t="n"/>
      <c r="NLJ95" s="240" t="n"/>
      <c r="NLL95" s="15" t="n"/>
      <c r="NLM95" s="15" t="n"/>
      <c r="NLN95" s="248" t="n"/>
      <c r="NLO95" s="248" t="n"/>
      <c r="NLP95" s="240" t="n"/>
      <c r="NLQ95" s="240" t="n"/>
      <c r="NLS95" s="15" t="n"/>
      <c r="NLT95" s="15" t="n"/>
      <c r="NLU95" s="248" t="n"/>
      <c r="NLV95" s="248" t="n"/>
      <c r="NLW95" s="240" t="n"/>
      <c r="NLX95" s="240" t="n"/>
      <c r="NLZ95" s="15" t="n"/>
      <c r="NMA95" s="15" t="n"/>
      <c r="NMB95" s="248" t="n"/>
      <c r="NMC95" s="248" t="n"/>
      <c r="NMD95" s="240" t="n"/>
      <c r="NME95" s="240" t="n"/>
      <c r="NMG95" s="15" t="n"/>
      <c r="NMH95" s="15" t="n"/>
      <c r="NMI95" s="248" t="n"/>
      <c r="NMJ95" s="248" t="n"/>
      <c r="NMK95" s="240" t="n"/>
      <c r="NML95" s="240" t="n"/>
      <c r="NMN95" s="15" t="n"/>
      <c r="NMO95" s="15" t="n"/>
      <c r="NMP95" s="248" t="n"/>
      <c r="NMQ95" s="248" t="n"/>
      <c r="NMR95" s="240" t="n"/>
      <c r="NMS95" s="240" t="n"/>
      <c r="NMU95" s="15" t="n"/>
      <c r="NMV95" s="15" t="n"/>
      <c r="NMW95" s="248" t="n"/>
      <c r="NMX95" s="248" t="n"/>
      <c r="NMY95" s="240" t="n"/>
      <c r="NMZ95" s="240" t="n"/>
      <c r="NNB95" s="15" t="n"/>
      <c r="NNC95" s="15" t="n"/>
      <c r="NND95" s="248" t="n"/>
      <c r="NNE95" s="248" t="n"/>
      <c r="NNF95" s="240" t="n"/>
      <c r="NNG95" s="240" t="n"/>
      <c r="NNI95" s="15" t="n"/>
      <c r="NNJ95" s="15" t="n"/>
      <c r="NNK95" s="248" t="n"/>
      <c r="NNL95" s="248" t="n"/>
      <c r="NNM95" s="240" t="n"/>
      <c r="NNN95" s="240" t="n"/>
      <c r="NNP95" s="15" t="n"/>
      <c r="NNQ95" s="15" t="n"/>
      <c r="NNR95" s="248" t="n"/>
      <c r="NNS95" s="248" t="n"/>
      <c r="NNT95" s="240" t="n"/>
      <c r="NNU95" s="240" t="n"/>
      <c r="NNW95" s="15" t="n"/>
      <c r="NNX95" s="15" t="n"/>
      <c r="NNY95" s="248" t="n"/>
      <c r="NNZ95" s="248" t="n"/>
      <c r="NOA95" s="240" t="n"/>
      <c r="NOB95" s="240" t="n"/>
      <c r="NOD95" s="15" t="n"/>
      <c r="NOE95" s="15" t="n"/>
      <c r="NOF95" s="248" t="n"/>
      <c r="NOG95" s="248" t="n"/>
      <c r="NOH95" s="240" t="n"/>
      <c r="NOI95" s="240" t="n"/>
      <c r="NOK95" s="15" t="n"/>
      <c r="NOL95" s="15" t="n"/>
      <c r="NOM95" s="248" t="n"/>
      <c r="NON95" s="248" t="n"/>
      <c r="NOO95" s="240" t="n"/>
      <c r="NOP95" s="240" t="n"/>
      <c r="NOR95" s="15" t="n"/>
      <c r="NOS95" s="15" t="n"/>
      <c r="NOT95" s="248" t="n"/>
      <c r="NOU95" s="248" t="n"/>
      <c r="NOV95" s="240" t="n"/>
      <c r="NOW95" s="240" t="n"/>
      <c r="NOY95" s="15" t="n"/>
      <c r="NOZ95" s="15" t="n"/>
      <c r="NPA95" s="248" t="n"/>
      <c r="NPB95" s="248" t="n"/>
      <c r="NPC95" s="240" t="n"/>
      <c r="NPD95" s="240" t="n"/>
      <c r="NPF95" s="15" t="n"/>
      <c r="NPG95" s="15" t="n"/>
      <c r="NPH95" s="248" t="n"/>
      <c r="NPI95" s="248" t="n"/>
      <c r="NPJ95" s="240" t="n"/>
      <c r="NPK95" s="240" t="n"/>
      <c r="NPM95" s="15" t="n"/>
      <c r="NPN95" s="15" t="n"/>
      <c r="NPO95" s="248" t="n"/>
      <c r="NPP95" s="248" t="n"/>
      <c r="NPQ95" s="240" t="n"/>
      <c r="NPR95" s="240" t="n"/>
      <c r="NPT95" s="15" t="n"/>
      <c r="NPU95" s="15" t="n"/>
      <c r="NPV95" s="248" t="n"/>
      <c r="NPW95" s="248" t="n"/>
      <c r="NPX95" s="240" t="n"/>
      <c r="NPY95" s="240" t="n"/>
      <c r="NQA95" s="15" t="n"/>
      <c r="NQB95" s="15" t="n"/>
      <c r="NQC95" s="248" t="n"/>
      <c r="NQD95" s="248" t="n"/>
      <c r="NQE95" s="240" t="n"/>
      <c r="NQF95" s="240" t="n"/>
      <c r="NQH95" s="15" t="n"/>
      <c r="NQI95" s="15" t="n"/>
      <c r="NQJ95" s="248" t="n"/>
      <c r="NQK95" s="248" t="n"/>
      <c r="NQL95" s="240" t="n"/>
      <c r="NQM95" s="240" t="n"/>
      <c r="NQO95" s="15" t="n"/>
      <c r="NQP95" s="15" t="n"/>
      <c r="NQQ95" s="248" t="n"/>
      <c r="NQR95" s="248" t="n"/>
      <c r="NQS95" s="240" t="n"/>
      <c r="NQT95" s="240" t="n"/>
      <c r="NQV95" s="15" t="n"/>
      <c r="NQW95" s="15" t="n"/>
      <c r="NQX95" s="248" t="n"/>
      <c r="NQY95" s="248" t="n"/>
      <c r="NQZ95" s="240" t="n"/>
      <c r="NRA95" s="240" t="n"/>
      <c r="NRC95" s="15" t="n"/>
      <c r="NRD95" s="15" t="n"/>
      <c r="NRE95" s="248" t="n"/>
      <c r="NRF95" s="248" t="n"/>
      <c r="NRG95" s="240" t="n"/>
      <c r="NRH95" s="240" t="n"/>
      <c r="NRJ95" s="15" t="n"/>
      <c r="NRK95" s="15" t="n"/>
      <c r="NRL95" s="248" t="n"/>
      <c r="NRM95" s="248" t="n"/>
      <c r="NRN95" s="240" t="n"/>
      <c r="NRO95" s="240" t="n"/>
      <c r="NRQ95" s="15" t="n"/>
      <c r="NRR95" s="15" t="n"/>
      <c r="NRS95" s="248" t="n"/>
      <c r="NRT95" s="248" t="n"/>
      <c r="NRU95" s="240" t="n"/>
      <c r="NRV95" s="240" t="n"/>
      <c r="NRX95" s="15" t="n"/>
      <c r="NRY95" s="15" t="n"/>
      <c r="NRZ95" s="248" t="n"/>
      <c r="NSA95" s="248" t="n"/>
      <c r="NSB95" s="240" t="n"/>
      <c r="NSC95" s="240" t="n"/>
      <c r="NSE95" s="15" t="n"/>
      <c r="NSF95" s="15" t="n"/>
      <c r="NSG95" s="248" t="n"/>
      <c r="NSH95" s="248" t="n"/>
      <c r="NSI95" s="240" t="n"/>
      <c r="NSJ95" s="240" t="n"/>
      <c r="NSL95" s="15" t="n"/>
      <c r="NSM95" s="15" t="n"/>
      <c r="NSN95" s="248" t="n"/>
      <c r="NSO95" s="248" t="n"/>
      <c r="NSP95" s="240" t="n"/>
      <c r="NSQ95" s="240" t="n"/>
      <c r="NSS95" s="15" t="n"/>
      <c r="NST95" s="15" t="n"/>
      <c r="NSU95" s="248" t="n"/>
      <c r="NSV95" s="248" t="n"/>
      <c r="NSW95" s="240" t="n"/>
      <c r="NSX95" s="240" t="n"/>
      <c r="NSZ95" s="15" t="n"/>
      <c r="NTA95" s="15" t="n"/>
      <c r="NTB95" s="248" t="n"/>
      <c r="NTC95" s="248" t="n"/>
      <c r="NTD95" s="240" t="n"/>
      <c r="NTE95" s="240" t="n"/>
      <c r="NTG95" s="15" t="n"/>
      <c r="NTH95" s="15" t="n"/>
      <c r="NTI95" s="248" t="n"/>
      <c r="NTJ95" s="248" t="n"/>
      <c r="NTK95" s="240" t="n"/>
      <c r="NTL95" s="240" t="n"/>
      <c r="NTN95" s="15" t="n"/>
      <c r="NTO95" s="15" t="n"/>
      <c r="NTP95" s="248" t="n"/>
      <c r="NTQ95" s="248" t="n"/>
      <c r="NTR95" s="240" t="n"/>
      <c r="NTS95" s="240" t="n"/>
      <c r="NTU95" s="15" t="n"/>
      <c r="NTV95" s="15" t="n"/>
      <c r="NTW95" s="248" t="n"/>
      <c r="NTX95" s="248" t="n"/>
      <c r="NTY95" s="240" t="n"/>
      <c r="NTZ95" s="240" t="n"/>
      <c r="NUB95" s="15" t="n"/>
      <c r="NUC95" s="15" t="n"/>
      <c r="NUD95" s="248" t="n"/>
      <c r="NUE95" s="248" t="n"/>
      <c r="NUF95" s="240" t="n"/>
      <c r="NUG95" s="240" t="n"/>
      <c r="NUI95" s="15" t="n"/>
      <c r="NUJ95" s="15" t="n"/>
      <c r="NUK95" s="248" t="n"/>
      <c r="NUL95" s="248" t="n"/>
      <c r="NUM95" s="240" t="n"/>
      <c r="NUN95" s="240" t="n"/>
      <c r="NUP95" s="15" t="n"/>
      <c r="NUQ95" s="15" t="n"/>
      <c r="NUR95" s="248" t="n"/>
      <c r="NUS95" s="248" t="n"/>
      <c r="NUT95" s="240" t="n"/>
      <c r="NUU95" s="240" t="n"/>
      <c r="NUW95" s="15" t="n"/>
      <c r="NUX95" s="15" t="n"/>
      <c r="NUY95" s="248" t="n"/>
      <c r="NUZ95" s="248" t="n"/>
      <c r="NVA95" s="240" t="n"/>
      <c r="NVB95" s="240" t="n"/>
      <c r="NVD95" s="15" t="n"/>
      <c r="NVE95" s="15" t="n"/>
      <c r="NVF95" s="248" t="n"/>
      <c r="NVG95" s="248" t="n"/>
      <c r="NVH95" s="240" t="n"/>
      <c r="NVI95" s="240" t="n"/>
      <c r="NVK95" s="15" t="n"/>
      <c r="NVL95" s="15" t="n"/>
      <c r="NVM95" s="248" t="n"/>
      <c r="NVN95" s="248" t="n"/>
      <c r="NVO95" s="240" t="n"/>
      <c r="NVP95" s="240" t="n"/>
      <c r="NVR95" s="15" t="n"/>
      <c r="NVS95" s="15" t="n"/>
      <c r="NVT95" s="248" t="n"/>
      <c r="NVU95" s="248" t="n"/>
      <c r="NVV95" s="240" t="n"/>
      <c r="NVW95" s="240" t="n"/>
      <c r="NVY95" s="15" t="n"/>
      <c r="NVZ95" s="15" t="n"/>
      <c r="NWA95" s="248" t="n"/>
      <c r="NWB95" s="248" t="n"/>
      <c r="NWC95" s="240" t="n"/>
      <c r="NWD95" s="240" t="n"/>
      <c r="NWF95" s="15" t="n"/>
      <c r="NWG95" s="15" t="n"/>
      <c r="NWH95" s="248" t="n"/>
      <c r="NWI95" s="248" t="n"/>
      <c r="NWJ95" s="240" t="n"/>
      <c r="NWK95" s="240" t="n"/>
      <c r="NWM95" s="15" t="n"/>
      <c r="NWN95" s="15" t="n"/>
      <c r="NWO95" s="248" t="n"/>
      <c r="NWP95" s="248" t="n"/>
      <c r="NWQ95" s="240" t="n"/>
      <c r="NWR95" s="240" t="n"/>
      <c r="NWT95" s="15" t="n"/>
      <c r="NWU95" s="15" t="n"/>
      <c r="NWV95" s="248" t="n"/>
      <c r="NWW95" s="248" t="n"/>
      <c r="NWX95" s="240" t="n"/>
      <c r="NWY95" s="240" t="n"/>
      <c r="NXA95" s="15" t="n"/>
      <c r="NXB95" s="15" t="n"/>
      <c r="NXC95" s="248" t="n"/>
      <c r="NXD95" s="248" t="n"/>
      <c r="NXE95" s="240" t="n"/>
      <c r="NXF95" s="240" t="n"/>
      <c r="NXH95" s="15" t="n"/>
      <c r="NXI95" s="15" t="n"/>
      <c r="NXJ95" s="248" t="n"/>
      <c r="NXK95" s="248" t="n"/>
      <c r="NXL95" s="240" t="n"/>
      <c r="NXM95" s="240" t="n"/>
      <c r="NXO95" s="15" t="n"/>
      <c r="NXP95" s="15" t="n"/>
      <c r="NXQ95" s="248" t="n"/>
      <c r="NXR95" s="248" t="n"/>
      <c r="NXS95" s="240" t="n"/>
      <c r="NXT95" s="240" t="n"/>
      <c r="NXV95" s="15" t="n"/>
      <c r="NXW95" s="15" t="n"/>
      <c r="NXX95" s="248" t="n"/>
      <c r="NXY95" s="248" t="n"/>
      <c r="NXZ95" s="240" t="n"/>
      <c r="NYA95" s="240" t="n"/>
      <c r="NYC95" s="15" t="n"/>
      <c r="NYD95" s="15" t="n"/>
      <c r="NYE95" s="248" t="n"/>
      <c r="NYF95" s="248" t="n"/>
      <c r="NYG95" s="240" t="n"/>
      <c r="NYH95" s="240" t="n"/>
      <c r="NYJ95" s="15" t="n"/>
      <c r="NYK95" s="15" t="n"/>
      <c r="NYL95" s="248" t="n"/>
      <c r="NYM95" s="248" t="n"/>
      <c r="NYN95" s="240" t="n"/>
      <c r="NYO95" s="240" t="n"/>
      <c r="NYQ95" s="15" t="n"/>
      <c r="NYR95" s="15" t="n"/>
      <c r="NYS95" s="248" t="n"/>
      <c r="NYT95" s="248" t="n"/>
      <c r="NYU95" s="240" t="n"/>
      <c r="NYV95" s="240" t="n"/>
      <c r="NYX95" s="15" t="n"/>
      <c r="NYY95" s="15" t="n"/>
      <c r="NYZ95" s="248" t="n"/>
      <c r="NZA95" s="248" t="n"/>
      <c r="NZB95" s="240" t="n"/>
      <c r="NZC95" s="240" t="n"/>
      <c r="NZE95" s="15" t="n"/>
      <c r="NZF95" s="15" t="n"/>
      <c r="NZG95" s="248" t="n"/>
      <c r="NZH95" s="248" t="n"/>
      <c r="NZI95" s="240" t="n"/>
      <c r="NZJ95" s="240" t="n"/>
      <c r="NZL95" s="15" t="n"/>
      <c r="NZM95" s="15" t="n"/>
      <c r="NZN95" s="248" t="n"/>
      <c r="NZO95" s="248" t="n"/>
      <c r="NZP95" s="240" t="n"/>
      <c r="NZQ95" s="240" t="n"/>
      <c r="NZS95" s="15" t="n"/>
      <c r="NZT95" s="15" t="n"/>
      <c r="NZU95" s="248" t="n"/>
      <c r="NZV95" s="248" t="n"/>
      <c r="NZW95" s="240" t="n"/>
      <c r="NZX95" s="240" t="n"/>
      <c r="NZZ95" s="15" t="n"/>
      <c r="OAA95" s="15" t="n"/>
      <c r="OAB95" s="248" t="n"/>
      <c r="OAC95" s="248" t="n"/>
      <c r="OAD95" s="240" t="n"/>
      <c r="OAE95" s="240" t="n"/>
      <c r="OAG95" s="15" t="n"/>
      <c r="OAH95" s="15" t="n"/>
      <c r="OAI95" s="248" t="n"/>
      <c r="OAJ95" s="248" t="n"/>
      <c r="OAK95" s="240" t="n"/>
      <c r="OAL95" s="240" t="n"/>
      <c r="OAN95" s="15" t="n"/>
      <c r="OAO95" s="15" t="n"/>
      <c r="OAP95" s="248" t="n"/>
      <c r="OAQ95" s="248" t="n"/>
      <c r="OAR95" s="240" t="n"/>
      <c r="OAS95" s="240" t="n"/>
      <c r="OAU95" s="15" t="n"/>
      <c r="OAV95" s="15" t="n"/>
      <c r="OAW95" s="248" t="n"/>
      <c r="OAX95" s="248" t="n"/>
      <c r="OAY95" s="240" t="n"/>
      <c r="OAZ95" s="240" t="n"/>
      <c r="OBB95" s="15" t="n"/>
      <c r="OBC95" s="15" t="n"/>
      <c r="OBD95" s="248" t="n"/>
      <c r="OBE95" s="248" t="n"/>
      <c r="OBF95" s="240" t="n"/>
      <c r="OBG95" s="240" t="n"/>
      <c r="OBI95" s="15" t="n"/>
      <c r="OBJ95" s="15" t="n"/>
      <c r="OBK95" s="248" t="n"/>
      <c r="OBL95" s="248" t="n"/>
      <c r="OBM95" s="240" t="n"/>
      <c r="OBN95" s="240" t="n"/>
      <c r="OBP95" s="15" t="n"/>
      <c r="OBQ95" s="15" t="n"/>
      <c r="OBR95" s="248" t="n"/>
      <c r="OBS95" s="248" t="n"/>
      <c r="OBT95" s="240" t="n"/>
      <c r="OBU95" s="240" t="n"/>
      <c r="OBW95" s="15" t="n"/>
      <c r="OBX95" s="15" t="n"/>
      <c r="OBY95" s="248" t="n"/>
      <c r="OBZ95" s="248" t="n"/>
      <c r="OCA95" s="240" t="n"/>
      <c r="OCB95" s="240" t="n"/>
      <c r="OCD95" s="15" t="n"/>
      <c r="OCE95" s="15" t="n"/>
      <c r="OCF95" s="248" t="n"/>
      <c r="OCG95" s="248" t="n"/>
      <c r="OCH95" s="240" t="n"/>
      <c r="OCI95" s="240" t="n"/>
      <c r="OCK95" s="15" t="n"/>
      <c r="OCL95" s="15" t="n"/>
      <c r="OCM95" s="248" t="n"/>
      <c r="OCN95" s="248" t="n"/>
      <c r="OCO95" s="240" t="n"/>
      <c r="OCP95" s="240" t="n"/>
      <c r="OCR95" s="15" t="n"/>
      <c r="OCS95" s="15" t="n"/>
      <c r="OCT95" s="248" t="n"/>
      <c r="OCU95" s="248" t="n"/>
      <c r="OCV95" s="240" t="n"/>
      <c r="OCW95" s="240" t="n"/>
      <c r="OCY95" s="15" t="n"/>
      <c r="OCZ95" s="15" t="n"/>
      <c r="ODA95" s="248" t="n"/>
      <c r="ODB95" s="248" t="n"/>
      <c r="ODC95" s="240" t="n"/>
      <c r="ODD95" s="240" t="n"/>
      <c r="ODF95" s="15" t="n"/>
      <c r="ODG95" s="15" t="n"/>
      <c r="ODH95" s="248" t="n"/>
      <c r="ODI95" s="248" t="n"/>
      <c r="ODJ95" s="240" t="n"/>
      <c r="ODK95" s="240" t="n"/>
      <c r="ODM95" s="15" t="n"/>
      <c r="ODN95" s="15" t="n"/>
      <c r="ODO95" s="248" t="n"/>
      <c r="ODP95" s="248" t="n"/>
      <c r="ODQ95" s="240" t="n"/>
      <c r="ODR95" s="240" t="n"/>
      <c r="ODT95" s="15" t="n"/>
      <c r="ODU95" s="15" t="n"/>
      <c r="ODV95" s="248" t="n"/>
      <c r="ODW95" s="248" t="n"/>
      <c r="ODX95" s="240" t="n"/>
      <c r="ODY95" s="240" t="n"/>
      <c r="OEA95" s="15" t="n"/>
      <c r="OEB95" s="15" t="n"/>
      <c r="OEC95" s="248" t="n"/>
      <c r="OED95" s="248" t="n"/>
      <c r="OEE95" s="240" t="n"/>
      <c r="OEF95" s="240" t="n"/>
      <c r="OEH95" s="15" t="n"/>
      <c r="OEI95" s="15" t="n"/>
      <c r="OEJ95" s="248" t="n"/>
      <c r="OEK95" s="248" t="n"/>
      <c r="OEL95" s="240" t="n"/>
      <c r="OEM95" s="240" t="n"/>
      <c r="OEO95" s="15" t="n"/>
      <c r="OEP95" s="15" t="n"/>
      <c r="OEQ95" s="248" t="n"/>
      <c r="OER95" s="248" t="n"/>
      <c r="OES95" s="240" t="n"/>
      <c r="OET95" s="240" t="n"/>
      <c r="OEV95" s="15" t="n"/>
      <c r="OEW95" s="15" t="n"/>
      <c r="OEX95" s="248" t="n"/>
      <c r="OEY95" s="248" t="n"/>
      <c r="OEZ95" s="240" t="n"/>
      <c r="OFA95" s="240" t="n"/>
      <c r="OFC95" s="15" t="n"/>
      <c r="OFD95" s="15" t="n"/>
      <c r="OFE95" s="248" t="n"/>
      <c r="OFF95" s="248" t="n"/>
      <c r="OFG95" s="240" t="n"/>
      <c r="OFH95" s="240" t="n"/>
      <c r="OFJ95" s="15" t="n"/>
      <c r="OFK95" s="15" t="n"/>
      <c r="OFL95" s="248" t="n"/>
      <c r="OFM95" s="248" t="n"/>
      <c r="OFN95" s="240" t="n"/>
      <c r="OFO95" s="240" t="n"/>
      <c r="OFQ95" s="15" t="n"/>
      <c r="OFR95" s="15" t="n"/>
      <c r="OFS95" s="248" t="n"/>
      <c r="OFT95" s="248" t="n"/>
      <c r="OFU95" s="240" t="n"/>
      <c r="OFV95" s="240" t="n"/>
      <c r="OFX95" s="15" t="n"/>
      <c r="OFY95" s="15" t="n"/>
      <c r="OFZ95" s="248" t="n"/>
      <c r="OGA95" s="248" t="n"/>
      <c r="OGB95" s="240" t="n"/>
      <c r="OGC95" s="240" t="n"/>
      <c r="OGE95" s="15" t="n"/>
      <c r="OGF95" s="15" t="n"/>
      <c r="OGG95" s="248" t="n"/>
      <c r="OGH95" s="248" t="n"/>
      <c r="OGI95" s="240" t="n"/>
      <c r="OGJ95" s="240" t="n"/>
      <c r="OGL95" s="15" t="n"/>
      <c r="OGM95" s="15" t="n"/>
      <c r="OGN95" s="248" t="n"/>
      <c r="OGO95" s="248" t="n"/>
      <c r="OGP95" s="240" t="n"/>
      <c r="OGQ95" s="240" t="n"/>
      <c r="OGS95" s="15" t="n"/>
      <c r="OGT95" s="15" t="n"/>
      <c r="OGU95" s="248" t="n"/>
      <c r="OGV95" s="248" t="n"/>
      <c r="OGW95" s="240" t="n"/>
      <c r="OGX95" s="240" t="n"/>
      <c r="OGZ95" s="15" t="n"/>
      <c r="OHA95" s="15" t="n"/>
      <c r="OHB95" s="248" t="n"/>
      <c r="OHC95" s="248" t="n"/>
      <c r="OHD95" s="240" t="n"/>
      <c r="OHE95" s="240" t="n"/>
      <c r="OHG95" s="15" t="n"/>
      <c r="OHH95" s="15" t="n"/>
      <c r="OHI95" s="248" t="n"/>
      <c r="OHJ95" s="248" t="n"/>
      <c r="OHK95" s="240" t="n"/>
      <c r="OHL95" s="240" t="n"/>
      <c r="OHN95" s="15" t="n"/>
      <c r="OHO95" s="15" t="n"/>
      <c r="OHP95" s="248" t="n"/>
      <c r="OHQ95" s="248" t="n"/>
      <c r="OHR95" s="240" t="n"/>
      <c r="OHS95" s="240" t="n"/>
      <c r="OHU95" s="15" t="n"/>
      <c r="OHV95" s="15" t="n"/>
      <c r="OHW95" s="248" t="n"/>
      <c r="OHX95" s="248" t="n"/>
      <c r="OHY95" s="240" t="n"/>
      <c r="OHZ95" s="240" t="n"/>
      <c r="OIB95" s="15" t="n"/>
      <c r="OIC95" s="15" t="n"/>
      <c r="OID95" s="248" t="n"/>
      <c r="OIE95" s="248" t="n"/>
      <c r="OIF95" s="240" t="n"/>
      <c r="OIG95" s="240" t="n"/>
      <c r="OII95" s="15" t="n"/>
      <c r="OIJ95" s="15" t="n"/>
      <c r="OIK95" s="248" t="n"/>
      <c r="OIL95" s="248" t="n"/>
      <c r="OIM95" s="240" t="n"/>
      <c r="OIN95" s="240" t="n"/>
      <c r="OIP95" s="15" t="n"/>
      <c r="OIQ95" s="15" t="n"/>
      <c r="OIR95" s="248" t="n"/>
      <c r="OIS95" s="248" t="n"/>
      <c r="OIT95" s="240" t="n"/>
      <c r="OIU95" s="240" t="n"/>
      <c r="OIW95" s="15" t="n"/>
      <c r="OIX95" s="15" t="n"/>
      <c r="OIY95" s="248" t="n"/>
      <c r="OIZ95" s="248" t="n"/>
      <c r="OJA95" s="240" t="n"/>
      <c r="OJB95" s="240" t="n"/>
      <c r="OJD95" s="15" t="n"/>
      <c r="OJE95" s="15" t="n"/>
      <c r="OJF95" s="248" t="n"/>
      <c r="OJG95" s="248" t="n"/>
      <c r="OJH95" s="240" t="n"/>
      <c r="OJI95" s="240" t="n"/>
      <c r="OJK95" s="15" t="n"/>
      <c r="OJL95" s="15" t="n"/>
      <c r="OJM95" s="248" t="n"/>
      <c r="OJN95" s="248" t="n"/>
      <c r="OJO95" s="240" t="n"/>
      <c r="OJP95" s="240" t="n"/>
      <c r="OJR95" s="15" t="n"/>
      <c r="OJS95" s="15" t="n"/>
      <c r="OJT95" s="248" t="n"/>
      <c r="OJU95" s="248" t="n"/>
      <c r="OJV95" s="240" t="n"/>
      <c r="OJW95" s="240" t="n"/>
      <c r="OJY95" s="15" t="n"/>
      <c r="OJZ95" s="15" t="n"/>
      <c r="OKA95" s="248" t="n"/>
      <c r="OKB95" s="248" t="n"/>
      <c r="OKC95" s="240" t="n"/>
      <c r="OKD95" s="240" t="n"/>
      <c r="OKF95" s="15" t="n"/>
      <c r="OKG95" s="15" t="n"/>
      <c r="OKH95" s="248" t="n"/>
      <c r="OKI95" s="248" t="n"/>
      <c r="OKJ95" s="240" t="n"/>
      <c r="OKK95" s="240" t="n"/>
      <c r="OKM95" s="15" t="n"/>
      <c r="OKN95" s="15" t="n"/>
      <c r="OKO95" s="248" t="n"/>
      <c r="OKP95" s="248" t="n"/>
      <c r="OKQ95" s="240" t="n"/>
      <c r="OKR95" s="240" t="n"/>
      <c r="OKT95" s="15" t="n"/>
      <c r="OKU95" s="15" t="n"/>
      <c r="OKV95" s="248" t="n"/>
      <c r="OKW95" s="248" t="n"/>
      <c r="OKX95" s="240" t="n"/>
      <c r="OKY95" s="240" t="n"/>
      <c r="OLA95" s="15" t="n"/>
      <c r="OLB95" s="15" t="n"/>
      <c r="OLC95" s="248" t="n"/>
      <c r="OLD95" s="248" t="n"/>
      <c r="OLE95" s="240" t="n"/>
      <c r="OLF95" s="240" t="n"/>
      <c r="OLH95" s="15" t="n"/>
      <c r="OLI95" s="15" t="n"/>
      <c r="OLJ95" s="248" t="n"/>
      <c r="OLK95" s="248" t="n"/>
      <c r="OLL95" s="240" t="n"/>
      <c r="OLM95" s="240" t="n"/>
      <c r="OLO95" s="15" t="n"/>
      <c r="OLP95" s="15" t="n"/>
      <c r="OLQ95" s="248" t="n"/>
      <c r="OLR95" s="248" t="n"/>
      <c r="OLS95" s="240" t="n"/>
      <c r="OLT95" s="240" t="n"/>
      <c r="OLV95" s="15" t="n"/>
      <c r="OLW95" s="15" t="n"/>
      <c r="OLX95" s="248" t="n"/>
      <c r="OLY95" s="248" t="n"/>
      <c r="OLZ95" s="240" t="n"/>
      <c r="OMA95" s="240" t="n"/>
      <c r="OMC95" s="15" t="n"/>
      <c r="OMD95" s="15" t="n"/>
      <c r="OME95" s="248" t="n"/>
      <c r="OMF95" s="248" t="n"/>
      <c r="OMG95" s="240" t="n"/>
      <c r="OMH95" s="240" t="n"/>
      <c r="OMJ95" s="15" t="n"/>
      <c r="OMK95" s="15" t="n"/>
      <c r="OML95" s="248" t="n"/>
      <c r="OMM95" s="248" t="n"/>
      <c r="OMN95" s="240" t="n"/>
      <c r="OMO95" s="240" t="n"/>
      <c r="OMQ95" s="15" t="n"/>
      <c r="OMR95" s="15" t="n"/>
      <c r="OMS95" s="248" t="n"/>
      <c r="OMT95" s="248" t="n"/>
      <c r="OMU95" s="240" t="n"/>
      <c r="OMV95" s="240" t="n"/>
      <c r="OMX95" s="15" t="n"/>
      <c r="OMY95" s="15" t="n"/>
      <c r="OMZ95" s="248" t="n"/>
      <c r="ONA95" s="248" t="n"/>
      <c r="ONB95" s="240" t="n"/>
      <c r="ONC95" s="240" t="n"/>
      <c r="ONE95" s="15" t="n"/>
      <c r="ONF95" s="15" t="n"/>
      <c r="ONG95" s="248" t="n"/>
      <c r="ONH95" s="248" t="n"/>
      <c r="ONI95" s="240" t="n"/>
      <c r="ONJ95" s="240" t="n"/>
      <c r="ONL95" s="15" t="n"/>
      <c r="ONM95" s="15" t="n"/>
      <c r="ONN95" s="248" t="n"/>
      <c r="ONO95" s="248" t="n"/>
      <c r="ONP95" s="240" t="n"/>
      <c r="ONQ95" s="240" t="n"/>
      <c r="ONS95" s="15" t="n"/>
      <c r="ONT95" s="15" t="n"/>
      <c r="ONU95" s="248" t="n"/>
      <c r="ONV95" s="248" t="n"/>
      <c r="ONW95" s="240" t="n"/>
      <c r="ONX95" s="240" t="n"/>
      <c r="ONZ95" s="15" t="n"/>
      <c r="OOA95" s="15" t="n"/>
      <c r="OOB95" s="248" t="n"/>
      <c r="OOC95" s="248" t="n"/>
      <c r="OOD95" s="240" t="n"/>
      <c r="OOE95" s="240" t="n"/>
      <c r="OOG95" s="15" t="n"/>
      <c r="OOH95" s="15" t="n"/>
      <c r="OOI95" s="248" t="n"/>
      <c r="OOJ95" s="248" t="n"/>
      <c r="OOK95" s="240" t="n"/>
      <c r="OOL95" s="240" t="n"/>
      <c r="OON95" s="15" t="n"/>
      <c r="OOO95" s="15" t="n"/>
      <c r="OOP95" s="248" t="n"/>
      <c r="OOQ95" s="248" t="n"/>
      <c r="OOR95" s="240" t="n"/>
      <c r="OOS95" s="240" t="n"/>
      <c r="OOU95" s="15" t="n"/>
      <c r="OOV95" s="15" t="n"/>
      <c r="OOW95" s="248" t="n"/>
      <c r="OOX95" s="248" t="n"/>
      <c r="OOY95" s="240" t="n"/>
      <c r="OOZ95" s="240" t="n"/>
      <c r="OPB95" s="15" t="n"/>
      <c r="OPC95" s="15" t="n"/>
      <c r="OPD95" s="248" t="n"/>
      <c r="OPE95" s="248" t="n"/>
      <c r="OPF95" s="240" t="n"/>
      <c r="OPG95" s="240" t="n"/>
      <c r="OPI95" s="15" t="n"/>
      <c r="OPJ95" s="15" t="n"/>
      <c r="OPK95" s="248" t="n"/>
      <c r="OPL95" s="248" t="n"/>
      <c r="OPM95" s="240" t="n"/>
      <c r="OPN95" s="240" t="n"/>
      <c r="OPP95" s="15" t="n"/>
      <c r="OPQ95" s="15" t="n"/>
      <c r="OPR95" s="248" t="n"/>
      <c r="OPS95" s="248" t="n"/>
      <c r="OPT95" s="240" t="n"/>
      <c r="OPU95" s="240" t="n"/>
      <c r="OPW95" s="15" t="n"/>
      <c r="OPX95" s="15" t="n"/>
      <c r="OPY95" s="248" t="n"/>
      <c r="OPZ95" s="248" t="n"/>
      <c r="OQA95" s="240" t="n"/>
      <c r="OQB95" s="240" t="n"/>
      <c r="OQD95" s="15" t="n"/>
      <c r="OQE95" s="15" t="n"/>
      <c r="OQF95" s="248" t="n"/>
      <c r="OQG95" s="248" t="n"/>
      <c r="OQH95" s="240" t="n"/>
      <c r="OQI95" s="240" t="n"/>
      <c r="OQK95" s="15" t="n"/>
      <c r="OQL95" s="15" t="n"/>
      <c r="OQM95" s="248" t="n"/>
      <c r="OQN95" s="248" t="n"/>
      <c r="OQO95" s="240" t="n"/>
      <c r="OQP95" s="240" t="n"/>
      <c r="OQR95" s="15" t="n"/>
      <c r="OQS95" s="15" t="n"/>
      <c r="OQT95" s="248" t="n"/>
      <c r="OQU95" s="248" t="n"/>
      <c r="OQV95" s="240" t="n"/>
      <c r="OQW95" s="240" t="n"/>
      <c r="OQY95" s="15" t="n"/>
      <c r="OQZ95" s="15" t="n"/>
      <c r="ORA95" s="248" t="n"/>
      <c r="ORB95" s="248" t="n"/>
      <c r="ORC95" s="240" t="n"/>
      <c r="ORD95" s="240" t="n"/>
      <c r="ORF95" s="15" t="n"/>
      <c r="ORG95" s="15" t="n"/>
      <c r="ORH95" s="248" t="n"/>
      <c r="ORI95" s="248" t="n"/>
      <c r="ORJ95" s="240" t="n"/>
      <c r="ORK95" s="240" t="n"/>
      <c r="ORM95" s="15" t="n"/>
      <c r="ORN95" s="15" t="n"/>
      <c r="ORO95" s="248" t="n"/>
      <c r="ORP95" s="248" t="n"/>
      <c r="ORQ95" s="240" t="n"/>
      <c r="ORR95" s="240" t="n"/>
      <c r="ORT95" s="15" t="n"/>
      <c r="ORU95" s="15" t="n"/>
      <c r="ORV95" s="248" t="n"/>
      <c r="ORW95" s="248" t="n"/>
      <c r="ORX95" s="240" t="n"/>
      <c r="ORY95" s="240" t="n"/>
      <c r="OSA95" s="15" t="n"/>
      <c r="OSB95" s="15" t="n"/>
      <c r="OSC95" s="248" t="n"/>
      <c r="OSD95" s="248" t="n"/>
      <c r="OSE95" s="240" t="n"/>
      <c r="OSF95" s="240" t="n"/>
      <c r="OSH95" s="15" t="n"/>
      <c r="OSI95" s="15" t="n"/>
      <c r="OSJ95" s="248" t="n"/>
      <c r="OSK95" s="248" t="n"/>
      <c r="OSL95" s="240" t="n"/>
      <c r="OSM95" s="240" t="n"/>
      <c r="OSO95" s="15" t="n"/>
      <c r="OSP95" s="15" t="n"/>
      <c r="OSQ95" s="248" t="n"/>
      <c r="OSR95" s="248" t="n"/>
      <c r="OSS95" s="240" t="n"/>
      <c r="OST95" s="240" t="n"/>
      <c r="OSV95" s="15" t="n"/>
      <c r="OSW95" s="15" t="n"/>
      <c r="OSX95" s="248" t="n"/>
      <c r="OSY95" s="248" t="n"/>
      <c r="OSZ95" s="240" t="n"/>
      <c r="OTA95" s="240" t="n"/>
      <c r="OTC95" s="15" t="n"/>
      <c r="OTD95" s="15" t="n"/>
      <c r="OTE95" s="248" t="n"/>
      <c r="OTF95" s="248" t="n"/>
      <c r="OTG95" s="240" t="n"/>
      <c r="OTH95" s="240" t="n"/>
      <c r="OTJ95" s="15" t="n"/>
      <c r="OTK95" s="15" t="n"/>
      <c r="OTL95" s="248" t="n"/>
      <c r="OTM95" s="248" t="n"/>
      <c r="OTN95" s="240" t="n"/>
      <c r="OTO95" s="240" t="n"/>
      <c r="OTQ95" s="15" t="n"/>
      <c r="OTR95" s="15" t="n"/>
      <c r="OTS95" s="248" t="n"/>
      <c r="OTT95" s="248" t="n"/>
      <c r="OTU95" s="240" t="n"/>
      <c r="OTV95" s="240" t="n"/>
      <c r="OTX95" s="15" t="n"/>
      <c r="OTY95" s="15" t="n"/>
      <c r="OTZ95" s="248" t="n"/>
      <c r="OUA95" s="248" t="n"/>
      <c r="OUB95" s="240" t="n"/>
      <c r="OUC95" s="240" t="n"/>
      <c r="OUE95" s="15" t="n"/>
      <c r="OUF95" s="15" t="n"/>
      <c r="OUG95" s="248" t="n"/>
      <c r="OUH95" s="248" t="n"/>
      <c r="OUI95" s="240" t="n"/>
      <c r="OUJ95" s="240" t="n"/>
      <c r="OUL95" s="15" t="n"/>
      <c r="OUM95" s="15" t="n"/>
      <c r="OUN95" s="248" t="n"/>
      <c r="OUO95" s="248" t="n"/>
      <c r="OUP95" s="240" t="n"/>
      <c r="OUQ95" s="240" t="n"/>
      <c r="OUS95" s="15" t="n"/>
      <c r="OUT95" s="15" t="n"/>
      <c r="OUU95" s="248" t="n"/>
      <c r="OUV95" s="248" t="n"/>
      <c r="OUW95" s="240" t="n"/>
      <c r="OUX95" s="240" t="n"/>
      <c r="OUZ95" s="15" t="n"/>
      <c r="OVA95" s="15" t="n"/>
      <c r="OVB95" s="248" t="n"/>
      <c r="OVC95" s="248" t="n"/>
      <c r="OVD95" s="240" t="n"/>
      <c r="OVE95" s="240" t="n"/>
      <c r="OVG95" s="15" t="n"/>
      <c r="OVH95" s="15" t="n"/>
      <c r="OVI95" s="248" t="n"/>
      <c r="OVJ95" s="248" t="n"/>
      <c r="OVK95" s="240" t="n"/>
      <c r="OVL95" s="240" t="n"/>
      <c r="OVN95" s="15" t="n"/>
      <c r="OVO95" s="15" t="n"/>
      <c r="OVP95" s="248" t="n"/>
      <c r="OVQ95" s="248" t="n"/>
      <c r="OVR95" s="240" t="n"/>
      <c r="OVS95" s="240" t="n"/>
      <c r="OVU95" s="15" t="n"/>
      <c r="OVV95" s="15" t="n"/>
      <c r="OVW95" s="248" t="n"/>
      <c r="OVX95" s="248" t="n"/>
      <c r="OVY95" s="240" t="n"/>
      <c r="OVZ95" s="240" t="n"/>
      <c r="OWB95" s="15" t="n"/>
      <c r="OWC95" s="15" t="n"/>
      <c r="OWD95" s="248" t="n"/>
      <c r="OWE95" s="248" t="n"/>
      <c r="OWF95" s="240" t="n"/>
      <c r="OWG95" s="240" t="n"/>
      <c r="OWI95" s="15" t="n"/>
      <c r="OWJ95" s="15" t="n"/>
      <c r="OWK95" s="248" t="n"/>
      <c r="OWL95" s="248" t="n"/>
      <c r="OWM95" s="240" t="n"/>
      <c r="OWN95" s="240" t="n"/>
      <c r="OWP95" s="15" t="n"/>
      <c r="OWQ95" s="15" t="n"/>
      <c r="OWR95" s="248" t="n"/>
      <c r="OWS95" s="248" t="n"/>
      <c r="OWT95" s="240" t="n"/>
      <c r="OWU95" s="240" t="n"/>
      <c r="OWW95" s="15" t="n"/>
      <c r="OWX95" s="15" t="n"/>
      <c r="OWY95" s="248" t="n"/>
      <c r="OWZ95" s="248" t="n"/>
      <c r="OXA95" s="240" t="n"/>
      <c r="OXB95" s="240" t="n"/>
      <c r="OXD95" s="15" t="n"/>
      <c r="OXE95" s="15" t="n"/>
      <c r="OXF95" s="248" t="n"/>
      <c r="OXG95" s="248" t="n"/>
      <c r="OXH95" s="240" t="n"/>
      <c r="OXI95" s="240" t="n"/>
      <c r="OXK95" s="15" t="n"/>
      <c r="OXL95" s="15" t="n"/>
      <c r="OXM95" s="248" t="n"/>
      <c r="OXN95" s="248" t="n"/>
      <c r="OXO95" s="240" t="n"/>
      <c r="OXP95" s="240" t="n"/>
      <c r="OXR95" s="15" t="n"/>
      <c r="OXS95" s="15" t="n"/>
      <c r="OXT95" s="248" t="n"/>
      <c r="OXU95" s="248" t="n"/>
      <c r="OXV95" s="240" t="n"/>
      <c r="OXW95" s="240" t="n"/>
      <c r="OXY95" s="15" t="n"/>
      <c r="OXZ95" s="15" t="n"/>
      <c r="OYA95" s="248" t="n"/>
      <c r="OYB95" s="248" t="n"/>
      <c r="OYC95" s="240" t="n"/>
      <c r="OYD95" s="240" t="n"/>
      <c r="OYF95" s="15" t="n"/>
      <c r="OYG95" s="15" t="n"/>
      <c r="OYH95" s="248" t="n"/>
      <c r="OYI95" s="248" t="n"/>
      <c r="OYJ95" s="240" t="n"/>
      <c r="OYK95" s="240" t="n"/>
      <c r="OYM95" s="15" t="n"/>
      <c r="OYN95" s="15" t="n"/>
      <c r="OYO95" s="248" t="n"/>
      <c r="OYP95" s="248" t="n"/>
      <c r="OYQ95" s="240" t="n"/>
      <c r="OYR95" s="240" t="n"/>
      <c r="OYT95" s="15" t="n"/>
      <c r="OYU95" s="15" t="n"/>
      <c r="OYV95" s="248" t="n"/>
      <c r="OYW95" s="248" t="n"/>
      <c r="OYX95" s="240" t="n"/>
      <c r="OYY95" s="240" t="n"/>
      <c r="OZA95" s="15" t="n"/>
      <c r="OZB95" s="15" t="n"/>
      <c r="OZC95" s="248" t="n"/>
      <c r="OZD95" s="248" t="n"/>
      <c r="OZE95" s="240" t="n"/>
      <c r="OZF95" s="240" t="n"/>
      <c r="OZH95" s="15" t="n"/>
      <c r="OZI95" s="15" t="n"/>
      <c r="OZJ95" s="248" t="n"/>
      <c r="OZK95" s="248" t="n"/>
      <c r="OZL95" s="240" t="n"/>
      <c r="OZM95" s="240" t="n"/>
      <c r="OZO95" s="15" t="n"/>
      <c r="OZP95" s="15" t="n"/>
      <c r="OZQ95" s="248" t="n"/>
      <c r="OZR95" s="248" t="n"/>
      <c r="OZS95" s="240" t="n"/>
      <c r="OZT95" s="240" t="n"/>
      <c r="OZV95" s="15" t="n"/>
      <c r="OZW95" s="15" t="n"/>
      <c r="OZX95" s="248" t="n"/>
      <c r="OZY95" s="248" t="n"/>
      <c r="OZZ95" s="240" t="n"/>
      <c r="PAA95" s="240" t="n"/>
      <c r="PAC95" s="15" t="n"/>
      <c r="PAD95" s="15" t="n"/>
      <c r="PAE95" s="248" t="n"/>
      <c r="PAF95" s="248" t="n"/>
      <c r="PAG95" s="240" t="n"/>
      <c r="PAH95" s="240" t="n"/>
      <c r="PAJ95" s="15" t="n"/>
      <c r="PAK95" s="15" t="n"/>
      <c r="PAL95" s="248" t="n"/>
      <c r="PAM95" s="248" t="n"/>
      <c r="PAN95" s="240" t="n"/>
      <c r="PAO95" s="240" t="n"/>
      <c r="PAQ95" s="15" t="n"/>
      <c r="PAR95" s="15" t="n"/>
      <c r="PAS95" s="248" t="n"/>
      <c r="PAT95" s="248" t="n"/>
      <c r="PAU95" s="240" t="n"/>
      <c r="PAV95" s="240" t="n"/>
      <c r="PAX95" s="15" t="n"/>
      <c r="PAY95" s="15" t="n"/>
      <c r="PAZ95" s="248" t="n"/>
      <c r="PBA95" s="248" t="n"/>
      <c r="PBB95" s="240" t="n"/>
      <c r="PBC95" s="240" t="n"/>
      <c r="PBE95" s="15" t="n"/>
      <c r="PBF95" s="15" t="n"/>
      <c r="PBG95" s="248" t="n"/>
      <c r="PBH95" s="248" t="n"/>
      <c r="PBI95" s="240" t="n"/>
      <c r="PBJ95" s="240" t="n"/>
      <c r="PBL95" s="15" t="n"/>
      <c r="PBM95" s="15" t="n"/>
      <c r="PBN95" s="248" t="n"/>
      <c r="PBO95" s="248" t="n"/>
      <c r="PBP95" s="240" t="n"/>
      <c r="PBQ95" s="240" t="n"/>
      <c r="PBS95" s="15" t="n"/>
      <c r="PBT95" s="15" t="n"/>
      <c r="PBU95" s="248" t="n"/>
      <c r="PBV95" s="248" t="n"/>
      <c r="PBW95" s="240" t="n"/>
      <c r="PBX95" s="240" t="n"/>
      <c r="PBZ95" s="15" t="n"/>
      <c r="PCA95" s="15" t="n"/>
      <c r="PCB95" s="248" t="n"/>
      <c r="PCC95" s="248" t="n"/>
      <c r="PCD95" s="240" t="n"/>
      <c r="PCE95" s="240" t="n"/>
      <c r="PCG95" s="15" t="n"/>
      <c r="PCH95" s="15" t="n"/>
      <c r="PCI95" s="248" t="n"/>
      <c r="PCJ95" s="248" t="n"/>
      <c r="PCK95" s="240" t="n"/>
      <c r="PCL95" s="240" t="n"/>
      <c r="PCN95" s="15" t="n"/>
      <c r="PCO95" s="15" t="n"/>
      <c r="PCP95" s="248" t="n"/>
      <c r="PCQ95" s="248" t="n"/>
      <c r="PCR95" s="240" t="n"/>
      <c r="PCS95" s="240" t="n"/>
      <c r="PCU95" s="15" t="n"/>
      <c r="PCV95" s="15" t="n"/>
      <c r="PCW95" s="248" t="n"/>
      <c r="PCX95" s="248" t="n"/>
      <c r="PCY95" s="240" t="n"/>
      <c r="PCZ95" s="240" t="n"/>
      <c r="PDB95" s="15" t="n"/>
      <c r="PDC95" s="15" t="n"/>
      <c r="PDD95" s="248" t="n"/>
      <c r="PDE95" s="248" t="n"/>
      <c r="PDF95" s="240" t="n"/>
      <c r="PDG95" s="240" t="n"/>
      <c r="PDI95" s="15" t="n"/>
      <c r="PDJ95" s="15" t="n"/>
      <c r="PDK95" s="248" t="n"/>
      <c r="PDL95" s="248" t="n"/>
      <c r="PDM95" s="240" t="n"/>
      <c r="PDN95" s="240" t="n"/>
      <c r="PDP95" s="15" t="n"/>
      <c r="PDQ95" s="15" t="n"/>
      <c r="PDR95" s="248" t="n"/>
      <c r="PDS95" s="248" t="n"/>
      <c r="PDT95" s="240" t="n"/>
      <c r="PDU95" s="240" t="n"/>
      <c r="PDW95" s="15" t="n"/>
      <c r="PDX95" s="15" t="n"/>
      <c r="PDY95" s="248" t="n"/>
      <c r="PDZ95" s="248" t="n"/>
      <c r="PEA95" s="240" t="n"/>
      <c r="PEB95" s="240" t="n"/>
      <c r="PED95" s="15" t="n"/>
      <c r="PEE95" s="15" t="n"/>
      <c r="PEF95" s="248" t="n"/>
      <c r="PEG95" s="248" t="n"/>
      <c r="PEH95" s="240" t="n"/>
      <c r="PEI95" s="240" t="n"/>
      <c r="PEK95" s="15" t="n"/>
      <c r="PEL95" s="15" t="n"/>
      <c r="PEM95" s="248" t="n"/>
      <c r="PEN95" s="248" t="n"/>
      <c r="PEO95" s="240" t="n"/>
      <c r="PEP95" s="240" t="n"/>
      <c r="PER95" s="15" t="n"/>
      <c r="PES95" s="15" t="n"/>
      <c r="PET95" s="248" t="n"/>
      <c r="PEU95" s="248" t="n"/>
      <c r="PEV95" s="240" t="n"/>
      <c r="PEW95" s="240" t="n"/>
      <c r="PEY95" s="15" t="n"/>
      <c r="PEZ95" s="15" t="n"/>
      <c r="PFA95" s="248" t="n"/>
      <c r="PFB95" s="248" t="n"/>
      <c r="PFC95" s="240" t="n"/>
      <c r="PFD95" s="240" t="n"/>
      <c r="PFF95" s="15" t="n"/>
      <c r="PFG95" s="15" t="n"/>
      <c r="PFH95" s="248" t="n"/>
      <c r="PFI95" s="248" t="n"/>
      <c r="PFJ95" s="240" t="n"/>
      <c r="PFK95" s="240" t="n"/>
      <c r="PFM95" s="15" t="n"/>
      <c r="PFN95" s="15" t="n"/>
      <c r="PFO95" s="248" t="n"/>
      <c r="PFP95" s="248" t="n"/>
      <c r="PFQ95" s="240" t="n"/>
      <c r="PFR95" s="240" t="n"/>
      <c r="PFT95" s="15" t="n"/>
      <c r="PFU95" s="15" t="n"/>
      <c r="PFV95" s="248" t="n"/>
      <c r="PFW95" s="248" t="n"/>
      <c r="PFX95" s="240" t="n"/>
      <c r="PFY95" s="240" t="n"/>
      <c r="PGA95" s="15" t="n"/>
      <c r="PGB95" s="15" t="n"/>
      <c r="PGC95" s="248" t="n"/>
      <c r="PGD95" s="248" t="n"/>
      <c r="PGE95" s="240" t="n"/>
      <c r="PGF95" s="240" t="n"/>
      <c r="PGH95" s="15" t="n"/>
      <c r="PGI95" s="15" t="n"/>
      <c r="PGJ95" s="248" t="n"/>
      <c r="PGK95" s="248" t="n"/>
      <c r="PGL95" s="240" t="n"/>
      <c r="PGM95" s="240" t="n"/>
      <c r="PGO95" s="15" t="n"/>
      <c r="PGP95" s="15" t="n"/>
      <c r="PGQ95" s="248" t="n"/>
      <c r="PGR95" s="248" t="n"/>
      <c r="PGS95" s="240" t="n"/>
      <c r="PGT95" s="240" t="n"/>
      <c r="PGV95" s="15" t="n"/>
      <c r="PGW95" s="15" t="n"/>
      <c r="PGX95" s="248" t="n"/>
      <c r="PGY95" s="248" t="n"/>
      <c r="PGZ95" s="240" t="n"/>
      <c r="PHA95" s="240" t="n"/>
      <c r="PHC95" s="15" t="n"/>
      <c r="PHD95" s="15" t="n"/>
      <c r="PHE95" s="248" t="n"/>
      <c r="PHF95" s="248" t="n"/>
      <c r="PHG95" s="240" t="n"/>
      <c r="PHH95" s="240" t="n"/>
      <c r="PHJ95" s="15" t="n"/>
      <c r="PHK95" s="15" t="n"/>
      <c r="PHL95" s="248" t="n"/>
      <c r="PHM95" s="248" t="n"/>
      <c r="PHN95" s="240" t="n"/>
      <c r="PHO95" s="240" t="n"/>
      <c r="PHQ95" s="15" t="n"/>
      <c r="PHR95" s="15" t="n"/>
      <c r="PHS95" s="248" t="n"/>
      <c r="PHT95" s="248" t="n"/>
      <c r="PHU95" s="240" t="n"/>
      <c r="PHV95" s="240" t="n"/>
      <c r="PHX95" s="15" t="n"/>
      <c r="PHY95" s="15" t="n"/>
      <c r="PHZ95" s="248" t="n"/>
      <c r="PIA95" s="248" t="n"/>
      <c r="PIB95" s="240" t="n"/>
      <c r="PIC95" s="240" t="n"/>
      <c r="PIE95" s="15" t="n"/>
      <c r="PIF95" s="15" t="n"/>
      <c r="PIG95" s="248" t="n"/>
      <c r="PIH95" s="248" t="n"/>
      <c r="PII95" s="240" t="n"/>
      <c r="PIJ95" s="240" t="n"/>
      <c r="PIL95" s="15" t="n"/>
      <c r="PIM95" s="15" t="n"/>
      <c r="PIN95" s="248" t="n"/>
      <c r="PIO95" s="248" t="n"/>
      <c r="PIP95" s="240" t="n"/>
      <c r="PIQ95" s="240" t="n"/>
      <c r="PIS95" s="15" t="n"/>
      <c r="PIT95" s="15" t="n"/>
      <c r="PIU95" s="248" t="n"/>
      <c r="PIV95" s="248" t="n"/>
      <c r="PIW95" s="240" t="n"/>
      <c r="PIX95" s="240" t="n"/>
      <c r="PIZ95" s="15" t="n"/>
      <c r="PJA95" s="15" t="n"/>
      <c r="PJB95" s="248" t="n"/>
      <c r="PJC95" s="248" t="n"/>
      <c r="PJD95" s="240" t="n"/>
      <c r="PJE95" s="240" t="n"/>
      <c r="PJG95" s="15" t="n"/>
      <c r="PJH95" s="15" t="n"/>
      <c r="PJI95" s="248" t="n"/>
      <c r="PJJ95" s="248" t="n"/>
      <c r="PJK95" s="240" t="n"/>
      <c r="PJL95" s="240" t="n"/>
      <c r="PJN95" s="15" t="n"/>
      <c r="PJO95" s="15" t="n"/>
      <c r="PJP95" s="248" t="n"/>
      <c r="PJQ95" s="248" t="n"/>
      <c r="PJR95" s="240" t="n"/>
      <c r="PJS95" s="240" t="n"/>
      <c r="PJU95" s="15" t="n"/>
      <c r="PJV95" s="15" t="n"/>
      <c r="PJW95" s="248" t="n"/>
      <c r="PJX95" s="248" t="n"/>
      <c r="PJY95" s="240" t="n"/>
      <c r="PJZ95" s="240" t="n"/>
      <c r="PKB95" s="15" t="n"/>
      <c r="PKC95" s="15" t="n"/>
      <c r="PKD95" s="248" t="n"/>
      <c r="PKE95" s="248" t="n"/>
      <c r="PKF95" s="240" t="n"/>
      <c r="PKG95" s="240" t="n"/>
      <c r="PKI95" s="15" t="n"/>
      <c r="PKJ95" s="15" t="n"/>
      <c r="PKK95" s="248" t="n"/>
      <c r="PKL95" s="248" t="n"/>
      <c r="PKM95" s="240" t="n"/>
      <c r="PKN95" s="240" t="n"/>
      <c r="PKP95" s="15" t="n"/>
      <c r="PKQ95" s="15" t="n"/>
      <c r="PKR95" s="248" t="n"/>
      <c r="PKS95" s="248" t="n"/>
      <c r="PKT95" s="240" t="n"/>
      <c r="PKU95" s="240" t="n"/>
      <c r="PKW95" s="15" t="n"/>
      <c r="PKX95" s="15" t="n"/>
      <c r="PKY95" s="248" t="n"/>
      <c r="PKZ95" s="248" t="n"/>
      <c r="PLA95" s="240" t="n"/>
      <c r="PLB95" s="240" t="n"/>
      <c r="PLD95" s="15" t="n"/>
      <c r="PLE95" s="15" t="n"/>
      <c r="PLF95" s="248" t="n"/>
      <c r="PLG95" s="248" t="n"/>
      <c r="PLH95" s="240" t="n"/>
      <c r="PLI95" s="240" t="n"/>
      <c r="PLK95" s="15" t="n"/>
      <c r="PLL95" s="15" t="n"/>
      <c r="PLM95" s="248" t="n"/>
      <c r="PLN95" s="248" t="n"/>
      <c r="PLO95" s="240" t="n"/>
      <c r="PLP95" s="240" t="n"/>
      <c r="PLR95" s="15" t="n"/>
      <c r="PLS95" s="15" t="n"/>
      <c r="PLT95" s="248" t="n"/>
      <c r="PLU95" s="248" t="n"/>
      <c r="PLV95" s="240" t="n"/>
      <c r="PLW95" s="240" t="n"/>
      <c r="PLY95" s="15" t="n"/>
      <c r="PLZ95" s="15" t="n"/>
      <c r="PMA95" s="248" t="n"/>
      <c r="PMB95" s="248" t="n"/>
      <c r="PMC95" s="240" t="n"/>
      <c r="PMD95" s="240" t="n"/>
      <c r="PMF95" s="15" t="n"/>
      <c r="PMG95" s="15" t="n"/>
      <c r="PMH95" s="248" t="n"/>
      <c r="PMI95" s="248" t="n"/>
      <c r="PMJ95" s="240" t="n"/>
      <c r="PMK95" s="240" t="n"/>
      <c r="PMM95" s="15" t="n"/>
      <c r="PMN95" s="15" t="n"/>
      <c r="PMO95" s="248" t="n"/>
      <c r="PMP95" s="248" t="n"/>
      <c r="PMQ95" s="240" t="n"/>
      <c r="PMR95" s="240" t="n"/>
      <c r="PMT95" s="15" t="n"/>
      <c r="PMU95" s="15" t="n"/>
      <c r="PMV95" s="248" t="n"/>
      <c r="PMW95" s="248" t="n"/>
      <c r="PMX95" s="240" t="n"/>
      <c r="PMY95" s="240" t="n"/>
      <c r="PNA95" s="15" t="n"/>
      <c r="PNB95" s="15" t="n"/>
      <c r="PNC95" s="248" t="n"/>
      <c r="PND95" s="248" t="n"/>
      <c r="PNE95" s="240" t="n"/>
      <c r="PNF95" s="240" t="n"/>
      <c r="PNH95" s="15" t="n"/>
      <c r="PNI95" s="15" t="n"/>
      <c r="PNJ95" s="248" t="n"/>
      <c r="PNK95" s="248" t="n"/>
      <c r="PNL95" s="240" t="n"/>
      <c r="PNM95" s="240" t="n"/>
      <c r="PNO95" s="15" t="n"/>
      <c r="PNP95" s="15" t="n"/>
      <c r="PNQ95" s="248" t="n"/>
      <c r="PNR95" s="248" t="n"/>
      <c r="PNS95" s="240" t="n"/>
      <c r="PNT95" s="240" t="n"/>
      <c r="PNV95" s="15" t="n"/>
      <c r="PNW95" s="15" t="n"/>
      <c r="PNX95" s="248" t="n"/>
      <c r="PNY95" s="248" t="n"/>
      <c r="PNZ95" s="240" t="n"/>
      <c r="POA95" s="240" t="n"/>
      <c r="POC95" s="15" t="n"/>
      <c r="POD95" s="15" t="n"/>
      <c r="POE95" s="248" t="n"/>
      <c r="POF95" s="248" t="n"/>
      <c r="POG95" s="240" t="n"/>
      <c r="POH95" s="240" t="n"/>
      <c r="POJ95" s="15" t="n"/>
      <c r="POK95" s="15" t="n"/>
      <c r="POL95" s="248" t="n"/>
      <c r="POM95" s="248" t="n"/>
      <c r="PON95" s="240" t="n"/>
      <c r="POO95" s="240" t="n"/>
      <c r="POQ95" s="15" t="n"/>
      <c r="POR95" s="15" t="n"/>
      <c r="POS95" s="248" t="n"/>
      <c r="POT95" s="248" t="n"/>
      <c r="POU95" s="240" t="n"/>
      <c r="POV95" s="240" t="n"/>
      <c r="POX95" s="15" t="n"/>
      <c r="POY95" s="15" t="n"/>
      <c r="POZ95" s="248" t="n"/>
      <c r="PPA95" s="248" t="n"/>
      <c r="PPB95" s="240" t="n"/>
      <c r="PPC95" s="240" t="n"/>
      <c r="PPE95" s="15" t="n"/>
      <c r="PPF95" s="15" t="n"/>
      <c r="PPG95" s="248" t="n"/>
      <c r="PPH95" s="248" t="n"/>
      <c r="PPI95" s="240" t="n"/>
      <c r="PPJ95" s="240" t="n"/>
      <c r="PPL95" s="15" t="n"/>
      <c r="PPM95" s="15" t="n"/>
      <c r="PPN95" s="248" t="n"/>
      <c r="PPO95" s="248" t="n"/>
      <c r="PPP95" s="240" t="n"/>
      <c r="PPQ95" s="240" t="n"/>
      <c r="PPS95" s="15" t="n"/>
      <c r="PPT95" s="15" t="n"/>
      <c r="PPU95" s="248" t="n"/>
      <c r="PPV95" s="248" t="n"/>
      <c r="PPW95" s="240" t="n"/>
      <c r="PPX95" s="240" t="n"/>
      <c r="PPZ95" s="15" t="n"/>
      <c r="PQA95" s="15" t="n"/>
      <c r="PQB95" s="248" t="n"/>
      <c r="PQC95" s="248" t="n"/>
      <c r="PQD95" s="240" t="n"/>
      <c r="PQE95" s="240" t="n"/>
      <c r="PQG95" s="15" t="n"/>
      <c r="PQH95" s="15" t="n"/>
      <c r="PQI95" s="248" t="n"/>
      <c r="PQJ95" s="248" t="n"/>
      <c r="PQK95" s="240" t="n"/>
      <c r="PQL95" s="240" t="n"/>
      <c r="PQN95" s="15" t="n"/>
      <c r="PQO95" s="15" t="n"/>
      <c r="PQP95" s="248" t="n"/>
      <c r="PQQ95" s="248" t="n"/>
      <c r="PQR95" s="240" t="n"/>
      <c r="PQS95" s="240" t="n"/>
      <c r="PQU95" s="15" t="n"/>
      <c r="PQV95" s="15" t="n"/>
      <c r="PQW95" s="248" t="n"/>
      <c r="PQX95" s="248" t="n"/>
      <c r="PQY95" s="240" t="n"/>
      <c r="PQZ95" s="240" t="n"/>
      <c r="PRB95" s="15" t="n"/>
      <c r="PRC95" s="15" t="n"/>
      <c r="PRD95" s="248" t="n"/>
      <c r="PRE95" s="248" t="n"/>
      <c r="PRF95" s="240" t="n"/>
      <c r="PRG95" s="240" t="n"/>
      <c r="PRI95" s="15" t="n"/>
      <c r="PRJ95" s="15" t="n"/>
      <c r="PRK95" s="248" t="n"/>
      <c r="PRL95" s="248" t="n"/>
      <c r="PRM95" s="240" t="n"/>
      <c r="PRN95" s="240" t="n"/>
      <c r="PRP95" s="15" t="n"/>
      <c r="PRQ95" s="15" t="n"/>
      <c r="PRR95" s="248" t="n"/>
      <c r="PRS95" s="248" t="n"/>
      <c r="PRT95" s="240" t="n"/>
      <c r="PRU95" s="240" t="n"/>
      <c r="PRW95" s="15" t="n"/>
      <c r="PRX95" s="15" t="n"/>
      <c r="PRY95" s="248" t="n"/>
      <c r="PRZ95" s="248" t="n"/>
      <c r="PSA95" s="240" t="n"/>
      <c r="PSB95" s="240" t="n"/>
      <c r="PSD95" s="15" t="n"/>
      <c r="PSE95" s="15" t="n"/>
      <c r="PSF95" s="248" t="n"/>
      <c r="PSG95" s="248" t="n"/>
      <c r="PSH95" s="240" t="n"/>
      <c r="PSI95" s="240" t="n"/>
      <c r="PSK95" s="15" t="n"/>
      <c r="PSL95" s="15" t="n"/>
      <c r="PSM95" s="248" t="n"/>
      <c r="PSN95" s="248" t="n"/>
      <c r="PSO95" s="240" t="n"/>
      <c r="PSP95" s="240" t="n"/>
      <c r="PSR95" s="15" t="n"/>
      <c r="PSS95" s="15" t="n"/>
      <c r="PST95" s="248" t="n"/>
      <c r="PSU95" s="248" t="n"/>
      <c r="PSV95" s="240" t="n"/>
      <c r="PSW95" s="240" t="n"/>
      <c r="PSY95" s="15" t="n"/>
      <c r="PSZ95" s="15" t="n"/>
      <c r="PTA95" s="248" t="n"/>
      <c r="PTB95" s="248" t="n"/>
      <c r="PTC95" s="240" t="n"/>
      <c r="PTD95" s="240" t="n"/>
      <c r="PTF95" s="15" t="n"/>
      <c r="PTG95" s="15" t="n"/>
      <c r="PTH95" s="248" t="n"/>
      <c r="PTI95" s="248" t="n"/>
      <c r="PTJ95" s="240" t="n"/>
      <c r="PTK95" s="240" t="n"/>
      <c r="PTM95" s="15" t="n"/>
      <c r="PTN95" s="15" t="n"/>
      <c r="PTO95" s="248" t="n"/>
      <c r="PTP95" s="248" t="n"/>
      <c r="PTQ95" s="240" t="n"/>
      <c r="PTR95" s="240" t="n"/>
      <c r="PTT95" s="15" t="n"/>
      <c r="PTU95" s="15" t="n"/>
      <c r="PTV95" s="248" t="n"/>
      <c r="PTW95" s="248" t="n"/>
      <c r="PTX95" s="240" t="n"/>
      <c r="PTY95" s="240" t="n"/>
      <c r="PUA95" s="15" t="n"/>
      <c r="PUB95" s="15" t="n"/>
      <c r="PUC95" s="248" t="n"/>
      <c r="PUD95" s="248" t="n"/>
      <c r="PUE95" s="240" t="n"/>
      <c r="PUF95" s="240" t="n"/>
      <c r="PUH95" s="15" t="n"/>
      <c r="PUI95" s="15" t="n"/>
      <c r="PUJ95" s="248" t="n"/>
      <c r="PUK95" s="248" t="n"/>
      <c r="PUL95" s="240" t="n"/>
      <c r="PUM95" s="240" t="n"/>
      <c r="PUO95" s="15" t="n"/>
      <c r="PUP95" s="15" t="n"/>
      <c r="PUQ95" s="248" t="n"/>
      <c r="PUR95" s="248" t="n"/>
      <c r="PUS95" s="240" t="n"/>
      <c r="PUT95" s="240" t="n"/>
      <c r="PUV95" s="15" t="n"/>
      <c r="PUW95" s="15" t="n"/>
      <c r="PUX95" s="248" t="n"/>
      <c r="PUY95" s="248" t="n"/>
      <c r="PUZ95" s="240" t="n"/>
      <c r="PVA95" s="240" t="n"/>
      <c r="PVC95" s="15" t="n"/>
      <c r="PVD95" s="15" t="n"/>
      <c r="PVE95" s="248" t="n"/>
      <c r="PVF95" s="248" t="n"/>
      <c r="PVG95" s="240" t="n"/>
      <c r="PVH95" s="240" t="n"/>
      <c r="PVJ95" s="15" t="n"/>
      <c r="PVK95" s="15" t="n"/>
      <c r="PVL95" s="248" t="n"/>
      <c r="PVM95" s="248" t="n"/>
      <c r="PVN95" s="240" t="n"/>
      <c r="PVO95" s="240" t="n"/>
      <c r="PVQ95" s="15" t="n"/>
      <c r="PVR95" s="15" t="n"/>
      <c r="PVS95" s="248" t="n"/>
      <c r="PVT95" s="248" t="n"/>
      <c r="PVU95" s="240" t="n"/>
      <c r="PVV95" s="240" t="n"/>
      <c r="PVX95" s="15" t="n"/>
      <c r="PVY95" s="15" t="n"/>
      <c r="PVZ95" s="248" t="n"/>
      <c r="PWA95" s="248" t="n"/>
      <c r="PWB95" s="240" t="n"/>
      <c r="PWC95" s="240" t="n"/>
      <c r="PWE95" s="15" t="n"/>
      <c r="PWF95" s="15" t="n"/>
      <c r="PWG95" s="248" t="n"/>
      <c r="PWH95" s="248" t="n"/>
      <c r="PWI95" s="240" t="n"/>
      <c r="PWJ95" s="240" t="n"/>
      <c r="PWL95" s="15" t="n"/>
      <c r="PWM95" s="15" t="n"/>
      <c r="PWN95" s="248" t="n"/>
      <c r="PWO95" s="248" t="n"/>
      <c r="PWP95" s="240" t="n"/>
      <c r="PWQ95" s="240" t="n"/>
      <c r="PWS95" s="15" t="n"/>
      <c r="PWT95" s="15" t="n"/>
      <c r="PWU95" s="248" t="n"/>
      <c r="PWV95" s="248" t="n"/>
      <c r="PWW95" s="240" t="n"/>
      <c r="PWX95" s="240" t="n"/>
      <c r="PWZ95" s="15" t="n"/>
      <c r="PXA95" s="15" t="n"/>
      <c r="PXB95" s="248" t="n"/>
      <c r="PXC95" s="248" t="n"/>
      <c r="PXD95" s="240" t="n"/>
      <c r="PXE95" s="240" t="n"/>
      <c r="PXG95" s="15" t="n"/>
      <c r="PXH95" s="15" t="n"/>
      <c r="PXI95" s="248" t="n"/>
      <c r="PXJ95" s="248" t="n"/>
      <c r="PXK95" s="240" t="n"/>
      <c r="PXL95" s="240" t="n"/>
      <c r="PXN95" s="15" t="n"/>
      <c r="PXO95" s="15" t="n"/>
      <c r="PXP95" s="248" t="n"/>
      <c r="PXQ95" s="248" t="n"/>
      <c r="PXR95" s="240" t="n"/>
      <c r="PXS95" s="240" t="n"/>
      <c r="PXU95" s="15" t="n"/>
      <c r="PXV95" s="15" t="n"/>
      <c r="PXW95" s="248" t="n"/>
      <c r="PXX95" s="248" t="n"/>
      <c r="PXY95" s="240" t="n"/>
      <c r="PXZ95" s="240" t="n"/>
      <c r="PYB95" s="15" t="n"/>
      <c r="PYC95" s="15" t="n"/>
      <c r="PYD95" s="248" t="n"/>
      <c r="PYE95" s="248" t="n"/>
      <c r="PYF95" s="240" t="n"/>
      <c r="PYG95" s="240" t="n"/>
      <c r="PYI95" s="15" t="n"/>
      <c r="PYJ95" s="15" t="n"/>
      <c r="PYK95" s="248" t="n"/>
      <c r="PYL95" s="248" t="n"/>
      <c r="PYM95" s="240" t="n"/>
      <c r="PYN95" s="240" t="n"/>
      <c r="PYP95" s="15" t="n"/>
      <c r="PYQ95" s="15" t="n"/>
      <c r="PYR95" s="248" t="n"/>
      <c r="PYS95" s="248" t="n"/>
      <c r="PYT95" s="240" t="n"/>
      <c r="PYU95" s="240" t="n"/>
      <c r="PYW95" s="15" t="n"/>
      <c r="PYX95" s="15" t="n"/>
      <c r="PYY95" s="248" t="n"/>
      <c r="PYZ95" s="248" t="n"/>
      <c r="PZA95" s="240" t="n"/>
      <c r="PZB95" s="240" t="n"/>
      <c r="PZD95" s="15" t="n"/>
      <c r="PZE95" s="15" t="n"/>
      <c r="PZF95" s="248" t="n"/>
      <c r="PZG95" s="248" t="n"/>
      <c r="PZH95" s="240" t="n"/>
      <c r="PZI95" s="240" t="n"/>
      <c r="PZK95" s="15" t="n"/>
      <c r="PZL95" s="15" t="n"/>
      <c r="PZM95" s="248" t="n"/>
      <c r="PZN95" s="248" t="n"/>
      <c r="PZO95" s="240" t="n"/>
      <c r="PZP95" s="240" t="n"/>
      <c r="PZR95" s="15" t="n"/>
      <c r="PZS95" s="15" t="n"/>
      <c r="PZT95" s="248" t="n"/>
      <c r="PZU95" s="248" t="n"/>
      <c r="PZV95" s="240" t="n"/>
      <c r="PZW95" s="240" t="n"/>
      <c r="PZY95" s="15" t="n"/>
      <c r="PZZ95" s="15" t="n"/>
      <c r="QAA95" s="248" t="n"/>
      <c r="QAB95" s="248" t="n"/>
      <c r="QAC95" s="240" t="n"/>
      <c r="QAD95" s="240" t="n"/>
      <c r="QAF95" s="15" t="n"/>
      <c r="QAG95" s="15" t="n"/>
      <c r="QAH95" s="248" t="n"/>
      <c r="QAI95" s="248" t="n"/>
      <c r="QAJ95" s="240" t="n"/>
      <c r="QAK95" s="240" t="n"/>
      <c r="QAM95" s="15" t="n"/>
      <c r="QAN95" s="15" t="n"/>
      <c r="QAO95" s="248" t="n"/>
      <c r="QAP95" s="248" t="n"/>
      <c r="QAQ95" s="240" t="n"/>
      <c r="QAR95" s="240" t="n"/>
      <c r="QAT95" s="15" t="n"/>
      <c r="QAU95" s="15" t="n"/>
      <c r="QAV95" s="248" t="n"/>
      <c r="QAW95" s="248" t="n"/>
      <c r="QAX95" s="240" t="n"/>
      <c r="QAY95" s="240" t="n"/>
      <c r="QBA95" s="15" t="n"/>
      <c r="QBB95" s="15" t="n"/>
      <c r="QBC95" s="248" t="n"/>
      <c r="QBD95" s="248" t="n"/>
      <c r="QBE95" s="240" t="n"/>
      <c r="QBF95" s="240" t="n"/>
      <c r="QBH95" s="15" t="n"/>
      <c r="QBI95" s="15" t="n"/>
      <c r="QBJ95" s="248" t="n"/>
      <c r="QBK95" s="248" t="n"/>
      <c r="QBL95" s="240" t="n"/>
      <c r="QBM95" s="240" t="n"/>
      <c r="QBO95" s="15" t="n"/>
      <c r="QBP95" s="15" t="n"/>
      <c r="QBQ95" s="248" t="n"/>
      <c r="QBR95" s="248" t="n"/>
      <c r="QBS95" s="240" t="n"/>
      <c r="QBT95" s="240" t="n"/>
      <c r="QBV95" s="15" t="n"/>
      <c r="QBW95" s="15" t="n"/>
      <c r="QBX95" s="248" t="n"/>
      <c r="QBY95" s="248" t="n"/>
      <c r="QBZ95" s="240" t="n"/>
      <c r="QCA95" s="240" t="n"/>
      <c r="QCC95" s="15" t="n"/>
      <c r="QCD95" s="15" t="n"/>
      <c r="QCE95" s="248" t="n"/>
      <c r="QCF95" s="248" t="n"/>
      <c r="QCG95" s="240" t="n"/>
      <c r="QCH95" s="240" t="n"/>
      <c r="QCJ95" s="15" t="n"/>
      <c r="QCK95" s="15" t="n"/>
      <c r="QCL95" s="248" t="n"/>
      <c r="QCM95" s="248" t="n"/>
      <c r="QCN95" s="240" t="n"/>
      <c r="QCO95" s="240" t="n"/>
      <c r="QCQ95" s="15" t="n"/>
      <c r="QCR95" s="15" t="n"/>
      <c r="QCS95" s="248" t="n"/>
      <c r="QCT95" s="248" t="n"/>
      <c r="QCU95" s="240" t="n"/>
      <c r="QCV95" s="240" t="n"/>
      <c r="QCX95" s="15" t="n"/>
      <c r="QCY95" s="15" t="n"/>
      <c r="QCZ95" s="248" t="n"/>
      <c r="QDA95" s="248" t="n"/>
      <c r="QDB95" s="240" t="n"/>
      <c r="QDC95" s="240" t="n"/>
      <c r="QDE95" s="15" t="n"/>
      <c r="QDF95" s="15" t="n"/>
      <c r="QDG95" s="248" t="n"/>
      <c r="QDH95" s="248" t="n"/>
      <c r="QDI95" s="240" t="n"/>
      <c r="QDJ95" s="240" t="n"/>
      <c r="QDL95" s="15" t="n"/>
      <c r="QDM95" s="15" t="n"/>
      <c r="QDN95" s="248" t="n"/>
      <c r="QDO95" s="248" t="n"/>
      <c r="QDP95" s="240" t="n"/>
      <c r="QDQ95" s="240" t="n"/>
      <c r="QDS95" s="15" t="n"/>
      <c r="QDT95" s="15" t="n"/>
      <c r="QDU95" s="248" t="n"/>
      <c r="QDV95" s="248" t="n"/>
      <c r="QDW95" s="240" t="n"/>
      <c r="QDX95" s="240" t="n"/>
      <c r="QDZ95" s="15" t="n"/>
      <c r="QEA95" s="15" t="n"/>
      <c r="QEB95" s="248" t="n"/>
      <c r="QEC95" s="248" t="n"/>
      <c r="QED95" s="240" t="n"/>
      <c r="QEE95" s="240" t="n"/>
      <c r="QEG95" s="15" t="n"/>
      <c r="QEH95" s="15" t="n"/>
      <c r="QEI95" s="248" t="n"/>
      <c r="QEJ95" s="248" t="n"/>
      <c r="QEK95" s="240" t="n"/>
      <c r="QEL95" s="240" t="n"/>
      <c r="QEN95" s="15" t="n"/>
      <c r="QEO95" s="15" t="n"/>
      <c r="QEP95" s="248" t="n"/>
      <c r="QEQ95" s="248" t="n"/>
      <c r="QER95" s="240" t="n"/>
      <c r="QES95" s="240" t="n"/>
      <c r="QEU95" s="15" t="n"/>
      <c r="QEV95" s="15" t="n"/>
      <c r="QEW95" s="248" t="n"/>
      <c r="QEX95" s="248" t="n"/>
      <c r="QEY95" s="240" t="n"/>
      <c r="QEZ95" s="240" t="n"/>
      <c r="QFB95" s="15" t="n"/>
      <c r="QFC95" s="15" t="n"/>
      <c r="QFD95" s="248" t="n"/>
      <c r="QFE95" s="248" t="n"/>
      <c r="QFF95" s="240" t="n"/>
      <c r="QFG95" s="240" t="n"/>
      <c r="QFI95" s="15" t="n"/>
      <c r="QFJ95" s="15" t="n"/>
      <c r="QFK95" s="248" t="n"/>
      <c r="QFL95" s="248" t="n"/>
      <c r="QFM95" s="240" t="n"/>
      <c r="QFN95" s="240" t="n"/>
      <c r="QFP95" s="15" t="n"/>
      <c r="QFQ95" s="15" t="n"/>
      <c r="QFR95" s="248" t="n"/>
      <c r="QFS95" s="248" t="n"/>
      <c r="QFT95" s="240" t="n"/>
      <c r="QFU95" s="240" t="n"/>
      <c r="QFW95" s="15" t="n"/>
      <c r="QFX95" s="15" t="n"/>
      <c r="QFY95" s="248" t="n"/>
      <c r="QFZ95" s="248" t="n"/>
      <c r="QGA95" s="240" t="n"/>
      <c r="QGB95" s="240" t="n"/>
      <c r="QGD95" s="15" t="n"/>
      <c r="QGE95" s="15" t="n"/>
      <c r="QGF95" s="248" t="n"/>
      <c r="QGG95" s="248" t="n"/>
      <c r="QGH95" s="240" t="n"/>
      <c r="QGI95" s="240" t="n"/>
      <c r="QGK95" s="15" t="n"/>
      <c r="QGL95" s="15" t="n"/>
      <c r="QGM95" s="248" t="n"/>
      <c r="QGN95" s="248" t="n"/>
      <c r="QGO95" s="240" t="n"/>
      <c r="QGP95" s="240" t="n"/>
      <c r="QGR95" s="15" t="n"/>
      <c r="QGS95" s="15" t="n"/>
      <c r="QGT95" s="248" t="n"/>
      <c r="QGU95" s="248" t="n"/>
      <c r="QGV95" s="240" t="n"/>
      <c r="QGW95" s="240" t="n"/>
      <c r="QGY95" s="15" t="n"/>
      <c r="QGZ95" s="15" t="n"/>
      <c r="QHA95" s="248" t="n"/>
      <c r="QHB95" s="248" t="n"/>
      <c r="QHC95" s="240" t="n"/>
      <c r="QHD95" s="240" t="n"/>
      <c r="QHF95" s="15" t="n"/>
      <c r="QHG95" s="15" t="n"/>
      <c r="QHH95" s="248" t="n"/>
      <c r="QHI95" s="248" t="n"/>
      <c r="QHJ95" s="240" t="n"/>
      <c r="QHK95" s="240" t="n"/>
      <c r="QHM95" s="15" t="n"/>
      <c r="QHN95" s="15" t="n"/>
      <c r="QHO95" s="248" t="n"/>
      <c r="QHP95" s="248" t="n"/>
      <c r="QHQ95" s="240" t="n"/>
      <c r="QHR95" s="240" t="n"/>
      <c r="QHT95" s="15" t="n"/>
      <c r="QHU95" s="15" t="n"/>
      <c r="QHV95" s="248" t="n"/>
      <c r="QHW95" s="248" t="n"/>
      <c r="QHX95" s="240" t="n"/>
      <c r="QHY95" s="240" t="n"/>
      <c r="QIA95" s="15" t="n"/>
      <c r="QIB95" s="15" t="n"/>
      <c r="QIC95" s="248" t="n"/>
      <c r="QID95" s="248" t="n"/>
      <c r="QIE95" s="240" t="n"/>
      <c r="QIF95" s="240" t="n"/>
      <c r="QIH95" s="15" t="n"/>
      <c r="QII95" s="15" t="n"/>
      <c r="QIJ95" s="248" t="n"/>
      <c r="QIK95" s="248" t="n"/>
      <c r="QIL95" s="240" t="n"/>
      <c r="QIM95" s="240" t="n"/>
      <c r="QIO95" s="15" t="n"/>
      <c r="QIP95" s="15" t="n"/>
      <c r="QIQ95" s="248" t="n"/>
      <c r="QIR95" s="248" t="n"/>
      <c r="QIS95" s="240" t="n"/>
      <c r="QIT95" s="240" t="n"/>
      <c r="QIV95" s="15" t="n"/>
      <c r="QIW95" s="15" t="n"/>
      <c r="QIX95" s="248" t="n"/>
      <c r="QIY95" s="248" t="n"/>
      <c r="QIZ95" s="240" t="n"/>
      <c r="QJA95" s="240" t="n"/>
      <c r="QJC95" s="15" t="n"/>
      <c r="QJD95" s="15" t="n"/>
      <c r="QJE95" s="248" t="n"/>
      <c r="QJF95" s="248" t="n"/>
      <c r="QJG95" s="240" t="n"/>
      <c r="QJH95" s="240" t="n"/>
      <c r="QJJ95" s="15" t="n"/>
      <c r="QJK95" s="15" t="n"/>
      <c r="QJL95" s="248" t="n"/>
      <c r="QJM95" s="248" t="n"/>
      <c r="QJN95" s="240" t="n"/>
      <c r="QJO95" s="240" t="n"/>
      <c r="QJQ95" s="15" t="n"/>
      <c r="QJR95" s="15" t="n"/>
      <c r="QJS95" s="248" t="n"/>
      <c r="QJT95" s="248" t="n"/>
      <c r="QJU95" s="240" t="n"/>
      <c r="QJV95" s="240" t="n"/>
      <c r="QJX95" s="15" t="n"/>
      <c r="QJY95" s="15" t="n"/>
      <c r="QJZ95" s="248" t="n"/>
      <c r="QKA95" s="248" t="n"/>
      <c r="QKB95" s="240" t="n"/>
      <c r="QKC95" s="240" t="n"/>
      <c r="QKE95" s="15" t="n"/>
      <c r="QKF95" s="15" t="n"/>
      <c r="QKG95" s="248" t="n"/>
      <c r="QKH95" s="248" t="n"/>
      <c r="QKI95" s="240" t="n"/>
      <c r="QKJ95" s="240" t="n"/>
      <c r="QKL95" s="15" t="n"/>
      <c r="QKM95" s="15" t="n"/>
      <c r="QKN95" s="248" t="n"/>
      <c r="QKO95" s="248" t="n"/>
      <c r="QKP95" s="240" t="n"/>
      <c r="QKQ95" s="240" t="n"/>
      <c r="QKS95" s="15" t="n"/>
      <c r="QKT95" s="15" t="n"/>
      <c r="QKU95" s="248" t="n"/>
      <c r="QKV95" s="248" t="n"/>
      <c r="QKW95" s="240" t="n"/>
      <c r="QKX95" s="240" t="n"/>
      <c r="QKZ95" s="15" t="n"/>
      <c r="QLA95" s="15" t="n"/>
      <c r="QLB95" s="248" t="n"/>
      <c r="QLC95" s="248" t="n"/>
      <c r="QLD95" s="240" t="n"/>
      <c r="QLE95" s="240" t="n"/>
      <c r="QLG95" s="15" t="n"/>
      <c r="QLH95" s="15" t="n"/>
      <c r="QLI95" s="248" t="n"/>
      <c r="QLJ95" s="248" t="n"/>
      <c r="QLK95" s="240" t="n"/>
      <c r="QLL95" s="240" t="n"/>
      <c r="QLN95" s="15" t="n"/>
      <c r="QLO95" s="15" t="n"/>
      <c r="QLP95" s="248" t="n"/>
      <c r="QLQ95" s="248" t="n"/>
      <c r="QLR95" s="240" t="n"/>
      <c r="QLS95" s="240" t="n"/>
      <c r="QLU95" s="15" t="n"/>
      <c r="QLV95" s="15" t="n"/>
      <c r="QLW95" s="248" t="n"/>
      <c r="QLX95" s="248" t="n"/>
      <c r="QLY95" s="240" t="n"/>
      <c r="QLZ95" s="240" t="n"/>
      <c r="QMB95" s="15" t="n"/>
      <c r="QMC95" s="15" t="n"/>
      <c r="QMD95" s="248" t="n"/>
      <c r="QME95" s="248" t="n"/>
      <c r="QMF95" s="240" t="n"/>
      <c r="QMG95" s="240" t="n"/>
      <c r="QMI95" s="15" t="n"/>
      <c r="QMJ95" s="15" t="n"/>
      <c r="QMK95" s="248" t="n"/>
      <c r="QML95" s="248" t="n"/>
      <c r="QMM95" s="240" t="n"/>
      <c r="QMN95" s="240" t="n"/>
      <c r="QMP95" s="15" t="n"/>
      <c r="QMQ95" s="15" t="n"/>
      <c r="QMR95" s="248" t="n"/>
      <c r="QMS95" s="248" t="n"/>
      <c r="QMT95" s="240" t="n"/>
      <c r="QMU95" s="240" t="n"/>
      <c r="QMW95" s="15" t="n"/>
      <c r="QMX95" s="15" t="n"/>
      <c r="QMY95" s="248" t="n"/>
      <c r="QMZ95" s="248" t="n"/>
      <c r="QNA95" s="240" t="n"/>
      <c r="QNB95" s="240" t="n"/>
      <c r="QND95" s="15" t="n"/>
      <c r="QNE95" s="15" t="n"/>
      <c r="QNF95" s="248" t="n"/>
      <c r="QNG95" s="248" t="n"/>
      <c r="QNH95" s="240" t="n"/>
      <c r="QNI95" s="240" t="n"/>
      <c r="QNK95" s="15" t="n"/>
      <c r="QNL95" s="15" t="n"/>
      <c r="QNM95" s="248" t="n"/>
      <c r="QNN95" s="248" t="n"/>
      <c r="QNO95" s="240" t="n"/>
      <c r="QNP95" s="240" t="n"/>
      <c r="QNR95" s="15" t="n"/>
      <c r="QNS95" s="15" t="n"/>
      <c r="QNT95" s="248" t="n"/>
      <c r="QNU95" s="248" t="n"/>
      <c r="QNV95" s="240" t="n"/>
      <c r="QNW95" s="240" t="n"/>
      <c r="QNY95" s="15" t="n"/>
      <c r="QNZ95" s="15" t="n"/>
      <c r="QOA95" s="248" t="n"/>
      <c r="QOB95" s="248" t="n"/>
      <c r="QOC95" s="240" t="n"/>
      <c r="QOD95" s="240" t="n"/>
      <c r="QOF95" s="15" t="n"/>
      <c r="QOG95" s="15" t="n"/>
      <c r="QOH95" s="248" t="n"/>
      <c r="QOI95" s="248" t="n"/>
      <c r="QOJ95" s="240" t="n"/>
      <c r="QOK95" s="240" t="n"/>
      <c r="QOM95" s="15" t="n"/>
      <c r="QON95" s="15" t="n"/>
      <c r="QOO95" s="248" t="n"/>
      <c r="QOP95" s="248" t="n"/>
      <c r="QOQ95" s="240" t="n"/>
      <c r="QOR95" s="240" t="n"/>
      <c r="QOT95" s="15" t="n"/>
      <c r="QOU95" s="15" t="n"/>
      <c r="QOV95" s="248" t="n"/>
      <c r="QOW95" s="248" t="n"/>
      <c r="QOX95" s="240" t="n"/>
      <c r="QOY95" s="240" t="n"/>
      <c r="QPA95" s="15" t="n"/>
      <c r="QPB95" s="15" t="n"/>
      <c r="QPC95" s="248" t="n"/>
      <c r="QPD95" s="248" t="n"/>
      <c r="QPE95" s="240" t="n"/>
      <c r="QPF95" s="240" t="n"/>
      <c r="QPH95" s="15" t="n"/>
      <c r="QPI95" s="15" t="n"/>
      <c r="QPJ95" s="248" t="n"/>
      <c r="QPK95" s="248" t="n"/>
      <c r="QPL95" s="240" t="n"/>
      <c r="QPM95" s="240" t="n"/>
      <c r="QPO95" s="15" t="n"/>
      <c r="QPP95" s="15" t="n"/>
      <c r="QPQ95" s="248" t="n"/>
      <c r="QPR95" s="248" t="n"/>
      <c r="QPS95" s="240" t="n"/>
      <c r="QPT95" s="240" t="n"/>
      <c r="QPV95" s="15" t="n"/>
      <c r="QPW95" s="15" t="n"/>
      <c r="QPX95" s="248" t="n"/>
      <c r="QPY95" s="248" t="n"/>
      <c r="QPZ95" s="240" t="n"/>
      <c r="QQA95" s="240" t="n"/>
      <c r="QQC95" s="15" t="n"/>
      <c r="QQD95" s="15" t="n"/>
      <c r="QQE95" s="248" t="n"/>
      <c r="QQF95" s="248" t="n"/>
      <c r="QQG95" s="240" t="n"/>
      <c r="QQH95" s="240" t="n"/>
      <c r="QQJ95" s="15" t="n"/>
      <c r="QQK95" s="15" t="n"/>
      <c r="QQL95" s="248" t="n"/>
      <c r="QQM95" s="248" t="n"/>
      <c r="QQN95" s="240" t="n"/>
      <c r="QQO95" s="240" t="n"/>
      <c r="QQQ95" s="15" t="n"/>
      <c r="QQR95" s="15" t="n"/>
      <c r="QQS95" s="248" t="n"/>
      <c r="QQT95" s="248" t="n"/>
      <c r="QQU95" s="240" t="n"/>
      <c r="QQV95" s="240" t="n"/>
      <c r="QQX95" s="15" t="n"/>
      <c r="QQY95" s="15" t="n"/>
      <c r="QQZ95" s="248" t="n"/>
      <c r="QRA95" s="248" t="n"/>
      <c r="QRB95" s="240" t="n"/>
      <c r="QRC95" s="240" t="n"/>
      <c r="QRE95" s="15" t="n"/>
      <c r="QRF95" s="15" t="n"/>
      <c r="QRG95" s="248" t="n"/>
      <c r="QRH95" s="248" t="n"/>
      <c r="QRI95" s="240" t="n"/>
      <c r="QRJ95" s="240" t="n"/>
      <c r="QRL95" s="15" t="n"/>
      <c r="QRM95" s="15" t="n"/>
      <c r="QRN95" s="248" t="n"/>
      <c r="QRO95" s="248" t="n"/>
      <c r="QRP95" s="240" t="n"/>
      <c r="QRQ95" s="240" t="n"/>
      <c r="QRS95" s="15" t="n"/>
      <c r="QRT95" s="15" t="n"/>
      <c r="QRU95" s="248" t="n"/>
      <c r="QRV95" s="248" t="n"/>
      <c r="QRW95" s="240" t="n"/>
      <c r="QRX95" s="240" t="n"/>
      <c r="QRZ95" s="15" t="n"/>
      <c r="QSA95" s="15" t="n"/>
      <c r="QSB95" s="248" t="n"/>
      <c r="QSC95" s="248" t="n"/>
      <c r="QSD95" s="240" t="n"/>
      <c r="QSE95" s="240" t="n"/>
      <c r="QSG95" s="15" t="n"/>
      <c r="QSH95" s="15" t="n"/>
      <c r="QSI95" s="248" t="n"/>
      <c r="QSJ95" s="248" t="n"/>
      <c r="QSK95" s="240" t="n"/>
      <c r="QSL95" s="240" t="n"/>
      <c r="QSN95" s="15" t="n"/>
      <c r="QSO95" s="15" t="n"/>
      <c r="QSP95" s="248" t="n"/>
      <c r="QSQ95" s="248" t="n"/>
      <c r="QSR95" s="240" t="n"/>
      <c r="QSS95" s="240" t="n"/>
      <c r="QSU95" s="15" t="n"/>
      <c r="QSV95" s="15" t="n"/>
      <c r="QSW95" s="248" t="n"/>
      <c r="QSX95" s="248" t="n"/>
      <c r="QSY95" s="240" t="n"/>
      <c r="QSZ95" s="240" t="n"/>
      <c r="QTB95" s="15" t="n"/>
      <c r="QTC95" s="15" t="n"/>
      <c r="QTD95" s="248" t="n"/>
      <c r="QTE95" s="248" t="n"/>
      <c r="QTF95" s="240" t="n"/>
      <c r="QTG95" s="240" t="n"/>
      <c r="QTI95" s="15" t="n"/>
      <c r="QTJ95" s="15" t="n"/>
      <c r="QTK95" s="248" t="n"/>
      <c r="QTL95" s="248" t="n"/>
      <c r="QTM95" s="240" t="n"/>
      <c r="QTN95" s="240" t="n"/>
      <c r="QTP95" s="15" t="n"/>
      <c r="QTQ95" s="15" t="n"/>
      <c r="QTR95" s="248" t="n"/>
      <c r="QTS95" s="248" t="n"/>
      <c r="QTT95" s="240" t="n"/>
      <c r="QTU95" s="240" t="n"/>
      <c r="QTW95" s="15" t="n"/>
      <c r="QTX95" s="15" t="n"/>
      <c r="QTY95" s="248" t="n"/>
      <c r="QTZ95" s="248" t="n"/>
      <c r="QUA95" s="240" t="n"/>
      <c r="QUB95" s="240" t="n"/>
      <c r="QUD95" s="15" t="n"/>
      <c r="QUE95" s="15" t="n"/>
      <c r="QUF95" s="248" t="n"/>
      <c r="QUG95" s="248" t="n"/>
      <c r="QUH95" s="240" t="n"/>
      <c r="QUI95" s="240" t="n"/>
      <c r="QUK95" s="15" t="n"/>
      <c r="QUL95" s="15" t="n"/>
      <c r="QUM95" s="248" t="n"/>
      <c r="QUN95" s="248" t="n"/>
      <c r="QUO95" s="240" t="n"/>
      <c r="QUP95" s="240" t="n"/>
      <c r="QUR95" s="15" t="n"/>
      <c r="QUS95" s="15" t="n"/>
      <c r="QUT95" s="248" t="n"/>
      <c r="QUU95" s="248" t="n"/>
      <c r="QUV95" s="240" t="n"/>
      <c r="QUW95" s="240" t="n"/>
      <c r="QUY95" s="15" t="n"/>
      <c r="QUZ95" s="15" t="n"/>
      <c r="QVA95" s="248" t="n"/>
      <c r="QVB95" s="248" t="n"/>
      <c r="QVC95" s="240" t="n"/>
      <c r="QVD95" s="240" t="n"/>
      <c r="QVF95" s="15" t="n"/>
      <c r="QVG95" s="15" t="n"/>
      <c r="QVH95" s="248" t="n"/>
      <c r="QVI95" s="248" t="n"/>
      <c r="QVJ95" s="240" t="n"/>
      <c r="QVK95" s="240" t="n"/>
      <c r="QVM95" s="15" t="n"/>
      <c r="QVN95" s="15" t="n"/>
      <c r="QVO95" s="248" t="n"/>
      <c r="QVP95" s="248" t="n"/>
      <c r="QVQ95" s="240" t="n"/>
      <c r="QVR95" s="240" t="n"/>
      <c r="QVT95" s="15" t="n"/>
      <c r="QVU95" s="15" t="n"/>
      <c r="QVV95" s="248" t="n"/>
      <c r="QVW95" s="248" t="n"/>
      <c r="QVX95" s="240" t="n"/>
      <c r="QVY95" s="240" t="n"/>
      <c r="QWA95" s="15" t="n"/>
      <c r="QWB95" s="15" t="n"/>
      <c r="QWC95" s="248" t="n"/>
      <c r="QWD95" s="248" t="n"/>
      <c r="QWE95" s="240" t="n"/>
      <c r="QWF95" s="240" t="n"/>
      <c r="QWH95" s="15" t="n"/>
      <c r="QWI95" s="15" t="n"/>
      <c r="QWJ95" s="248" t="n"/>
      <c r="QWK95" s="248" t="n"/>
      <c r="QWL95" s="240" t="n"/>
      <c r="QWM95" s="240" t="n"/>
      <c r="QWO95" s="15" t="n"/>
      <c r="QWP95" s="15" t="n"/>
      <c r="QWQ95" s="248" t="n"/>
      <c r="QWR95" s="248" t="n"/>
      <c r="QWS95" s="240" t="n"/>
      <c r="QWT95" s="240" t="n"/>
      <c r="QWV95" s="15" t="n"/>
      <c r="QWW95" s="15" t="n"/>
      <c r="QWX95" s="248" t="n"/>
      <c r="QWY95" s="248" t="n"/>
      <c r="QWZ95" s="240" t="n"/>
      <c r="QXA95" s="240" t="n"/>
      <c r="QXC95" s="15" t="n"/>
      <c r="QXD95" s="15" t="n"/>
      <c r="QXE95" s="248" t="n"/>
      <c r="QXF95" s="248" t="n"/>
      <c r="QXG95" s="240" t="n"/>
      <c r="QXH95" s="240" t="n"/>
      <c r="QXJ95" s="15" t="n"/>
      <c r="QXK95" s="15" t="n"/>
      <c r="QXL95" s="248" t="n"/>
      <c r="QXM95" s="248" t="n"/>
      <c r="QXN95" s="240" t="n"/>
      <c r="QXO95" s="240" t="n"/>
      <c r="QXQ95" s="15" t="n"/>
      <c r="QXR95" s="15" t="n"/>
      <c r="QXS95" s="248" t="n"/>
      <c r="QXT95" s="248" t="n"/>
      <c r="QXU95" s="240" t="n"/>
      <c r="QXV95" s="240" t="n"/>
      <c r="QXX95" s="15" t="n"/>
      <c r="QXY95" s="15" t="n"/>
      <c r="QXZ95" s="248" t="n"/>
      <c r="QYA95" s="248" t="n"/>
      <c r="QYB95" s="240" t="n"/>
      <c r="QYC95" s="240" t="n"/>
      <c r="QYE95" s="15" t="n"/>
      <c r="QYF95" s="15" t="n"/>
      <c r="QYG95" s="248" t="n"/>
      <c r="QYH95" s="248" t="n"/>
      <c r="QYI95" s="240" t="n"/>
      <c r="QYJ95" s="240" t="n"/>
      <c r="QYL95" s="15" t="n"/>
      <c r="QYM95" s="15" t="n"/>
      <c r="QYN95" s="248" t="n"/>
      <c r="QYO95" s="248" t="n"/>
      <c r="QYP95" s="240" t="n"/>
      <c r="QYQ95" s="240" t="n"/>
      <c r="QYS95" s="15" t="n"/>
      <c r="QYT95" s="15" t="n"/>
      <c r="QYU95" s="248" t="n"/>
      <c r="QYV95" s="248" t="n"/>
      <c r="QYW95" s="240" t="n"/>
      <c r="QYX95" s="240" t="n"/>
      <c r="QYZ95" s="15" t="n"/>
      <c r="QZA95" s="15" t="n"/>
      <c r="QZB95" s="248" t="n"/>
      <c r="QZC95" s="248" t="n"/>
      <c r="QZD95" s="240" t="n"/>
      <c r="QZE95" s="240" t="n"/>
      <c r="QZG95" s="15" t="n"/>
      <c r="QZH95" s="15" t="n"/>
      <c r="QZI95" s="248" t="n"/>
      <c r="QZJ95" s="248" t="n"/>
      <c r="QZK95" s="240" t="n"/>
      <c r="QZL95" s="240" t="n"/>
      <c r="QZN95" s="15" t="n"/>
      <c r="QZO95" s="15" t="n"/>
      <c r="QZP95" s="248" t="n"/>
      <c r="QZQ95" s="248" t="n"/>
      <c r="QZR95" s="240" t="n"/>
      <c r="QZS95" s="240" t="n"/>
      <c r="QZU95" s="15" t="n"/>
      <c r="QZV95" s="15" t="n"/>
      <c r="QZW95" s="248" t="n"/>
      <c r="QZX95" s="248" t="n"/>
      <c r="QZY95" s="240" t="n"/>
      <c r="QZZ95" s="240" t="n"/>
      <c r="RAB95" s="15" t="n"/>
      <c r="RAC95" s="15" t="n"/>
      <c r="RAD95" s="248" t="n"/>
      <c r="RAE95" s="248" t="n"/>
      <c r="RAF95" s="240" t="n"/>
      <c r="RAG95" s="240" t="n"/>
      <c r="RAI95" s="15" t="n"/>
      <c r="RAJ95" s="15" t="n"/>
      <c r="RAK95" s="248" t="n"/>
      <c r="RAL95" s="248" t="n"/>
      <c r="RAM95" s="240" t="n"/>
      <c r="RAN95" s="240" t="n"/>
      <c r="RAP95" s="15" t="n"/>
      <c r="RAQ95" s="15" t="n"/>
      <c r="RAR95" s="248" t="n"/>
      <c r="RAS95" s="248" t="n"/>
      <c r="RAT95" s="240" t="n"/>
      <c r="RAU95" s="240" t="n"/>
      <c r="RAW95" s="15" t="n"/>
      <c r="RAX95" s="15" t="n"/>
      <c r="RAY95" s="248" t="n"/>
      <c r="RAZ95" s="248" t="n"/>
      <c r="RBA95" s="240" t="n"/>
      <c r="RBB95" s="240" t="n"/>
      <c r="RBD95" s="15" t="n"/>
      <c r="RBE95" s="15" t="n"/>
      <c r="RBF95" s="248" t="n"/>
      <c r="RBG95" s="248" t="n"/>
      <c r="RBH95" s="240" t="n"/>
      <c r="RBI95" s="240" t="n"/>
      <c r="RBK95" s="15" t="n"/>
      <c r="RBL95" s="15" t="n"/>
      <c r="RBM95" s="248" t="n"/>
      <c r="RBN95" s="248" t="n"/>
      <c r="RBO95" s="240" t="n"/>
      <c r="RBP95" s="240" t="n"/>
      <c r="RBR95" s="15" t="n"/>
      <c r="RBS95" s="15" t="n"/>
      <c r="RBT95" s="248" t="n"/>
      <c r="RBU95" s="248" t="n"/>
      <c r="RBV95" s="240" t="n"/>
      <c r="RBW95" s="240" t="n"/>
      <c r="RBY95" s="15" t="n"/>
      <c r="RBZ95" s="15" t="n"/>
      <c r="RCA95" s="248" t="n"/>
      <c r="RCB95" s="248" t="n"/>
      <c r="RCC95" s="240" t="n"/>
      <c r="RCD95" s="240" t="n"/>
      <c r="RCF95" s="15" t="n"/>
      <c r="RCG95" s="15" t="n"/>
      <c r="RCH95" s="248" t="n"/>
      <c r="RCI95" s="248" t="n"/>
      <c r="RCJ95" s="240" t="n"/>
      <c r="RCK95" s="240" t="n"/>
      <c r="RCM95" s="15" t="n"/>
      <c r="RCN95" s="15" t="n"/>
      <c r="RCO95" s="248" t="n"/>
      <c r="RCP95" s="248" t="n"/>
      <c r="RCQ95" s="240" t="n"/>
      <c r="RCR95" s="240" t="n"/>
      <c r="RCT95" s="15" t="n"/>
      <c r="RCU95" s="15" t="n"/>
      <c r="RCV95" s="248" t="n"/>
      <c r="RCW95" s="248" t="n"/>
      <c r="RCX95" s="240" t="n"/>
      <c r="RCY95" s="240" t="n"/>
      <c r="RDA95" s="15" t="n"/>
      <c r="RDB95" s="15" t="n"/>
      <c r="RDC95" s="248" t="n"/>
      <c r="RDD95" s="248" t="n"/>
      <c r="RDE95" s="240" t="n"/>
      <c r="RDF95" s="240" t="n"/>
      <c r="RDH95" s="15" t="n"/>
      <c r="RDI95" s="15" t="n"/>
      <c r="RDJ95" s="248" t="n"/>
      <c r="RDK95" s="248" t="n"/>
      <c r="RDL95" s="240" t="n"/>
      <c r="RDM95" s="240" t="n"/>
      <c r="RDO95" s="15" t="n"/>
      <c r="RDP95" s="15" t="n"/>
      <c r="RDQ95" s="248" t="n"/>
      <c r="RDR95" s="248" t="n"/>
      <c r="RDS95" s="240" t="n"/>
      <c r="RDT95" s="240" t="n"/>
      <c r="RDV95" s="15" t="n"/>
      <c r="RDW95" s="15" t="n"/>
      <c r="RDX95" s="248" t="n"/>
      <c r="RDY95" s="248" t="n"/>
      <c r="RDZ95" s="240" t="n"/>
      <c r="REA95" s="240" t="n"/>
      <c r="REC95" s="15" t="n"/>
      <c r="RED95" s="15" t="n"/>
      <c r="REE95" s="248" t="n"/>
      <c r="REF95" s="248" t="n"/>
      <c r="REG95" s="240" t="n"/>
      <c r="REH95" s="240" t="n"/>
      <c r="REJ95" s="15" t="n"/>
      <c r="REK95" s="15" t="n"/>
      <c r="REL95" s="248" t="n"/>
      <c r="REM95" s="248" t="n"/>
      <c r="REN95" s="240" t="n"/>
      <c r="REO95" s="240" t="n"/>
      <c r="REQ95" s="15" t="n"/>
      <c r="RER95" s="15" t="n"/>
      <c r="RES95" s="248" t="n"/>
      <c r="RET95" s="248" t="n"/>
      <c r="REU95" s="240" t="n"/>
      <c r="REV95" s="240" t="n"/>
      <c r="REX95" s="15" t="n"/>
      <c r="REY95" s="15" t="n"/>
      <c r="REZ95" s="248" t="n"/>
      <c r="RFA95" s="248" t="n"/>
      <c r="RFB95" s="240" t="n"/>
      <c r="RFC95" s="240" t="n"/>
      <c r="RFE95" s="15" t="n"/>
      <c r="RFF95" s="15" t="n"/>
      <c r="RFG95" s="248" t="n"/>
      <c r="RFH95" s="248" t="n"/>
      <c r="RFI95" s="240" t="n"/>
      <c r="RFJ95" s="240" t="n"/>
      <c r="RFL95" s="15" t="n"/>
      <c r="RFM95" s="15" t="n"/>
      <c r="RFN95" s="248" t="n"/>
      <c r="RFO95" s="248" t="n"/>
      <c r="RFP95" s="240" t="n"/>
      <c r="RFQ95" s="240" t="n"/>
      <c r="RFS95" s="15" t="n"/>
      <c r="RFT95" s="15" t="n"/>
      <c r="RFU95" s="248" t="n"/>
      <c r="RFV95" s="248" t="n"/>
      <c r="RFW95" s="240" t="n"/>
      <c r="RFX95" s="240" t="n"/>
      <c r="RFZ95" s="15" t="n"/>
      <c r="RGA95" s="15" t="n"/>
      <c r="RGB95" s="248" t="n"/>
      <c r="RGC95" s="248" t="n"/>
      <c r="RGD95" s="240" t="n"/>
      <c r="RGE95" s="240" t="n"/>
      <c r="RGG95" s="15" t="n"/>
      <c r="RGH95" s="15" t="n"/>
      <c r="RGI95" s="248" t="n"/>
      <c r="RGJ95" s="248" t="n"/>
      <c r="RGK95" s="240" t="n"/>
      <c r="RGL95" s="240" t="n"/>
      <c r="RGN95" s="15" t="n"/>
      <c r="RGO95" s="15" t="n"/>
      <c r="RGP95" s="248" t="n"/>
      <c r="RGQ95" s="248" t="n"/>
      <c r="RGR95" s="240" t="n"/>
      <c r="RGS95" s="240" t="n"/>
      <c r="RGU95" s="15" t="n"/>
      <c r="RGV95" s="15" t="n"/>
      <c r="RGW95" s="248" t="n"/>
      <c r="RGX95" s="248" t="n"/>
      <c r="RGY95" s="240" t="n"/>
      <c r="RGZ95" s="240" t="n"/>
      <c r="RHB95" s="15" t="n"/>
      <c r="RHC95" s="15" t="n"/>
      <c r="RHD95" s="248" t="n"/>
      <c r="RHE95" s="248" t="n"/>
      <c r="RHF95" s="240" t="n"/>
      <c r="RHG95" s="240" t="n"/>
      <c r="RHI95" s="15" t="n"/>
      <c r="RHJ95" s="15" t="n"/>
      <c r="RHK95" s="248" t="n"/>
      <c r="RHL95" s="248" t="n"/>
      <c r="RHM95" s="240" t="n"/>
      <c r="RHN95" s="240" t="n"/>
      <c r="RHP95" s="15" t="n"/>
      <c r="RHQ95" s="15" t="n"/>
      <c r="RHR95" s="248" t="n"/>
      <c r="RHS95" s="248" t="n"/>
      <c r="RHT95" s="240" t="n"/>
      <c r="RHU95" s="240" t="n"/>
      <c r="RHW95" s="15" t="n"/>
      <c r="RHX95" s="15" t="n"/>
      <c r="RHY95" s="248" t="n"/>
      <c r="RHZ95" s="248" t="n"/>
      <c r="RIA95" s="240" t="n"/>
      <c r="RIB95" s="240" t="n"/>
      <c r="RID95" s="15" t="n"/>
      <c r="RIE95" s="15" t="n"/>
      <c r="RIF95" s="248" t="n"/>
      <c r="RIG95" s="248" t="n"/>
      <c r="RIH95" s="240" t="n"/>
      <c r="RII95" s="240" t="n"/>
      <c r="RIK95" s="15" t="n"/>
      <c r="RIL95" s="15" t="n"/>
      <c r="RIM95" s="248" t="n"/>
      <c r="RIN95" s="248" t="n"/>
      <c r="RIO95" s="240" t="n"/>
      <c r="RIP95" s="240" t="n"/>
      <c r="RIR95" s="15" t="n"/>
      <c r="RIS95" s="15" t="n"/>
      <c r="RIT95" s="248" t="n"/>
      <c r="RIU95" s="248" t="n"/>
      <c r="RIV95" s="240" t="n"/>
      <c r="RIW95" s="240" t="n"/>
      <c r="RIY95" s="15" t="n"/>
      <c r="RIZ95" s="15" t="n"/>
      <c r="RJA95" s="248" t="n"/>
      <c r="RJB95" s="248" t="n"/>
      <c r="RJC95" s="240" t="n"/>
      <c r="RJD95" s="240" t="n"/>
      <c r="RJF95" s="15" t="n"/>
      <c r="RJG95" s="15" t="n"/>
      <c r="RJH95" s="248" t="n"/>
      <c r="RJI95" s="248" t="n"/>
      <c r="RJJ95" s="240" t="n"/>
      <c r="RJK95" s="240" t="n"/>
      <c r="RJM95" s="15" t="n"/>
      <c r="RJN95" s="15" t="n"/>
      <c r="RJO95" s="248" t="n"/>
      <c r="RJP95" s="248" t="n"/>
      <c r="RJQ95" s="240" t="n"/>
      <c r="RJR95" s="240" t="n"/>
      <c r="RJT95" s="15" t="n"/>
      <c r="RJU95" s="15" t="n"/>
      <c r="RJV95" s="248" t="n"/>
      <c r="RJW95" s="248" t="n"/>
      <c r="RJX95" s="240" t="n"/>
      <c r="RJY95" s="240" t="n"/>
      <c r="RKA95" s="15" t="n"/>
      <c r="RKB95" s="15" t="n"/>
      <c r="RKC95" s="248" t="n"/>
      <c r="RKD95" s="248" t="n"/>
      <c r="RKE95" s="240" t="n"/>
      <c r="RKF95" s="240" t="n"/>
      <c r="RKH95" s="15" t="n"/>
      <c r="RKI95" s="15" t="n"/>
      <c r="RKJ95" s="248" t="n"/>
      <c r="RKK95" s="248" t="n"/>
      <c r="RKL95" s="240" t="n"/>
      <c r="RKM95" s="240" t="n"/>
      <c r="RKO95" s="15" t="n"/>
      <c r="RKP95" s="15" t="n"/>
      <c r="RKQ95" s="248" t="n"/>
      <c r="RKR95" s="248" t="n"/>
      <c r="RKS95" s="240" t="n"/>
      <c r="RKT95" s="240" t="n"/>
      <c r="RKV95" s="15" t="n"/>
      <c r="RKW95" s="15" t="n"/>
      <c r="RKX95" s="248" t="n"/>
      <c r="RKY95" s="248" t="n"/>
      <c r="RKZ95" s="240" t="n"/>
      <c r="RLA95" s="240" t="n"/>
      <c r="RLC95" s="15" t="n"/>
      <c r="RLD95" s="15" t="n"/>
      <c r="RLE95" s="248" t="n"/>
      <c r="RLF95" s="248" t="n"/>
      <c r="RLG95" s="240" t="n"/>
      <c r="RLH95" s="240" t="n"/>
      <c r="RLJ95" s="15" t="n"/>
      <c r="RLK95" s="15" t="n"/>
      <c r="RLL95" s="248" t="n"/>
      <c r="RLM95" s="248" t="n"/>
      <c r="RLN95" s="240" t="n"/>
      <c r="RLO95" s="240" t="n"/>
      <c r="RLQ95" s="15" t="n"/>
      <c r="RLR95" s="15" t="n"/>
      <c r="RLS95" s="248" t="n"/>
      <c r="RLT95" s="248" t="n"/>
      <c r="RLU95" s="240" t="n"/>
      <c r="RLV95" s="240" t="n"/>
      <c r="RLX95" s="15" t="n"/>
      <c r="RLY95" s="15" t="n"/>
      <c r="RLZ95" s="248" t="n"/>
      <c r="RMA95" s="248" t="n"/>
      <c r="RMB95" s="240" t="n"/>
      <c r="RMC95" s="240" t="n"/>
      <c r="RME95" s="15" t="n"/>
      <c r="RMF95" s="15" t="n"/>
      <c r="RMG95" s="248" t="n"/>
      <c r="RMH95" s="248" t="n"/>
      <c r="RMI95" s="240" t="n"/>
      <c r="RMJ95" s="240" t="n"/>
      <c r="RML95" s="15" t="n"/>
      <c r="RMM95" s="15" t="n"/>
      <c r="RMN95" s="248" t="n"/>
      <c r="RMO95" s="248" t="n"/>
      <c r="RMP95" s="240" t="n"/>
      <c r="RMQ95" s="240" t="n"/>
      <c r="RMS95" s="15" t="n"/>
      <c r="RMT95" s="15" t="n"/>
      <c r="RMU95" s="248" t="n"/>
      <c r="RMV95" s="248" t="n"/>
      <c r="RMW95" s="240" t="n"/>
      <c r="RMX95" s="240" t="n"/>
      <c r="RMZ95" s="15" t="n"/>
      <c r="RNA95" s="15" t="n"/>
      <c r="RNB95" s="248" t="n"/>
      <c r="RNC95" s="248" t="n"/>
      <c r="RND95" s="240" t="n"/>
      <c r="RNE95" s="240" t="n"/>
      <c r="RNG95" s="15" t="n"/>
      <c r="RNH95" s="15" t="n"/>
      <c r="RNI95" s="248" t="n"/>
      <c r="RNJ95" s="248" t="n"/>
      <c r="RNK95" s="240" t="n"/>
      <c r="RNL95" s="240" t="n"/>
      <c r="RNN95" s="15" t="n"/>
      <c r="RNO95" s="15" t="n"/>
      <c r="RNP95" s="248" t="n"/>
      <c r="RNQ95" s="248" t="n"/>
      <c r="RNR95" s="240" t="n"/>
      <c r="RNS95" s="240" t="n"/>
      <c r="RNU95" s="15" t="n"/>
      <c r="RNV95" s="15" t="n"/>
      <c r="RNW95" s="248" t="n"/>
      <c r="RNX95" s="248" t="n"/>
      <c r="RNY95" s="240" t="n"/>
      <c r="RNZ95" s="240" t="n"/>
      <c r="ROB95" s="15" t="n"/>
      <c r="ROC95" s="15" t="n"/>
      <c r="ROD95" s="248" t="n"/>
      <c r="ROE95" s="248" t="n"/>
      <c r="ROF95" s="240" t="n"/>
      <c r="ROG95" s="240" t="n"/>
      <c r="ROI95" s="15" t="n"/>
      <c r="ROJ95" s="15" t="n"/>
      <c r="ROK95" s="248" t="n"/>
      <c r="ROL95" s="248" t="n"/>
      <c r="ROM95" s="240" t="n"/>
      <c r="RON95" s="240" t="n"/>
      <c r="ROP95" s="15" t="n"/>
      <c r="ROQ95" s="15" t="n"/>
      <c r="ROR95" s="248" t="n"/>
      <c r="ROS95" s="248" t="n"/>
      <c r="ROT95" s="240" t="n"/>
      <c r="ROU95" s="240" t="n"/>
      <c r="ROW95" s="15" t="n"/>
      <c r="ROX95" s="15" t="n"/>
      <c r="ROY95" s="248" t="n"/>
      <c r="ROZ95" s="248" t="n"/>
      <c r="RPA95" s="240" t="n"/>
      <c r="RPB95" s="240" t="n"/>
      <c r="RPD95" s="15" t="n"/>
      <c r="RPE95" s="15" t="n"/>
      <c r="RPF95" s="248" t="n"/>
      <c r="RPG95" s="248" t="n"/>
      <c r="RPH95" s="240" t="n"/>
      <c r="RPI95" s="240" t="n"/>
      <c r="RPK95" s="15" t="n"/>
      <c r="RPL95" s="15" t="n"/>
      <c r="RPM95" s="248" t="n"/>
      <c r="RPN95" s="248" t="n"/>
      <c r="RPO95" s="240" t="n"/>
      <c r="RPP95" s="240" t="n"/>
      <c r="RPR95" s="15" t="n"/>
      <c r="RPS95" s="15" t="n"/>
      <c r="RPT95" s="248" t="n"/>
      <c r="RPU95" s="248" t="n"/>
      <c r="RPV95" s="240" t="n"/>
      <c r="RPW95" s="240" t="n"/>
      <c r="RPY95" s="15" t="n"/>
      <c r="RPZ95" s="15" t="n"/>
      <c r="RQA95" s="248" t="n"/>
      <c r="RQB95" s="248" t="n"/>
      <c r="RQC95" s="240" t="n"/>
      <c r="RQD95" s="240" t="n"/>
      <c r="RQF95" s="15" t="n"/>
      <c r="RQG95" s="15" t="n"/>
      <c r="RQH95" s="248" t="n"/>
      <c r="RQI95" s="248" t="n"/>
      <c r="RQJ95" s="240" t="n"/>
      <c r="RQK95" s="240" t="n"/>
      <c r="RQM95" s="15" t="n"/>
      <c r="RQN95" s="15" t="n"/>
      <c r="RQO95" s="248" t="n"/>
      <c r="RQP95" s="248" t="n"/>
      <c r="RQQ95" s="240" t="n"/>
      <c r="RQR95" s="240" t="n"/>
      <c r="RQT95" s="15" t="n"/>
      <c r="RQU95" s="15" t="n"/>
      <c r="RQV95" s="248" t="n"/>
      <c r="RQW95" s="248" t="n"/>
      <c r="RQX95" s="240" t="n"/>
      <c r="RQY95" s="240" t="n"/>
      <c r="RRA95" s="15" t="n"/>
      <c r="RRB95" s="15" t="n"/>
      <c r="RRC95" s="248" t="n"/>
      <c r="RRD95" s="248" t="n"/>
      <c r="RRE95" s="240" t="n"/>
      <c r="RRF95" s="240" t="n"/>
      <c r="RRH95" s="15" t="n"/>
      <c r="RRI95" s="15" t="n"/>
      <c r="RRJ95" s="248" t="n"/>
      <c r="RRK95" s="248" t="n"/>
      <c r="RRL95" s="240" t="n"/>
      <c r="RRM95" s="240" t="n"/>
      <c r="RRO95" s="15" t="n"/>
      <c r="RRP95" s="15" t="n"/>
      <c r="RRQ95" s="248" t="n"/>
      <c r="RRR95" s="248" t="n"/>
      <c r="RRS95" s="240" t="n"/>
      <c r="RRT95" s="240" t="n"/>
      <c r="RRV95" s="15" t="n"/>
      <c r="RRW95" s="15" t="n"/>
      <c r="RRX95" s="248" t="n"/>
      <c r="RRY95" s="248" t="n"/>
      <c r="RRZ95" s="240" t="n"/>
      <c r="RSA95" s="240" t="n"/>
      <c r="RSC95" s="15" t="n"/>
      <c r="RSD95" s="15" t="n"/>
      <c r="RSE95" s="248" t="n"/>
      <c r="RSF95" s="248" t="n"/>
      <c r="RSG95" s="240" t="n"/>
      <c r="RSH95" s="240" t="n"/>
      <c r="RSJ95" s="15" t="n"/>
      <c r="RSK95" s="15" t="n"/>
      <c r="RSL95" s="248" t="n"/>
      <c r="RSM95" s="248" t="n"/>
      <c r="RSN95" s="240" t="n"/>
      <c r="RSO95" s="240" t="n"/>
      <c r="RSQ95" s="15" t="n"/>
      <c r="RSR95" s="15" t="n"/>
      <c r="RSS95" s="248" t="n"/>
      <c r="RST95" s="248" t="n"/>
      <c r="RSU95" s="240" t="n"/>
      <c r="RSV95" s="240" t="n"/>
      <c r="RSX95" s="15" t="n"/>
      <c r="RSY95" s="15" t="n"/>
      <c r="RSZ95" s="248" t="n"/>
      <c r="RTA95" s="248" t="n"/>
      <c r="RTB95" s="240" t="n"/>
      <c r="RTC95" s="240" t="n"/>
      <c r="RTE95" s="15" t="n"/>
      <c r="RTF95" s="15" t="n"/>
      <c r="RTG95" s="248" t="n"/>
      <c r="RTH95" s="248" t="n"/>
      <c r="RTI95" s="240" t="n"/>
      <c r="RTJ95" s="240" t="n"/>
      <c r="RTL95" s="15" t="n"/>
      <c r="RTM95" s="15" t="n"/>
      <c r="RTN95" s="248" t="n"/>
      <c r="RTO95" s="248" t="n"/>
      <c r="RTP95" s="240" t="n"/>
      <c r="RTQ95" s="240" t="n"/>
      <c r="RTS95" s="15" t="n"/>
      <c r="RTT95" s="15" t="n"/>
      <c r="RTU95" s="248" t="n"/>
      <c r="RTV95" s="248" t="n"/>
      <c r="RTW95" s="240" t="n"/>
      <c r="RTX95" s="240" t="n"/>
      <c r="RTZ95" s="15" t="n"/>
      <c r="RUA95" s="15" t="n"/>
      <c r="RUB95" s="248" t="n"/>
      <c r="RUC95" s="248" t="n"/>
      <c r="RUD95" s="240" t="n"/>
      <c r="RUE95" s="240" t="n"/>
      <c r="RUG95" s="15" t="n"/>
      <c r="RUH95" s="15" t="n"/>
      <c r="RUI95" s="248" t="n"/>
      <c r="RUJ95" s="248" t="n"/>
      <c r="RUK95" s="240" t="n"/>
      <c r="RUL95" s="240" t="n"/>
      <c r="RUN95" s="15" t="n"/>
      <c r="RUO95" s="15" t="n"/>
      <c r="RUP95" s="248" t="n"/>
      <c r="RUQ95" s="248" t="n"/>
      <c r="RUR95" s="240" t="n"/>
      <c r="RUS95" s="240" t="n"/>
      <c r="RUU95" s="15" t="n"/>
      <c r="RUV95" s="15" t="n"/>
      <c r="RUW95" s="248" t="n"/>
      <c r="RUX95" s="248" t="n"/>
      <c r="RUY95" s="240" t="n"/>
      <c r="RUZ95" s="240" t="n"/>
      <c r="RVB95" s="15" t="n"/>
      <c r="RVC95" s="15" t="n"/>
      <c r="RVD95" s="248" t="n"/>
      <c r="RVE95" s="248" t="n"/>
      <c r="RVF95" s="240" t="n"/>
      <c r="RVG95" s="240" t="n"/>
      <c r="RVI95" s="15" t="n"/>
      <c r="RVJ95" s="15" t="n"/>
      <c r="RVK95" s="248" t="n"/>
      <c r="RVL95" s="248" t="n"/>
      <c r="RVM95" s="240" t="n"/>
      <c r="RVN95" s="240" t="n"/>
      <c r="RVP95" s="15" t="n"/>
      <c r="RVQ95" s="15" t="n"/>
      <c r="RVR95" s="248" t="n"/>
      <c r="RVS95" s="248" t="n"/>
      <c r="RVT95" s="240" t="n"/>
      <c r="RVU95" s="240" t="n"/>
      <c r="RVW95" s="15" t="n"/>
      <c r="RVX95" s="15" t="n"/>
      <c r="RVY95" s="248" t="n"/>
      <c r="RVZ95" s="248" t="n"/>
      <c r="RWA95" s="240" t="n"/>
      <c r="RWB95" s="240" t="n"/>
      <c r="RWD95" s="15" t="n"/>
      <c r="RWE95" s="15" t="n"/>
      <c r="RWF95" s="248" t="n"/>
      <c r="RWG95" s="248" t="n"/>
      <c r="RWH95" s="240" t="n"/>
      <c r="RWI95" s="240" t="n"/>
      <c r="RWK95" s="15" t="n"/>
      <c r="RWL95" s="15" t="n"/>
      <c r="RWM95" s="248" t="n"/>
      <c r="RWN95" s="248" t="n"/>
      <c r="RWO95" s="240" t="n"/>
      <c r="RWP95" s="240" t="n"/>
      <c r="RWR95" s="15" t="n"/>
      <c r="RWS95" s="15" t="n"/>
      <c r="RWT95" s="248" t="n"/>
      <c r="RWU95" s="248" t="n"/>
      <c r="RWV95" s="240" t="n"/>
      <c r="RWW95" s="240" t="n"/>
      <c r="RWY95" s="15" t="n"/>
      <c r="RWZ95" s="15" t="n"/>
      <c r="RXA95" s="248" t="n"/>
      <c r="RXB95" s="248" t="n"/>
      <c r="RXC95" s="240" t="n"/>
      <c r="RXD95" s="240" t="n"/>
      <c r="RXF95" s="15" t="n"/>
      <c r="RXG95" s="15" t="n"/>
      <c r="RXH95" s="248" t="n"/>
      <c r="RXI95" s="248" t="n"/>
      <c r="RXJ95" s="240" t="n"/>
      <c r="RXK95" s="240" t="n"/>
      <c r="RXM95" s="15" t="n"/>
      <c r="RXN95" s="15" t="n"/>
      <c r="RXO95" s="248" t="n"/>
      <c r="RXP95" s="248" t="n"/>
      <c r="RXQ95" s="240" t="n"/>
      <c r="RXR95" s="240" t="n"/>
      <c r="RXT95" s="15" t="n"/>
      <c r="RXU95" s="15" t="n"/>
      <c r="RXV95" s="248" t="n"/>
      <c r="RXW95" s="248" t="n"/>
      <c r="RXX95" s="240" t="n"/>
      <c r="RXY95" s="240" t="n"/>
      <c r="RYA95" s="15" t="n"/>
      <c r="RYB95" s="15" t="n"/>
      <c r="RYC95" s="248" t="n"/>
      <c r="RYD95" s="248" t="n"/>
      <c r="RYE95" s="240" t="n"/>
      <c r="RYF95" s="240" t="n"/>
      <c r="RYH95" s="15" t="n"/>
      <c r="RYI95" s="15" t="n"/>
      <c r="RYJ95" s="248" t="n"/>
      <c r="RYK95" s="248" t="n"/>
      <c r="RYL95" s="240" t="n"/>
      <c r="RYM95" s="240" t="n"/>
      <c r="RYO95" s="15" t="n"/>
      <c r="RYP95" s="15" t="n"/>
      <c r="RYQ95" s="248" t="n"/>
      <c r="RYR95" s="248" t="n"/>
      <c r="RYS95" s="240" t="n"/>
      <c r="RYT95" s="240" t="n"/>
      <c r="RYV95" s="15" t="n"/>
      <c r="RYW95" s="15" t="n"/>
      <c r="RYX95" s="248" t="n"/>
      <c r="RYY95" s="248" t="n"/>
      <c r="RYZ95" s="240" t="n"/>
      <c r="RZA95" s="240" t="n"/>
      <c r="RZC95" s="15" t="n"/>
      <c r="RZD95" s="15" t="n"/>
      <c r="RZE95" s="248" t="n"/>
      <c r="RZF95" s="248" t="n"/>
      <c r="RZG95" s="240" t="n"/>
      <c r="RZH95" s="240" t="n"/>
      <c r="RZJ95" s="15" t="n"/>
      <c r="RZK95" s="15" t="n"/>
      <c r="RZL95" s="248" t="n"/>
      <c r="RZM95" s="248" t="n"/>
      <c r="RZN95" s="240" t="n"/>
      <c r="RZO95" s="240" t="n"/>
      <c r="RZQ95" s="15" t="n"/>
      <c r="RZR95" s="15" t="n"/>
      <c r="RZS95" s="248" t="n"/>
      <c r="RZT95" s="248" t="n"/>
      <c r="RZU95" s="240" t="n"/>
      <c r="RZV95" s="240" t="n"/>
      <c r="RZX95" s="15" t="n"/>
      <c r="RZY95" s="15" t="n"/>
      <c r="RZZ95" s="248" t="n"/>
      <c r="SAA95" s="248" t="n"/>
      <c r="SAB95" s="240" t="n"/>
      <c r="SAC95" s="240" t="n"/>
      <c r="SAE95" s="15" t="n"/>
      <c r="SAF95" s="15" t="n"/>
      <c r="SAG95" s="248" t="n"/>
      <c r="SAH95" s="248" t="n"/>
      <c r="SAI95" s="240" t="n"/>
      <c r="SAJ95" s="240" t="n"/>
      <c r="SAL95" s="15" t="n"/>
      <c r="SAM95" s="15" t="n"/>
      <c r="SAN95" s="248" t="n"/>
      <c r="SAO95" s="248" t="n"/>
      <c r="SAP95" s="240" t="n"/>
      <c r="SAQ95" s="240" t="n"/>
      <c r="SAS95" s="15" t="n"/>
      <c r="SAT95" s="15" t="n"/>
      <c r="SAU95" s="248" t="n"/>
      <c r="SAV95" s="248" t="n"/>
      <c r="SAW95" s="240" t="n"/>
      <c r="SAX95" s="240" t="n"/>
      <c r="SAZ95" s="15" t="n"/>
      <c r="SBA95" s="15" t="n"/>
      <c r="SBB95" s="248" t="n"/>
      <c r="SBC95" s="248" t="n"/>
      <c r="SBD95" s="240" t="n"/>
      <c r="SBE95" s="240" t="n"/>
      <c r="SBG95" s="15" t="n"/>
      <c r="SBH95" s="15" t="n"/>
      <c r="SBI95" s="248" t="n"/>
      <c r="SBJ95" s="248" t="n"/>
      <c r="SBK95" s="240" t="n"/>
      <c r="SBL95" s="240" t="n"/>
      <c r="SBN95" s="15" t="n"/>
      <c r="SBO95" s="15" t="n"/>
      <c r="SBP95" s="248" t="n"/>
      <c r="SBQ95" s="248" t="n"/>
      <c r="SBR95" s="240" t="n"/>
      <c r="SBS95" s="240" t="n"/>
      <c r="SBU95" s="15" t="n"/>
      <c r="SBV95" s="15" t="n"/>
      <c r="SBW95" s="248" t="n"/>
      <c r="SBX95" s="248" t="n"/>
      <c r="SBY95" s="240" t="n"/>
      <c r="SBZ95" s="240" t="n"/>
      <c r="SCB95" s="15" t="n"/>
      <c r="SCC95" s="15" t="n"/>
      <c r="SCD95" s="248" t="n"/>
      <c r="SCE95" s="248" t="n"/>
      <c r="SCF95" s="240" t="n"/>
      <c r="SCG95" s="240" t="n"/>
      <c r="SCI95" s="15" t="n"/>
      <c r="SCJ95" s="15" t="n"/>
      <c r="SCK95" s="248" t="n"/>
      <c r="SCL95" s="248" t="n"/>
      <c r="SCM95" s="240" t="n"/>
      <c r="SCN95" s="240" t="n"/>
      <c r="SCP95" s="15" t="n"/>
      <c r="SCQ95" s="15" t="n"/>
      <c r="SCR95" s="248" t="n"/>
      <c r="SCS95" s="248" t="n"/>
      <c r="SCT95" s="240" t="n"/>
      <c r="SCU95" s="240" t="n"/>
      <c r="SCW95" s="15" t="n"/>
      <c r="SCX95" s="15" t="n"/>
      <c r="SCY95" s="248" t="n"/>
      <c r="SCZ95" s="248" t="n"/>
      <c r="SDA95" s="240" t="n"/>
      <c r="SDB95" s="240" t="n"/>
      <c r="SDD95" s="15" t="n"/>
      <c r="SDE95" s="15" t="n"/>
      <c r="SDF95" s="248" t="n"/>
      <c r="SDG95" s="248" t="n"/>
      <c r="SDH95" s="240" t="n"/>
      <c r="SDI95" s="240" t="n"/>
      <c r="SDK95" s="15" t="n"/>
      <c r="SDL95" s="15" t="n"/>
      <c r="SDM95" s="248" t="n"/>
      <c r="SDN95" s="248" t="n"/>
      <c r="SDO95" s="240" t="n"/>
      <c r="SDP95" s="240" t="n"/>
      <c r="SDR95" s="15" t="n"/>
      <c r="SDS95" s="15" t="n"/>
      <c r="SDT95" s="248" t="n"/>
      <c r="SDU95" s="248" t="n"/>
      <c r="SDV95" s="240" t="n"/>
      <c r="SDW95" s="240" t="n"/>
      <c r="SDY95" s="15" t="n"/>
      <c r="SDZ95" s="15" t="n"/>
      <c r="SEA95" s="248" t="n"/>
      <c r="SEB95" s="248" t="n"/>
      <c r="SEC95" s="240" t="n"/>
      <c r="SED95" s="240" t="n"/>
      <c r="SEF95" s="15" t="n"/>
      <c r="SEG95" s="15" t="n"/>
      <c r="SEH95" s="248" t="n"/>
      <c r="SEI95" s="248" t="n"/>
      <c r="SEJ95" s="240" t="n"/>
      <c r="SEK95" s="240" t="n"/>
      <c r="SEM95" s="15" t="n"/>
      <c r="SEN95" s="15" t="n"/>
      <c r="SEO95" s="248" t="n"/>
      <c r="SEP95" s="248" t="n"/>
      <c r="SEQ95" s="240" t="n"/>
      <c r="SER95" s="240" t="n"/>
      <c r="SET95" s="15" t="n"/>
      <c r="SEU95" s="15" t="n"/>
      <c r="SEV95" s="248" t="n"/>
      <c r="SEW95" s="248" t="n"/>
      <c r="SEX95" s="240" t="n"/>
      <c r="SEY95" s="240" t="n"/>
      <c r="SFA95" s="15" t="n"/>
      <c r="SFB95" s="15" t="n"/>
      <c r="SFC95" s="248" t="n"/>
      <c r="SFD95" s="248" t="n"/>
      <c r="SFE95" s="240" t="n"/>
      <c r="SFF95" s="240" t="n"/>
      <c r="SFH95" s="15" t="n"/>
      <c r="SFI95" s="15" t="n"/>
      <c r="SFJ95" s="248" t="n"/>
      <c r="SFK95" s="248" t="n"/>
      <c r="SFL95" s="240" t="n"/>
      <c r="SFM95" s="240" t="n"/>
      <c r="SFO95" s="15" t="n"/>
      <c r="SFP95" s="15" t="n"/>
      <c r="SFQ95" s="248" t="n"/>
      <c r="SFR95" s="248" t="n"/>
      <c r="SFS95" s="240" t="n"/>
      <c r="SFT95" s="240" t="n"/>
      <c r="SFV95" s="15" t="n"/>
      <c r="SFW95" s="15" t="n"/>
      <c r="SFX95" s="248" t="n"/>
      <c r="SFY95" s="248" t="n"/>
      <c r="SFZ95" s="240" t="n"/>
      <c r="SGA95" s="240" t="n"/>
      <c r="SGC95" s="15" t="n"/>
      <c r="SGD95" s="15" t="n"/>
      <c r="SGE95" s="248" t="n"/>
      <c r="SGF95" s="248" t="n"/>
      <c r="SGG95" s="240" t="n"/>
      <c r="SGH95" s="240" t="n"/>
      <c r="SGJ95" s="15" t="n"/>
      <c r="SGK95" s="15" t="n"/>
      <c r="SGL95" s="248" t="n"/>
      <c r="SGM95" s="248" t="n"/>
      <c r="SGN95" s="240" t="n"/>
      <c r="SGO95" s="240" t="n"/>
      <c r="SGQ95" s="15" t="n"/>
      <c r="SGR95" s="15" t="n"/>
      <c r="SGS95" s="248" t="n"/>
      <c r="SGT95" s="248" t="n"/>
      <c r="SGU95" s="240" t="n"/>
      <c r="SGV95" s="240" t="n"/>
      <c r="SGX95" s="15" t="n"/>
      <c r="SGY95" s="15" t="n"/>
      <c r="SGZ95" s="248" t="n"/>
      <c r="SHA95" s="248" t="n"/>
      <c r="SHB95" s="240" t="n"/>
      <c r="SHC95" s="240" t="n"/>
      <c r="SHE95" s="15" t="n"/>
      <c r="SHF95" s="15" t="n"/>
      <c r="SHG95" s="248" t="n"/>
      <c r="SHH95" s="248" t="n"/>
      <c r="SHI95" s="240" t="n"/>
      <c r="SHJ95" s="240" t="n"/>
      <c r="SHL95" s="15" t="n"/>
      <c r="SHM95" s="15" t="n"/>
      <c r="SHN95" s="248" t="n"/>
      <c r="SHO95" s="248" t="n"/>
      <c r="SHP95" s="240" t="n"/>
      <c r="SHQ95" s="240" t="n"/>
      <c r="SHS95" s="15" t="n"/>
      <c r="SHT95" s="15" t="n"/>
      <c r="SHU95" s="248" t="n"/>
      <c r="SHV95" s="248" t="n"/>
      <c r="SHW95" s="240" t="n"/>
      <c r="SHX95" s="240" t="n"/>
      <c r="SHZ95" s="15" t="n"/>
      <c r="SIA95" s="15" t="n"/>
      <c r="SIB95" s="248" t="n"/>
      <c r="SIC95" s="248" t="n"/>
      <c r="SID95" s="240" t="n"/>
      <c r="SIE95" s="240" t="n"/>
      <c r="SIG95" s="15" t="n"/>
      <c r="SIH95" s="15" t="n"/>
      <c r="SII95" s="248" t="n"/>
      <c r="SIJ95" s="248" t="n"/>
      <c r="SIK95" s="240" t="n"/>
      <c r="SIL95" s="240" t="n"/>
      <c r="SIN95" s="15" t="n"/>
      <c r="SIO95" s="15" t="n"/>
      <c r="SIP95" s="248" t="n"/>
      <c r="SIQ95" s="248" t="n"/>
      <c r="SIR95" s="240" t="n"/>
      <c r="SIS95" s="240" t="n"/>
      <c r="SIU95" s="15" t="n"/>
      <c r="SIV95" s="15" t="n"/>
      <c r="SIW95" s="248" t="n"/>
      <c r="SIX95" s="248" t="n"/>
      <c r="SIY95" s="240" t="n"/>
      <c r="SIZ95" s="240" t="n"/>
      <c r="SJB95" s="15" t="n"/>
      <c r="SJC95" s="15" t="n"/>
      <c r="SJD95" s="248" t="n"/>
      <c r="SJE95" s="248" t="n"/>
      <c r="SJF95" s="240" t="n"/>
      <c r="SJG95" s="240" t="n"/>
      <c r="SJI95" s="15" t="n"/>
      <c r="SJJ95" s="15" t="n"/>
      <c r="SJK95" s="248" t="n"/>
      <c r="SJL95" s="248" t="n"/>
      <c r="SJM95" s="240" t="n"/>
      <c r="SJN95" s="240" t="n"/>
      <c r="SJP95" s="15" t="n"/>
      <c r="SJQ95" s="15" t="n"/>
      <c r="SJR95" s="248" t="n"/>
      <c r="SJS95" s="248" t="n"/>
      <c r="SJT95" s="240" t="n"/>
      <c r="SJU95" s="240" t="n"/>
      <c r="SJW95" s="15" t="n"/>
      <c r="SJX95" s="15" t="n"/>
      <c r="SJY95" s="248" t="n"/>
      <c r="SJZ95" s="248" t="n"/>
      <c r="SKA95" s="240" t="n"/>
      <c r="SKB95" s="240" t="n"/>
      <c r="SKD95" s="15" t="n"/>
      <c r="SKE95" s="15" t="n"/>
      <c r="SKF95" s="248" t="n"/>
      <c r="SKG95" s="248" t="n"/>
      <c r="SKH95" s="240" t="n"/>
      <c r="SKI95" s="240" t="n"/>
      <c r="SKK95" s="15" t="n"/>
      <c r="SKL95" s="15" t="n"/>
      <c r="SKM95" s="248" t="n"/>
      <c r="SKN95" s="248" t="n"/>
      <c r="SKO95" s="240" t="n"/>
      <c r="SKP95" s="240" t="n"/>
      <c r="SKR95" s="15" t="n"/>
      <c r="SKS95" s="15" t="n"/>
      <c r="SKT95" s="248" t="n"/>
      <c r="SKU95" s="248" t="n"/>
      <c r="SKV95" s="240" t="n"/>
      <c r="SKW95" s="240" t="n"/>
      <c r="SKY95" s="15" t="n"/>
      <c r="SKZ95" s="15" t="n"/>
      <c r="SLA95" s="248" t="n"/>
      <c r="SLB95" s="248" t="n"/>
      <c r="SLC95" s="240" t="n"/>
      <c r="SLD95" s="240" t="n"/>
      <c r="SLF95" s="15" t="n"/>
      <c r="SLG95" s="15" t="n"/>
      <c r="SLH95" s="248" t="n"/>
      <c r="SLI95" s="248" t="n"/>
      <c r="SLJ95" s="240" t="n"/>
      <c r="SLK95" s="240" t="n"/>
      <c r="SLM95" s="15" t="n"/>
      <c r="SLN95" s="15" t="n"/>
      <c r="SLO95" s="248" t="n"/>
      <c r="SLP95" s="248" t="n"/>
      <c r="SLQ95" s="240" t="n"/>
      <c r="SLR95" s="240" t="n"/>
      <c r="SLT95" s="15" t="n"/>
      <c r="SLU95" s="15" t="n"/>
      <c r="SLV95" s="248" t="n"/>
      <c r="SLW95" s="248" t="n"/>
      <c r="SLX95" s="240" t="n"/>
      <c r="SLY95" s="240" t="n"/>
      <c r="SMA95" s="15" t="n"/>
      <c r="SMB95" s="15" t="n"/>
      <c r="SMC95" s="248" t="n"/>
      <c r="SMD95" s="248" t="n"/>
      <c r="SME95" s="240" t="n"/>
      <c r="SMF95" s="240" t="n"/>
      <c r="SMH95" s="15" t="n"/>
      <c r="SMI95" s="15" t="n"/>
      <c r="SMJ95" s="248" t="n"/>
      <c r="SMK95" s="248" t="n"/>
      <c r="SML95" s="240" t="n"/>
      <c r="SMM95" s="240" t="n"/>
      <c r="SMO95" s="15" t="n"/>
      <c r="SMP95" s="15" t="n"/>
      <c r="SMQ95" s="248" t="n"/>
      <c r="SMR95" s="248" t="n"/>
      <c r="SMS95" s="240" t="n"/>
      <c r="SMT95" s="240" t="n"/>
      <c r="SMV95" s="15" t="n"/>
      <c r="SMW95" s="15" t="n"/>
      <c r="SMX95" s="248" t="n"/>
      <c r="SMY95" s="248" t="n"/>
      <c r="SMZ95" s="240" t="n"/>
      <c r="SNA95" s="240" t="n"/>
      <c r="SNC95" s="15" t="n"/>
      <c r="SND95" s="15" t="n"/>
      <c r="SNE95" s="248" t="n"/>
      <c r="SNF95" s="248" t="n"/>
      <c r="SNG95" s="240" t="n"/>
      <c r="SNH95" s="240" t="n"/>
      <c r="SNJ95" s="15" t="n"/>
      <c r="SNK95" s="15" t="n"/>
      <c r="SNL95" s="248" t="n"/>
      <c r="SNM95" s="248" t="n"/>
      <c r="SNN95" s="240" t="n"/>
      <c r="SNO95" s="240" t="n"/>
      <c r="SNQ95" s="15" t="n"/>
      <c r="SNR95" s="15" t="n"/>
      <c r="SNS95" s="248" t="n"/>
      <c r="SNT95" s="248" t="n"/>
      <c r="SNU95" s="240" t="n"/>
      <c r="SNV95" s="240" t="n"/>
      <c r="SNX95" s="15" t="n"/>
      <c r="SNY95" s="15" t="n"/>
      <c r="SNZ95" s="248" t="n"/>
      <c r="SOA95" s="248" t="n"/>
      <c r="SOB95" s="240" t="n"/>
      <c r="SOC95" s="240" t="n"/>
      <c r="SOE95" s="15" t="n"/>
      <c r="SOF95" s="15" t="n"/>
      <c r="SOG95" s="248" t="n"/>
      <c r="SOH95" s="248" t="n"/>
      <c r="SOI95" s="240" t="n"/>
      <c r="SOJ95" s="240" t="n"/>
      <c r="SOL95" s="15" t="n"/>
      <c r="SOM95" s="15" t="n"/>
      <c r="SON95" s="248" t="n"/>
      <c r="SOO95" s="248" t="n"/>
      <c r="SOP95" s="240" t="n"/>
      <c r="SOQ95" s="240" t="n"/>
      <c r="SOS95" s="15" t="n"/>
      <c r="SOT95" s="15" t="n"/>
      <c r="SOU95" s="248" t="n"/>
      <c r="SOV95" s="248" t="n"/>
      <c r="SOW95" s="240" t="n"/>
      <c r="SOX95" s="240" t="n"/>
      <c r="SOZ95" s="15" t="n"/>
      <c r="SPA95" s="15" t="n"/>
      <c r="SPB95" s="248" t="n"/>
      <c r="SPC95" s="248" t="n"/>
      <c r="SPD95" s="240" t="n"/>
      <c r="SPE95" s="240" t="n"/>
      <c r="SPG95" s="15" t="n"/>
      <c r="SPH95" s="15" t="n"/>
      <c r="SPI95" s="248" t="n"/>
      <c r="SPJ95" s="248" t="n"/>
      <c r="SPK95" s="240" t="n"/>
      <c r="SPL95" s="240" t="n"/>
      <c r="SPN95" s="15" t="n"/>
      <c r="SPO95" s="15" t="n"/>
      <c r="SPP95" s="248" t="n"/>
      <c r="SPQ95" s="248" t="n"/>
      <c r="SPR95" s="240" t="n"/>
      <c r="SPS95" s="240" t="n"/>
      <c r="SPU95" s="15" t="n"/>
      <c r="SPV95" s="15" t="n"/>
      <c r="SPW95" s="248" t="n"/>
      <c r="SPX95" s="248" t="n"/>
      <c r="SPY95" s="240" t="n"/>
      <c r="SPZ95" s="240" t="n"/>
      <c r="SQB95" s="15" t="n"/>
      <c r="SQC95" s="15" t="n"/>
      <c r="SQD95" s="248" t="n"/>
      <c r="SQE95" s="248" t="n"/>
      <c r="SQF95" s="240" t="n"/>
      <c r="SQG95" s="240" t="n"/>
      <c r="SQI95" s="15" t="n"/>
      <c r="SQJ95" s="15" t="n"/>
      <c r="SQK95" s="248" t="n"/>
      <c r="SQL95" s="248" t="n"/>
      <c r="SQM95" s="240" t="n"/>
      <c r="SQN95" s="240" t="n"/>
      <c r="SQP95" s="15" t="n"/>
      <c r="SQQ95" s="15" t="n"/>
      <c r="SQR95" s="248" t="n"/>
      <c r="SQS95" s="248" t="n"/>
      <c r="SQT95" s="240" t="n"/>
      <c r="SQU95" s="240" t="n"/>
      <c r="SQW95" s="15" t="n"/>
      <c r="SQX95" s="15" t="n"/>
      <c r="SQY95" s="248" t="n"/>
      <c r="SQZ95" s="248" t="n"/>
      <c r="SRA95" s="240" t="n"/>
      <c r="SRB95" s="240" t="n"/>
      <c r="SRD95" s="15" t="n"/>
      <c r="SRE95" s="15" t="n"/>
      <c r="SRF95" s="248" t="n"/>
      <c r="SRG95" s="248" t="n"/>
      <c r="SRH95" s="240" t="n"/>
      <c r="SRI95" s="240" t="n"/>
      <c r="SRK95" s="15" t="n"/>
      <c r="SRL95" s="15" t="n"/>
      <c r="SRM95" s="248" t="n"/>
      <c r="SRN95" s="248" t="n"/>
      <c r="SRO95" s="240" t="n"/>
      <c r="SRP95" s="240" t="n"/>
      <c r="SRR95" s="15" t="n"/>
      <c r="SRS95" s="15" t="n"/>
      <c r="SRT95" s="248" t="n"/>
      <c r="SRU95" s="248" t="n"/>
      <c r="SRV95" s="240" t="n"/>
      <c r="SRW95" s="240" t="n"/>
      <c r="SRY95" s="15" t="n"/>
      <c r="SRZ95" s="15" t="n"/>
      <c r="SSA95" s="248" t="n"/>
      <c r="SSB95" s="248" t="n"/>
      <c r="SSC95" s="240" t="n"/>
      <c r="SSD95" s="240" t="n"/>
      <c r="SSF95" s="15" t="n"/>
      <c r="SSG95" s="15" t="n"/>
      <c r="SSH95" s="248" t="n"/>
      <c r="SSI95" s="248" t="n"/>
      <c r="SSJ95" s="240" t="n"/>
      <c r="SSK95" s="240" t="n"/>
      <c r="SSM95" s="15" t="n"/>
      <c r="SSN95" s="15" t="n"/>
      <c r="SSO95" s="248" t="n"/>
      <c r="SSP95" s="248" t="n"/>
      <c r="SSQ95" s="240" t="n"/>
      <c r="SSR95" s="240" t="n"/>
      <c r="SST95" s="15" t="n"/>
      <c r="SSU95" s="15" t="n"/>
      <c r="SSV95" s="248" t="n"/>
      <c r="SSW95" s="248" t="n"/>
      <c r="SSX95" s="240" t="n"/>
      <c r="SSY95" s="240" t="n"/>
      <c r="STA95" s="15" t="n"/>
      <c r="STB95" s="15" t="n"/>
      <c r="STC95" s="248" t="n"/>
      <c r="STD95" s="248" t="n"/>
      <c r="STE95" s="240" t="n"/>
      <c r="STF95" s="240" t="n"/>
      <c r="STH95" s="15" t="n"/>
      <c r="STI95" s="15" t="n"/>
      <c r="STJ95" s="248" t="n"/>
      <c r="STK95" s="248" t="n"/>
      <c r="STL95" s="240" t="n"/>
      <c r="STM95" s="240" t="n"/>
      <c r="STO95" s="15" t="n"/>
      <c r="STP95" s="15" t="n"/>
      <c r="STQ95" s="248" t="n"/>
      <c r="STR95" s="248" t="n"/>
      <c r="STS95" s="240" t="n"/>
      <c r="STT95" s="240" t="n"/>
      <c r="STV95" s="15" t="n"/>
      <c r="STW95" s="15" t="n"/>
      <c r="STX95" s="248" t="n"/>
      <c r="STY95" s="248" t="n"/>
      <c r="STZ95" s="240" t="n"/>
      <c r="SUA95" s="240" t="n"/>
      <c r="SUC95" s="15" t="n"/>
      <c r="SUD95" s="15" t="n"/>
      <c r="SUE95" s="248" t="n"/>
      <c r="SUF95" s="248" t="n"/>
      <c r="SUG95" s="240" t="n"/>
      <c r="SUH95" s="240" t="n"/>
      <c r="SUJ95" s="15" t="n"/>
      <c r="SUK95" s="15" t="n"/>
      <c r="SUL95" s="248" t="n"/>
      <c r="SUM95" s="248" t="n"/>
      <c r="SUN95" s="240" t="n"/>
      <c r="SUO95" s="240" t="n"/>
      <c r="SUQ95" s="15" t="n"/>
      <c r="SUR95" s="15" t="n"/>
      <c r="SUS95" s="248" t="n"/>
      <c r="SUT95" s="248" t="n"/>
      <c r="SUU95" s="240" t="n"/>
      <c r="SUV95" s="240" t="n"/>
      <c r="SUX95" s="15" t="n"/>
      <c r="SUY95" s="15" t="n"/>
      <c r="SUZ95" s="248" t="n"/>
      <c r="SVA95" s="248" t="n"/>
      <c r="SVB95" s="240" t="n"/>
      <c r="SVC95" s="240" t="n"/>
      <c r="SVE95" s="15" t="n"/>
      <c r="SVF95" s="15" t="n"/>
      <c r="SVG95" s="248" t="n"/>
      <c r="SVH95" s="248" t="n"/>
      <c r="SVI95" s="240" t="n"/>
      <c r="SVJ95" s="240" t="n"/>
      <c r="SVL95" s="15" t="n"/>
      <c r="SVM95" s="15" t="n"/>
      <c r="SVN95" s="248" t="n"/>
      <c r="SVO95" s="248" t="n"/>
      <c r="SVP95" s="240" t="n"/>
      <c r="SVQ95" s="240" t="n"/>
      <c r="SVS95" s="15" t="n"/>
      <c r="SVT95" s="15" t="n"/>
      <c r="SVU95" s="248" t="n"/>
      <c r="SVV95" s="248" t="n"/>
      <c r="SVW95" s="240" t="n"/>
      <c r="SVX95" s="240" t="n"/>
      <c r="SVZ95" s="15" t="n"/>
      <c r="SWA95" s="15" t="n"/>
      <c r="SWB95" s="248" t="n"/>
      <c r="SWC95" s="248" t="n"/>
      <c r="SWD95" s="240" t="n"/>
      <c r="SWE95" s="240" t="n"/>
      <c r="SWG95" s="15" t="n"/>
      <c r="SWH95" s="15" t="n"/>
      <c r="SWI95" s="248" t="n"/>
      <c r="SWJ95" s="248" t="n"/>
      <c r="SWK95" s="240" t="n"/>
      <c r="SWL95" s="240" t="n"/>
      <c r="SWN95" s="15" t="n"/>
      <c r="SWO95" s="15" t="n"/>
      <c r="SWP95" s="248" t="n"/>
      <c r="SWQ95" s="248" t="n"/>
      <c r="SWR95" s="240" t="n"/>
      <c r="SWS95" s="240" t="n"/>
      <c r="SWU95" s="15" t="n"/>
      <c r="SWV95" s="15" t="n"/>
      <c r="SWW95" s="248" t="n"/>
      <c r="SWX95" s="248" t="n"/>
      <c r="SWY95" s="240" t="n"/>
      <c r="SWZ95" s="240" t="n"/>
      <c r="SXB95" s="15" t="n"/>
      <c r="SXC95" s="15" t="n"/>
      <c r="SXD95" s="248" t="n"/>
      <c r="SXE95" s="248" t="n"/>
      <c r="SXF95" s="240" t="n"/>
      <c r="SXG95" s="240" t="n"/>
      <c r="SXI95" s="15" t="n"/>
      <c r="SXJ95" s="15" t="n"/>
      <c r="SXK95" s="248" t="n"/>
      <c r="SXL95" s="248" t="n"/>
      <c r="SXM95" s="240" t="n"/>
      <c r="SXN95" s="240" t="n"/>
      <c r="SXP95" s="15" t="n"/>
      <c r="SXQ95" s="15" t="n"/>
      <c r="SXR95" s="248" t="n"/>
      <c r="SXS95" s="248" t="n"/>
      <c r="SXT95" s="240" t="n"/>
      <c r="SXU95" s="240" t="n"/>
      <c r="SXW95" s="15" t="n"/>
      <c r="SXX95" s="15" t="n"/>
      <c r="SXY95" s="248" t="n"/>
      <c r="SXZ95" s="248" t="n"/>
      <c r="SYA95" s="240" t="n"/>
      <c r="SYB95" s="240" t="n"/>
      <c r="SYD95" s="15" t="n"/>
      <c r="SYE95" s="15" t="n"/>
      <c r="SYF95" s="248" t="n"/>
      <c r="SYG95" s="248" t="n"/>
      <c r="SYH95" s="240" t="n"/>
      <c r="SYI95" s="240" t="n"/>
      <c r="SYK95" s="15" t="n"/>
      <c r="SYL95" s="15" t="n"/>
      <c r="SYM95" s="248" t="n"/>
      <c r="SYN95" s="248" t="n"/>
      <c r="SYO95" s="240" t="n"/>
      <c r="SYP95" s="240" t="n"/>
      <c r="SYR95" s="15" t="n"/>
      <c r="SYS95" s="15" t="n"/>
      <c r="SYT95" s="248" t="n"/>
      <c r="SYU95" s="248" t="n"/>
      <c r="SYV95" s="240" t="n"/>
      <c r="SYW95" s="240" t="n"/>
      <c r="SYY95" s="15" t="n"/>
      <c r="SYZ95" s="15" t="n"/>
      <c r="SZA95" s="248" t="n"/>
      <c r="SZB95" s="248" t="n"/>
      <c r="SZC95" s="240" t="n"/>
      <c r="SZD95" s="240" t="n"/>
      <c r="SZF95" s="15" t="n"/>
      <c r="SZG95" s="15" t="n"/>
      <c r="SZH95" s="248" t="n"/>
      <c r="SZI95" s="248" t="n"/>
      <c r="SZJ95" s="240" t="n"/>
      <c r="SZK95" s="240" t="n"/>
      <c r="SZM95" s="15" t="n"/>
      <c r="SZN95" s="15" t="n"/>
      <c r="SZO95" s="248" t="n"/>
      <c r="SZP95" s="248" t="n"/>
      <c r="SZQ95" s="240" t="n"/>
      <c r="SZR95" s="240" t="n"/>
      <c r="SZT95" s="15" t="n"/>
      <c r="SZU95" s="15" t="n"/>
      <c r="SZV95" s="248" t="n"/>
      <c r="SZW95" s="248" t="n"/>
      <c r="SZX95" s="240" t="n"/>
      <c r="SZY95" s="240" t="n"/>
      <c r="TAA95" s="15" t="n"/>
      <c r="TAB95" s="15" t="n"/>
      <c r="TAC95" s="248" t="n"/>
      <c r="TAD95" s="248" t="n"/>
      <c r="TAE95" s="240" t="n"/>
      <c r="TAF95" s="240" t="n"/>
      <c r="TAH95" s="15" t="n"/>
      <c r="TAI95" s="15" t="n"/>
      <c r="TAJ95" s="248" t="n"/>
      <c r="TAK95" s="248" t="n"/>
      <c r="TAL95" s="240" t="n"/>
      <c r="TAM95" s="240" t="n"/>
      <c r="TAO95" s="15" t="n"/>
      <c r="TAP95" s="15" t="n"/>
      <c r="TAQ95" s="248" t="n"/>
      <c r="TAR95" s="248" t="n"/>
      <c r="TAS95" s="240" t="n"/>
      <c r="TAT95" s="240" t="n"/>
      <c r="TAV95" s="15" t="n"/>
      <c r="TAW95" s="15" t="n"/>
      <c r="TAX95" s="248" t="n"/>
      <c r="TAY95" s="248" t="n"/>
      <c r="TAZ95" s="240" t="n"/>
      <c r="TBA95" s="240" t="n"/>
      <c r="TBC95" s="15" t="n"/>
      <c r="TBD95" s="15" t="n"/>
      <c r="TBE95" s="248" t="n"/>
      <c r="TBF95" s="248" t="n"/>
      <c r="TBG95" s="240" t="n"/>
      <c r="TBH95" s="240" t="n"/>
      <c r="TBJ95" s="15" t="n"/>
      <c r="TBK95" s="15" t="n"/>
      <c r="TBL95" s="248" t="n"/>
      <c r="TBM95" s="248" t="n"/>
      <c r="TBN95" s="240" t="n"/>
      <c r="TBO95" s="240" t="n"/>
      <c r="TBQ95" s="15" t="n"/>
      <c r="TBR95" s="15" t="n"/>
      <c r="TBS95" s="248" t="n"/>
      <c r="TBT95" s="248" t="n"/>
      <c r="TBU95" s="240" t="n"/>
      <c r="TBV95" s="240" t="n"/>
      <c r="TBX95" s="15" t="n"/>
      <c r="TBY95" s="15" t="n"/>
      <c r="TBZ95" s="248" t="n"/>
      <c r="TCA95" s="248" t="n"/>
      <c r="TCB95" s="240" t="n"/>
      <c r="TCC95" s="240" t="n"/>
      <c r="TCE95" s="15" t="n"/>
      <c r="TCF95" s="15" t="n"/>
      <c r="TCG95" s="248" t="n"/>
      <c r="TCH95" s="248" t="n"/>
      <c r="TCI95" s="240" t="n"/>
      <c r="TCJ95" s="240" t="n"/>
      <c r="TCL95" s="15" t="n"/>
      <c r="TCM95" s="15" t="n"/>
      <c r="TCN95" s="248" t="n"/>
      <c r="TCO95" s="248" t="n"/>
      <c r="TCP95" s="240" t="n"/>
      <c r="TCQ95" s="240" t="n"/>
      <c r="TCS95" s="15" t="n"/>
      <c r="TCT95" s="15" t="n"/>
      <c r="TCU95" s="248" t="n"/>
      <c r="TCV95" s="248" t="n"/>
      <c r="TCW95" s="240" t="n"/>
      <c r="TCX95" s="240" t="n"/>
      <c r="TCZ95" s="15" t="n"/>
      <c r="TDA95" s="15" t="n"/>
      <c r="TDB95" s="248" t="n"/>
      <c r="TDC95" s="248" t="n"/>
      <c r="TDD95" s="240" t="n"/>
      <c r="TDE95" s="240" t="n"/>
      <c r="TDG95" s="15" t="n"/>
      <c r="TDH95" s="15" t="n"/>
      <c r="TDI95" s="248" t="n"/>
      <c r="TDJ95" s="248" t="n"/>
      <c r="TDK95" s="240" t="n"/>
      <c r="TDL95" s="240" t="n"/>
      <c r="TDN95" s="15" t="n"/>
      <c r="TDO95" s="15" t="n"/>
      <c r="TDP95" s="248" t="n"/>
      <c r="TDQ95" s="248" t="n"/>
      <c r="TDR95" s="240" t="n"/>
      <c r="TDS95" s="240" t="n"/>
      <c r="TDU95" s="15" t="n"/>
      <c r="TDV95" s="15" t="n"/>
      <c r="TDW95" s="248" t="n"/>
      <c r="TDX95" s="248" t="n"/>
      <c r="TDY95" s="240" t="n"/>
      <c r="TDZ95" s="240" t="n"/>
      <c r="TEB95" s="15" t="n"/>
      <c r="TEC95" s="15" t="n"/>
      <c r="TED95" s="248" t="n"/>
      <c r="TEE95" s="248" t="n"/>
      <c r="TEF95" s="240" t="n"/>
      <c r="TEG95" s="240" t="n"/>
      <c r="TEI95" s="15" t="n"/>
      <c r="TEJ95" s="15" t="n"/>
      <c r="TEK95" s="248" t="n"/>
      <c r="TEL95" s="248" t="n"/>
      <c r="TEM95" s="240" t="n"/>
      <c r="TEN95" s="240" t="n"/>
      <c r="TEP95" s="15" t="n"/>
      <c r="TEQ95" s="15" t="n"/>
      <c r="TER95" s="248" t="n"/>
      <c r="TES95" s="248" t="n"/>
      <c r="TET95" s="240" t="n"/>
      <c r="TEU95" s="240" t="n"/>
      <c r="TEW95" s="15" t="n"/>
      <c r="TEX95" s="15" t="n"/>
      <c r="TEY95" s="248" t="n"/>
      <c r="TEZ95" s="248" t="n"/>
      <c r="TFA95" s="240" t="n"/>
      <c r="TFB95" s="240" t="n"/>
      <c r="TFD95" s="15" t="n"/>
      <c r="TFE95" s="15" t="n"/>
      <c r="TFF95" s="248" t="n"/>
      <c r="TFG95" s="248" t="n"/>
      <c r="TFH95" s="240" t="n"/>
      <c r="TFI95" s="240" t="n"/>
      <c r="TFK95" s="15" t="n"/>
      <c r="TFL95" s="15" t="n"/>
      <c r="TFM95" s="248" t="n"/>
      <c r="TFN95" s="248" t="n"/>
      <c r="TFO95" s="240" t="n"/>
      <c r="TFP95" s="240" t="n"/>
      <c r="TFR95" s="15" t="n"/>
      <c r="TFS95" s="15" t="n"/>
      <c r="TFT95" s="248" t="n"/>
      <c r="TFU95" s="248" t="n"/>
      <c r="TFV95" s="240" t="n"/>
      <c r="TFW95" s="240" t="n"/>
      <c r="TFY95" s="15" t="n"/>
      <c r="TFZ95" s="15" t="n"/>
      <c r="TGA95" s="248" t="n"/>
      <c r="TGB95" s="248" t="n"/>
      <c r="TGC95" s="240" t="n"/>
      <c r="TGD95" s="240" t="n"/>
      <c r="TGF95" s="15" t="n"/>
      <c r="TGG95" s="15" t="n"/>
      <c r="TGH95" s="248" t="n"/>
      <c r="TGI95" s="248" t="n"/>
      <c r="TGJ95" s="240" t="n"/>
      <c r="TGK95" s="240" t="n"/>
      <c r="TGM95" s="15" t="n"/>
      <c r="TGN95" s="15" t="n"/>
      <c r="TGO95" s="248" t="n"/>
      <c r="TGP95" s="248" t="n"/>
      <c r="TGQ95" s="240" t="n"/>
      <c r="TGR95" s="240" t="n"/>
      <c r="TGT95" s="15" t="n"/>
      <c r="TGU95" s="15" t="n"/>
      <c r="TGV95" s="248" t="n"/>
      <c r="TGW95" s="248" t="n"/>
      <c r="TGX95" s="240" t="n"/>
      <c r="TGY95" s="240" t="n"/>
      <c r="THA95" s="15" t="n"/>
      <c r="THB95" s="15" t="n"/>
      <c r="THC95" s="248" t="n"/>
      <c r="THD95" s="248" t="n"/>
      <c r="THE95" s="240" t="n"/>
      <c r="THF95" s="240" t="n"/>
      <c r="THH95" s="15" t="n"/>
      <c r="THI95" s="15" t="n"/>
      <c r="THJ95" s="248" t="n"/>
      <c r="THK95" s="248" t="n"/>
      <c r="THL95" s="240" t="n"/>
      <c r="THM95" s="240" t="n"/>
      <c r="THO95" s="15" t="n"/>
      <c r="THP95" s="15" t="n"/>
      <c r="THQ95" s="248" t="n"/>
      <c r="THR95" s="248" t="n"/>
      <c r="THS95" s="240" t="n"/>
      <c r="THT95" s="240" t="n"/>
      <c r="THV95" s="15" t="n"/>
      <c r="THW95" s="15" t="n"/>
      <c r="THX95" s="248" t="n"/>
      <c r="THY95" s="248" t="n"/>
      <c r="THZ95" s="240" t="n"/>
      <c r="TIA95" s="240" t="n"/>
      <c r="TIC95" s="15" t="n"/>
      <c r="TID95" s="15" t="n"/>
      <c r="TIE95" s="248" t="n"/>
      <c r="TIF95" s="248" t="n"/>
      <c r="TIG95" s="240" t="n"/>
      <c r="TIH95" s="240" t="n"/>
      <c r="TIJ95" s="15" t="n"/>
      <c r="TIK95" s="15" t="n"/>
      <c r="TIL95" s="248" t="n"/>
      <c r="TIM95" s="248" t="n"/>
      <c r="TIN95" s="240" t="n"/>
      <c r="TIO95" s="240" t="n"/>
      <c r="TIQ95" s="15" t="n"/>
      <c r="TIR95" s="15" t="n"/>
      <c r="TIS95" s="248" t="n"/>
      <c r="TIT95" s="248" t="n"/>
      <c r="TIU95" s="240" t="n"/>
      <c r="TIV95" s="240" t="n"/>
      <c r="TIX95" s="15" t="n"/>
      <c r="TIY95" s="15" t="n"/>
      <c r="TIZ95" s="248" t="n"/>
      <c r="TJA95" s="248" t="n"/>
      <c r="TJB95" s="240" t="n"/>
      <c r="TJC95" s="240" t="n"/>
      <c r="TJE95" s="15" t="n"/>
      <c r="TJF95" s="15" t="n"/>
      <c r="TJG95" s="248" t="n"/>
      <c r="TJH95" s="248" t="n"/>
      <c r="TJI95" s="240" t="n"/>
      <c r="TJJ95" s="240" t="n"/>
      <c r="TJL95" s="15" t="n"/>
      <c r="TJM95" s="15" t="n"/>
      <c r="TJN95" s="248" t="n"/>
      <c r="TJO95" s="248" t="n"/>
      <c r="TJP95" s="240" t="n"/>
      <c r="TJQ95" s="240" t="n"/>
      <c r="TJS95" s="15" t="n"/>
      <c r="TJT95" s="15" t="n"/>
      <c r="TJU95" s="248" t="n"/>
      <c r="TJV95" s="248" t="n"/>
      <c r="TJW95" s="240" t="n"/>
      <c r="TJX95" s="240" t="n"/>
      <c r="TJZ95" s="15" t="n"/>
      <c r="TKA95" s="15" t="n"/>
      <c r="TKB95" s="248" t="n"/>
      <c r="TKC95" s="248" t="n"/>
      <c r="TKD95" s="240" t="n"/>
      <c r="TKE95" s="240" t="n"/>
      <c r="TKG95" s="15" t="n"/>
      <c r="TKH95" s="15" t="n"/>
      <c r="TKI95" s="248" t="n"/>
      <c r="TKJ95" s="248" t="n"/>
      <c r="TKK95" s="240" t="n"/>
      <c r="TKL95" s="240" t="n"/>
      <c r="TKN95" s="15" t="n"/>
      <c r="TKO95" s="15" t="n"/>
      <c r="TKP95" s="248" t="n"/>
      <c r="TKQ95" s="248" t="n"/>
      <c r="TKR95" s="240" t="n"/>
      <c r="TKS95" s="240" t="n"/>
      <c r="TKU95" s="15" t="n"/>
      <c r="TKV95" s="15" t="n"/>
      <c r="TKW95" s="248" t="n"/>
      <c r="TKX95" s="248" t="n"/>
      <c r="TKY95" s="240" t="n"/>
      <c r="TKZ95" s="240" t="n"/>
      <c r="TLB95" s="15" t="n"/>
      <c r="TLC95" s="15" t="n"/>
      <c r="TLD95" s="248" t="n"/>
      <c r="TLE95" s="248" t="n"/>
      <c r="TLF95" s="240" t="n"/>
      <c r="TLG95" s="240" t="n"/>
      <c r="TLI95" s="15" t="n"/>
      <c r="TLJ95" s="15" t="n"/>
      <c r="TLK95" s="248" t="n"/>
      <c r="TLL95" s="248" t="n"/>
      <c r="TLM95" s="240" t="n"/>
      <c r="TLN95" s="240" t="n"/>
      <c r="TLP95" s="15" t="n"/>
      <c r="TLQ95" s="15" t="n"/>
      <c r="TLR95" s="248" t="n"/>
      <c r="TLS95" s="248" t="n"/>
      <c r="TLT95" s="240" t="n"/>
      <c r="TLU95" s="240" t="n"/>
      <c r="TLW95" s="15" t="n"/>
      <c r="TLX95" s="15" t="n"/>
      <c r="TLY95" s="248" t="n"/>
      <c r="TLZ95" s="248" t="n"/>
      <c r="TMA95" s="240" t="n"/>
      <c r="TMB95" s="240" t="n"/>
      <c r="TMD95" s="15" t="n"/>
      <c r="TME95" s="15" t="n"/>
      <c r="TMF95" s="248" t="n"/>
      <c r="TMG95" s="248" t="n"/>
      <c r="TMH95" s="240" t="n"/>
      <c r="TMI95" s="240" t="n"/>
      <c r="TMK95" s="15" t="n"/>
      <c r="TML95" s="15" t="n"/>
      <c r="TMM95" s="248" t="n"/>
      <c r="TMN95" s="248" t="n"/>
      <c r="TMO95" s="240" t="n"/>
      <c r="TMP95" s="240" t="n"/>
      <c r="TMR95" s="15" t="n"/>
      <c r="TMS95" s="15" t="n"/>
      <c r="TMT95" s="248" t="n"/>
      <c r="TMU95" s="248" t="n"/>
      <c r="TMV95" s="240" t="n"/>
      <c r="TMW95" s="240" t="n"/>
      <c r="TMY95" s="15" t="n"/>
      <c r="TMZ95" s="15" t="n"/>
      <c r="TNA95" s="248" t="n"/>
      <c r="TNB95" s="248" t="n"/>
      <c r="TNC95" s="240" t="n"/>
      <c r="TND95" s="240" t="n"/>
      <c r="TNF95" s="15" t="n"/>
      <c r="TNG95" s="15" t="n"/>
      <c r="TNH95" s="248" t="n"/>
      <c r="TNI95" s="248" t="n"/>
      <c r="TNJ95" s="240" t="n"/>
      <c r="TNK95" s="240" t="n"/>
      <c r="TNM95" s="15" t="n"/>
      <c r="TNN95" s="15" t="n"/>
      <c r="TNO95" s="248" t="n"/>
      <c r="TNP95" s="248" t="n"/>
      <c r="TNQ95" s="240" t="n"/>
      <c r="TNR95" s="240" t="n"/>
      <c r="TNT95" s="15" t="n"/>
      <c r="TNU95" s="15" t="n"/>
      <c r="TNV95" s="248" t="n"/>
      <c r="TNW95" s="248" t="n"/>
      <c r="TNX95" s="240" t="n"/>
      <c r="TNY95" s="240" t="n"/>
      <c r="TOA95" s="15" t="n"/>
      <c r="TOB95" s="15" t="n"/>
      <c r="TOC95" s="248" t="n"/>
      <c r="TOD95" s="248" t="n"/>
      <c r="TOE95" s="240" t="n"/>
      <c r="TOF95" s="240" t="n"/>
      <c r="TOH95" s="15" t="n"/>
      <c r="TOI95" s="15" t="n"/>
      <c r="TOJ95" s="248" t="n"/>
      <c r="TOK95" s="248" t="n"/>
      <c r="TOL95" s="240" t="n"/>
      <c r="TOM95" s="240" t="n"/>
      <c r="TOO95" s="15" t="n"/>
      <c r="TOP95" s="15" t="n"/>
      <c r="TOQ95" s="248" t="n"/>
      <c r="TOR95" s="248" t="n"/>
      <c r="TOS95" s="240" t="n"/>
      <c r="TOT95" s="240" t="n"/>
      <c r="TOV95" s="15" t="n"/>
      <c r="TOW95" s="15" t="n"/>
      <c r="TOX95" s="248" t="n"/>
      <c r="TOY95" s="248" t="n"/>
      <c r="TOZ95" s="240" t="n"/>
      <c r="TPA95" s="240" t="n"/>
      <c r="TPC95" s="15" t="n"/>
      <c r="TPD95" s="15" t="n"/>
      <c r="TPE95" s="248" t="n"/>
      <c r="TPF95" s="248" t="n"/>
      <c r="TPG95" s="240" t="n"/>
      <c r="TPH95" s="240" t="n"/>
      <c r="TPJ95" s="15" t="n"/>
      <c r="TPK95" s="15" t="n"/>
      <c r="TPL95" s="248" t="n"/>
      <c r="TPM95" s="248" t="n"/>
      <c r="TPN95" s="240" t="n"/>
      <c r="TPO95" s="240" t="n"/>
      <c r="TPQ95" s="15" t="n"/>
      <c r="TPR95" s="15" t="n"/>
      <c r="TPS95" s="248" t="n"/>
      <c r="TPT95" s="248" t="n"/>
      <c r="TPU95" s="240" t="n"/>
      <c r="TPV95" s="240" t="n"/>
      <c r="TPX95" s="15" t="n"/>
      <c r="TPY95" s="15" t="n"/>
      <c r="TPZ95" s="248" t="n"/>
      <c r="TQA95" s="248" t="n"/>
      <c r="TQB95" s="240" t="n"/>
      <c r="TQC95" s="240" t="n"/>
      <c r="TQE95" s="15" t="n"/>
      <c r="TQF95" s="15" t="n"/>
      <c r="TQG95" s="248" t="n"/>
      <c r="TQH95" s="248" t="n"/>
      <c r="TQI95" s="240" t="n"/>
      <c r="TQJ95" s="240" t="n"/>
      <c r="TQL95" s="15" t="n"/>
      <c r="TQM95" s="15" t="n"/>
      <c r="TQN95" s="248" t="n"/>
      <c r="TQO95" s="248" t="n"/>
      <c r="TQP95" s="240" t="n"/>
      <c r="TQQ95" s="240" t="n"/>
      <c r="TQS95" s="15" t="n"/>
      <c r="TQT95" s="15" t="n"/>
      <c r="TQU95" s="248" t="n"/>
      <c r="TQV95" s="248" t="n"/>
      <c r="TQW95" s="240" t="n"/>
      <c r="TQX95" s="240" t="n"/>
      <c r="TQZ95" s="15" t="n"/>
      <c r="TRA95" s="15" t="n"/>
      <c r="TRB95" s="248" t="n"/>
      <c r="TRC95" s="248" t="n"/>
      <c r="TRD95" s="240" t="n"/>
      <c r="TRE95" s="240" t="n"/>
      <c r="TRG95" s="15" t="n"/>
      <c r="TRH95" s="15" t="n"/>
      <c r="TRI95" s="248" t="n"/>
      <c r="TRJ95" s="248" t="n"/>
      <c r="TRK95" s="240" t="n"/>
      <c r="TRL95" s="240" t="n"/>
      <c r="TRN95" s="15" t="n"/>
      <c r="TRO95" s="15" t="n"/>
      <c r="TRP95" s="248" t="n"/>
      <c r="TRQ95" s="248" t="n"/>
      <c r="TRR95" s="240" t="n"/>
      <c r="TRS95" s="240" t="n"/>
      <c r="TRU95" s="15" t="n"/>
      <c r="TRV95" s="15" t="n"/>
      <c r="TRW95" s="248" t="n"/>
      <c r="TRX95" s="248" t="n"/>
      <c r="TRY95" s="240" t="n"/>
      <c r="TRZ95" s="240" t="n"/>
      <c r="TSB95" s="15" t="n"/>
      <c r="TSC95" s="15" t="n"/>
      <c r="TSD95" s="248" t="n"/>
      <c r="TSE95" s="248" t="n"/>
      <c r="TSF95" s="240" t="n"/>
      <c r="TSG95" s="240" t="n"/>
      <c r="TSI95" s="15" t="n"/>
      <c r="TSJ95" s="15" t="n"/>
      <c r="TSK95" s="248" t="n"/>
      <c r="TSL95" s="248" t="n"/>
      <c r="TSM95" s="240" t="n"/>
      <c r="TSN95" s="240" t="n"/>
      <c r="TSP95" s="15" t="n"/>
      <c r="TSQ95" s="15" t="n"/>
      <c r="TSR95" s="248" t="n"/>
      <c r="TSS95" s="248" t="n"/>
      <c r="TST95" s="240" t="n"/>
      <c r="TSU95" s="240" t="n"/>
      <c r="TSW95" s="15" t="n"/>
      <c r="TSX95" s="15" t="n"/>
      <c r="TSY95" s="248" t="n"/>
      <c r="TSZ95" s="248" t="n"/>
      <c r="TTA95" s="240" t="n"/>
      <c r="TTB95" s="240" t="n"/>
      <c r="TTD95" s="15" t="n"/>
      <c r="TTE95" s="15" t="n"/>
      <c r="TTF95" s="248" t="n"/>
      <c r="TTG95" s="248" t="n"/>
      <c r="TTH95" s="240" t="n"/>
      <c r="TTI95" s="240" t="n"/>
      <c r="TTK95" s="15" t="n"/>
      <c r="TTL95" s="15" t="n"/>
      <c r="TTM95" s="248" t="n"/>
      <c r="TTN95" s="248" t="n"/>
      <c r="TTO95" s="240" t="n"/>
      <c r="TTP95" s="240" t="n"/>
      <c r="TTR95" s="15" t="n"/>
      <c r="TTS95" s="15" t="n"/>
      <c r="TTT95" s="248" t="n"/>
      <c r="TTU95" s="248" t="n"/>
      <c r="TTV95" s="240" t="n"/>
      <c r="TTW95" s="240" t="n"/>
      <c r="TTY95" s="15" t="n"/>
      <c r="TTZ95" s="15" t="n"/>
      <c r="TUA95" s="248" t="n"/>
      <c r="TUB95" s="248" t="n"/>
      <c r="TUC95" s="240" t="n"/>
      <c r="TUD95" s="240" t="n"/>
      <c r="TUF95" s="15" t="n"/>
      <c r="TUG95" s="15" t="n"/>
      <c r="TUH95" s="248" t="n"/>
      <c r="TUI95" s="248" t="n"/>
      <c r="TUJ95" s="240" t="n"/>
      <c r="TUK95" s="240" t="n"/>
      <c r="TUM95" s="15" t="n"/>
      <c r="TUN95" s="15" t="n"/>
      <c r="TUO95" s="248" t="n"/>
      <c r="TUP95" s="248" t="n"/>
      <c r="TUQ95" s="240" t="n"/>
      <c r="TUR95" s="240" t="n"/>
      <c r="TUT95" s="15" t="n"/>
      <c r="TUU95" s="15" t="n"/>
      <c r="TUV95" s="248" t="n"/>
      <c r="TUW95" s="248" t="n"/>
      <c r="TUX95" s="240" t="n"/>
      <c r="TUY95" s="240" t="n"/>
      <c r="TVA95" s="15" t="n"/>
      <c r="TVB95" s="15" t="n"/>
      <c r="TVC95" s="248" t="n"/>
      <c r="TVD95" s="248" t="n"/>
      <c r="TVE95" s="240" t="n"/>
      <c r="TVF95" s="240" t="n"/>
      <c r="TVH95" s="15" t="n"/>
      <c r="TVI95" s="15" t="n"/>
      <c r="TVJ95" s="248" t="n"/>
      <c r="TVK95" s="248" t="n"/>
      <c r="TVL95" s="240" t="n"/>
      <c r="TVM95" s="240" t="n"/>
      <c r="TVO95" s="15" t="n"/>
      <c r="TVP95" s="15" t="n"/>
      <c r="TVQ95" s="248" t="n"/>
      <c r="TVR95" s="248" t="n"/>
      <c r="TVS95" s="240" t="n"/>
      <c r="TVT95" s="240" t="n"/>
      <c r="TVV95" s="15" t="n"/>
      <c r="TVW95" s="15" t="n"/>
      <c r="TVX95" s="248" t="n"/>
      <c r="TVY95" s="248" t="n"/>
      <c r="TVZ95" s="240" t="n"/>
      <c r="TWA95" s="240" t="n"/>
      <c r="TWC95" s="15" t="n"/>
      <c r="TWD95" s="15" t="n"/>
      <c r="TWE95" s="248" t="n"/>
      <c r="TWF95" s="248" t="n"/>
      <c r="TWG95" s="240" t="n"/>
      <c r="TWH95" s="240" t="n"/>
      <c r="TWJ95" s="15" t="n"/>
      <c r="TWK95" s="15" t="n"/>
      <c r="TWL95" s="248" t="n"/>
      <c r="TWM95" s="248" t="n"/>
      <c r="TWN95" s="240" t="n"/>
      <c r="TWO95" s="240" t="n"/>
      <c r="TWQ95" s="15" t="n"/>
      <c r="TWR95" s="15" t="n"/>
      <c r="TWS95" s="248" t="n"/>
      <c r="TWT95" s="248" t="n"/>
      <c r="TWU95" s="240" t="n"/>
      <c r="TWV95" s="240" t="n"/>
      <c r="TWX95" s="15" t="n"/>
      <c r="TWY95" s="15" t="n"/>
      <c r="TWZ95" s="248" t="n"/>
      <c r="TXA95" s="248" t="n"/>
      <c r="TXB95" s="240" t="n"/>
      <c r="TXC95" s="240" t="n"/>
      <c r="TXE95" s="15" t="n"/>
      <c r="TXF95" s="15" t="n"/>
      <c r="TXG95" s="248" t="n"/>
      <c r="TXH95" s="248" t="n"/>
      <c r="TXI95" s="240" t="n"/>
      <c r="TXJ95" s="240" t="n"/>
      <c r="TXL95" s="15" t="n"/>
      <c r="TXM95" s="15" t="n"/>
      <c r="TXN95" s="248" t="n"/>
      <c r="TXO95" s="248" t="n"/>
      <c r="TXP95" s="240" t="n"/>
      <c r="TXQ95" s="240" t="n"/>
      <c r="TXS95" s="15" t="n"/>
      <c r="TXT95" s="15" t="n"/>
      <c r="TXU95" s="248" t="n"/>
      <c r="TXV95" s="248" t="n"/>
      <c r="TXW95" s="240" t="n"/>
      <c r="TXX95" s="240" t="n"/>
      <c r="TXZ95" s="15" t="n"/>
      <c r="TYA95" s="15" t="n"/>
      <c r="TYB95" s="248" t="n"/>
      <c r="TYC95" s="248" t="n"/>
      <c r="TYD95" s="240" t="n"/>
      <c r="TYE95" s="240" t="n"/>
      <c r="TYG95" s="15" t="n"/>
      <c r="TYH95" s="15" t="n"/>
      <c r="TYI95" s="248" t="n"/>
      <c r="TYJ95" s="248" t="n"/>
      <c r="TYK95" s="240" t="n"/>
      <c r="TYL95" s="240" t="n"/>
      <c r="TYN95" s="15" t="n"/>
      <c r="TYO95" s="15" t="n"/>
      <c r="TYP95" s="248" t="n"/>
      <c r="TYQ95" s="248" t="n"/>
      <c r="TYR95" s="240" t="n"/>
      <c r="TYS95" s="240" t="n"/>
      <c r="TYU95" s="15" t="n"/>
      <c r="TYV95" s="15" t="n"/>
      <c r="TYW95" s="248" t="n"/>
      <c r="TYX95" s="248" t="n"/>
      <c r="TYY95" s="240" t="n"/>
      <c r="TYZ95" s="240" t="n"/>
      <c r="TZB95" s="15" t="n"/>
      <c r="TZC95" s="15" t="n"/>
      <c r="TZD95" s="248" t="n"/>
      <c r="TZE95" s="248" t="n"/>
      <c r="TZF95" s="240" t="n"/>
      <c r="TZG95" s="240" t="n"/>
      <c r="TZI95" s="15" t="n"/>
      <c r="TZJ95" s="15" t="n"/>
      <c r="TZK95" s="248" t="n"/>
      <c r="TZL95" s="248" t="n"/>
      <c r="TZM95" s="240" t="n"/>
      <c r="TZN95" s="240" t="n"/>
      <c r="TZP95" s="15" t="n"/>
      <c r="TZQ95" s="15" t="n"/>
      <c r="TZR95" s="248" t="n"/>
      <c r="TZS95" s="248" t="n"/>
      <c r="TZT95" s="240" t="n"/>
      <c r="TZU95" s="240" t="n"/>
      <c r="TZW95" s="15" t="n"/>
      <c r="TZX95" s="15" t="n"/>
      <c r="TZY95" s="248" t="n"/>
      <c r="TZZ95" s="248" t="n"/>
      <c r="UAA95" s="240" t="n"/>
      <c r="UAB95" s="240" t="n"/>
      <c r="UAD95" s="15" t="n"/>
      <c r="UAE95" s="15" t="n"/>
      <c r="UAF95" s="248" t="n"/>
      <c r="UAG95" s="248" t="n"/>
      <c r="UAH95" s="240" t="n"/>
      <c r="UAI95" s="240" t="n"/>
      <c r="UAK95" s="15" t="n"/>
      <c r="UAL95" s="15" t="n"/>
      <c r="UAM95" s="248" t="n"/>
      <c r="UAN95" s="248" t="n"/>
      <c r="UAO95" s="240" t="n"/>
      <c r="UAP95" s="240" t="n"/>
      <c r="UAR95" s="15" t="n"/>
      <c r="UAS95" s="15" t="n"/>
      <c r="UAT95" s="248" t="n"/>
      <c r="UAU95" s="248" t="n"/>
      <c r="UAV95" s="240" t="n"/>
      <c r="UAW95" s="240" t="n"/>
      <c r="UAY95" s="15" t="n"/>
      <c r="UAZ95" s="15" t="n"/>
      <c r="UBA95" s="248" t="n"/>
      <c r="UBB95" s="248" t="n"/>
      <c r="UBC95" s="240" t="n"/>
      <c r="UBD95" s="240" t="n"/>
      <c r="UBF95" s="15" t="n"/>
      <c r="UBG95" s="15" t="n"/>
      <c r="UBH95" s="248" t="n"/>
      <c r="UBI95" s="248" t="n"/>
      <c r="UBJ95" s="240" t="n"/>
      <c r="UBK95" s="240" t="n"/>
      <c r="UBM95" s="15" t="n"/>
      <c r="UBN95" s="15" t="n"/>
      <c r="UBO95" s="248" t="n"/>
      <c r="UBP95" s="248" t="n"/>
      <c r="UBQ95" s="240" t="n"/>
      <c r="UBR95" s="240" t="n"/>
      <c r="UBT95" s="15" t="n"/>
      <c r="UBU95" s="15" t="n"/>
      <c r="UBV95" s="248" t="n"/>
      <c r="UBW95" s="248" t="n"/>
      <c r="UBX95" s="240" t="n"/>
      <c r="UBY95" s="240" t="n"/>
      <c r="UCA95" s="15" t="n"/>
      <c r="UCB95" s="15" t="n"/>
      <c r="UCC95" s="248" t="n"/>
      <c r="UCD95" s="248" t="n"/>
      <c r="UCE95" s="240" t="n"/>
      <c r="UCF95" s="240" t="n"/>
      <c r="UCH95" s="15" t="n"/>
      <c r="UCI95" s="15" t="n"/>
      <c r="UCJ95" s="248" t="n"/>
      <c r="UCK95" s="248" t="n"/>
      <c r="UCL95" s="240" t="n"/>
      <c r="UCM95" s="240" t="n"/>
      <c r="UCO95" s="15" t="n"/>
      <c r="UCP95" s="15" t="n"/>
      <c r="UCQ95" s="248" t="n"/>
      <c r="UCR95" s="248" t="n"/>
      <c r="UCS95" s="240" t="n"/>
      <c r="UCT95" s="240" t="n"/>
      <c r="UCV95" s="15" t="n"/>
      <c r="UCW95" s="15" t="n"/>
      <c r="UCX95" s="248" t="n"/>
      <c r="UCY95" s="248" t="n"/>
      <c r="UCZ95" s="240" t="n"/>
      <c r="UDA95" s="240" t="n"/>
      <c r="UDC95" s="15" t="n"/>
      <c r="UDD95" s="15" t="n"/>
      <c r="UDE95" s="248" t="n"/>
      <c r="UDF95" s="248" t="n"/>
      <c r="UDG95" s="240" t="n"/>
      <c r="UDH95" s="240" t="n"/>
      <c r="UDJ95" s="15" t="n"/>
      <c r="UDK95" s="15" t="n"/>
      <c r="UDL95" s="248" t="n"/>
      <c r="UDM95" s="248" t="n"/>
      <c r="UDN95" s="240" t="n"/>
      <c r="UDO95" s="240" t="n"/>
      <c r="UDQ95" s="15" t="n"/>
      <c r="UDR95" s="15" t="n"/>
      <c r="UDS95" s="248" t="n"/>
      <c r="UDT95" s="248" t="n"/>
      <c r="UDU95" s="240" t="n"/>
      <c r="UDV95" s="240" t="n"/>
      <c r="UDX95" s="15" t="n"/>
      <c r="UDY95" s="15" t="n"/>
      <c r="UDZ95" s="248" t="n"/>
      <c r="UEA95" s="248" t="n"/>
      <c r="UEB95" s="240" t="n"/>
      <c r="UEC95" s="240" t="n"/>
      <c r="UEE95" s="15" t="n"/>
      <c r="UEF95" s="15" t="n"/>
      <c r="UEG95" s="248" t="n"/>
      <c r="UEH95" s="248" t="n"/>
      <c r="UEI95" s="240" t="n"/>
      <c r="UEJ95" s="240" t="n"/>
      <c r="UEL95" s="15" t="n"/>
      <c r="UEM95" s="15" t="n"/>
      <c r="UEN95" s="248" t="n"/>
      <c r="UEO95" s="248" t="n"/>
      <c r="UEP95" s="240" t="n"/>
      <c r="UEQ95" s="240" t="n"/>
      <c r="UES95" s="15" t="n"/>
      <c r="UET95" s="15" t="n"/>
      <c r="UEU95" s="248" t="n"/>
      <c r="UEV95" s="248" t="n"/>
      <c r="UEW95" s="240" t="n"/>
      <c r="UEX95" s="240" t="n"/>
      <c r="UEZ95" s="15" t="n"/>
      <c r="UFA95" s="15" t="n"/>
      <c r="UFB95" s="248" t="n"/>
      <c r="UFC95" s="248" t="n"/>
      <c r="UFD95" s="240" t="n"/>
      <c r="UFE95" s="240" t="n"/>
      <c r="UFG95" s="15" t="n"/>
      <c r="UFH95" s="15" t="n"/>
      <c r="UFI95" s="248" t="n"/>
      <c r="UFJ95" s="248" t="n"/>
      <c r="UFK95" s="240" t="n"/>
      <c r="UFL95" s="240" t="n"/>
      <c r="UFN95" s="15" t="n"/>
      <c r="UFO95" s="15" t="n"/>
      <c r="UFP95" s="248" t="n"/>
      <c r="UFQ95" s="248" t="n"/>
      <c r="UFR95" s="240" t="n"/>
      <c r="UFS95" s="240" t="n"/>
      <c r="UFU95" s="15" t="n"/>
      <c r="UFV95" s="15" t="n"/>
      <c r="UFW95" s="248" t="n"/>
      <c r="UFX95" s="248" t="n"/>
      <c r="UFY95" s="240" t="n"/>
      <c r="UFZ95" s="240" t="n"/>
      <c r="UGB95" s="15" t="n"/>
      <c r="UGC95" s="15" t="n"/>
      <c r="UGD95" s="248" t="n"/>
      <c r="UGE95" s="248" t="n"/>
      <c r="UGF95" s="240" t="n"/>
      <c r="UGG95" s="240" t="n"/>
      <c r="UGI95" s="15" t="n"/>
      <c r="UGJ95" s="15" t="n"/>
      <c r="UGK95" s="248" t="n"/>
      <c r="UGL95" s="248" t="n"/>
      <c r="UGM95" s="240" t="n"/>
      <c r="UGN95" s="240" t="n"/>
      <c r="UGP95" s="15" t="n"/>
      <c r="UGQ95" s="15" t="n"/>
      <c r="UGR95" s="248" t="n"/>
      <c r="UGS95" s="248" t="n"/>
      <c r="UGT95" s="240" t="n"/>
      <c r="UGU95" s="240" t="n"/>
      <c r="UGW95" s="15" t="n"/>
      <c r="UGX95" s="15" t="n"/>
      <c r="UGY95" s="248" t="n"/>
      <c r="UGZ95" s="248" t="n"/>
      <c r="UHA95" s="240" t="n"/>
      <c r="UHB95" s="240" t="n"/>
      <c r="UHD95" s="15" t="n"/>
      <c r="UHE95" s="15" t="n"/>
      <c r="UHF95" s="248" t="n"/>
      <c r="UHG95" s="248" t="n"/>
      <c r="UHH95" s="240" t="n"/>
      <c r="UHI95" s="240" t="n"/>
      <c r="UHK95" s="15" t="n"/>
      <c r="UHL95" s="15" t="n"/>
      <c r="UHM95" s="248" t="n"/>
      <c r="UHN95" s="248" t="n"/>
      <c r="UHO95" s="240" t="n"/>
      <c r="UHP95" s="240" t="n"/>
      <c r="UHR95" s="15" t="n"/>
      <c r="UHS95" s="15" t="n"/>
      <c r="UHT95" s="248" t="n"/>
      <c r="UHU95" s="248" t="n"/>
      <c r="UHV95" s="240" t="n"/>
      <c r="UHW95" s="240" t="n"/>
      <c r="UHY95" s="15" t="n"/>
      <c r="UHZ95" s="15" t="n"/>
      <c r="UIA95" s="248" t="n"/>
      <c r="UIB95" s="248" t="n"/>
      <c r="UIC95" s="240" t="n"/>
      <c r="UID95" s="240" t="n"/>
      <c r="UIF95" s="15" t="n"/>
      <c r="UIG95" s="15" t="n"/>
      <c r="UIH95" s="248" t="n"/>
      <c r="UII95" s="248" t="n"/>
      <c r="UIJ95" s="240" t="n"/>
      <c r="UIK95" s="240" t="n"/>
      <c r="UIM95" s="15" t="n"/>
      <c r="UIN95" s="15" t="n"/>
      <c r="UIO95" s="248" t="n"/>
      <c r="UIP95" s="248" t="n"/>
      <c r="UIQ95" s="240" t="n"/>
      <c r="UIR95" s="240" t="n"/>
      <c r="UIT95" s="15" t="n"/>
      <c r="UIU95" s="15" t="n"/>
      <c r="UIV95" s="248" t="n"/>
      <c r="UIW95" s="248" t="n"/>
      <c r="UIX95" s="240" t="n"/>
      <c r="UIY95" s="240" t="n"/>
      <c r="UJA95" s="15" t="n"/>
      <c r="UJB95" s="15" t="n"/>
      <c r="UJC95" s="248" t="n"/>
      <c r="UJD95" s="248" t="n"/>
      <c r="UJE95" s="240" t="n"/>
      <c r="UJF95" s="240" t="n"/>
      <c r="UJH95" s="15" t="n"/>
      <c r="UJI95" s="15" t="n"/>
      <c r="UJJ95" s="248" t="n"/>
      <c r="UJK95" s="248" t="n"/>
      <c r="UJL95" s="240" t="n"/>
      <c r="UJM95" s="240" t="n"/>
      <c r="UJO95" s="15" t="n"/>
      <c r="UJP95" s="15" t="n"/>
      <c r="UJQ95" s="248" t="n"/>
      <c r="UJR95" s="248" t="n"/>
      <c r="UJS95" s="240" t="n"/>
      <c r="UJT95" s="240" t="n"/>
      <c r="UJV95" s="15" t="n"/>
      <c r="UJW95" s="15" t="n"/>
      <c r="UJX95" s="248" t="n"/>
      <c r="UJY95" s="248" t="n"/>
      <c r="UJZ95" s="240" t="n"/>
      <c r="UKA95" s="240" t="n"/>
      <c r="UKC95" s="15" t="n"/>
      <c r="UKD95" s="15" t="n"/>
      <c r="UKE95" s="248" t="n"/>
      <c r="UKF95" s="248" t="n"/>
      <c r="UKG95" s="240" t="n"/>
      <c r="UKH95" s="240" t="n"/>
      <c r="UKJ95" s="15" t="n"/>
      <c r="UKK95" s="15" t="n"/>
      <c r="UKL95" s="248" t="n"/>
      <c r="UKM95" s="248" t="n"/>
      <c r="UKN95" s="240" t="n"/>
      <c r="UKO95" s="240" t="n"/>
      <c r="UKQ95" s="15" t="n"/>
      <c r="UKR95" s="15" t="n"/>
      <c r="UKS95" s="248" t="n"/>
      <c r="UKT95" s="248" t="n"/>
      <c r="UKU95" s="240" t="n"/>
      <c r="UKV95" s="240" t="n"/>
      <c r="UKX95" s="15" t="n"/>
      <c r="UKY95" s="15" t="n"/>
      <c r="UKZ95" s="248" t="n"/>
      <c r="ULA95" s="248" t="n"/>
      <c r="ULB95" s="240" t="n"/>
      <c r="ULC95" s="240" t="n"/>
      <c r="ULE95" s="15" t="n"/>
      <c r="ULF95" s="15" t="n"/>
      <c r="ULG95" s="248" t="n"/>
      <c r="ULH95" s="248" t="n"/>
      <c r="ULI95" s="240" t="n"/>
      <c r="ULJ95" s="240" t="n"/>
      <c r="ULL95" s="15" t="n"/>
      <c r="ULM95" s="15" t="n"/>
      <c r="ULN95" s="248" t="n"/>
      <c r="ULO95" s="248" t="n"/>
      <c r="ULP95" s="240" t="n"/>
      <c r="ULQ95" s="240" t="n"/>
      <c r="ULS95" s="15" t="n"/>
      <c r="ULT95" s="15" t="n"/>
      <c r="ULU95" s="248" t="n"/>
      <c r="ULV95" s="248" t="n"/>
      <c r="ULW95" s="240" t="n"/>
      <c r="ULX95" s="240" t="n"/>
      <c r="ULZ95" s="15" t="n"/>
      <c r="UMA95" s="15" t="n"/>
      <c r="UMB95" s="248" t="n"/>
      <c r="UMC95" s="248" t="n"/>
      <c r="UMD95" s="240" t="n"/>
      <c r="UME95" s="240" t="n"/>
      <c r="UMG95" s="15" t="n"/>
      <c r="UMH95" s="15" t="n"/>
      <c r="UMI95" s="248" t="n"/>
      <c r="UMJ95" s="248" t="n"/>
      <c r="UMK95" s="240" t="n"/>
      <c r="UML95" s="240" t="n"/>
      <c r="UMN95" s="15" t="n"/>
      <c r="UMO95" s="15" t="n"/>
      <c r="UMP95" s="248" t="n"/>
      <c r="UMQ95" s="248" t="n"/>
      <c r="UMR95" s="240" t="n"/>
      <c r="UMS95" s="240" t="n"/>
      <c r="UMU95" s="15" t="n"/>
      <c r="UMV95" s="15" t="n"/>
      <c r="UMW95" s="248" t="n"/>
      <c r="UMX95" s="248" t="n"/>
      <c r="UMY95" s="240" t="n"/>
      <c r="UMZ95" s="240" t="n"/>
      <c r="UNB95" s="15" t="n"/>
      <c r="UNC95" s="15" t="n"/>
      <c r="UND95" s="248" t="n"/>
      <c r="UNE95" s="248" t="n"/>
      <c r="UNF95" s="240" t="n"/>
      <c r="UNG95" s="240" t="n"/>
      <c r="UNI95" s="15" t="n"/>
      <c r="UNJ95" s="15" t="n"/>
      <c r="UNK95" s="248" t="n"/>
      <c r="UNL95" s="248" t="n"/>
      <c r="UNM95" s="240" t="n"/>
      <c r="UNN95" s="240" t="n"/>
      <c r="UNP95" s="15" t="n"/>
      <c r="UNQ95" s="15" t="n"/>
      <c r="UNR95" s="248" t="n"/>
      <c r="UNS95" s="248" t="n"/>
      <c r="UNT95" s="240" t="n"/>
      <c r="UNU95" s="240" t="n"/>
      <c r="UNW95" s="15" t="n"/>
      <c r="UNX95" s="15" t="n"/>
      <c r="UNY95" s="248" t="n"/>
      <c r="UNZ95" s="248" t="n"/>
      <c r="UOA95" s="240" t="n"/>
      <c r="UOB95" s="240" t="n"/>
      <c r="UOD95" s="15" t="n"/>
      <c r="UOE95" s="15" t="n"/>
      <c r="UOF95" s="248" t="n"/>
      <c r="UOG95" s="248" t="n"/>
      <c r="UOH95" s="240" t="n"/>
      <c r="UOI95" s="240" t="n"/>
      <c r="UOK95" s="15" t="n"/>
      <c r="UOL95" s="15" t="n"/>
      <c r="UOM95" s="248" t="n"/>
      <c r="UON95" s="248" t="n"/>
      <c r="UOO95" s="240" t="n"/>
      <c r="UOP95" s="240" t="n"/>
      <c r="UOR95" s="15" t="n"/>
      <c r="UOS95" s="15" t="n"/>
      <c r="UOT95" s="248" t="n"/>
      <c r="UOU95" s="248" t="n"/>
      <c r="UOV95" s="240" t="n"/>
      <c r="UOW95" s="240" t="n"/>
      <c r="UOY95" s="15" t="n"/>
      <c r="UOZ95" s="15" t="n"/>
      <c r="UPA95" s="248" t="n"/>
      <c r="UPB95" s="248" t="n"/>
      <c r="UPC95" s="240" t="n"/>
      <c r="UPD95" s="240" t="n"/>
      <c r="UPF95" s="15" t="n"/>
      <c r="UPG95" s="15" t="n"/>
      <c r="UPH95" s="248" t="n"/>
      <c r="UPI95" s="248" t="n"/>
      <c r="UPJ95" s="240" t="n"/>
      <c r="UPK95" s="240" t="n"/>
      <c r="UPM95" s="15" t="n"/>
      <c r="UPN95" s="15" t="n"/>
      <c r="UPO95" s="248" t="n"/>
      <c r="UPP95" s="248" t="n"/>
      <c r="UPQ95" s="240" t="n"/>
      <c r="UPR95" s="240" t="n"/>
      <c r="UPT95" s="15" t="n"/>
      <c r="UPU95" s="15" t="n"/>
      <c r="UPV95" s="248" t="n"/>
      <c r="UPW95" s="248" t="n"/>
      <c r="UPX95" s="240" t="n"/>
      <c r="UPY95" s="240" t="n"/>
      <c r="UQA95" s="15" t="n"/>
      <c r="UQB95" s="15" t="n"/>
      <c r="UQC95" s="248" t="n"/>
      <c r="UQD95" s="248" t="n"/>
      <c r="UQE95" s="240" t="n"/>
      <c r="UQF95" s="240" t="n"/>
      <c r="UQH95" s="15" t="n"/>
      <c r="UQI95" s="15" t="n"/>
      <c r="UQJ95" s="248" t="n"/>
      <c r="UQK95" s="248" t="n"/>
      <c r="UQL95" s="240" t="n"/>
      <c r="UQM95" s="240" t="n"/>
      <c r="UQO95" s="15" t="n"/>
      <c r="UQP95" s="15" t="n"/>
      <c r="UQQ95" s="248" t="n"/>
      <c r="UQR95" s="248" t="n"/>
      <c r="UQS95" s="240" t="n"/>
      <c r="UQT95" s="240" t="n"/>
      <c r="UQV95" s="15" t="n"/>
      <c r="UQW95" s="15" t="n"/>
      <c r="UQX95" s="248" t="n"/>
      <c r="UQY95" s="248" t="n"/>
      <c r="UQZ95" s="240" t="n"/>
      <c r="URA95" s="240" t="n"/>
      <c r="URC95" s="15" t="n"/>
      <c r="URD95" s="15" t="n"/>
      <c r="URE95" s="248" t="n"/>
      <c r="URF95" s="248" t="n"/>
      <c r="URG95" s="240" t="n"/>
      <c r="URH95" s="240" t="n"/>
      <c r="URJ95" s="15" t="n"/>
      <c r="URK95" s="15" t="n"/>
      <c r="URL95" s="248" t="n"/>
      <c r="URM95" s="248" t="n"/>
      <c r="URN95" s="240" t="n"/>
      <c r="URO95" s="240" t="n"/>
      <c r="URQ95" s="15" t="n"/>
      <c r="URR95" s="15" t="n"/>
      <c r="URS95" s="248" t="n"/>
      <c r="URT95" s="248" t="n"/>
      <c r="URU95" s="240" t="n"/>
      <c r="URV95" s="240" t="n"/>
      <c r="URX95" s="15" t="n"/>
      <c r="URY95" s="15" t="n"/>
      <c r="URZ95" s="248" t="n"/>
      <c r="USA95" s="248" t="n"/>
      <c r="USB95" s="240" t="n"/>
      <c r="USC95" s="240" t="n"/>
      <c r="USE95" s="15" t="n"/>
      <c r="USF95" s="15" t="n"/>
      <c r="USG95" s="248" t="n"/>
      <c r="USH95" s="248" t="n"/>
      <c r="USI95" s="240" t="n"/>
      <c r="USJ95" s="240" t="n"/>
      <c r="USL95" s="15" t="n"/>
      <c r="USM95" s="15" t="n"/>
      <c r="USN95" s="248" t="n"/>
      <c r="USO95" s="248" t="n"/>
      <c r="USP95" s="240" t="n"/>
      <c r="USQ95" s="240" t="n"/>
      <c r="USS95" s="15" t="n"/>
      <c r="UST95" s="15" t="n"/>
      <c r="USU95" s="248" t="n"/>
      <c r="USV95" s="248" t="n"/>
      <c r="USW95" s="240" t="n"/>
      <c r="USX95" s="240" t="n"/>
      <c r="USZ95" s="15" t="n"/>
      <c r="UTA95" s="15" t="n"/>
      <c r="UTB95" s="248" t="n"/>
      <c r="UTC95" s="248" t="n"/>
      <c r="UTD95" s="240" t="n"/>
      <c r="UTE95" s="240" t="n"/>
      <c r="UTG95" s="15" t="n"/>
      <c r="UTH95" s="15" t="n"/>
      <c r="UTI95" s="248" t="n"/>
      <c r="UTJ95" s="248" t="n"/>
      <c r="UTK95" s="240" t="n"/>
      <c r="UTL95" s="240" t="n"/>
      <c r="UTN95" s="15" t="n"/>
      <c r="UTO95" s="15" t="n"/>
      <c r="UTP95" s="248" t="n"/>
      <c r="UTQ95" s="248" t="n"/>
      <c r="UTR95" s="240" t="n"/>
      <c r="UTS95" s="240" t="n"/>
      <c r="UTU95" s="15" t="n"/>
      <c r="UTV95" s="15" t="n"/>
      <c r="UTW95" s="248" t="n"/>
      <c r="UTX95" s="248" t="n"/>
      <c r="UTY95" s="240" t="n"/>
      <c r="UTZ95" s="240" t="n"/>
      <c r="UUB95" s="15" t="n"/>
      <c r="UUC95" s="15" t="n"/>
      <c r="UUD95" s="248" t="n"/>
      <c r="UUE95" s="248" t="n"/>
      <c r="UUF95" s="240" t="n"/>
      <c r="UUG95" s="240" t="n"/>
      <c r="UUI95" s="15" t="n"/>
      <c r="UUJ95" s="15" t="n"/>
      <c r="UUK95" s="248" t="n"/>
      <c r="UUL95" s="248" t="n"/>
      <c r="UUM95" s="240" t="n"/>
      <c r="UUN95" s="240" t="n"/>
      <c r="UUP95" s="15" t="n"/>
      <c r="UUQ95" s="15" t="n"/>
      <c r="UUR95" s="248" t="n"/>
      <c r="UUS95" s="248" t="n"/>
      <c r="UUT95" s="240" t="n"/>
      <c r="UUU95" s="240" t="n"/>
      <c r="UUW95" s="15" t="n"/>
      <c r="UUX95" s="15" t="n"/>
      <c r="UUY95" s="248" t="n"/>
      <c r="UUZ95" s="248" t="n"/>
      <c r="UVA95" s="240" t="n"/>
      <c r="UVB95" s="240" t="n"/>
      <c r="UVD95" s="15" t="n"/>
      <c r="UVE95" s="15" t="n"/>
      <c r="UVF95" s="248" t="n"/>
      <c r="UVG95" s="248" t="n"/>
      <c r="UVH95" s="240" t="n"/>
      <c r="UVI95" s="240" t="n"/>
      <c r="UVK95" s="15" t="n"/>
      <c r="UVL95" s="15" t="n"/>
      <c r="UVM95" s="248" t="n"/>
      <c r="UVN95" s="248" t="n"/>
      <c r="UVO95" s="240" t="n"/>
      <c r="UVP95" s="240" t="n"/>
      <c r="UVR95" s="15" t="n"/>
      <c r="UVS95" s="15" t="n"/>
      <c r="UVT95" s="248" t="n"/>
      <c r="UVU95" s="248" t="n"/>
      <c r="UVV95" s="240" t="n"/>
      <c r="UVW95" s="240" t="n"/>
      <c r="UVY95" s="15" t="n"/>
      <c r="UVZ95" s="15" t="n"/>
      <c r="UWA95" s="248" t="n"/>
      <c r="UWB95" s="248" t="n"/>
      <c r="UWC95" s="240" t="n"/>
      <c r="UWD95" s="240" t="n"/>
      <c r="UWF95" s="15" t="n"/>
      <c r="UWG95" s="15" t="n"/>
      <c r="UWH95" s="248" t="n"/>
      <c r="UWI95" s="248" t="n"/>
      <c r="UWJ95" s="240" t="n"/>
      <c r="UWK95" s="240" t="n"/>
      <c r="UWM95" s="15" t="n"/>
      <c r="UWN95" s="15" t="n"/>
      <c r="UWO95" s="248" t="n"/>
      <c r="UWP95" s="248" t="n"/>
      <c r="UWQ95" s="240" t="n"/>
      <c r="UWR95" s="240" t="n"/>
      <c r="UWT95" s="15" t="n"/>
      <c r="UWU95" s="15" t="n"/>
      <c r="UWV95" s="248" t="n"/>
      <c r="UWW95" s="248" t="n"/>
      <c r="UWX95" s="240" t="n"/>
      <c r="UWY95" s="240" t="n"/>
      <c r="UXA95" s="15" t="n"/>
      <c r="UXB95" s="15" t="n"/>
      <c r="UXC95" s="248" t="n"/>
      <c r="UXD95" s="248" t="n"/>
      <c r="UXE95" s="240" t="n"/>
      <c r="UXF95" s="240" t="n"/>
      <c r="UXH95" s="15" t="n"/>
      <c r="UXI95" s="15" t="n"/>
      <c r="UXJ95" s="248" t="n"/>
      <c r="UXK95" s="248" t="n"/>
      <c r="UXL95" s="240" t="n"/>
      <c r="UXM95" s="240" t="n"/>
      <c r="UXO95" s="15" t="n"/>
      <c r="UXP95" s="15" t="n"/>
      <c r="UXQ95" s="248" t="n"/>
      <c r="UXR95" s="248" t="n"/>
      <c r="UXS95" s="240" t="n"/>
      <c r="UXT95" s="240" t="n"/>
      <c r="UXV95" s="15" t="n"/>
      <c r="UXW95" s="15" t="n"/>
      <c r="UXX95" s="248" t="n"/>
      <c r="UXY95" s="248" t="n"/>
      <c r="UXZ95" s="240" t="n"/>
      <c r="UYA95" s="240" t="n"/>
      <c r="UYC95" s="15" t="n"/>
      <c r="UYD95" s="15" t="n"/>
      <c r="UYE95" s="248" t="n"/>
      <c r="UYF95" s="248" t="n"/>
      <c r="UYG95" s="240" t="n"/>
      <c r="UYH95" s="240" t="n"/>
      <c r="UYJ95" s="15" t="n"/>
      <c r="UYK95" s="15" t="n"/>
      <c r="UYL95" s="248" t="n"/>
      <c r="UYM95" s="248" t="n"/>
      <c r="UYN95" s="240" t="n"/>
      <c r="UYO95" s="240" t="n"/>
      <c r="UYQ95" s="15" t="n"/>
      <c r="UYR95" s="15" t="n"/>
      <c r="UYS95" s="248" t="n"/>
      <c r="UYT95" s="248" t="n"/>
      <c r="UYU95" s="240" t="n"/>
      <c r="UYV95" s="240" t="n"/>
      <c r="UYX95" s="15" t="n"/>
      <c r="UYY95" s="15" t="n"/>
      <c r="UYZ95" s="248" t="n"/>
      <c r="UZA95" s="248" t="n"/>
      <c r="UZB95" s="240" t="n"/>
      <c r="UZC95" s="240" t="n"/>
      <c r="UZE95" s="15" t="n"/>
      <c r="UZF95" s="15" t="n"/>
      <c r="UZG95" s="248" t="n"/>
      <c r="UZH95" s="248" t="n"/>
      <c r="UZI95" s="240" t="n"/>
      <c r="UZJ95" s="240" t="n"/>
      <c r="UZL95" s="15" t="n"/>
      <c r="UZM95" s="15" t="n"/>
      <c r="UZN95" s="248" t="n"/>
      <c r="UZO95" s="248" t="n"/>
      <c r="UZP95" s="240" t="n"/>
      <c r="UZQ95" s="240" t="n"/>
      <c r="UZS95" s="15" t="n"/>
      <c r="UZT95" s="15" t="n"/>
      <c r="UZU95" s="248" t="n"/>
      <c r="UZV95" s="248" t="n"/>
      <c r="UZW95" s="240" t="n"/>
      <c r="UZX95" s="240" t="n"/>
      <c r="UZZ95" s="15" t="n"/>
      <c r="VAA95" s="15" t="n"/>
      <c r="VAB95" s="248" t="n"/>
      <c r="VAC95" s="248" t="n"/>
      <c r="VAD95" s="240" t="n"/>
      <c r="VAE95" s="240" t="n"/>
      <c r="VAG95" s="15" t="n"/>
      <c r="VAH95" s="15" t="n"/>
      <c r="VAI95" s="248" t="n"/>
      <c r="VAJ95" s="248" t="n"/>
      <c r="VAK95" s="240" t="n"/>
      <c r="VAL95" s="240" t="n"/>
      <c r="VAN95" s="15" t="n"/>
      <c r="VAO95" s="15" t="n"/>
      <c r="VAP95" s="248" t="n"/>
      <c r="VAQ95" s="248" t="n"/>
      <c r="VAR95" s="240" t="n"/>
      <c r="VAS95" s="240" t="n"/>
      <c r="VAU95" s="15" t="n"/>
      <c r="VAV95" s="15" t="n"/>
      <c r="VAW95" s="248" t="n"/>
      <c r="VAX95" s="248" t="n"/>
      <c r="VAY95" s="240" t="n"/>
      <c r="VAZ95" s="240" t="n"/>
      <c r="VBB95" s="15" t="n"/>
      <c r="VBC95" s="15" t="n"/>
      <c r="VBD95" s="248" t="n"/>
      <c r="VBE95" s="248" t="n"/>
      <c r="VBF95" s="240" t="n"/>
      <c r="VBG95" s="240" t="n"/>
      <c r="VBI95" s="15" t="n"/>
      <c r="VBJ95" s="15" t="n"/>
      <c r="VBK95" s="248" t="n"/>
      <c r="VBL95" s="248" t="n"/>
      <c r="VBM95" s="240" t="n"/>
      <c r="VBN95" s="240" t="n"/>
      <c r="VBP95" s="15" t="n"/>
      <c r="VBQ95" s="15" t="n"/>
      <c r="VBR95" s="248" t="n"/>
      <c r="VBS95" s="248" t="n"/>
      <c r="VBT95" s="240" t="n"/>
      <c r="VBU95" s="240" t="n"/>
      <c r="VBW95" s="15" t="n"/>
      <c r="VBX95" s="15" t="n"/>
      <c r="VBY95" s="248" t="n"/>
      <c r="VBZ95" s="248" t="n"/>
      <c r="VCA95" s="240" t="n"/>
      <c r="VCB95" s="240" t="n"/>
      <c r="VCD95" s="15" t="n"/>
      <c r="VCE95" s="15" t="n"/>
      <c r="VCF95" s="248" t="n"/>
      <c r="VCG95" s="248" t="n"/>
      <c r="VCH95" s="240" t="n"/>
      <c r="VCI95" s="240" t="n"/>
      <c r="VCK95" s="15" t="n"/>
      <c r="VCL95" s="15" t="n"/>
      <c r="VCM95" s="248" t="n"/>
      <c r="VCN95" s="248" t="n"/>
      <c r="VCO95" s="240" t="n"/>
      <c r="VCP95" s="240" t="n"/>
      <c r="VCR95" s="15" t="n"/>
      <c r="VCS95" s="15" t="n"/>
      <c r="VCT95" s="248" t="n"/>
      <c r="VCU95" s="248" t="n"/>
      <c r="VCV95" s="240" t="n"/>
      <c r="VCW95" s="240" t="n"/>
      <c r="VCY95" s="15" t="n"/>
      <c r="VCZ95" s="15" t="n"/>
      <c r="VDA95" s="248" t="n"/>
      <c r="VDB95" s="248" t="n"/>
      <c r="VDC95" s="240" t="n"/>
      <c r="VDD95" s="240" t="n"/>
      <c r="VDF95" s="15" t="n"/>
      <c r="VDG95" s="15" t="n"/>
      <c r="VDH95" s="248" t="n"/>
      <c r="VDI95" s="248" t="n"/>
      <c r="VDJ95" s="240" t="n"/>
      <c r="VDK95" s="240" t="n"/>
      <c r="VDM95" s="15" t="n"/>
      <c r="VDN95" s="15" t="n"/>
      <c r="VDO95" s="248" t="n"/>
      <c r="VDP95" s="248" t="n"/>
      <c r="VDQ95" s="240" t="n"/>
      <c r="VDR95" s="240" t="n"/>
      <c r="VDT95" s="15" t="n"/>
      <c r="VDU95" s="15" t="n"/>
      <c r="VDV95" s="248" t="n"/>
      <c r="VDW95" s="248" t="n"/>
      <c r="VDX95" s="240" t="n"/>
      <c r="VDY95" s="240" t="n"/>
      <c r="VEA95" s="15" t="n"/>
      <c r="VEB95" s="15" t="n"/>
      <c r="VEC95" s="248" t="n"/>
      <c r="VED95" s="248" t="n"/>
      <c r="VEE95" s="240" t="n"/>
      <c r="VEF95" s="240" t="n"/>
      <c r="VEH95" s="15" t="n"/>
      <c r="VEI95" s="15" t="n"/>
      <c r="VEJ95" s="248" t="n"/>
      <c r="VEK95" s="248" t="n"/>
      <c r="VEL95" s="240" t="n"/>
      <c r="VEM95" s="240" t="n"/>
      <c r="VEO95" s="15" t="n"/>
      <c r="VEP95" s="15" t="n"/>
      <c r="VEQ95" s="248" t="n"/>
      <c r="VER95" s="248" t="n"/>
      <c r="VES95" s="240" t="n"/>
      <c r="VET95" s="240" t="n"/>
      <c r="VEV95" s="15" t="n"/>
      <c r="VEW95" s="15" t="n"/>
      <c r="VEX95" s="248" t="n"/>
      <c r="VEY95" s="248" t="n"/>
      <c r="VEZ95" s="240" t="n"/>
      <c r="VFA95" s="240" t="n"/>
      <c r="VFC95" s="15" t="n"/>
      <c r="VFD95" s="15" t="n"/>
      <c r="VFE95" s="248" t="n"/>
      <c r="VFF95" s="248" t="n"/>
      <c r="VFG95" s="240" t="n"/>
      <c r="VFH95" s="240" t="n"/>
      <c r="VFJ95" s="15" t="n"/>
      <c r="VFK95" s="15" t="n"/>
      <c r="VFL95" s="248" t="n"/>
      <c r="VFM95" s="248" t="n"/>
      <c r="VFN95" s="240" t="n"/>
      <c r="VFO95" s="240" t="n"/>
      <c r="VFQ95" s="15" t="n"/>
      <c r="VFR95" s="15" t="n"/>
      <c r="VFS95" s="248" t="n"/>
      <c r="VFT95" s="248" t="n"/>
      <c r="VFU95" s="240" t="n"/>
      <c r="VFV95" s="240" t="n"/>
      <c r="VFX95" s="15" t="n"/>
      <c r="VFY95" s="15" t="n"/>
      <c r="VFZ95" s="248" t="n"/>
      <c r="VGA95" s="248" t="n"/>
      <c r="VGB95" s="240" t="n"/>
      <c r="VGC95" s="240" t="n"/>
      <c r="VGE95" s="15" t="n"/>
      <c r="VGF95" s="15" t="n"/>
      <c r="VGG95" s="248" t="n"/>
      <c r="VGH95" s="248" t="n"/>
      <c r="VGI95" s="240" t="n"/>
      <c r="VGJ95" s="240" t="n"/>
      <c r="VGL95" s="15" t="n"/>
      <c r="VGM95" s="15" t="n"/>
      <c r="VGN95" s="248" t="n"/>
      <c r="VGO95" s="248" t="n"/>
      <c r="VGP95" s="240" t="n"/>
      <c r="VGQ95" s="240" t="n"/>
      <c r="VGS95" s="15" t="n"/>
      <c r="VGT95" s="15" t="n"/>
      <c r="VGU95" s="248" t="n"/>
      <c r="VGV95" s="248" t="n"/>
      <c r="VGW95" s="240" t="n"/>
      <c r="VGX95" s="240" t="n"/>
      <c r="VGZ95" s="15" t="n"/>
      <c r="VHA95" s="15" t="n"/>
      <c r="VHB95" s="248" t="n"/>
      <c r="VHC95" s="248" t="n"/>
      <c r="VHD95" s="240" t="n"/>
      <c r="VHE95" s="240" t="n"/>
      <c r="VHG95" s="15" t="n"/>
      <c r="VHH95" s="15" t="n"/>
      <c r="VHI95" s="248" t="n"/>
      <c r="VHJ95" s="248" t="n"/>
      <c r="VHK95" s="240" t="n"/>
      <c r="VHL95" s="240" t="n"/>
      <c r="VHN95" s="15" t="n"/>
      <c r="VHO95" s="15" t="n"/>
      <c r="VHP95" s="248" t="n"/>
      <c r="VHQ95" s="248" t="n"/>
      <c r="VHR95" s="240" t="n"/>
      <c r="VHS95" s="240" t="n"/>
      <c r="VHU95" s="15" t="n"/>
      <c r="VHV95" s="15" t="n"/>
      <c r="VHW95" s="248" t="n"/>
      <c r="VHX95" s="248" t="n"/>
      <c r="VHY95" s="240" t="n"/>
      <c r="VHZ95" s="240" t="n"/>
      <c r="VIB95" s="15" t="n"/>
      <c r="VIC95" s="15" t="n"/>
      <c r="VID95" s="248" t="n"/>
      <c r="VIE95" s="248" t="n"/>
      <c r="VIF95" s="240" t="n"/>
      <c r="VIG95" s="240" t="n"/>
      <c r="VII95" s="15" t="n"/>
      <c r="VIJ95" s="15" t="n"/>
      <c r="VIK95" s="248" t="n"/>
      <c r="VIL95" s="248" t="n"/>
      <c r="VIM95" s="240" t="n"/>
      <c r="VIN95" s="240" t="n"/>
      <c r="VIP95" s="15" t="n"/>
      <c r="VIQ95" s="15" t="n"/>
      <c r="VIR95" s="248" t="n"/>
      <c r="VIS95" s="248" t="n"/>
      <c r="VIT95" s="240" t="n"/>
      <c r="VIU95" s="240" t="n"/>
      <c r="VIW95" s="15" t="n"/>
      <c r="VIX95" s="15" t="n"/>
      <c r="VIY95" s="248" t="n"/>
      <c r="VIZ95" s="248" t="n"/>
      <c r="VJA95" s="240" t="n"/>
      <c r="VJB95" s="240" t="n"/>
      <c r="VJD95" s="15" t="n"/>
      <c r="VJE95" s="15" t="n"/>
      <c r="VJF95" s="248" t="n"/>
      <c r="VJG95" s="248" t="n"/>
      <c r="VJH95" s="240" t="n"/>
      <c r="VJI95" s="240" t="n"/>
      <c r="VJK95" s="15" t="n"/>
      <c r="VJL95" s="15" t="n"/>
      <c r="VJM95" s="248" t="n"/>
      <c r="VJN95" s="248" t="n"/>
      <c r="VJO95" s="240" t="n"/>
      <c r="VJP95" s="240" t="n"/>
      <c r="VJR95" s="15" t="n"/>
      <c r="VJS95" s="15" t="n"/>
      <c r="VJT95" s="248" t="n"/>
      <c r="VJU95" s="248" t="n"/>
      <c r="VJV95" s="240" t="n"/>
      <c r="VJW95" s="240" t="n"/>
      <c r="VJY95" s="15" t="n"/>
      <c r="VJZ95" s="15" t="n"/>
      <c r="VKA95" s="248" t="n"/>
      <c r="VKB95" s="248" t="n"/>
      <c r="VKC95" s="240" t="n"/>
      <c r="VKD95" s="240" t="n"/>
      <c r="VKF95" s="15" t="n"/>
      <c r="VKG95" s="15" t="n"/>
      <c r="VKH95" s="248" t="n"/>
      <c r="VKI95" s="248" t="n"/>
      <c r="VKJ95" s="240" t="n"/>
      <c r="VKK95" s="240" t="n"/>
      <c r="VKM95" s="15" t="n"/>
      <c r="VKN95" s="15" t="n"/>
      <c r="VKO95" s="248" t="n"/>
      <c r="VKP95" s="248" t="n"/>
      <c r="VKQ95" s="240" t="n"/>
      <c r="VKR95" s="240" t="n"/>
      <c r="VKT95" s="15" t="n"/>
      <c r="VKU95" s="15" t="n"/>
      <c r="VKV95" s="248" t="n"/>
      <c r="VKW95" s="248" t="n"/>
      <c r="VKX95" s="240" t="n"/>
      <c r="VKY95" s="240" t="n"/>
      <c r="VLA95" s="15" t="n"/>
      <c r="VLB95" s="15" t="n"/>
      <c r="VLC95" s="248" t="n"/>
      <c r="VLD95" s="248" t="n"/>
      <c r="VLE95" s="240" t="n"/>
      <c r="VLF95" s="240" t="n"/>
      <c r="VLH95" s="15" t="n"/>
      <c r="VLI95" s="15" t="n"/>
      <c r="VLJ95" s="248" t="n"/>
      <c r="VLK95" s="248" t="n"/>
      <c r="VLL95" s="240" t="n"/>
      <c r="VLM95" s="240" t="n"/>
      <c r="VLO95" s="15" t="n"/>
      <c r="VLP95" s="15" t="n"/>
      <c r="VLQ95" s="248" t="n"/>
      <c r="VLR95" s="248" t="n"/>
      <c r="VLS95" s="240" t="n"/>
      <c r="VLT95" s="240" t="n"/>
      <c r="VLV95" s="15" t="n"/>
      <c r="VLW95" s="15" t="n"/>
      <c r="VLX95" s="248" t="n"/>
      <c r="VLY95" s="248" t="n"/>
      <c r="VLZ95" s="240" t="n"/>
      <c r="VMA95" s="240" t="n"/>
      <c r="VMC95" s="15" t="n"/>
      <c r="VMD95" s="15" t="n"/>
      <c r="VME95" s="248" t="n"/>
      <c r="VMF95" s="248" t="n"/>
      <c r="VMG95" s="240" t="n"/>
      <c r="VMH95" s="240" t="n"/>
      <c r="VMJ95" s="15" t="n"/>
      <c r="VMK95" s="15" t="n"/>
      <c r="VML95" s="248" t="n"/>
      <c r="VMM95" s="248" t="n"/>
      <c r="VMN95" s="240" t="n"/>
      <c r="VMO95" s="240" t="n"/>
      <c r="VMQ95" s="15" t="n"/>
      <c r="VMR95" s="15" t="n"/>
      <c r="VMS95" s="248" t="n"/>
      <c r="VMT95" s="248" t="n"/>
      <c r="VMU95" s="240" t="n"/>
      <c r="VMV95" s="240" t="n"/>
      <c r="VMX95" s="15" t="n"/>
      <c r="VMY95" s="15" t="n"/>
      <c r="VMZ95" s="248" t="n"/>
      <c r="VNA95" s="248" t="n"/>
      <c r="VNB95" s="240" t="n"/>
      <c r="VNC95" s="240" t="n"/>
      <c r="VNE95" s="15" t="n"/>
      <c r="VNF95" s="15" t="n"/>
      <c r="VNG95" s="248" t="n"/>
      <c r="VNH95" s="248" t="n"/>
      <c r="VNI95" s="240" t="n"/>
      <c r="VNJ95" s="240" t="n"/>
      <c r="VNL95" s="15" t="n"/>
      <c r="VNM95" s="15" t="n"/>
      <c r="VNN95" s="248" t="n"/>
      <c r="VNO95" s="248" t="n"/>
      <c r="VNP95" s="240" t="n"/>
      <c r="VNQ95" s="240" t="n"/>
      <c r="VNS95" s="15" t="n"/>
      <c r="VNT95" s="15" t="n"/>
      <c r="VNU95" s="248" t="n"/>
      <c r="VNV95" s="248" t="n"/>
      <c r="VNW95" s="240" t="n"/>
      <c r="VNX95" s="240" t="n"/>
      <c r="VNZ95" s="15" t="n"/>
      <c r="VOA95" s="15" t="n"/>
      <c r="VOB95" s="248" t="n"/>
      <c r="VOC95" s="248" t="n"/>
      <c r="VOD95" s="240" t="n"/>
      <c r="VOE95" s="240" t="n"/>
      <c r="VOG95" s="15" t="n"/>
      <c r="VOH95" s="15" t="n"/>
      <c r="VOI95" s="248" t="n"/>
      <c r="VOJ95" s="248" t="n"/>
      <c r="VOK95" s="240" t="n"/>
      <c r="VOL95" s="240" t="n"/>
      <c r="VON95" s="15" t="n"/>
      <c r="VOO95" s="15" t="n"/>
      <c r="VOP95" s="248" t="n"/>
      <c r="VOQ95" s="248" t="n"/>
      <c r="VOR95" s="240" t="n"/>
      <c r="VOS95" s="240" t="n"/>
      <c r="VOU95" s="15" t="n"/>
      <c r="VOV95" s="15" t="n"/>
      <c r="VOW95" s="248" t="n"/>
      <c r="VOX95" s="248" t="n"/>
      <c r="VOY95" s="240" t="n"/>
      <c r="VOZ95" s="240" t="n"/>
      <c r="VPB95" s="15" t="n"/>
      <c r="VPC95" s="15" t="n"/>
      <c r="VPD95" s="248" t="n"/>
      <c r="VPE95" s="248" t="n"/>
      <c r="VPF95" s="240" t="n"/>
      <c r="VPG95" s="240" t="n"/>
      <c r="VPI95" s="15" t="n"/>
      <c r="VPJ95" s="15" t="n"/>
      <c r="VPK95" s="248" t="n"/>
      <c r="VPL95" s="248" t="n"/>
      <c r="VPM95" s="240" t="n"/>
      <c r="VPN95" s="240" t="n"/>
      <c r="VPP95" s="15" t="n"/>
      <c r="VPQ95" s="15" t="n"/>
      <c r="VPR95" s="248" t="n"/>
      <c r="VPS95" s="248" t="n"/>
      <c r="VPT95" s="240" t="n"/>
      <c r="VPU95" s="240" t="n"/>
      <c r="VPW95" s="15" t="n"/>
      <c r="VPX95" s="15" t="n"/>
      <c r="VPY95" s="248" t="n"/>
      <c r="VPZ95" s="248" t="n"/>
      <c r="VQA95" s="240" t="n"/>
      <c r="VQB95" s="240" t="n"/>
      <c r="VQD95" s="15" t="n"/>
      <c r="VQE95" s="15" t="n"/>
      <c r="VQF95" s="248" t="n"/>
      <c r="VQG95" s="248" t="n"/>
      <c r="VQH95" s="240" t="n"/>
      <c r="VQI95" s="240" t="n"/>
      <c r="VQK95" s="15" t="n"/>
      <c r="VQL95" s="15" t="n"/>
      <c r="VQM95" s="248" t="n"/>
      <c r="VQN95" s="248" t="n"/>
      <c r="VQO95" s="240" t="n"/>
      <c r="VQP95" s="240" t="n"/>
      <c r="VQR95" s="15" t="n"/>
      <c r="VQS95" s="15" t="n"/>
      <c r="VQT95" s="248" t="n"/>
      <c r="VQU95" s="248" t="n"/>
      <c r="VQV95" s="240" t="n"/>
      <c r="VQW95" s="240" t="n"/>
      <c r="VQY95" s="15" t="n"/>
      <c r="VQZ95" s="15" t="n"/>
      <c r="VRA95" s="248" t="n"/>
      <c r="VRB95" s="248" t="n"/>
      <c r="VRC95" s="240" t="n"/>
      <c r="VRD95" s="240" t="n"/>
      <c r="VRF95" s="15" t="n"/>
      <c r="VRG95" s="15" t="n"/>
      <c r="VRH95" s="248" t="n"/>
      <c r="VRI95" s="248" t="n"/>
      <c r="VRJ95" s="240" t="n"/>
      <c r="VRK95" s="240" t="n"/>
      <c r="VRM95" s="15" t="n"/>
      <c r="VRN95" s="15" t="n"/>
      <c r="VRO95" s="248" t="n"/>
      <c r="VRP95" s="248" t="n"/>
      <c r="VRQ95" s="240" t="n"/>
      <c r="VRR95" s="240" t="n"/>
      <c r="VRT95" s="15" t="n"/>
      <c r="VRU95" s="15" t="n"/>
      <c r="VRV95" s="248" t="n"/>
      <c r="VRW95" s="248" t="n"/>
      <c r="VRX95" s="240" t="n"/>
      <c r="VRY95" s="240" t="n"/>
      <c r="VSA95" s="15" t="n"/>
      <c r="VSB95" s="15" t="n"/>
      <c r="VSC95" s="248" t="n"/>
      <c r="VSD95" s="248" t="n"/>
      <c r="VSE95" s="240" t="n"/>
      <c r="VSF95" s="240" t="n"/>
      <c r="VSH95" s="15" t="n"/>
      <c r="VSI95" s="15" t="n"/>
      <c r="VSJ95" s="248" t="n"/>
      <c r="VSK95" s="248" t="n"/>
      <c r="VSL95" s="240" t="n"/>
      <c r="VSM95" s="240" t="n"/>
      <c r="VSO95" s="15" t="n"/>
      <c r="VSP95" s="15" t="n"/>
      <c r="VSQ95" s="248" t="n"/>
      <c r="VSR95" s="248" t="n"/>
      <c r="VSS95" s="240" t="n"/>
      <c r="VST95" s="240" t="n"/>
      <c r="VSV95" s="15" t="n"/>
      <c r="VSW95" s="15" t="n"/>
      <c r="VSX95" s="248" t="n"/>
      <c r="VSY95" s="248" t="n"/>
      <c r="VSZ95" s="240" t="n"/>
      <c r="VTA95" s="240" t="n"/>
      <c r="VTC95" s="15" t="n"/>
      <c r="VTD95" s="15" t="n"/>
      <c r="VTE95" s="248" t="n"/>
      <c r="VTF95" s="248" t="n"/>
      <c r="VTG95" s="240" t="n"/>
      <c r="VTH95" s="240" t="n"/>
      <c r="VTJ95" s="15" t="n"/>
      <c r="VTK95" s="15" t="n"/>
      <c r="VTL95" s="248" t="n"/>
      <c r="VTM95" s="248" t="n"/>
      <c r="VTN95" s="240" t="n"/>
      <c r="VTO95" s="240" t="n"/>
      <c r="VTQ95" s="15" t="n"/>
      <c r="VTR95" s="15" t="n"/>
      <c r="VTS95" s="248" t="n"/>
      <c r="VTT95" s="248" t="n"/>
      <c r="VTU95" s="240" t="n"/>
      <c r="VTV95" s="240" t="n"/>
      <c r="VTX95" s="15" t="n"/>
      <c r="VTY95" s="15" t="n"/>
      <c r="VTZ95" s="248" t="n"/>
      <c r="VUA95" s="248" t="n"/>
      <c r="VUB95" s="240" t="n"/>
      <c r="VUC95" s="240" t="n"/>
      <c r="VUE95" s="15" t="n"/>
      <c r="VUF95" s="15" t="n"/>
      <c r="VUG95" s="248" t="n"/>
      <c r="VUH95" s="248" t="n"/>
      <c r="VUI95" s="240" t="n"/>
      <c r="VUJ95" s="240" t="n"/>
      <c r="VUL95" s="15" t="n"/>
      <c r="VUM95" s="15" t="n"/>
      <c r="VUN95" s="248" t="n"/>
      <c r="VUO95" s="248" t="n"/>
      <c r="VUP95" s="240" t="n"/>
      <c r="VUQ95" s="240" t="n"/>
      <c r="VUS95" s="15" t="n"/>
      <c r="VUT95" s="15" t="n"/>
      <c r="VUU95" s="248" t="n"/>
      <c r="VUV95" s="248" t="n"/>
      <c r="VUW95" s="240" t="n"/>
      <c r="VUX95" s="240" t="n"/>
      <c r="VUZ95" s="15" t="n"/>
      <c r="VVA95" s="15" t="n"/>
      <c r="VVB95" s="248" t="n"/>
      <c r="VVC95" s="248" t="n"/>
      <c r="VVD95" s="240" t="n"/>
      <c r="VVE95" s="240" t="n"/>
      <c r="VVG95" s="15" t="n"/>
      <c r="VVH95" s="15" t="n"/>
      <c r="VVI95" s="248" t="n"/>
      <c r="VVJ95" s="248" t="n"/>
      <c r="VVK95" s="240" t="n"/>
      <c r="VVL95" s="240" t="n"/>
      <c r="VVN95" s="15" t="n"/>
      <c r="VVO95" s="15" t="n"/>
      <c r="VVP95" s="248" t="n"/>
      <c r="VVQ95" s="248" t="n"/>
      <c r="VVR95" s="240" t="n"/>
      <c r="VVS95" s="240" t="n"/>
      <c r="VVU95" s="15" t="n"/>
      <c r="VVV95" s="15" t="n"/>
      <c r="VVW95" s="248" t="n"/>
      <c r="VVX95" s="248" t="n"/>
      <c r="VVY95" s="240" t="n"/>
      <c r="VVZ95" s="240" t="n"/>
      <c r="VWB95" s="15" t="n"/>
      <c r="VWC95" s="15" t="n"/>
      <c r="VWD95" s="248" t="n"/>
      <c r="VWE95" s="248" t="n"/>
      <c r="VWF95" s="240" t="n"/>
      <c r="VWG95" s="240" t="n"/>
      <c r="VWI95" s="15" t="n"/>
      <c r="VWJ95" s="15" t="n"/>
      <c r="VWK95" s="248" t="n"/>
      <c r="VWL95" s="248" t="n"/>
      <c r="VWM95" s="240" t="n"/>
      <c r="VWN95" s="240" t="n"/>
      <c r="VWP95" s="15" t="n"/>
      <c r="VWQ95" s="15" t="n"/>
      <c r="VWR95" s="248" t="n"/>
      <c r="VWS95" s="248" t="n"/>
      <c r="VWT95" s="240" t="n"/>
      <c r="VWU95" s="240" t="n"/>
      <c r="VWW95" s="15" t="n"/>
      <c r="VWX95" s="15" t="n"/>
      <c r="VWY95" s="248" t="n"/>
      <c r="VWZ95" s="248" t="n"/>
      <c r="VXA95" s="240" t="n"/>
      <c r="VXB95" s="240" t="n"/>
      <c r="VXD95" s="15" t="n"/>
      <c r="VXE95" s="15" t="n"/>
      <c r="VXF95" s="248" t="n"/>
      <c r="VXG95" s="248" t="n"/>
      <c r="VXH95" s="240" t="n"/>
      <c r="VXI95" s="240" t="n"/>
      <c r="VXK95" s="15" t="n"/>
      <c r="VXL95" s="15" t="n"/>
      <c r="VXM95" s="248" t="n"/>
      <c r="VXN95" s="248" t="n"/>
      <c r="VXO95" s="240" t="n"/>
      <c r="VXP95" s="240" t="n"/>
      <c r="VXR95" s="15" t="n"/>
      <c r="VXS95" s="15" t="n"/>
      <c r="VXT95" s="248" t="n"/>
      <c r="VXU95" s="248" t="n"/>
      <c r="VXV95" s="240" t="n"/>
      <c r="VXW95" s="240" t="n"/>
      <c r="VXY95" s="15" t="n"/>
      <c r="VXZ95" s="15" t="n"/>
      <c r="VYA95" s="248" t="n"/>
      <c r="VYB95" s="248" t="n"/>
      <c r="VYC95" s="240" t="n"/>
      <c r="VYD95" s="240" t="n"/>
      <c r="VYF95" s="15" t="n"/>
      <c r="VYG95" s="15" t="n"/>
      <c r="VYH95" s="248" t="n"/>
      <c r="VYI95" s="248" t="n"/>
      <c r="VYJ95" s="240" t="n"/>
      <c r="VYK95" s="240" t="n"/>
      <c r="VYM95" s="15" t="n"/>
      <c r="VYN95" s="15" t="n"/>
      <c r="VYO95" s="248" t="n"/>
      <c r="VYP95" s="248" t="n"/>
      <c r="VYQ95" s="240" t="n"/>
      <c r="VYR95" s="240" t="n"/>
      <c r="VYT95" s="15" t="n"/>
      <c r="VYU95" s="15" t="n"/>
      <c r="VYV95" s="248" t="n"/>
      <c r="VYW95" s="248" t="n"/>
      <c r="VYX95" s="240" t="n"/>
      <c r="VYY95" s="240" t="n"/>
      <c r="VZA95" s="15" t="n"/>
      <c r="VZB95" s="15" t="n"/>
      <c r="VZC95" s="248" t="n"/>
      <c r="VZD95" s="248" t="n"/>
      <c r="VZE95" s="240" t="n"/>
      <c r="VZF95" s="240" t="n"/>
      <c r="VZH95" s="15" t="n"/>
      <c r="VZI95" s="15" t="n"/>
      <c r="VZJ95" s="248" t="n"/>
      <c r="VZK95" s="248" t="n"/>
      <c r="VZL95" s="240" t="n"/>
      <c r="VZM95" s="240" t="n"/>
      <c r="VZO95" s="15" t="n"/>
      <c r="VZP95" s="15" t="n"/>
      <c r="VZQ95" s="248" t="n"/>
      <c r="VZR95" s="248" t="n"/>
      <c r="VZS95" s="240" t="n"/>
      <c r="VZT95" s="240" t="n"/>
      <c r="VZV95" s="15" t="n"/>
      <c r="VZW95" s="15" t="n"/>
      <c r="VZX95" s="248" t="n"/>
      <c r="VZY95" s="248" t="n"/>
      <c r="VZZ95" s="240" t="n"/>
      <c r="WAA95" s="240" t="n"/>
      <c r="WAC95" s="15" t="n"/>
      <c r="WAD95" s="15" t="n"/>
      <c r="WAE95" s="248" t="n"/>
      <c r="WAF95" s="248" t="n"/>
      <c r="WAG95" s="240" t="n"/>
      <c r="WAH95" s="240" t="n"/>
      <c r="WAJ95" s="15" t="n"/>
      <c r="WAK95" s="15" t="n"/>
      <c r="WAL95" s="248" t="n"/>
      <c r="WAM95" s="248" t="n"/>
      <c r="WAN95" s="240" t="n"/>
      <c r="WAO95" s="240" t="n"/>
      <c r="WAQ95" s="15" t="n"/>
      <c r="WAR95" s="15" t="n"/>
      <c r="WAS95" s="248" t="n"/>
      <c r="WAT95" s="248" t="n"/>
      <c r="WAU95" s="240" t="n"/>
      <c r="WAV95" s="240" t="n"/>
      <c r="WAX95" s="15" t="n"/>
      <c r="WAY95" s="15" t="n"/>
      <c r="WAZ95" s="248" t="n"/>
      <c r="WBA95" s="248" t="n"/>
      <c r="WBB95" s="240" t="n"/>
      <c r="WBC95" s="240" t="n"/>
      <c r="WBE95" s="15" t="n"/>
      <c r="WBF95" s="15" t="n"/>
      <c r="WBG95" s="248" t="n"/>
      <c r="WBH95" s="248" t="n"/>
      <c r="WBI95" s="240" t="n"/>
      <c r="WBJ95" s="240" t="n"/>
      <c r="WBL95" s="15" t="n"/>
      <c r="WBM95" s="15" t="n"/>
      <c r="WBN95" s="248" t="n"/>
      <c r="WBO95" s="248" t="n"/>
      <c r="WBP95" s="240" t="n"/>
      <c r="WBQ95" s="240" t="n"/>
      <c r="WBS95" s="15" t="n"/>
      <c r="WBT95" s="15" t="n"/>
      <c r="WBU95" s="248" t="n"/>
      <c r="WBV95" s="248" t="n"/>
      <c r="WBW95" s="240" t="n"/>
      <c r="WBX95" s="240" t="n"/>
      <c r="WBZ95" s="15" t="n"/>
      <c r="WCA95" s="15" t="n"/>
      <c r="WCB95" s="248" t="n"/>
      <c r="WCC95" s="248" t="n"/>
      <c r="WCD95" s="240" t="n"/>
      <c r="WCE95" s="240" t="n"/>
      <c r="WCG95" s="15" t="n"/>
      <c r="WCH95" s="15" t="n"/>
      <c r="WCI95" s="248" t="n"/>
      <c r="WCJ95" s="248" t="n"/>
      <c r="WCK95" s="240" t="n"/>
      <c r="WCL95" s="240" t="n"/>
      <c r="WCN95" s="15" t="n"/>
      <c r="WCO95" s="15" t="n"/>
      <c r="WCP95" s="248" t="n"/>
      <c r="WCQ95" s="248" t="n"/>
      <c r="WCR95" s="240" t="n"/>
      <c r="WCS95" s="240" t="n"/>
      <c r="WCU95" s="15" t="n"/>
      <c r="WCV95" s="15" t="n"/>
      <c r="WCW95" s="248" t="n"/>
      <c r="WCX95" s="248" t="n"/>
      <c r="WCY95" s="240" t="n"/>
      <c r="WCZ95" s="240" t="n"/>
      <c r="WDB95" s="15" t="n"/>
      <c r="WDC95" s="15" t="n"/>
      <c r="WDD95" s="248" t="n"/>
      <c r="WDE95" s="248" t="n"/>
      <c r="WDF95" s="240" t="n"/>
      <c r="WDG95" s="240" t="n"/>
      <c r="WDI95" s="15" t="n"/>
      <c r="WDJ95" s="15" t="n"/>
      <c r="WDK95" s="248" t="n"/>
      <c r="WDL95" s="248" t="n"/>
      <c r="WDM95" s="240" t="n"/>
      <c r="WDN95" s="240" t="n"/>
      <c r="WDP95" s="15" t="n"/>
      <c r="WDQ95" s="15" t="n"/>
      <c r="WDR95" s="248" t="n"/>
      <c r="WDS95" s="248" t="n"/>
      <c r="WDT95" s="240" t="n"/>
      <c r="WDU95" s="240" t="n"/>
      <c r="WDW95" s="15" t="n"/>
      <c r="WDX95" s="15" t="n"/>
      <c r="WDY95" s="248" t="n"/>
      <c r="WDZ95" s="248" t="n"/>
      <c r="WEA95" s="240" t="n"/>
      <c r="WEB95" s="240" t="n"/>
      <c r="WED95" s="15" t="n"/>
      <c r="WEE95" s="15" t="n"/>
      <c r="WEF95" s="248" t="n"/>
      <c r="WEG95" s="248" t="n"/>
      <c r="WEH95" s="240" t="n"/>
      <c r="WEI95" s="240" t="n"/>
      <c r="WEK95" s="15" t="n"/>
      <c r="WEL95" s="15" t="n"/>
      <c r="WEM95" s="248" t="n"/>
      <c r="WEN95" s="248" t="n"/>
      <c r="WEO95" s="240" t="n"/>
      <c r="WEP95" s="240" t="n"/>
      <c r="WER95" s="15" t="n"/>
      <c r="WES95" s="15" t="n"/>
      <c r="WET95" s="248" t="n"/>
      <c r="WEU95" s="248" t="n"/>
      <c r="WEV95" s="240" t="n"/>
      <c r="WEW95" s="240" t="n"/>
      <c r="WEY95" s="15" t="n"/>
      <c r="WEZ95" s="15" t="n"/>
      <c r="WFA95" s="248" t="n"/>
      <c r="WFB95" s="248" t="n"/>
      <c r="WFC95" s="240" t="n"/>
      <c r="WFD95" s="240" t="n"/>
      <c r="WFF95" s="15" t="n"/>
      <c r="WFG95" s="15" t="n"/>
      <c r="WFH95" s="248" t="n"/>
      <c r="WFI95" s="248" t="n"/>
      <c r="WFJ95" s="240" t="n"/>
      <c r="WFK95" s="240" t="n"/>
      <c r="WFM95" s="15" t="n"/>
      <c r="WFN95" s="15" t="n"/>
      <c r="WFO95" s="248" t="n"/>
      <c r="WFP95" s="248" t="n"/>
      <c r="WFQ95" s="240" t="n"/>
      <c r="WFR95" s="240" t="n"/>
      <c r="WFT95" s="15" t="n"/>
      <c r="WFU95" s="15" t="n"/>
      <c r="WFV95" s="248" t="n"/>
      <c r="WFW95" s="248" t="n"/>
      <c r="WFX95" s="240" t="n"/>
      <c r="WFY95" s="240" t="n"/>
      <c r="WGA95" s="15" t="n"/>
      <c r="WGB95" s="15" t="n"/>
      <c r="WGC95" s="248" t="n"/>
      <c r="WGD95" s="248" t="n"/>
      <c r="WGE95" s="240" t="n"/>
      <c r="WGF95" s="240" t="n"/>
      <c r="WGH95" s="15" t="n"/>
      <c r="WGI95" s="15" t="n"/>
      <c r="WGJ95" s="248" t="n"/>
      <c r="WGK95" s="248" t="n"/>
      <c r="WGL95" s="240" t="n"/>
      <c r="WGM95" s="240" t="n"/>
      <c r="WGO95" s="15" t="n"/>
      <c r="WGP95" s="15" t="n"/>
      <c r="WGQ95" s="248" t="n"/>
      <c r="WGR95" s="248" t="n"/>
      <c r="WGS95" s="240" t="n"/>
      <c r="WGT95" s="240" t="n"/>
      <c r="WGV95" s="15" t="n"/>
      <c r="WGW95" s="15" t="n"/>
      <c r="WGX95" s="248" t="n"/>
      <c r="WGY95" s="248" t="n"/>
      <c r="WGZ95" s="240" t="n"/>
      <c r="WHA95" s="240" t="n"/>
      <c r="WHC95" s="15" t="n"/>
      <c r="WHD95" s="15" t="n"/>
      <c r="WHE95" s="248" t="n"/>
      <c r="WHF95" s="248" t="n"/>
      <c r="WHG95" s="240" t="n"/>
      <c r="WHH95" s="240" t="n"/>
      <c r="WHJ95" s="15" t="n"/>
      <c r="WHK95" s="15" t="n"/>
      <c r="WHL95" s="248" t="n"/>
      <c r="WHM95" s="248" t="n"/>
      <c r="WHN95" s="240" t="n"/>
      <c r="WHO95" s="240" t="n"/>
      <c r="WHQ95" s="15" t="n"/>
      <c r="WHR95" s="15" t="n"/>
      <c r="WHS95" s="248" t="n"/>
      <c r="WHT95" s="248" t="n"/>
      <c r="WHU95" s="240" t="n"/>
      <c r="WHV95" s="240" t="n"/>
      <c r="WHX95" s="15" t="n"/>
      <c r="WHY95" s="15" t="n"/>
      <c r="WHZ95" s="248" t="n"/>
      <c r="WIA95" s="248" t="n"/>
      <c r="WIB95" s="240" t="n"/>
      <c r="WIC95" s="240" t="n"/>
      <c r="WIE95" s="15" t="n"/>
      <c r="WIF95" s="15" t="n"/>
      <c r="WIG95" s="248" t="n"/>
      <c r="WIH95" s="248" t="n"/>
      <c r="WII95" s="240" t="n"/>
      <c r="WIJ95" s="240" t="n"/>
      <c r="WIL95" s="15" t="n"/>
      <c r="WIM95" s="15" t="n"/>
      <c r="WIN95" s="248" t="n"/>
      <c r="WIO95" s="248" t="n"/>
      <c r="WIP95" s="240" t="n"/>
      <c r="WIQ95" s="240" t="n"/>
      <c r="WIS95" s="15" t="n"/>
      <c r="WIT95" s="15" t="n"/>
      <c r="WIU95" s="248" t="n"/>
      <c r="WIV95" s="248" t="n"/>
      <c r="WIW95" s="240" t="n"/>
      <c r="WIX95" s="240" t="n"/>
      <c r="WIZ95" s="15" t="n"/>
      <c r="WJA95" s="15" t="n"/>
      <c r="WJB95" s="248" t="n"/>
      <c r="WJC95" s="248" t="n"/>
      <c r="WJD95" s="240" t="n"/>
      <c r="WJE95" s="240" t="n"/>
      <c r="WJG95" s="15" t="n"/>
      <c r="WJH95" s="15" t="n"/>
      <c r="WJI95" s="248" t="n"/>
      <c r="WJJ95" s="248" t="n"/>
      <c r="WJK95" s="240" t="n"/>
      <c r="WJL95" s="240" t="n"/>
      <c r="WJN95" s="15" t="n"/>
      <c r="WJO95" s="15" t="n"/>
      <c r="WJP95" s="248" t="n"/>
      <c r="WJQ95" s="248" t="n"/>
      <c r="WJR95" s="240" t="n"/>
      <c r="WJS95" s="240" t="n"/>
      <c r="WJU95" s="15" t="n"/>
      <c r="WJV95" s="15" t="n"/>
      <c r="WJW95" s="248" t="n"/>
      <c r="WJX95" s="248" t="n"/>
      <c r="WJY95" s="240" t="n"/>
      <c r="WJZ95" s="240" t="n"/>
      <c r="WKB95" s="15" t="n"/>
      <c r="WKC95" s="15" t="n"/>
      <c r="WKD95" s="248" t="n"/>
      <c r="WKE95" s="248" t="n"/>
      <c r="WKF95" s="240" t="n"/>
      <c r="WKG95" s="240" t="n"/>
      <c r="WKI95" s="15" t="n"/>
      <c r="WKJ95" s="15" t="n"/>
      <c r="WKK95" s="248" t="n"/>
      <c r="WKL95" s="248" t="n"/>
      <c r="WKM95" s="240" t="n"/>
      <c r="WKN95" s="240" t="n"/>
      <c r="WKP95" s="15" t="n"/>
      <c r="WKQ95" s="15" t="n"/>
      <c r="WKR95" s="248" t="n"/>
      <c r="WKS95" s="248" t="n"/>
      <c r="WKT95" s="240" t="n"/>
      <c r="WKU95" s="240" t="n"/>
      <c r="WKW95" s="15" t="n"/>
      <c r="WKX95" s="15" t="n"/>
      <c r="WKY95" s="248" t="n"/>
      <c r="WKZ95" s="248" t="n"/>
      <c r="WLA95" s="240" t="n"/>
      <c r="WLB95" s="240" t="n"/>
      <c r="WLD95" s="15" t="n"/>
      <c r="WLE95" s="15" t="n"/>
      <c r="WLF95" s="248" t="n"/>
      <c r="WLG95" s="248" t="n"/>
      <c r="WLH95" s="240" t="n"/>
      <c r="WLI95" s="240" t="n"/>
      <c r="WLK95" s="15" t="n"/>
      <c r="WLL95" s="15" t="n"/>
      <c r="WLM95" s="248" t="n"/>
      <c r="WLN95" s="248" t="n"/>
      <c r="WLO95" s="240" t="n"/>
      <c r="WLP95" s="240" t="n"/>
      <c r="WLR95" s="15" t="n"/>
      <c r="WLS95" s="15" t="n"/>
      <c r="WLT95" s="248" t="n"/>
      <c r="WLU95" s="248" t="n"/>
      <c r="WLV95" s="240" t="n"/>
      <c r="WLW95" s="240" t="n"/>
      <c r="WLY95" s="15" t="n"/>
      <c r="WLZ95" s="15" t="n"/>
      <c r="WMA95" s="248" t="n"/>
      <c r="WMB95" s="248" t="n"/>
      <c r="WMC95" s="240" t="n"/>
      <c r="WMD95" s="240" t="n"/>
      <c r="WMF95" s="15" t="n"/>
      <c r="WMG95" s="15" t="n"/>
      <c r="WMH95" s="248" t="n"/>
      <c r="WMI95" s="248" t="n"/>
      <c r="WMJ95" s="240" t="n"/>
      <c r="WMK95" s="240" t="n"/>
      <c r="WMM95" s="15" t="n"/>
      <c r="WMN95" s="15" t="n"/>
      <c r="WMO95" s="248" t="n"/>
      <c r="WMP95" s="248" t="n"/>
      <c r="WMQ95" s="240" t="n"/>
      <c r="WMR95" s="240" t="n"/>
      <c r="WMT95" s="15" t="n"/>
      <c r="WMU95" s="15" t="n"/>
      <c r="WMV95" s="248" t="n"/>
      <c r="WMW95" s="248" t="n"/>
      <c r="WMX95" s="240" t="n"/>
      <c r="WMY95" s="240" t="n"/>
      <c r="WNA95" s="15" t="n"/>
      <c r="WNB95" s="15" t="n"/>
      <c r="WNC95" s="248" t="n"/>
      <c r="WND95" s="248" t="n"/>
      <c r="WNE95" s="240" t="n"/>
      <c r="WNF95" s="240" t="n"/>
      <c r="WNH95" s="15" t="n"/>
      <c r="WNI95" s="15" t="n"/>
      <c r="WNJ95" s="248" t="n"/>
      <c r="WNK95" s="248" t="n"/>
      <c r="WNL95" s="240" t="n"/>
      <c r="WNM95" s="240" t="n"/>
      <c r="WNO95" s="15" t="n"/>
      <c r="WNP95" s="15" t="n"/>
      <c r="WNQ95" s="248" t="n"/>
      <c r="WNR95" s="248" t="n"/>
      <c r="WNS95" s="240" t="n"/>
      <c r="WNT95" s="240" t="n"/>
      <c r="WNV95" s="15" t="n"/>
      <c r="WNW95" s="15" t="n"/>
      <c r="WNX95" s="248" t="n"/>
      <c r="WNY95" s="248" t="n"/>
      <c r="WNZ95" s="240" t="n"/>
      <c r="WOA95" s="240" t="n"/>
      <c r="WOC95" s="15" t="n"/>
      <c r="WOD95" s="15" t="n"/>
      <c r="WOE95" s="248" t="n"/>
      <c r="WOF95" s="248" t="n"/>
      <c r="WOG95" s="240" t="n"/>
      <c r="WOH95" s="240" t="n"/>
      <c r="WOJ95" s="15" t="n"/>
      <c r="WOK95" s="15" t="n"/>
      <c r="WOL95" s="248" t="n"/>
      <c r="WOM95" s="248" t="n"/>
      <c r="WON95" s="240" t="n"/>
      <c r="WOO95" s="240" t="n"/>
      <c r="WOQ95" s="15" t="n"/>
      <c r="WOR95" s="15" t="n"/>
      <c r="WOS95" s="248" t="n"/>
      <c r="WOT95" s="248" t="n"/>
      <c r="WOU95" s="240" t="n"/>
      <c r="WOV95" s="240" t="n"/>
      <c r="WOX95" s="15" t="n"/>
      <c r="WOY95" s="15" t="n"/>
      <c r="WOZ95" s="248" t="n"/>
      <c r="WPA95" s="248" t="n"/>
      <c r="WPB95" s="240" t="n"/>
      <c r="WPC95" s="240" t="n"/>
      <c r="WPE95" s="15" t="n"/>
      <c r="WPF95" s="15" t="n"/>
      <c r="WPG95" s="248" t="n"/>
      <c r="WPH95" s="248" t="n"/>
      <c r="WPI95" s="240" t="n"/>
      <c r="WPJ95" s="240" t="n"/>
      <c r="WPL95" s="15" t="n"/>
      <c r="WPM95" s="15" t="n"/>
      <c r="WPN95" s="248" t="n"/>
      <c r="WPO95" s="248" t="n"/>
      <c r="WPP95" s="240" t="n"/>
      <c r="WPQ95" s="240" t="n"/>
      <c r="WPS95" s="15" t="n"/>
      <c r="WPT95" s="15" t="n"/>
      <c r="WPU95" s="248" t="n"/>
      <c r="WPV95" s="248" t="n"/>
      <c r="WPW95" s="240" t="n"/>
      <c r="WPX95" s="240" t="n"/>
      <c r="WPZ95" s="15" t="n"/>
      <c r="WQA95" s="15" t="n"/>
      <c r="WQB95" s="248" t="n"/>
      <c r="WQC95" s="248" t="n"/>
      <c r="WQD95" s="240" t="n"/>
      <c r="WQE95" s="240" t="n"/>
      <c r="WQG95" s="15" t="n"/>
      <c r="WQH95" s="15" t="n"/>
      <c r="WQI95" s="248" t="n"/>
      <c r="WQJ95" s="248" t="n"/>
      <c r="WQK95" s="240" t="n"/>
      <c r="WQL95" s="240" t="n"/>
      <c r="WQN95" s="15" t="n"/>
      <c r="WQO95" s="15" t="n"/>
      <c r="WQP95" s="248" t="n"/>
      <c r="WQQ95" s="248" t="n"/>
      <c r="WQR95" s="240" t="n"/>
      <c r="WQS95" s="240" t="n"/>
      <c r="WQU95" s="15" t="n"/>
      <c r="WQV95" s="15" t="n"/>
      <c r="WQW95" s="248" t="n"/>
      <c r="WQX95" s="248" t="n"/>
      <c r="WQY95" s="240" t="n"/>
      <c r="WQZ95" s="240" t="n"/>
      <c r="WRB95" s="15" t="n"/>
      <c r="WRC95" s="15" t="n"/>
      <c r="WRD95" s="248" t="n"/>
      <c r="WRE95" s="248" t="n"/>
      <c r="WRF95" s="240" t="n"/>
      <c r="WRG95" s="240" t="n"/>
      <c r="WRI95" s="15" t="n"/>
      <c r="WRJ95" s="15" t="n"/>
      <c r="WRK95" s="248" t="n"/>
      <c r="WRL95" s="248" t="n"/>
      <c r="WRM95" s="240" t="n"/>
      <c r="WRN95" s="240" t="n"/>
      <c r="WRP95" s="15" t="n"/>
      <c r="WRQ95" s="15" t="n"/>
      <c r="WRR95" s="248" t="n"/>
      <c r="WRS95" s="248" t="n"/>
      <c r="WRT95" s="240" t="n"/>
      <c r="WRU95" s="240" t="n"/>
      <c r="WRW95" s="15" t="n"/>
      <c r="WRX95" s="15" t="n"/>
      <c r="WRY95" s="248" t="n"/>
      <c r="WRZ95" s="248" t="n"/>
      <c r="WSA95" s="240" t="n"/>
      <c r="WSB95" s="240" t="n"/>
      <c r="WSD95" s="15" t="n"/>
      <c r="WSE95" s="15" t="n"/>
      <c r="WSF95" s="248" t="n"/>
      <c r="WSG95" s="248" t="n"/>
      <c r="WSH95" s="240" t="n"/>
      <c r="WSI95" s="240" t="n"/>
      <c r="WSK95" s="15" t="n"/>
      <c r="WSL95" s="15" t="n"/>
      <c r="WSM95" s="248" t="n"/>
      <c r="WSN95" s="248" t="n"/>
      <c r="WSO95" s="240" t="n"/>
      <c r="WSP95" s="240" t="n"/>
      <c r="WSR95" s="15" t="n"/>
      <c r="WSS95" s="15" t="n"/>
      <c r="WST95" s="248" t="n"/>
      <c r="WSU95" s="248" t="n"/>
      <c r="WSV95" s="240" t="n"/>
      <c r="WSW95" s="240" t="n"/>
      <c r="WSY95" s="15" t="n"/>
      <c r="WSZ95" s="15" t="n"/>
      <c r="WTA95" s="248" t="n"/>
      <c r="WTB95" s="248" t="n"/>
      <c r="WTC95" s="240" t="n"/>
      <c r="WTD95" s="240" t="n"/>
      <c r="WTF95" s="15" t="n"/>
      <c r="WTG95" s="15" t="n"/>
      <c r="WTH95" s="248" t="n"/>
      <c r="WTI95" s="248" t="n"/>
      <c r="WTJ95" s="240" t="n"/>
      <c r="WTK95" s="240" t="n"/>
      <c r="WTM95" s="15" t="n"/>
      <c r="WTN95" s="15" t="n"/>
      <c r="WTO95" s="248" t="n"/>
      <c r="WTP95" s="248" t="n"/>
      <c r="WTQ95" s="240" t="n"/>
      <c r="WTR95" s="240" t="n"/>
      <c r="WTT95" s="15" t="n"/>
      <c r="WTU95" s="15" t="n"/>
      <c r="WTV95" s="248" t="n"/>
      <c r="WTW95" s="248" t="n"/>
      <c r="WTX95" s="240" t="n"/>
      <c r="WTY95" s="240" t="n"/>
      <c r="WUA95" s="15" t="n"/>
      <c r="WUB95" s="15" t="n"/>
      <c r="WUC95" s="248" t="n"/>
      <c r="WUD95" s="248" t="n"/>
      <c r="WUE95" s="240" t="n"/>
      <c r="WUF95" s="240" t="n"/>
      <c r="WUH95" s="15" t="n"/>
      <c r="WUI95" s="15" t="n"/>
      <c r="WUJ95" s="248" t="n"/>
      <c r="WUK95" s="248" t="n"/>
      <c r="WUL95" s="240" t="n"/>
      <c r="WUM95" s="240" t="n"/>
      <c r="WUO95" s="15" t="n"/>
      <c r="WUP95" s="15" t="n"/>
      <c r="WUQ95" s="248" t="n"/>
      <c r="WUR95" s="248" t="n"/>
      <c r="WUS95" s="240" t="n"/>
      <c r="WUT95" s="240" t="n"/>
      <c r="WUV95" s="15" t="n"/>
      <c r="WUW95" s="15" t="n"/>
      <c r="WUX95" s="248" t="n"/>
      <c r="WUY95" s="248" t="n"/>
      <c r="WUZ95" s="240" t="n"/>
      <c r="WVA95" s="240" t="n"/>
      <c r="WVC95" s="15" t="n"/>
      <c r="WVD95" s="15" t="n"/>
      <c r="WVE95" s="248" t="n"/>
      <c r="WVF95" s="248" t="n"/>
      <c r="WVG95" s="240" t="n"/>
      <c r="WVH95" s="240" t="n"/>
      <c r="WVJ95" s="15" t="n"/>
      <c r="WVK95" s="15" t="n"/>
      <c r="WVL95" s="248" t="n"/>
      <c r="WVM95" s="248" t="n"/>
      <c r="WVN95" s="240" t="n"/>
      <c r="WVO95" s="240" t="n"/>
      <c r="WVQ95" s="15" t="n"/>
      <c r="WVR95" s="15" t="n"/>
      <c r="WVS95" s="248" t="n"/>
      <c r="WVT95" s="248" t="n"/>
      <c r="WVU95" s="240" t="n"/>
      <c r="WVV95" s="240" t="n"/>
      <c r="WVX95" s="15" t="n"/>
      <c r="WVY95" s="15" t="n"/>
      <c r="WVZ95" s="248" t="n"/>
      <c r="WWA95" s="248" t="n"/>
      <c r="WWB95" s="240" t="n"/>
      <c r="WWC95" s="240" t="n"/>
      <c r="WWE95" s="15" t="n"/>
      <c r="WWF95" s="15" t="n"/>
      <c r="WWG95" s="248" t="n"/>
      <c r="WWH95" s="248" t="n"/>
      <c r="WWI95" s="240" t="n"/>
      <c r="WWJ95" s="240" t="n"/>
      <c r="WWL95" s="15" t="n"/>
      <c r="WWM95" s="15" t="n"/>
      <c r="WWN95" s="248" t="n"/>
      <c r="WWO95" s="248" t="n"/>
      <c r="WWP95" s="240" t="n"/>
      <c r="WWQ95" s="240" t="n"/>
      <c r="WWS95" s="15" t="n"/>
      <c r="WWT95" s="15" t="n"/>
      <c r="WWU95" s="248" t="n"/>
      <c r="WWV95" s="248" t="n"/>
      <c r="WWW95" s="240" t="n"/>
      <c r="WWX95" s="240" t="n"/>
      <c r="WWZ95" s="15" t="n"/>
      <c r="WXA95" s="15" t="n"/>
      <c r="WXB95" s="248" t="n"/>
      <c r="WXC95" s="248" t="n"/>
      <c r="WXD95" s="240" t="n"/>
      <c r="WXE95" s="240" t="n"/>
      <c r="WXG95" s="15" t="n"/>
      <c r="WXH95" s="15" t="n"/>
      <c r="WXI95" s="248" t="n"/>
      <c r="WXJ95" s="248" t="n"/>
      <c r="WXK95" s="240" t="n"/>
      <c r="WXL95" s="240" t="n"/>
      <c r="WXN95" s="15" t="n"/>
      <c r="WXO95" s="15" t="n"/>
      <c r="WXP95" s="248" t="n"/>
      <c r="WXQ95" s="248" t="n"/>
      <c r="WXR95" s="240" t="n"/>
      <c r="WXS95" s="240" t="n"/>
      <c r="WXU95" s="15" t="n"/>
      <c r="WXV95" s="15" t="n"/>
      <c r="WXW95" s="248" t="n"/>
      <c r="WXX95" s="248" t="n"/>
      <c r="WXY95" s="240" t="n"/>
      <c r="WXZ95" s="240" t="n"/>
      <c r="WYB95" s="15" t="n"/>
      <c r="WYC95" s="15" t="n"/>
      <c r="WYD95" s="248" t="n"/>
      <c r="WYE95" s="248" t="n"/>
      <c r="WYF95" s="240" t="n"/>
      <c r="WYG95" s="240" t="n"/>
      <c r="WYI95" s="15" t="n"/>
      <c r="WYJ95" s="15" t="n"/>
      <c r="WYK95" s="248" t="n"/>
      <c r="WYL95" s="248" t="n"/>
      <c r="WYM95" s="240" t="n"/>
      <c r="WYN95" s="240" t="n"/>
      <c r="WYP95" s="15" t="n"/>
      <c r="WYQ95" s="15" t="n"/>
      <c r="WYR95" s="248" t="n"/>
      <c r="WYS95" s="248" t="n"/>
      <c r="WYT95" s="240" t="n"/>
      <c r="WYU95" s="240" t="n"/>
      <c r="WYW95" s="15" t="n"/>
      <c r="WYX95" s="15" t="n"/>
      <c r="WYY95" s="248" t="n"/>
      <c r="WYZ95" s="248" t="n"/>
      <c r="WZA95" s="240" t="n"/>
      <c r="WZB95" s="240" t="n"/>
      <c r="WZD95" s="15" t="n"/>
      <c r="WZE95" s="15" t="n"/>
      <c r="WZF95" s="248" t="n"/>
      <c r="WZG95" s="248" t="n"/>
      <c r="WZH95" s="240" t="n"/>
      <c r="WZI95" s="240" t="n"/>
      <c r="WZK95" s="15" t="n"/>
      <c r="WZL95" s="15" t="n"/>
      <c r="WZM95" s="248" t="n"/>
      <c r="WZN95" s="248" t="n"/>
      <c r="WZO95" s="240" t="n"/>
      <c r="WZP95" s="240" t="n"/>
      <c r="WZR95" s="15" t="n"/>
      <c r="WZS95" s="15" t="n"/>
      <c r="WZT95" s="248" t="n"/>
      <c r="WZU95" s="248" t="n"/>
      <c r="WZV95" s="240" t="n"/>
      <c r="WZW95" s="240" t="n"/>
      <c r="WZY95" s="15" t="n"/>
      <c r="WZZ95" s="15" t="n"/>
      <c r="XAA95" s="248" t="n"/>
      <c r="XAB95" s="248" t="n"/>
      <c r="XAC95" s="240" t="n"/>
      <c r="XAD95" s="240" t="n"/>
      <c r="XAF95" s="15" t="n"/>
      <c r="XAG95" s="15" t="n"/>
      <c r="XAH95" s="248" t="n"/>
      <c r="XAI95" s="248" t="n"/>
      <c r="XAJ95" s="240" t="n"/>
      <c r="XAK95" s="240" t="n"/>
      <c r="XAM95" s="15" t="n"/>
      <c r="XAN95" s="15" t="n"/>
      <c r="XAO95" s="248" t="n"/>
      <c r="XAP95" s="248" t="n"/>
      <c r="XAQ95" s="240" t="n"/>
      <c r="XAR95" s="240" t="n"/>
      <c r="XAT95" s="15" t="n"/>
      <c r="XAU95" s="15" t="n"/>
      <c r="XAV95" s="248" t="n"/>
      <c r="XAW95" s="248" t="n"/>
      <c r="XAX95" s="240" t="n"/>
      <c r="XAY95" s="240" t="n"/>
      <c r="XBA95" s="15" t="n"/>
      <c r="XBB95" s="15" t="n"/>
      <c r="XBC95" s="248" t="n"/>
      <c r="XBD95" s="248" t="n"/>
      <c r="XBE95" s="240" t="n"/>
      <c r="XBF95" s="240" t="n"/>
      <c r="XBH95" s="15" t="n"/>
      <c r="XBI95" s="15" t="n"/>
      <c r="XBJ95" s="248" t="n"/>
      <c r="XBK95" s="248" t="n"/>
      <c r="XBL95" s="240" t="n"/>
      <c r="XBM95" s="240" t="n"/>
      <c r="XBO95" s="15" t="n"/>
      <c r="XBP95" s="15" t="n"/>
      <c r="XBQ95" s="248" t="n"/>
      <c r="XBR95" s="248" t="n"/>
      <c r="XBS95" s="240" t="n"/>
      <c r="XBT95" s="240" t="n"/>
      <c r="XBV95" s="15" t="n"/>
      <c r="XBW95" s="15" t="n"/>
      <c r="XBX95" s="248" t="n"/>
      <c r="XBY95" s="248" t="n"/>
      <c r="XBZ95" s="240" t="n"/>
      <c r="XCA95" s="240" t="n"/>
      <c r="XCC95" s="15" t="n"/>
      <c r="XCD95" s="15" t="n"/>
      <c r="XCE95" s="248" t="n"/>
      <c r="XCF95" s="248" t="n"/>
      <c r="XCG95" s="240" t="n"/>
      <c r="XCH95" s="240" t="n"/>
      <c r="XCJ95" s="15" t="n"/>
      <c r="XCK95" s="15" t="n"/>
      <c r="XCL95" s="248" t="n"/>
      <c r="XCM95" s="248" t="n"/>
      <c r="XCN95" s="240" t="n"/>
      <c r="XCO95" s="240" t="n"/>
      <c r="XCQ95" s="15" t="n"/>
      <c r="XCR95" s="15" t="n"/>
      <c r="XCS95" s="248" t="n"/>
      <c r="XCT95" s="248" t="n"/>
      <c r="XCU95" s="240" t="n"/>
      <c r="XCV95" s="240" t="n"/>
      <c r="XCX95" s="15" t="n"/>
      <c r="XCY95" s="15" t="n"/>
      <c r="XCZ95" s="248" t="n"/>
      <c r="XDA95" s="248" t="n"/>
      <c r="XDB95" s="240" t="n"/>
      <c r="XDC95" s="240" t="n"/>
      <c r="XDE95" s="15" t="n"/>
      <c r="XDF95" s="15" t="n"/>
      <c r="XDG95" s="248" t="n"/>
      <c r="XDH95" s="248" t="n"/>
      <c r="XDI95" s="240" t="n"/>
      <c r="XDJ95" s="240" t="n"/>
      <c r="XDL95" s="15" t="n"/>
      <c r="XDM95" s="15" t="n"/>
      <c r="XDN95" s="248" t="n"/>
      <c r="XDO95" s="248" t="n"/>
      <c r="XDP95" s="240" t="n"/>
      <c r="XDQ95" s="240" t="n"/>
      <c r="XDS95" s="15" t="n"/>
      <c r="XDT95" s="15" t="n"/>
      <c r="XDU95" s="248" t="n"/>
      <c r="XDV95" s="248" t="n"/>
      <c r="XDW95" s="240" t="n"/>
      <c r="XDX95" s="240" t="n"/>
      <c r="XDZ95" s="15" t="n"/>
      <c r="XEA95" s="15" t="n"/>
      <c r="XEB95" s="248" t="n"/>
      <c r="XEC95" s="248" t="n"/>
      <c r="XED95" s="240" t="n"/>
      <c r="XEE95" s="240" t="n"/>
      <c r="XEG95" s="15" t="n"/>
      <c r="XEH95" s="15" t="n"/>
      <c r="XEI95" s="248" t="n"/>
      <c r="XEJ95" s="248" t="n"/>
      <c r="XEK95" s="240" t="n"/>
      <c r="XEL95" s="240" t="n"/>
      <c r="XEN95" s="15" t="n"/>
      <c r="XEO95" s="15" t="n"/>
      <c r="XEP95" s="248" t="n"/>
      <c r="XEQ95" s="248" t="n"/>
      <c r="XER95" s="240" t="n"/>
      <c r="XES95" s="240" t="n"/>
      <c r="XEU95" s="15" t="n"/>
      <c r="XEV95" s="15" t="n"/>
      <c r="XEW95" s="248" t="n"/>
      <c r="XEX95" s="248" t="n"/>
      <c r="XEY95" s="240" t="n"/>
      <c r="XEZ95" s="240" t="n"/>
      <c r="XFB95" s="15" t="n"/>
      <c r="XFC95" s="15" t="n"/>
      <c r="XFD95" s="248" t="n"/>
    </row>
    <row r="96">
      <c r="B96" s="35" t="inlineStr">
        <is>
          <t>Farm Equipment Breakdown Coverage</t>
        </is>
      </c>
      <c r="C96" s="35" t="n"/>
      <c r="E96" s="246">
        <f>$F$15+$F$41+$F$62+$F$89</f>
        <v/>
      </c>
      <c r="F96" s="246">
        <f>E96</f>
        <v/>
      </c>
      <c r="G96" s="248" t="n"/>
      <c r="H96" s="248" t="n"/>
      <c r="I96" s="248" t="n"/>
      <c r="J96" s="248" t="n"/>
      <c r="K96" s="248" t="n"/>
      <c r="L96" s="49" t="n">
        <v>0.00015</v>
      </c>
      <c r="M96" s="151">
        <f>F96*L96</f>
        <v/>
      </c>
      <c r="N96" s="247" t="n"/>
      <c r="O96" s="95" t="n"/>
    </row>
    <row r="97">
      <c r="A97" s="18" t="n"/>
      <c r="B97" s="15" t="inlineStr">
        <is>
          <t>Identity Fraud Expense Coverage</t>
        </is>
      </c>
      <c r="E97" s="248" t="n">
        <v>0</v>
      </c>
      <c r="F97" s="248">
        <f>E97</f>
        <v/>
      </c>
      <c r="G97" s="248" t="n"/>
      <c r="H97" s="248" t="n"/>
      <c r="I97" s="248" t="n"/>
      <c r="J97" s="248" t="n"/>
      <c r="K97" s="248" t="n"/>
      <c r="L97" s="140" t="n">
        <v>20</v>
      </c>
      <c r="M97" s="152" t="n">
        <v>0</v>
      </c>
      <c r="N97" s="249" t="n"/>
      <c r="O97" s="95" t="n"/>
    </row>
    <row r="98">
      <c r="A98" s="19" t="n"/>
      <c r="B98" s="38" t="inlineStr">
        <is>
          <t>Farm Pollution Liability Coverage</t>
        </is>
      </c>
      <c r="C98" s="38" t="n"/>
      <c r="D98" s="38" t="n"/>
      <c r="E98" s="251" t="n">
        <v>1000000</v>
      </c>
      <c r="F98" s="251">
        <f>E98</f>
        <v/>
      </c>
      <c r="G98" s="251" t="n"/>
      <c r="H98" s="251" t="n"/>
      <c r="I98" s="251" t="n"/>
      <c r="J98" s="251" t="n"/>
      <c r="K98" s="251" t="n"/>
      <c r="L98" s="114" t="n">
        <v>100</v>
      </c>
      <c r="M98" s="114">
        <f>Rates!B22</f>
        <v/>
      </c>
      <c r="N98" s="252" t="n"/>
      <c r="O98" s="92" t="n"/>
    </row>
    <row r="99">
      <c r="E99" s="260" t="n"/>
      <c r="F99" s="260" t="n"/>
      <c r="G99" s="260" t="n"/>
      <c r="H99" s="260" t="n"/>
      <c r="I99" s="260" t="n"/>
      <c r="J99" s="260" t="n"/>
      <c r="K99" s="260" t="n"/>
      <c r="M99" s="152" t="n"/>
    </row>
    <row r="100">
      <c r="E100" s="240" t="n"/>
      <c r="F100" s="240" t="n"/>
      <c r="G100" s="240" t="n"/>
      <c r="H100" s="240" t="n"/>
      <c r="I100" s="240" t="n"/>
      <c r="J100" s="240" t="n"/>
      <c r="K100" s="240" t="n"/>
      <c r="L100" s="58" t="inlineStr">
        <is>
          <t>Total Premium</t>
        </is>
      </c>
      <c r="M100" s="145">
        <f>M15+M22+M29+M33+M40+M41+M62+M89+M90+M92+M94+M95+M96+M98</f>
        <v/>
      </c>
    </row>
    <row r="101">
      <c r="A101" s="34" t="inlineStr">
        <is>
          <t>DEBITS/CREDITS</t>
        </is>
      </c>
      <c r="B101" s="31" t="n"/>
      <c r="E101" s="261" t="n"/>
      <c r="F101" s="262" t="inlineStr">
        <is>
          <t>Surplus Lines Tax %</t>
        </is>
      </c>
      <c r="G101" s="261" t="n"/>
      <c r="H101" s="261" t="n"/>
      <c r="I101" s="261" t="n"/>
      <c r="J101" s="240" t="n"/>
      <c r="K101" s="240" t="n"/>
      <c r="L101" s="56" t="inlineStr">
        <is>
          <t>Policy Fee</t>
        </is>
      </c>
      <c r="M101" s="146">
        <f>MIN(750, M100*0.1)</f>
        <v/>
      </c>
    </row>
    <row r="102">
      <c r="A102" s="18" t="inlineStr">
        <is>
          <t>#1</t>
        </is>
      </c>
      <c r="B102" s="65" t="n"/>
      <c r="E102" s="261" t="n"/>
      <c r="F102" s="88">
        <f>IF(B3&lt;&gt;"", VLOOKUP(B3, States!A1:B15, 2, FALSE), "")</f>
        <v/>
      </c>
      <c r="G102" s="261" t="n"/>
      <c r="H102" s="261" t="n"/>
      <c r="I102" s="261" t="n"/>
      <c r="J102" s="240" t="n"/>
      <c r="K102" s="240" t="n"/>
      <c r="L102" s="56" t="inlineStr">
        <is>
          <t>Total Premium SLT</t>
        </is>
      </c>
      <c r="M102" s="147">
        <f>M100*F102</f>
        <v/>
      </c>
    </row>
    <row r="103">
      <c r="A103" s="18" t="inlineStr">
        <is>
          <t>#2</t>
        </is>
      </c>
      <c r="B103" s="65" t="n"/>
      <c r="E103" s="261" t="n"/>
      <c r="G103" s="261" t="n"/>
      <c r="H103" s="261" t="n"/>
      <c r="I103" s="261" t="n"/>
      <c r="J103" s="240" t="n"/>
      <c r="K103" s="240" t="n"/>
      <c r="L103" s="56" t="inlineStr">
        <is>
          <t>Policy Fee SLT</t>
        </is>
      </c>
      <c r="M103" s="147">
        <f>M101*F102</f>
        <v/>
      </c>
    </row>
    <row r="104">
      <c r="A104" s="18" t="inlineStr">
        <is>
          <t>#3</t>
        </is>
      </c>
      <c r="B104" s="65" t="n">
        <v>0</v>
      </c>
      <c r="E104" s="261" t="n"/>
      <c r="G104" s="261" t="n"/>
      <c r="H104" s="261" t="n"/>
      <c r="I104" s="261" t="n"/>
      <c r="J104" s="240" t="n"/>
      <c r="K104" s="240" t="n"/>
      <c r="L104" s="21" t="n"/>
      <c r="M104" s="148" t="n"/>
      <c r="T104" s="263" t="n"/>
    </row>
    <row r="105">
      <c r="A105" s="18" t="inlineStr">
        <is>
          <t>#4</t>
        </is>
      </c>
      <c r="B105" s="65" t="n">
        <v>0</v>
      </c>
      <c r="E105" s="261" t="n"/>
      <c r="G105" s="261" t="n"/>
      <c r="H105" s="261" t="n"/>
      <c r="I105" s="261" t="n"/>
      <c r="J105" s="240" t="n"/>
      <c r="K105" s="240" t="n"/>
      <c r="L105" s="57" t="inlineStr">
        <is>
          <t xml:space="preserve">For Kentucky Risks ONLY </t>
        </is>
      </c>
      <c r="M105" s="149" t="n"/>
    </row>
    <row r="106">
      <c r="A106" s="66" t="inlineStr">
        <is>
          <t>Total</t>
        </is>
      </c>
      <c r="B106" s="67">
        <f>SUM(B102:B105)</f>
        <v/>
      </c>
      <c r="E106" s="261" t="n"/>
      <c r="G106" s="261" t="n"/>
      <c r="H106" s="261" t="n"/>
      <c r="I106" s="261" t="n"/>
      <c r="J106" s="240" t="n"/>
      <c r="K106" s="240" t="n"/>
      <c r="L106" s="21" t="inlineStr">
        <is>
          <t>KY Municipal Tax</t>
        </is>
      </c>
      <c r="M106" s="148" t="n"/>
      <c r="N106" s="241" t="inlineStr">
        <is>
          <t>*To be confirmed based on each KY County (if applicable)</t>
        </is>
      </c>
    </row>
    <row r="107">
      <c r="A107" s="3" t="n"/>
      <c r="B107" s="78" t="n"/>
      <c r="J107" s="240" t="n"/>
      <c r="K107" s="240" t="n"/>
      <c r="L107" s="86" t="inlineStr">
        <is>
          <t>KY Tax Filing Fee</t>
        </is>
      </c>
      <c r="M107" s="150" t="n">
        <v>0</v>
      </c>
      <c r="N107" s="241" t="n"/>
    </row>
    <row r="108">
      <c r="A108" s="34" t="inlineStr">
        <is>
          <t>Location</t>
        </is>
      </c>
      <c r="B108" s="222" t="inlineStr">
        <is>
          <t>Address</t>
        </is>
      </c>
      <c r="C108" s="224" t="inlineStr">
        <is>
          <t>Acreage</t>
        </is>
      </c>
      <c r="J108" s="240" t="n"/>
      <c r="K108" s="240" t="n"/>
      <c r="L108" s="21" t="n"/>
      <c r="M108" s="148" t="n"/>
    </row>
    <row r="109">
      <c r="A109" s="18" t="inlineStr">
        <is>
          <t>Loc #1</t>
        </is>
      </c>
      <c r="C109" s="225" t="n"/>
      <c r="J109" s="240" t="n"/>
      <c r="K109" s="240" t="n"/>
      <c r="L109" s="59" t="inlineStr">
        <is>
          <t>Total Premium + SLT</t>
        </is>
      </c>
      <c r="M109" s="150">
        <f>SUM(M100:M108)</f>
        <v/>
      </c>
    </row>
    <row r="110">
      <c r="A110" s="18" t="inlineStr">
        <is>
          <t>Loc #2</t>
        </is>
      </c>
      <c r="C110" s="225" t="n"/>
    </row>
    <row r="111">
      <c r="A111" s="18" t="inlineStr">
        <is>
          <t>Loc #3</t>
        </is>
      </c>
      <c r="C111" s="225" t="n"/>
    </row>
    <row r="112">
      <c r="A112" s="18" t="inlineStr">
        <is>
          <t>Loc #4</t>
        </is>
      </c>
      <c r="C112" s="225" t="n"/>
    </row>
    <row r="113">
      <c r="A113" s="18" t="inlineStr">
        <is>
          <t>Loc #5</t>
        </is>
      </c>
      <c r="C113" s="225" t="n"/>
    </row>
    <row r="114">
      <c r="A114" s="18" t="inlineStr">
        <is>
          <t>Loc #6</t>
        </is>
      </c>
      <c r="C114" s="225" t="n"/>
    </row>
    <row r="115">
      <c r="A115" s="66" t="inlineStr">
        <is>
          <t>Total Acreage</t>
        </is>
      </c>
      <c r="B115" s="38" t="n"/>
      <c r="C115" s="226">
        <f>SUM(C109:C114)</f>
        <v/>
      </c>
    </row>
    <row r="116">
      <c r="B116" s="78" t="n"/>
    </row>
    <row r="117">
      <c r="A117" s="34" t="inlineStr">
        <is>
          <t>ADDITIONAL INTERESTS: Mortgagee, Loss Payee or Other Interests</t>
        </is>
      </c>
      <c r="B117" s="35" t="n"/>
      <c r="C117" s="35" t="n"/>
      <c r="D117" s="264" t="n"/>
      <c r="G117" s="240" t="n"/>
      <c r="H117" s="240" t="n"/>
      <c r="I117" s="240" t="n"/>
    </row>
    <row r="118">
      <c r="A118" s="69" t="inlineStr">
        <is>
          <t>Type</t>
        </is>
      </c>
      <c r="B118" s="70" t="inlineStr">
        <is>
          <t>Name and Address</t>
        </is>
      </c>
      <c r="C118" s="70" t="inlineStr">
        <is>
          <t>Insured Location</t>
        </is>
      </c>
      <c r="D118" s="265" t="inlineStr">
        <is>
          <t>Building/ Item #</t>
        </is>
      </c>
      <c r="G118" s="266" t="n"/>
      <c r="H118" s="266" t="n"/>
      <c r="I118" s="266" t="n"/>
    </row>
    <row r="119">
      <c r="A119" s="71" t="n"/>
      <c r="B119" s="72" t="n"/>
      <c r="C119" s="72" t="n"/>
      <c r="D119" s="267" t="n"/>
      <c r="G119" s="245" t="n"/>
      <c r="H119" s="245" t="n"/>
      <c r="I119" s="245" t="n"/>
    </row>
    <row r="120">
      <c r="A120" s="71" t="n"/>
      <c r="B120" s="72" t="n"/>
      <c r="C120" s="72" t="n"/>
      <c r="D120" s="268" t="n"/>
      <c r="G120" s="269" t="n"/>
      <c r="H120" s="269" t="n"/>
      <c r="I120" s="269" t="n"/>
    </row>
    <row r="121">
      <c r="A121" s="71" t="n"/>
      <c r="B121" s="72" t="n"/>
      <c r="C121" s="72" t="n"/>
      <c r="D121" s="268" t="n"/>
      <c r="G121" s="269" t="n"/>
      <c r="H121" s="269" t="n"/>
      <c r="I121" s="269" t="n"/>
    </row>
    <row r="122">
      <c r="A122" s="71" t="n"/>
      <c r="B122" s="72" t="n"/>
      <c r="C122" s="72" t="n"/>
      <c r="D122" s="268" t="n"/>
      <c r="G122" s="269" t="n"/>
      <c r="H122" s="269" t="n"/>
      <c r="I122" s="269" t="n"/>
    </row>
    <row r="123">
      <c r="A123" s="71" t="n"/>
      <c r="B123" s="72" t="n"/>
      <c r="C123" s="72" t="n"/>
      <c r="D123" s="268" t="n"/>
      <c r="G123" s="269" t="n"/>
      <c r="H123" s="269" t="n"/>
      <c r="I123" s="269" t="n"/>
    </row>
    <row r="124">
      <c r="A124" s="71" t="n"/>
      <c r="B124" s="72" t="n"/>
      <c r="C124" s="72" t="n"/>
      <c r="D124" s="268" t="n"/>
      <c r="G124" s="269" t="n"/>
      <c r="H124" s="269" t="n"/>
      <c r="I124" s="269" t="n"/>
    </row>
    <row r="125">
      <c r="A125" s="71" t="n"/>
      <c r="B125" s="72" t="n"/>
      <c r="C125" s="72" t="n"/>
      <c r="D125" s="268" t="n"/>
      <c r="G125" s="269" t="n"/>
      <c r="H125" s="269" t="n"/>
      <c r="I125" s="269" t="n"/>
    </row>
    <row r="126">
      <c r="A126" s="71" t="n"/>
      <c r="B126" s="72" t="n"/>
      <c r="C126" s="72" t="n"/>
      <c r="D126" s="268" t="n"/>
      <c r="G126" s="269" t="n"/>
      <c r="H126" s="269" t="n"/>
      <c r="I126" s="269" t="n"/>
    </row>
    <row r="127">
      <c r="A127" s="74" t="n"/>
      <c r="B127" s="75" t="n"/>
      <c r="C127" s="75" t="n"/>
      <c r="D127" s="270" t="n"/>
      <c r="G127" s="269" t="n"/>
      <c r="H127" s="269" t="n"/>
      <c r="I127" s="269" t="n"/>
    </row>
    <row r="128">
      <c r="A128" s="79" t="n"/>
      <c r="B128" s="72" t="n"/>
      <c r="C128" s="72" t="n"/>
      <c r="D128" s="72" t="n"/>
      <c r="E128" s="269" t="n"/>
      <c r="F128" s="269" t="n"/>
      <c r="G128" s="269" t="n"/>
      <c r="H128" s="269" t="n"/>
      <c r="I128" s="269" t="n"/>
    </row>
    <row r="129">
      <c r="A129" s="79" t="n"/>
      <c r="B129" s="72" t="n"/>
      <c r="C129" s="72" t="n"/>
      <c r="D129" s="72" t="n"/>
      <c r="E129" s="269" t="n"/>
      <c r="F129" s="269" t="n"/>
      <c r="G129" s="269" t="n"/>
      <c r="H129" s="269" t="n"/>
      <c r="I129" s="269" t="n"/>
    </row>
    <row r="130">
      <c r="A130" s="79" t="n"/>
      <c r="B130" s="72" t="n"/>
      <c r="C130" s="72" t="n"/>
      <c r="D130" s="72" t="n"/>
      <c r="E130" s="269" t="n"/>
      <c r="F130" s="269" t="n"/>
      <c r="G130" s="269" t="n"/>
      <c r="H130" s="269" t="n"/>
      <c r="I130" s="269" t="n"/>
    </row>
    <row r="131">
      <c r="A131" s="81" t="inlineStr">
        <is>
          <t>FOR BRITAMERICA USE ONLY</t>
        </is>
      </c>
      <c r="B131" s="82" t="n"/>
      <c r="C131" s="82" t="n"/>
      <c r="D131" s="82" t="n"/>
      <c r="E131" s="271" t="n"/>
      <c r="F131" s="271" t="n"/>
      <c r="G131" s="271" t="n"/>
      <c r="H131" s="271" t="n"/>
      <c r="I131" s="271" t="n"/>
      <c r="J131" s="272" t="n"/>
      <c r="K131" s="272" t="n"/>
      <c r="L131" s="85" t="n"/>
      <c r="M131" s="272" t="n"/>
      <c r="N131" s="272" t="n"/>
      <c r="O131" s="96" t="n"/>
    </row>
    <row r="132">
      <c r="B132" s="273" t="n"/>
    </row>
    <row r="133">
      <c r="A133" s="34" t="inlineStr">
        <is>
          <t>For Use on Policy Declarations</t>
        </is>
      </c>
      <c r="B133" s="31" t="n"/>
    </row>
    <row r="134">
      <c r="A134" s="18" t="inlineStr">
        <is>
          <t>Liability</t>
        </is>
      </c>
      <c r="B134" s="216">
        <f>SUM($M$90:$M$94)</f>
        <v/>
      </c>
    </row>
    <row r="135">
      <c r="A135" s="18" t="inlineStr">
        <is>
          <t>Property</t>
        </is>
      </c>
      <c r="B135" s="216">
        <f>SUM($M$9:$M$82)+M89</f>
        <v/>
      </c>
    </row>
    <row r="136">
      <c r="A136" s="18" t="inlineStr">
        <is>
          <t>Additional Sections</t>
        </is>
      </c>
      <c r="B136" s="216">
        <f>SUM($M$95:$M$98)</f>
        <v/>
      </c>
    </row>
    <row r="137">
      <c r="A137" s="19" t="inlineStr">
        <is>
          <t>Total</t>
        </is>
      </c>
      <c r="B137" s="217">
        <f>SUM(B134:B136)</f>
        <v/>
      </c>
    </row>
    <row r="138">
      <c r="A138" s="240" t="n"/>
      <c r="B138" s="240" t="n"/>
      <c r="C138" s="240" t="n"/>
      <c r="D138" s="240" t="n"/>
    </row>
    <row r="139" ht="15.95" customHeight="1">
      <c r="A139" s="53" t="inlineStr">
        <is>
          <t>For Use by BritAmerica Only</t>
        </is>
      </c>
      <c r="B139" s="54" t="n"/>
      <c r="C139" s="55" t="n"/>
      <c r="D139" s="201" t="n"/>
      <c r="E139" s="240" t="n"/>
      <c r="F139" s="240" t="n"/>
      <c r="G139" s="240" t="n"/>
      <c r="H139" s="240" t="n"/>
      <c r="I139" s="240" t="n"/>
    </row>
    <row r="140">
      <c r="A140" s="26" t="inlineStr">
        <is>
          <t>Risk Code</t>
        </is>
      </c>
      <c r="B140" s="274" t="inlineStr">
        <is>
          <t>BDX Premium</t>
        </is>
      </c>
      <c r="C140" s="28" t="inlineStr">
        <is>
          <t>Coverages</t>
        </is>
      </c>
      <c r="D140" s="70" t="n"/>
      <c r="E140" s="275" t="n"/>
      <c r="F140" s="275" t="n"/>
      <c r="G140" s="275" t="n"/>
      <c r="H140" s="275" t="n"/>
      <c r="I140" s="275" t="n"/>
      <c r="J140" s="240" t="inlineStr">
        <is>
          <t>TRIA Signed</t>
        </is>
      </c>
    </row>
    <row r="141">
      <c r="A141" s="22" t="inlineStr">
        <is>
          <t>N</t>
        </is>
      </c>
      <c r="B141" s="219">
        <f>M40+M94+M95</f>
        <v/>
      </c>
      <c r="C141" s="23" t="inlineStr">
        <is>
          <t>D, L, M</t>
        </is>
      </c>
      <c r="E141" s="276" t="n"/>
      <c r="F141" s="276" t="n"/>
      <c r="G141" s="276" t="n"/>
      <c r="H141" s="276" t="n"/>
      <c r="I141" s="276" t="n"/>
      <c r="J141" s="161" t="n">
        <v>45658</v>
      </c>
    </row>
    <row r="142">
      <c r="A142" s="22" t="inlineStr">
        <is>
          <t>B3</t>
        </is>
      </c>
      <c r="B142" s="219">
        <f>M15+M22+M33+M41+M62+M89+M96+M29</f>
        <v/>
      </c>
      <c r="C142" s="23" t="inlineStr">
        <is>
          <t>A, B, C, E, F, G &amp; FEPC</t>
        </is>
      </c>
      <c r="E142" s="276" t="n"/>
      <c r="F142" s="276" t="n"/>
      <c r="G142" s="276" t="n"/>
      <c r="H142" s="276" t="n"/>
      <c r="I142" s="276" t="n"/>
    </row>
    <row r="143">
      <c r="A143" s="22" t="inlineStr">
        <is>
          <t>UA</t>
        </is>
      </c>
      <c r="B143" s="219">
        <f>M90</f>
        <v/>
      </c>
      <c r="C143" s="23" t="inlineStr">
        <is>
          <t>H</t>
        </is>
      </c>
      <c r="E143" s="276" t="n"/>
      <c r="F143" s="276" t="n"/>
      <c r="G143" s="276" t="n"/>
      <c r="H143" s="276" t="n"/>
      <c r="I143" s="276" t="n"/>
    </row>
    <row r="144">
      <c r="A144" s="22" t="inlineStr">
        <is>
          <t>UR</t>
        </is>
      </c>
      <c r="B144" s="219">
        <f>M92+M98</f>
        <v/>
      </c>
      <c r="C144" s="23" t="inlineStr">
        <is>
          <t>I, J. K</t>
        </is>
      </c>
      <c r="E144" s="276" t="n"/>
      <c r="F144" s="276" t="n"/>
      <c r="G144" s="276" t="n"/>
      <c r="H144" s="276" t="n"/>
      <c r="I144" s="276" t="n"/>
    </row>
    <row r="145">
      <c r="A145" s="29" t="inlineStr">
        <is>
          <t>Total</t>
        </is>
      </c>
      <c r="B145" s="30">
        <f>SUM(B141:B144)</f>
        <v/>
      </c>
      <c r="C145" s="25" t="n"/>
      <c r="E145" s="240" t="n"/>
      <c r="F145" s="240" t="n"/>
      <c r="G145" s="240" t="n"/>
      <c r="H145" s="240" t="n"/>
      <c r="I145" s="240" t="n"/>
    </row>
  </sheetData>
  <mergeCells count="1">
    <mergeCell ref="F2:O3"/>
  </mergeCells>
  <dataValidations count="3">
    <dataValidation sqref="D29" showDropDown="0" showInputMessage="1" showErrorMessage="1" allowBlank="1" type="list">
      <formula1>$A$109:$A$115</formula1>
    </dataValidation>
    <dataValidation sqref="E64:E75" showDropDown="0" showInputMessage="1" showErrorMessage="1" allowBlank="1" errorTitle="Invalid Entry" error="Please input a whole dollar limit amount (ex: 50,000)" type="whole">
      <formula1>0</formula1>
      <formula2>10000000</formula2>
    </dataValidation>
    <dataValidation sqref="D9:D14 D16:D21 D23:D28 D30:D32 D34:D39 D41:D61 D63:D82 D87" showDropDown="0" showInputMessage="1" showErrorMessage="1" allowBlank="1" type="list">
      <formula1>$A$109:$A$114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FD145"/>
  <sheetViews>
    <sheetView tabSelected="1" zoomScaleNormal="100" workbookViewId="0">
      <pane xSplit="1" topLeftCell="B54" activePane="topRight" state="frozen"/>
      <selection pane="topRight" activeCell="E64" sqref="E64"/>
      <selection activeCell="E33" sqref="A32:E33"/>
    </sheetView>
  </sheetViews>
  <sheetFormatPr baseColWidth="8" defaultColWidth="8.85546875" defaultRowHeight="15"/>
  <cols>
    <col width="33.28515625" customWidth="1" min="1" max="1"/>
    <col width="44.85546875" customWidth="1" style="15" min="2" max="2"/>
    <col width="38.28515625" bestFit="1" customWidth="1" style="15" min="3" max="3"/>
    <col width="10.28515625" customWidth="1" style="15" min="4" max="4"/>
    <col width="20.7109375" customWidth="1" style="240" min="5" max="5"/>
    <col width="19.7109375" customWidth="1" style="240" min="6" max="6"/>
    <col width="10.7109375" customWidth="1" style="240" min="7" max="8"/>
    <col width="16.85546875" bestFit="1" customWidth="1" style="240" min="9" max="9"/>
    <col width="10.85546875" customWidth="1" style="1" min="10" max="10"/>
    <col width="36.42578125" bestFit="1" customWidth="1" style="240" min="11" max="11"/>
    <col width="12.42578125" customWidth="1" style="240" min="12" max="12"/>
    <col width="11.42578125" customWidth="1" style="90" min="13" max="13"/>
    <col width="21.7109375" customWidth="1" style="241" min="14" max="14"/>
    <col width="19.42578125" customWidth="1" min="15" max="15"/>
    <col width="12.7109375" customWidth="1" min="16" max="16"/>
    <col width="14.85546875" customWidth="1" min="17" max="17"/>
  </cols>
  <sheetData>
    <row r="1">
      <c r="A1" s="87" t="inlineStr">
        <is>
          <t>INSURED</t>
        </is>
      </c>
      <c r="B1" s="127">
        <f>'Inception of Cover Rater'!B1</f>
        <v/>
      </c>
    </row>
    <row r="2">
      <c r="A2" s="87" t="inlineStr">
        <is>
          <t>INSURED ADDRESS</t>
        </is>
      </c>
      <c r="B2" s="127">
        <f>'Inception of Cover Rater'!B2</f>
        <v/>
      </c>
      <c r="E2" s="242" t="inlineStr">
        <is>
          <t>BUILDER'S RISK - NOT COVERED</t>
        </is>
      </c>
    </row>
    <row r="3">
      <c r="A3" s="87" t="inlineStr">
        <is>
          <t>STATE - LOCATION OF FARM</t>
        </is>
      </c>
      <c r="B3" s="127">
        <f>'Inception of Cover Rater'!B3</f>
        <v/>
      </c>
    </row>
    <row r="4">
      <c r="A4" s="87" t="inlineStr">
        <is>
          <t>COUNTY - LOCATION OF FARM</t>
        </is>
      </c>
      <c r="B4" s="127">
        <f>'Inception of Cover Rater'!B4</f>
        <v/>
      </c>
    </row>
    <row r="5">
      <c r="A5" s="87" t="inlineStr">
        <is>
          <t>PROPOSED EFFECTIVE DATE</t>
        </is>
      </c>
      <c r="B5" s="243">
        <f>'Inception of Cover Rater'!B5</f>
        <v/>
      </c>
    </row>
    <row r="6">
      <c r="A6" s="87" t="inlineStr">
        <is>
          <t>PROPOSED EXPIRY DATE</t>
        </is>
      </c>
      <c r="B6" s="243">
        <f>'Inception of Cover Rater'!B6</f>
        <v/>
      </c>
    </row>
    <row r="8" ht="62.1" customFormat="1" customHeight="1" s="79">
      <c r="A8" s="202" t="inlineStr">
        <is>
          <t>Coverage No:</t>
        </is>
      </c>
      <c r="B8" s="203" t="inlineStr">
        <is>
          <t>Coverage Type</t>
        </is>
      </c>
      <c r="C8" s="203" t="inlineStr">
        <is>
          <t>Item Description</t>
        </is>
      </c>
      <c r="D8" s="203" t="inlineStr">
        <is>
          <t>Location #</t>
        </is>
      </c>
      <c r="E8" s="244" t="inlineStr">
        <is>
          <t>Risk Limit (Required)</t>
        </is>
      </c>
      <c r="F8" s="244" t="inlineStr">
        <is>
          <t>Year of Construction (Cov A &amp; G)                 Year of Equipment   (Cov F)</t>
        </is>
      </c>
      <c r="G8" s="244" t="inlineStr">
        <is>
          <t>Age of Roof</t>
        </is>
      </c>
      <c r="H8" s="244" t="inlineStr">
        <is>
          <t>Type of Roof</t>
        </is>
      </c>
      <c r="I8" s="244" t="inlineStr">
        <is>
          <t>Coverage Basis</t>
        </is>
      </c>
      <c r="J8" s="244" t="inlineStr">
        <is>
          <t>Cause of Loss</t>
        </is>
      </c>
      <c r="K8" s="206" t="inlineStr">
        <is>
          <t>Rate</t>
        </is>
      </c>
      <c r="L8" s="206" t="inlineStr">
        <is>
          <t>Premium</t>
        </is>
      </c>
      <c r="M8" s="206" t="inlineStr">
        <is>
          <t>Deductibles</t>
        </is>
      </c>
      <c r="N8" s="207" t="inlineStr">
        <is>
          <t>W/H Deductible</t>
        </is>
      </c>
    </row>
    <row r="9">
      <c r="A9" s="17" t="inlineStr">
        <is>
          <t>Coverage A</t>
        </is>
      </c>
      <c r="B9" s="35" t="inlineStr">
        <is>
          <t xml:space="preserve">Dwelling </t>
        </is>
      </c>
      <c r="C9" s="35" t="inlineStr">
        <is>
          <t xml:space="preserve">#1 </t>
        </is>
      </c>
      <c r="D9" s="35" t="n"/>
      <c r="E9" s="212" t="n">
        <v>450000</v>
      </c>
      <c r="F9" s="228" t="n">
        <v>2024</v>
      </c>
      <c r="G9" s="228" t="n">
        <v>2</v>
      </c>
      <c r="H9" s="212" t="inlineStr">
        <is>
          <t>Shingles</t>
        </is>
      </c>
      <c r="I9" s="246" t="inlineStr">
        <is>
          <t>Replacement Cost</t>
        </is>
      </c>
      <c r="J9" s="246" t="inlineStr">
        <is>
          <t>Basic</t>
        </is>
      </c>
      <c r="K9" s="37" t="n"/>
      <c r="L9" s="102" t="n"/>
      <c r="M9" s="247" t="n">
        <v>2500</v>
      </c>
      <c r="N9" s="91" t="n"/>
    </row>
    <row r="10">
      <c r="A10" s="18" t="n"/>
      <c r="C10" s="15" t="inlineStr">
        <is>
          <t>#2</t>
        </is>
      </c>
      <c r="E10" s="213" t="n">
        <v>0</v>
      </c>
      <c r="F10" s="231" t="n"/>
      <c r="G10" s="231" t="n"/>
      <c r="H10" s="213" t="n"/>
      <c r="I10" s="248" t="n"/>
      <c r="J10" s="248" t="n"/>
      <c r="K10" s="129" t="n"/>
      <c r="L10" s="122" t="n"/>
      <c r="M10" s="249" t="n">
        <v>2500</v>
      </c>
      <c r="N10" s="123" t="n"/>
    </row>
    <row r="11">
      <c r="A11" s="18" t="n"/>
      <c r="C11" s="15" t="inlineStr">
        <is>
          <t>#3</t>
        </is>
      </c>
      <c r="E11" s="213" t="n">
        <v>0</v>
      </c>
      <c r="F11" s="231" t="n"/>
      <c r="G11" s="231" t="n"/>
      <c r="H11" s="213" t="n"/>
      <c r="I11" s="248" t="n"/>
      <c r="J11" s="248" t="n"/>
      <c r="K11" s="129" t="n"/>
      <c r="L11" s="122" t="n"/>
      <c r="M11" s="249" t="n">
        <v>2500</v>
      </c>
      <c r="N11" s="123" t="n"/>
    </row>
    <row r="12">
      <c r="A12" s="18" t="n"/>
      <c r="C12" s="15" t="inlineStr">
        <is>
          <t>#4</t>
        </is>
      </c>
      <c r="E12" s="213" t="n">
        <v>0</v>
      </c>
      <c r="F12" s="231" t="n"/>
      <c r="G12" s="231" t="n"/>
      <c r="H12" s="213" t="n"/>
      <c r="I12" s="248" t="n"/>
      <c r="J12" s="248" t="n"/>
      <c r="K12" s="129" t="n"/>
      <c r="L12" s="122" t="n"/>
      <c r="M12" s="249" t="n">
        <v>2500</v>
      </c>
      <c r="N12" s="123" t="n"/>
    </row>
    <row r="13">
      <c r="A13" s="18" t="n"/>
      <c r="C13" s="15" t="inlineStr">
        <is>
          <t>#5</t>
        </is>
      </c>
      <c r="E13" s="213" t="n">
        <v>0</v>
      </c>
      <c r="F13" s="231" t="n"/>
      <c r="G13" s="231" t="n"/>
      <c r="H13" s="213" t="n"/>
      <c r="I13" s="248" t="n"/>
      <c r="J13" s="248" t="n"/>
      <c r="K13" s="129" t="n"/>
      <c r="L13" s="122" t="n"/>
      <c r="M13" s="249" t="n">
        <v>2500</v>
      </c>
      <c r="N13" s="123" t="n"/>
    </row>
    <row r="14">
      <c r="A14" s="18" t="n"/>
      <c r="C14" s="15" t="inlineStr">
        <is>
          <t>#6</t>
        </is>
      </c>
      <c r="E14" s="213" t="n">
        <v>0</v>
      </c>
      <c r="F14" s="231" t="n"/>
      <c r="G14" s="231" t="n"/>
      <c r="H14" s="213" t="n"/>
      <c r="I14" s="248" t="n"/>
      <c r="J14" s="248" t="n"/>
      <c r="K14" s="129" t="n"/>
      <c r="L14" s="122" t="n"/>
      <c r="M14" s="249" t="n">
        <v>2500</v>
      </c>
      <c r="N14" s="123" t="n"/>
    </row>
    <row r="15">
      <c r="A15" s="19" t="n"/>
      <c r="B15" s="38" t="n"/>
      <c r="C15" s="50" t="inlineStr">
        <is>
          <t>Coverage A Total</t>
        </is>
      </c>
      <c r="D15" s="50" t="n"/>
      <c r="E15" s="214">
        <f>SUM(E9:E14)</f>
        <v/>
      </c>
      <c r="F15" s="232" t="n"/>
      <c r="G15" s="232" t="n"/>
      <c r="H15" s="214" t="n"/>
      <c r="I15" s="250" t="n"/>
      <c r="J15" s="251" t="n"/>
      <c r="K15" s="40" t="n">
        <v>0.0045</v>
      </c>
      <c r="L15" s="104">
        <f>E15*K15</f>
        <v/>
      </c>
      <c r="M15" s="252" t="n"/>
      <c r="N15" s="92" t="n"/>
    </row>
    <row r="16">
      <c r="A16" s="17" t="inlineStr">
        <is>
          <t xml:space="preserve">Coverage B </t>
        </is>
      </c>
      <c r="B16" s="35" t="inlineStr">
        <is>
          <t xml:space="preserve">Private Structures </t>
        </is>
      </c>
      <c r="C16" s="35" t="inlineStr">
        <is>
          <t xml:space="preserve">#1 </t>
        </is>
      </c>
      <c r="D16" s="35" t="n"/>
      <c r="E16" s="212" t="n">
        <v>50000</v>
      </c>
      <c r="F16" s="228" t="n"/>
      <c r="G16" s="228" t="n"/>
      <c r="H16" s="213" t="n"/>
      <c r="I16" s="246" t="n"/>
      <c r="J16" s="246" t="n"/>
      <c r="K16" s="37" t="n"/>
      <c r="L16" s="102" t="n"/>
      <c r="M16" s="247" t="n">
        <v>2500</v>
      </c>
      <c r="N16" s="91" t="n"/>
    </row>
    <row r="17">
      <c r="A17" s="18" t="n"/>
      <c r="C17" s="15" t="inlineStr">
        <is>
          <t>#2</t>
        </is>
      </c>
      <c r="E17" s="213" t="n">
        <v>0</v>
      </c>
      <c r="F17" s="231" t="n"/>
      <c r="G17" s="231" t="n"/>
      <c r="H17" s="213" t="n"/>
      <c r="I17" s="248" t="n"/>
      <c r="J17" s="248" t="n"/>
      <c r="K17" s="129" t="n"/>
      <c r="L17" s="122" t="n"/>
      <c r="M17" s="249" t="n">
        <v>2500</v>
      </c>
      <c r="N17" s="123" t="n"/>
    </row>
    <row r="18">
      <c r="A18" s="18" t="n"/>
      <c r="C18" s="15" t="inlineStr">
        <is>
          <t>#3</t>
        </is>
      </c>
      <c r="E18" s="213" t="n">
        <v>0</v>
      </c>
      <c r="F18" s="231" t="n"/>
      <c r="G18" s="231" t="n"/>
      <c r="H18" s="213" t="n"/>
      <c r="I18" s="248" t="n"/>
      <c r="J18" s="248" t="n"/>
      <c r="K18" s="129" t="n"/>
      <c r="L18" s="122" t="n"/>
      <c r="M18" s="249" t="n">
        <v>2500</v>
      </c>
      <c r="N18" s="123" t="n"/>
    </row>
    <row r="19">
      <c r="A19" s="18" t="n"/>
      <c r="C19" s="15" t="inlineStr">
        <is>
          <t>#4</t>
        </is>
      </c>
      <c r="E19" s="213" t="n">
        <v>0</v>
      </c>
      <c r="F19" s="231" t="n"/>
      <c r="G19" s="231" t="n"/>
      <c r="H19" s="213" t="n"/>
      <c r="I19" s="248" t="n"/>
      <c r="J19" s="248" t="n"/>
      <c r="K19" s="129" t="n"/>
      <c r="L19" s="122" t="n"/>
      <c r="M19" s="249" t="n">
        <v>2500</v>
      </c>
      <c r="N19" s="123" t="n"/>
    </row>
    <row r="20">
      <c r="A20" s="18" t="n"/>
      <c r="C20" s="15" t="inlineStr">
        <is>
          <t>#5</t>
        </is>
      </c>
      <c r="E20" s="213" t="n">
        <v>0</v>
      </c>
      <c r="F20" s="231" t="n"/>
      <c r="G20" s="231" t="n"/>
      <c r="H20" s="213" t="n"/>
      <c r="I20" s="248" t="n"/>
      <c r="J20" s="248" t="n"/>
      <c r="K20" s="129" t="n"/>
      <c r="L20" s="122" t="n"/>
      <c r="M20" s="249" t="n">
        <v>2500</v>
      </c>
      <c r="N20" s="123" t="n"/>
    </row>
    <row r="21">
      <c r="A21" s="18" t="n"/>
      <c r="C21" s="15" t="inlineStr">
        <is>
          <t>#6</t>
        </is>
      </c>
      <c r="E21" s="213" t="n">
        <v>0</v>
      </c>
      <c r="F21" s="231" t="n"/>
      <c r="G21" s="231" t="n"/>
      <c r="H21" s="213" t="n"/>
      <c r="I21" s="248" t="n"/>
      <c r="J21" s="248" t="n"/>
      <c r="K21" s="129" t="n"/>
      <c r="L21" s="122" t="n"/>
      <c r="M21" s="249" t="n">
        <v>2500</v>
      </c>
      <c r="N21" s="123" t="n"/>
    </row>
    <row r="22">
      <c r="A22" s="19" t="n"/>
      <c r="B22" s="38" t="n"/>
      <c r="C22" s="50" t="inlineStr">
        <is>
          <t>Coverage B Total</t>
        </is>
      </c>
      <c r="D22" s="50" t="n"/>
      <c r="E22" s="214">
        <f>SUM(E16:E21)</f>
        <v/>
      </c>
      <c r="F22" s="232" t="n"/>
      <c r="G22" s="232" t="n"/>
      <c r="H22" s="214" t="n"/>
      <c r="I22" s="250" t="n"/>
      <c r="J22" s="251" t="n"/>
      <c r="K22" s="40" t="n">
        <v>0.0045</v>
      </c>
      <c r="L22" s="104">
        <f>E22*K22</f>
        <v/>
      </c>
      <c r="M22" s="252" t="n"/>
      <c r="N22" s="92" t="n"/>
    </row>
    <row r="23">
      <c r="A23" s="17" t="inlineStr">
        <is>
          <t>Coverage C</t>
        </is>
      </c>
      <c r="B23" s="35" t="inlineStr">
        <is>
          <t>Personal Property - All</t>
        </is>
      </c>
      <c r="C23" s="35" t="inlineStr">
        <is>
          <t xml:space="preserve">#1 </t>
        </is>
      </c>
      <c r="D23" s="35" t="n"/>
      <c r="E23" s="212" t="n">
        <v>30000</v>
      </c>
      <c r="F23" s="228" t="n"/>
      <c r="G23" s="228" t="n"/>
      <c r="H23" s="212" t="n"/>
      <c r="I23" s="246" t="n"/>
      <c r="J23" s="246" t="n"/>
      <c r="K23" s="37" t="n"/>
      <c r="L23" s="102" t="n"/>
      <c r="M23" s="247" t="n">
        <v>2500</v>
      </c>
      <c r="N23" s="91" t="n"/>
    </row>
    <row r="24">
      <c r="A24" s="18" t="n"/>
      <c r="C24" s="15" t="inlineStr">
        <is>
          <t>#2</t>
        </is>
      </c>
      <c r="E24" s="213" t="n">
        <v>0</v>
      </c>
      <c r="F24" s="231" t="n"/>
      <c r="G24" s="231" t="n"/>
      <c r="H24" s="213" t="n"/>
      <c r="I24" s="248" t="n"/>
      <c r="J24" s="248" t="n"/>
      <c r="K24" s="129" t="n"/>
      <c r="L24" s="122" t="n"/>
      <c r="M24" s="249" t="n">
        <v>2500</v>
      </c>
      <c r="N24" s="123" t="n"/>
    </row>
    <row r="25">
      <c r="A25" s="18" t="n"/>
      <c r="C25" s="15" t="inlineStr">
        <is>
          <t>#3</t>
        </is>
      </c>
      <c r="E25" s="213" t="n">
        <v>0</v>
      </c>
      <c r="F25" s="231" t="n"/>
      <c r="G25" s="231" t="n"/>
      <c r="H25" s="213" t="n"/>
      <c r="I25" s="248" t="n"/>
      <c r="J25" s="248" t="n"/>
      <c r="K25" s="129" t="n"/>
      <c r="L25" s="122" t="n"/>
      <c r="M25" s="249" t="n">
        <v>2500</v>
      </c>
      <c r="N25" s="123" t="n"/>
    </row>
    <row r="26">
      <c r="A26" s="18" t="n"/>
      <c r="C26" s="15" t="inlineStr">
        <is>
          <t>#4</t>
        </is>
      </c>
      <c r="E26" s="213" t="n">
        <v>0</v>
      </c>
      <c r="F26" s="231" t="n"/>
      <c r="G26" s="231" t="n"/>
      <c r="H26" s="213" t="n"/>
      <c r="I26" s="248" t="n"/>
      <c r="J26" s="248" t="n"/>
      <c r="K26" s="129" t="n"/>
      <c r="L26" s="122" t="n"/>
      <c r="M26" s="249" t="n">
        <v>2500</v>
      </c>
      <c r="N26" s="123" t="n"/>
    </row>
    <row r="27">
      <c r="A27" s="18" t="n"/>
      <c r="C27" s="15" t="inlineStr">
        <is>
          <t>#5</t>
        </is>
      </c>
      <c r="E27" s="213" t="n">
        <v>0</v>
      </c>
      <c r="F27" s="231" t="n"/>
      <c r="G27" s="231" t="n"/>
      <c r="H27" s="213" t="n"/>
      <c r="I27" s="248" t="n"/>
      <c r="J27" s="248" t="n"/>
      <c r="K27" s="129" t="n"/>
      <c r="L27" s="122" t="n"/>
      <c r="M27" s="249" t="n">
        <v>2500</v>
      </c>
      <c r="N27" s="123" t="n"/>
    </row>
    <row r="28">
      <c r="A28" s="18" t="n"/>
      <c r="C28" s="15" t="inlineStr">
        <is>
          <t>#6</t>
        </is>
      </c>
      <c r="E28" s="213" t="n">
        <v>0</v>
      </c>
      <c r="F28" s="231" t="n"/>
      <c r="G28" s="231" t="n"/>
      <c r="H28" s="213" t="n"/>
      <c r="I28" s="248" t="n"/>
      <c r="J28" s="248" t="n"/>
      <c r="K28" s="129" t="n"/>
      <c r="L28" s="122" t="n"/>
      <c r="M28" s="249" t="n">
        <v>2500</v>
      </c>
      <c r="N28" s="123" t="n"/>
    </row>
    <row r="29">
      <c r="A29" s="19" t="n"/>
      <c r="B29" s="38" t="n"/>
      <c r="C29" s="50" t="inlineStr">
        <is>
          <t xml:space="preserve">Coverage C Total </t>
        </is>
      </c>
      <c r="D29" s="38" t="n"/>
      <c r="E29" s="214">
        <f>SUM(E23:E27)</f>
        <v/>
      </c>
      <c r="F29" s="232" t="n"/>
      <c r="G29" s="232" t="n"/>
      <c r="H29" s="214" t="n"/>
      <c r="I29" s="250" t="n"/>
      <c r="J29" s="251" t="n"/>
      <c r="K29" s="40" t="n">
        <v>0.0045</v>
      </c>
      <c r="L29" s="104">
        <f>E29*K29</f>
        <v/>
      </c>
      <c r="M29" s="252" t="n"/>
      <c r="N29" s="92" t="n"/>
    </row>
    <row r="30">
      <c r="A30" s="18" t="n"/>
      <c r="B30" s="15" t="inlineStr">
        <is>
          <t>Personal Property - Scheduled Jewelry</t>
        </is>
      </c>
      <c r="C30" s="15" t="inlineStr">
        <is>
          <t xml:space="preserve">#1 </t>
        </is>
      </c>
      <c r="D30" s="35" t="n"/>
      <c r="E30" s="213" t="n">
        <v>10000</v>
      </c>
      <c r="F30" s="231" t="n"/>
      <c r="G30" s="231" t="n"/>
      <c r="H30" s="213" t="n"/>
      <c r="I30" s="248" t="n"/>
      <c r="J30" s="248" t="n"/>
      <c r="K30" s="129" t="n"/>
      <c r="L30" s="122" t="n"/>
      <c r="M30" s="249" t="inlineStr">
        <is>
          <t>Nil</t>
        </is>
      </c>
      <c r="N30" s="123" t="n"/>
    </row>
    <row r="31">
      <c r="A31" s="18" t="n"/>
      <c r="C31" s="15" t="inlineStr">
        <is>
          <t>#2</t>
        </is>
      </c>
      <c r="E31" s="213" t="n">
        <v>0</v>
      </c>
      <c r="F31" s="231" t="n"/>
      <c r="G31" s="231" t="n"/>
      <c r="H31" s="213" t="n"/>
      <c r="I31" s="248" t="n"/>
      <c r="J31" s="248" t="n"/>
      <c r="K31" s="129" t="n"/>
      <c r="L31" s="122" t="n"/>
      <c r="M31" s="249" t="inlineStr">
        <is>
          <t>Nil</t>
        </is>
      </c>
      <c r="N31" s="123" t="n"/>
    </row>
    <row r="32">
      <c r="A32" s="18" t="n"/>
      <c r="C32" s="15" t="inlineStr">
        <is>
          <t>#3</t>
        </is>
      </c>
      <c r="E32" s="213" t="n">
        <v>0</v>
      </c>
      <c r="F32" s="231" t="n"/>
      <c r="G32" s="231" t="n"/>
      <c r="H32" s="213" t="n"/>
      <c r="I32" s="248" t="n"/>
      <c r="J32" s="248" t="n"/>
      <c r="K32" s="129" t="n"/>
      <c r="L32" s="122" t="n"/>
      <c r="M32" s="249" t="inlineStr">
        <is>
          <t>Nil</t>
        </is>
      </c>
      <c r="N32" s="123" t="n"/>
    </row>
    <row r="33">
      <c r="A33" s="19" t="n"/>
      <c r="B33" s="38" t="n"/>
      <c r="C33" s="50" t="inlineStr">
        <is>
          <t>Coverage C Total (Scheduled Jewelry ONLY)</t>
        </is>
      </c>
      <c r="D33" s="50" t="n"/>
      <c r="E33" s="214">
        <f>SUM(E30:E32)</f>
        <v/>
      </c>
      <c r="F33" s="232" t="n"/>
      <c r="G33" s="232" t="n"/>
      <c r="H33" s="214" t="n"/>
      <c r="I33" s="250" t="n"/>
      <c r="J33" s="251" t="n"/>
      <c r="K33" s="190" t="n">
        <v>0.013</v>
      </c>
      <c r="L33" s="104">
        <f>E33*K33</f>
        <v/>
      </c>
      <c r="M33" s="252" t="n"/>
      <c r="N33" s="92" t="n"/>
    </row>
    <row r="34">
      <c r="A34" s="17" t="inlineStr">
        <is>
          <t xml:space="preserve">Coverage D </t>
        </is>
      </c>
      <c r="B34" s="35" t="inlineStr">
        <is>
          <t>Loss of Use (Additional Living Expenses)</t>
        </is>
      </c>
      <c r="C34" s="35" t="inlineStr">
        <is>
          <t xml:space="preserve">#1 </t>
        </is>
      </c>
      <c r="D34" s="35" t="n"/>
      <c r="E34" s="212" t="n">
        <v>3000</v>
      </c>
      <c r="F34" s="228" t="n"/>
      <c r="G34" s="228" t="n"/>
      <c r="H34" s="212" t="n"/>
      <c r="I34" s="246" t="n"/>
      <c r="J34" s="246" t="n"/>
      <c r="K34" s="37" t="n"/>
      <c r="L34" s="102" t="n"/>
      <c r="M34" s="247" t="inlineStr">
        <is>
          <t>Nil</t>
        </is>
      </c>
      <c r="N34" s="91" t="n"/>
    </row>
    <row r="35">
      <c r="A35" s="18" t="n"/>
      <c r="C35" s="15" t="inlineStr">
        <is>
          <t>#2</t>
        </is>
      </c>
      <c r="E35" s="213" t="n">
        <v>0</v>
      </c>
      <c r="F35" s="231" t="n"/>
      <c r="G35" s="231" t="n"/>
      <c r="H35" s="213" t="n"/>
      <c r="I35" s="248" t="n"/>
      <c r="J35" s="248" t="n"/>
      <c r="K35" s="129" t="n"/>
      <c r="L35" s="122" t="n"/>
      <c r="M35" s="249" t="inlineStr">
        <is>
          <t>Nil</t>
        </is>
      </c>
      <c r="N35" s="123" t="n"/>
    </row>
    <row r="36">
      <c r="A36" s="18" t="n"/>
      <c r="C36" s="15" t="inlineStr">
        <is>
          <t>#3</t>
        </is>
      </c>
      <c r="E36" s="213" t="n">
        <v>0</v>
      </c>
      <c r="F36" s="231" t="n"/>
      <c r="G36" s="231" t="n"/>
      <c r="H36" s="213" t="n"/>
      <c r="I36" s="248" t="n"/>
      <c r="J36" s="248" t="n"/>
      <c r="K36" s="129" t="n"/>
      <c r="L36" s="122" t="n"/>
      <c r="M36" s="249" t="inlineStr">
        <is>
          <t>Nil</t>
        </is>
      </c>
      <c r="N36" s="123" t="n"/>
    </row>
    <row r="37">
      <c r="A37" s="18" t="n"/>
      <c r="C37" s="15" t="inlineStr">
        <is>
          <t>#4</t>
        </is>
      </c>
      <c r="E37" s="213" t="n">
        <v>0</v>
      </c>
      <c r="F37" s="231" t="n"/>
      <c r="G37" s="231" t="n"/>
      <c r="H37" s="213" t="n"/>
      <c r="I37" s="248" t="n"/>
      <c r="J37" s="248" t="n"/>
      <c r="K37" s="129" t="n"/>
      <c r="L37" s="122" t="n"/>
      <c r="M37" s="249" t="inlineStr">
        <is>
          <t>Nil</t>
        </is>
      </c>
      <c r="N37" s="123" t="n"/>
    </row>
    <row r="38">
      <c r="A38" s="18" t="n"/>
      <c r="C38" s="15" t="inlineStr">
        <is>
          <t>#5</t>
        </is>
      </c>
      <c r="E38" s="213" t="n">
        <v>0</v>
      </c>
      <c r="F38" s="231" t="n"/>
      <c r="G38" s="231" t="n"/>
      <c r="H38" s="213" t="n"/>
      <c r="I38" s="248" t="n"/>
      <c r="J38" s="248" t="n"/>
      <c r="K38" s="129" t="n"/>
      <c r="L38" s="122" t="n"/>
      <c r="M38" s="249" t="inlineStr">
        <is>
          <t>Nil</t>
        </is>
      </c>
      <c r="N38" s="123" t="n"/>
    </row>
    <row r="39">
      <c r="A39" s="18" t="n"/>
      <c r="C39" s="15" t="inlineStr">
        <is>
          <t>#6</t>
        </is>
      </c>
      <c r="E39" s="213" t="n">
        <v>0</v>
      </c>
      <c r="F39" s="231" t="n"/>
      <c r="G39" s="231" t="n"/>
      <c r="H39" s="213" t="n"/>
      <c r="I39" s="248" t="n"/>
      <c r="J39" s="248" t="n"/>
      <c r="K39" s="129" t="n"/>
      <c r="L39" s="122" t="n"/>
      <c r="M39" s="249" t="inlineStr">
        <is>
          <t>Nil</t>
        </is>
      </c>
      <c r="N39" s="123" t="n"/>
    </row>
    <row r="40">
      <c r="A40" s="19" t="n"/>
      <c r="B40" s="38" t="n"/>
      <c r="C40" s="50" t="inlineStr">
        <is>
          <t>Coverage D Total</t>
        </is>
      </c>
      <c r="D40" s="50" t="n"/>
      <c r="E40" s="100">
        <f>SUM(E34:E39)</f>
        <v/>
      </c>
      <c r="F40" s="233" t="n"/>
      <c r="G40" s="233" t="n"/>
      <c r="H40" s="100" t="n"/>
      <c r="I40" s="250" t="n"/>
      <c r="J40" s="251" t="n"/>
      <c r="K40" s="40" t="n">
        <v>0.0045</v>
      </c>
      <c r="L40" s="104">
        <f>E40*K40</f>
        <v/>
      </c>
      <c r="M40" s="252" t="n"/>
      <c r="N40" s="92" t="n"/>
    </row>
    <row r="41">
      <c r="A41" s="41" t="inlineStr">
        <is>
          <t>Coverage E</t>
        </is>
      </c>
      <c r="B41" s="42" t="inlineStr">
        <is>
          <t>Blanket Farm Personal Property</t>
        </is>
      </c>
      <c r="C41" s="42" t="inlineStr">
        <is>
          <t>MISC SMALL TOOLS, EQUIP, SUPPLIES</t>
        </is>
      </c>
      <c r="D41" s="35" t="n"/>
      <c r="E41" s="117" t="n">
        <v>35000</v>
      </c>
      <c r="F41" s="234" t="n"/>
      <c r="G41" s="234" t="n"/>
      <c r="H41" s="117" t="n"/>
      <c r="I41" s="253" t="n"/>
      <c r="J41" s="253" t="n"/>
      <c r="K41" s="131" t="n">
        <v>0.0045</v>
      </c>
      <c r="L41" s="132">
        <f>E41*K41</f>
        <v/>
      </c>
      <c r="M41" s="254" t="n">
        <v>1000</v>
      </c>
      <c r="N41" s="93" t="n"/>
    </row>
    <row r="42">
      <c r="A42" s="17" t="inlineStr">
        <is>
          <t>Coverage F</t>
        </is>
      </c>
      <c r="B42" s="35" t="inlineStr">
        <is>
          <t>Schedule Farm Personal Property</t>
        </is>
      </c>
      <c r="C42" s="35" t="inlineStr">
        <is>
          <t xml:space="preserve">#1 </t>
        </is>
      </c>
      <c r="D42" s="35" t="n"/>
      <c r="E42" s="212" t="n">
        <v>50000</v>
      </c>
      <c r="F42" s="235" t="n"/>
      <c r="G42" s="235" t="n"/>
      <c r="H42" s="99" t="n"/>
      <c r="I42" s="246" t="n"/>
      <c r="J42" s="246" t="n"/>
      <c r="K42" s="37" t="n"/>
      <c r="L42" s="102" t="n"/>
      <c r="M42" s="247" t="n">
        <v>2500</v>
      </c>
      <c r="N42" s="91" t="n"/>
    </row>
    <row r="43">
      <c r="A43" s="18" t="n"/>
      <c r="C43" s="15" t="inlineStr">
        <is>
          <t>#2</t>
        </is>
      </c>
      <c r="E43" s="130" t="n">
        <v>0</v>
      </c>
      <c r="F43" s="1" t="n"/>
      <c r="G43" s="1" t="n"/>
      <c r="H43" s="130" t="n"/>
      <c r="I43" s="248" t="n"/>
      <c r="J43" s="248" t="n"/>
      <c r="K43" s="129" t="n"/>
      <c r="L43" s="122" t="n"/>
      <c r="M43" s="249" t="n">
        <v>2500</v>
      </c>
      <c r="N43" s="123" t="n"/>
    </row>
    <row r="44">
      <c r="A44" s="18" t="n"/>
      <c r="C44" s="15" t="inlineStr">
        <is>
          <t>#3</t>
        </is>
      </c>
      <c r="E44" s="130" t="n">
        <v>0</v>
      </c>
      <c r="F44" s="1" t="n"/>
      <c r="G44" s="1" t="n"/>
      <c r="H44" s="130" t="n"/>
      <c r="I44" s="248" t="n"/>
      <c r="J44" s="248" t="n"/>
      <c r="K44" s="129" t="n"/>
      <c r="L44" s="122" t="n"/>
      <c r="M44" s="249" t="n">
        <v>2500</v>
      </c>
      <c r="N44" s="123" t="n"/>
    </row>
    <row r="45">
      <c r="A45" s="18" t="n"/>
      <c r="C45" s="15" t="inlineStr">
        <is>
          <t>#4</t>
        </is>
      </c>
      <c r="E45" s="130" t="n">
        <v>0</v>
      </c>
      <c r="F45" s="1" t="n"/>
      <c r="G45" s="1" t="n"/>
      <c r="H45" s="130" t="n"/>
      <c r="I45" s="248" t="n"/>
      <c r="J45" s="248" t="n"/>
      <c r="K45" s="129" t="n"/>
      <c r="L45" s="122" t="n"/>
      <c r="M45" s="249" t="n">
        <v>2500</v>
      </c>
      <c r="N45" s="123" t="n"/>
    </row>
    <row r="46">
      <c r="A46" s="18" t="n"/>
      <c r="C46" s="15" t="inlineStr">
        <is>
          <t>#5</t>
        </is>
      </c>
      <c r="E46" s="130" t="n">
        <v>0</v>
      </c>
      <c r="F46" s="1" t="n"/>
      <c r="G46" s="1" t="n"/>
      <c r="H46" s="130" t="n"/>
      <c r="I46" s="248" t="n"/>
      <c r="J46" s="248" t="n"/>
      <c r="K46" s="129" t="n"/>
      <c r="L46" s="122" t="n"/>
      <c r="M46" s="249" t="n">
        <v>2500</v>
      </c>
      <c r="N46" s="123" t="n"/>
    </row>
    <row r="47">
      <c r="A47" s="18" t="n"/>
      <c r="C47" s="15" t="inlineStr">
        <is>
          <t>#6</t>
        </is>
      </c>
      <c r="E47" s="130" t="n">
        <v>0</v>
      </c>
      <c r="F47" s="1" t="n"/>
      <c r="G47" s="1" t="n"/>
      <c r="H47" s="130" t="n"/>
      <c r="I47" s="248" t="n"/>
      <c r="J47" s="248" t="n"/>
      <c r="K47" s="129" t="n"/>
      <c r="L47" s="122" t="n"/>
      <c r="M47" s="249" t="n">
        <v>2500</v>
      </c>
      <c r="N47" s="123" t="n"/>
    </row>
    <row r="48">
      <c r="A48" s="18" t="n"/>
      <c r="C48" s="15" t="inlineStr">
        <is>
          <t>#7</t>
        </is>
      </c>
      <c r="E48" s="130" t="n">
        <v>0</v>
      </c>
      <c r="F48" s="1" t="n"/>
      <c r="G48" s="1" t="n"/>
      <c r="H48" s="130" t="n"/>
      <c r="I48" s="248" t="n"/>
      <c r="J48" s="248" t="n"/>
      <c r="K48" s="129" t="n"/>
      <c r="L48" s="122" t="n"/>
      <c r="M48" s="249" t="n">
        <v>2500</v>
      </c>
      <c r="N48" s="123" t="n"/>
    </row>
    <row r="49">
      <c r="A49" s="18" t="n"/>
      <c r="C49" s="15" t="inlineStr">
        <is>
          <t>#8</t>
        </is>
      </c>
      <c r="E49" s="130" t="n">
        <v>0</v>
      </c>
      <c r="F49" s="1" t="n"/>
      <c r="G49" s="1" t="n"/>
      <c r="H49" s="130" t="n"/>
      <c r="I49" s="248" t="n"/>
      <c r="J49" s="248" t="n"/>
      <c r="K49" s="129" t="n"/>
      <c r="L49" s="122" t="n"/>
      <c r="M49" s="249" t="n">
        <v>2500</v>
      </c>
      <c r="N49" s="123" t="n"/>
    </row>
    <row r="50">
      <c r="A50" s="18" t="n"/>
      <c r="C50" s="15" t="inlineStr">
        <is>
          <t>#9</t>
        </is>
      </c>
      <c r="E50" s="130" t="n">
        <v>0</v>
      </c>
      <c r="F50" s="1" t="n"/>
      <c r="G50" s="1" t="n"/>
      <c r="H50" s="130" t="n"/>
      <c r="I50" s="248" t="n"/>
      <c r="J50" s="248" t="n"/>
      <c r="K50" s="129" t="n"/>
      <c r="L50" s="122" t="n"/>
      <c r="M50" s="249" t="n">
        <v>2500</v>
      </c>
      <c r="N50" s="123" t="n"/>
    </row>
    <row r="51">
      <c r="A51" s="18" t="n"/>
      <c r="C51" s="15" t="inlineStr">
        <is>
          <t>#10</t>
        </is>
      </c>
      <c r="E51" s="130" t="n">
        <v>0</v>
      </c>
      <c r="F51" s="1" t="n"/>
      <c r="G51" s="1" t="n"/>
      <c r="H51" s="130" t="n"/>
      <c r="I51" s="248" t="n"/>
      <c r="J51" s="248" t="n"/>
      <c r="K51" s="129" t="n"/>
      <c r="L51" s="122" t="n"/>
      <c r="M51" s="249" t="n">
        <v>2500</v>
      </c>
      <c r="N51" s="123" t="n"/>
    </row>
    <row r="52">
      <c r="A52" s="18" t="n"/>
      <c r="C52" s="15" t="inlineStr">
        <is>
          <t>#11</t>
        </is>
      </c>
      <c r="E52" s="130" t="n">
        <v>0</v>
      </c>
      <c r="F52" s="1" t="n"/>
      <c r="G52" s="1" t="n"/>
      <c r="H52" s="130" t="n"/>
      <c r="I52" s="248" t="n"/>
      <c r="J52" s="248" t="n"/>
      <c r="K52" s="129" t="n"/>
      <c r="L52" s="122" t="n"/>
      <c r="M52" s="249" t="n">
        <v>2500</v>
      </c>
      <c r="N52" s="123" t="n"/>
    </row>
    <row r="53">
      <c r="A53" s="18" t="n"/>
      <c r="C53" s="15" t="inlineStr">
        <is>
          <t>#12</t>
        </is>
      </c>
      <c r="E53" s="130" t="n">
        <v>0</v>
      </c>
      <c r="F53" s="1" t="n"/>
      <c r="G53" s="1" t="n"/>
      <c r="H53" s="130" t="n"/>
      <c r="I53" s="248" t="n"/>
      <c r="J53" s="248" t="n"/>
      <c r="K53" s="129" t="n"/>
      <c r="L53" s="122" t="n"/>
      <c r="M53" s="249" t="n">
        <v>2500</v>
      </c>
      <c r="N53" s="123" t="n"/>
    </row>
    <row r="54">
      <c r="A54" s="18" t="n"/>
      <c r="C54" s="15" t="inlineStr">
        <is>
          <t>#13</t>
        </is>
      </c>
      <c r="E54" s="130" t="n">
        <v>0</v>
      </c>
      <c r="F54" s="1" t="n"/>
      <c r="G54" s="1" t="n"/>
      <c r="H54" s="130" t="n"/>
      <c r="I54" s="248" t="n"/>
      <c r="J54" s="248" t="n"/>
      <c r="K54" s="129" t="n"/>
      <c r="L54" s="122" t="n"/>
      <c r="M54" s="249" t="n">
        <v>2500</v>
      </c>
      <c r="N54" s="123" t="n"/>
    </row>
    <row r="55">
      <c r="A55" s="18" t="n"/>
      <c r="C55" s="15" t="inlineStr">
        <is>
          <t>#14</t>
        </is>
      </c>
      <c r="E55" s="130" t="n">
        <v>0</v>
      </c>
      <c r="F55" s="1" t="n"/>
      <c r="G55" s="1" t="n"/>
      <c r="H55" s="130" t="n"/>
      <c r="I55" s="248" t="n"/>
      <c r="J55" s="248" t="n"/>
      <c r="K55" s="129" t="n"/>
      <c r="L55" s="122" t="n"/>
      <c r="M55" s="249" t="n">
        <v>2500</v>
      </c>
      <c r="N55" s="123" t="n"/>
    </row>
    <row r="56">
      <c r="A56" s="18" t="n"/>
      <c r="C56" s="15" t="inlineStr">
        <is>
          <t>#15</t>
        </is>
      </c>
      <c r="E56" s="130" t="n">
        <v>0</v>
      </c>
      <c r="F56" s="1" t="n"/>
      <c r="G56" s="1" t="n"/>
      <c r="H56" s="130" t="n"/>
      <c r="I56" s="248" t="n"/>
      <c r="J56" s="248" t="n"/>
      <c r="K56" s="129" t="n"/>
      <c r="L56" s="122" t="n"/>
      <c r="M56" s="249" t="n">
        <v>2500</v>
      </c>
      <c r="N56" s="123" t="n"/>
    </row>
    <row r="57">
      <c r="A57" s="18" t="n"/>
      <c r="C57" s="15" t="inlineStr">
        <is>
          <t>#16</t>
        </is>
      </c>
      <c r="E57" s="130" t="n">
        <v>0</v>
      </c>
      <c r="F57" s="1" t="n"/>
      <c r="G57" s="1" t="n"/>
      <c r="H57" s="130" t="n"/>
      <c r="I57" s="248" t="n"/>
      <c r="J57" s="248" t="n"/>
      <c r="K57" s="129" t="n"/>
      <c r="L57" s="122" t="n"/>
      <c r="M57" s="249" t="n">
        <v>2500</v>
      </c>
      <c r="N57" s="123" t="n"/>
    </row>
    <row r="58">
      <c r="A58" s="18" t="n"/>
      <c r="C58" s="15" t="inlineStr">
        <is>
          <t>#17</t>
        </is>
      </c>
      <c r="E58" s="130" t="n">
        <v>0</v>
      </c>
      <c r="F58" s="1" t="n"/>
      <c r="G58" s="1" t="n"/>
      <c r="H58" s="130" t="n"/>
      <c r="I58" s="248" t="n"/>
      <c r="J58" s="248" t="n"/>
      <c r="K58" s="129" t="n"/>
      <c r="L58" s="122" t="n"/>
      <c r="M58" s="249" t="n">
        <v>2500</v>
      </c>
      <c r="N58" s="123" t="n"/>
    </row>
    <row r="59">
      <c r="A59" s="18" t="n"/>
      <c r="C59" s="15" t="inlineStr">
        <is>
          <t>#18</t>
        </is>
      </c>
      <c r="E59" s="130" t="n">
        <v>0</v>
      </c>
      <c r="F59" s="1" t="n"/>
      <c r="G59" s="1" t="n"/>
      <c r="H59" s="130" t="n"/>
      <c r="I59" s="248" t="n"/>
      <c r="J59" s="248" t="n"/>
      <c r="K59" s="129" t="n"/>
      <c r="L59" s="122" t="n"/>
      <c r="M59" s="249" t="n">
        <v>2500</v>
      </c>
      <c r="N59" s="123" t="n"/>
    </row>
    <row r="60">
      <c r="A60" s="18" t="n"/>
      <c r="C60" s="15" t="inlineStr">
        <is>
          <t>#19</t>
        </is>
      </c>
      <c r="E60" s="130" t="n">
        <v>0</v>
      </c>
      <c r="F60" s="1" t="n"/>
      <c r="G60" s="1" t="n"/>
      <c r="H60" s="130" t="n"/>
      <c r="I60" s="248" t="n"/>
      <c r="J60" s="248" t="n"/>
      <c r="K60" s="129" t="n"/>
      <c r="L60" s="122" t="n"/>
      <c r="M60" s="249" t="n">
        <v>2500</v>
      </c>
      <c r="N60" s="123" t="n"/>
    </row>
    <row r="61">
      <c r="A61" s="18" t="n"/>
      <c r="C61" s="15" t="inlineStr">
        <is>
          <t>#20</t>
        </is>
      </c>
      <c r="E61" s="130" t="n">
        <v>0</v>
      </c>
      <c r="F61" s="1" t="n"/>
      <c r="G61" s="1" t="n"/>
      <c r="H61" s="130" t="n"/>
      <c r="I61" s="248" t="n"/>
      <c r="J61" s="248" t="n"/>
      <c r="K61" s="129" t="n"/>
      <c r="L61" s="122" t="n"/>
      <c r="M61" s="249" t="n">
        <v>2500</v>
      </c>
      <c r="N61" s="123" t="n"/>
    </row>
    <row r="62">
      <c r="A62" s="19" t="n"/>
      <c r="B62" s="38" t="n"/>
      <c r="C62" s="50" t="inlineStr">
        <is>
          <t>Coverage F Total</t>
        </is>
      </c>
      <c r="D62" s="50" t="n"/>
      <c r="E62" s="100">
        <f>SUM(E42:E61)</f>
        <v/>
      </c>
      <c r="F62" s="233" t="n"/>
      <c r="G62" s="233" t="n"/>
      <c r="H62" s="100" t="n"/>
      <c r="I62" s="251" t="n"/>
      <c r="J62" s="251" t="n"/>
      <c r="K62" s="40" t="n">
        <v>0.0045</v>
      </c>
      <c r="L62" s="104">
        <f>E62*K62</f>
        <v/>
      </c>
      <c r="M62" s="252" t="n"/>
      <c r="N62" s="92" t="n"/>
    </row>
    <row r="63">
      <c r="A63" s="17" t="inlineStr">
        <is>
          <t>Coverage G</t>
        </is>
      </c>
      <c r="B63" s="35" t="inlineStr">
        <is>
          <t>Farm Outbuilding and Structures</t>
        </is>
      </c>
      <c r="C63" s="35" t="inlineStr">
        <is>
          <t xml:space="preserve">#1 </t>
        </is>
      </c>
      <c r="D63" s="35" t="n"/>
      <c r="E63" s="99" t="n">
        <v>25000</v>
      </c>
      <c r="F63" s="235" t="n"/>
      <c r="G63" s="235" t="n"/>
      <c r="H63" s="212" t="n"/>
      <c r="I63" s="246" t="n"/>
      <c r="J63" s="246" t="n"/>
      <c r="K63" s="37" t="n"/>
      <c r="L63" s="102" t="n"/>
      <c r="M63" s="247" t="n">
        <v>5000</v>
      </c>
      <c r="N63" s="91" t="n">
        <v>0.02</v>
      </c>
    </row>
    <row r="64">
      <c r="A64" s="18" t="n"/>
      <c r="C64" s="15" t="inlineStr">
        <is>
          <t>#2</t>
        </is>
      </c>
      <c r="E64" s="130" t="n">
        <v>0</v>
      </c>
      <c r="F64" s="1" t="n"/>
      <c r="G64" s="1" t="n"/>
      <c r="H64" s="213" t="n"/>
      <c r="I64" s="248" t="n"/>
      <c r="J64" s="248" t="n"/>
      <c r="K64" s="129" t="n"/>
      <c r="L64" s="122" t="n"/>
      <c r="M64" s="249" t="n">
        <v>5000</v>
      </c>
      <c r="N64" s="123" t="n">
        <v>0.02</v>
      </c>
    </row>
    <row r="65">
      <c r="A65" s="18" t="n"/>
      <c r="C65" s="15" t="inlineStr">
        <is>
          <t>#3</t>
        </is>
      </c>
      <c r="E65" s="130" t="n">
        <v>0</v>
      </c>
      <c r="F65" s="1" t="n"/>
      <c r="G65" s="1" t="n"/>
      <c r="H65" s="213" t="n"/>
      <c r="I65" s="248" t="n"/>
      <c r="J65" s="248" t="n"/>
      <c r="K65" s="129" t="n"/>
      <c r="L65" s="122" t="n"/>
      <c r="M65" s="249" t="n">
        <v>5000</v>
      </c>
      <c r="N65" s="123" t="n">
        <v>0.02</v>
      </c>
    </row>
    <row r="66">
      <c r="A66" s="18" t="n"/>
      <c r="C66" s="15" t="inlineStr">
        <is>
          <t>#4</t>
        </is>
      </c>
      <c r="E66" s="130" t="n">
        <v>0</v>
      </c>
      <c r="F66" s="1" t="n"/>
      <c r="G66" s="1" t="n"/>
      <c r="H66" s="213" t="n"/>
      <c r="I66" s="248" t="n"/>
      <c r="J66" s="248" t="n"/>
      <c r="K66" s="129" t="n"/>
      <c r="L66" s="122" t="n"/>
      <c r="M66" s="249" t="n">
        <v>5000</v>
      </c>
      <c r="N66" s="123" t="n">
        <v>0.02</v>
      </c>
    </row>
    <row r="67">
      <c r="A67" s="18" t="n"/>
      <c r="C67" s="15" t="inlineStr">
        <is>
          <t>#5</t>
        </is>
      </c>
      <c r="E67" s="130" t="n">
        <v>0</v>
      </c>
      <c r="F67" s="1" t="n"/>
      <c r="G67" s="1" t="n"/>
      <c r="H67" s="213" t="n"/>
      <c r="I67" s="248" t="n"/>
      <c r="J67" s="248" t="n"/>
      <c r="K67" s="129" t="n"/>
      <c r="L67" s="122" t="n"/>
      <c r="M67" s="249" t="n">
        <v>5000</v>
      </c>
      <c r="N67" s="123" t="n">
        <v>0.02</v>
      </c>
    </row>
    <row r="68">
      <c r="A68" s="18" t="n"/>
      <c r="C68" s="15" t="inlineStr">
        <is>
          <t>#6</t>
        </is>
      </c>
      <c r="E68" s="130" t="n">
        <v>0</v>
      </c>
      <c r="F68" s="1" t="n"/>
      <c r="G68" s="1" t="n"/>
      <c r="H68" s="213" t="n"/>
      <c r="I68" s="248" t="n"/>
      <c r="J68" s="248" t="n"/>
      <c r="K68" s="129" t="n"/>
      <c r="L68" s="122" t="n"/>
      <c r="M68" s="249" t="n">
        <v>5000</v>
      </c>
      <c r="N68" s="123" t="n">
        <v>0.02</v>
      </c>
    </row>
    <row r="69">
      <c r="A69" s="18" t="n"/>
      <c r="C69" s="15" t="inlineStr">
        <is>
          <t>#7</t>
        </is>
      </c>
      <c r="E69" s="130" t="n">
        <v>0</v>
      </c>
      <c r="F69" s="1" t="n"/>
      <c r="G69" s="1" t="n"/>
      <c r="H69" s="213" t="n"/>
      <c r="I69" s="248" t="n"/>
      <c r="J69" s="248" t="n"/>
      <c r="K69" s="129" t="n"/>
      <c r="L69" s="122" t="n"/>
      <c r="M69" s="249" t="n">
        <v>5000</v>
      </c>
      <c r="N69" s="123" t="n">
        <v>0.02</v>
      </c>
    </row>
    <row r="70">
      <c r="A70" s="18" t="n"/>
      <c r="C70" s="15" t="inlineStr">
        <is>
          <t>#8</t>
        </is>
      </c>
      <c r="E70" s="130" t="n">
        <v>0</v>
      </c>
      <c r="F70" s="1" t="n"/>
      <c r="G70" s="1" t="n"/>
      <c r="H70" s="213" t="n"/>
      <c r="I70" s="248" t="n"/>
      <c r="J70" s="248" t="n"/>
      <c r="K70" s="129" t="n"/>
      <c r="L70" s="122" t="n"/>
      <c r="M70" s="249" t="n">
        <v>5000</v>
      </c>
      <c r="N70" s="123" t="n">
        <v>0.02</v>
      </c>
    </row>
    <row r="71">
      <c r="A71" s="18" t="n"/>
      <c r="C71" s="15" t="inlineStr">
        <is>
          <t>#9</t>
        </is>
      </c>
      <c r="E71" s="130" t="n">
        <v>0</v>
      </c>
      <c r="F71" s="1" t="n"/>
      <c r="G71" s="1" t="n"/>
      <c r="H71" s="213" t="n"/>
      <c r="I71" s="248" t="n"/>
      <c r="J71" s="248" t="n"/>
      <c r="K71" s="129" t="n"/>
      <c r="L71" s="122" t="n"/>
      <c r="M71" s="249" t="n">
        <v>5000</v>
      </c>
      <c r="N71" s="123" t="n">
        <v>0.02</v>
      </c>
    </row>
    <row r="72">
      <c r="A72" s="18" t="n"/>
      <c r="C72" s="15" t="inlineStr">
        <is>
          <t>#10</t>
        </is>
      </c>
      <c r="E72" s="130" t="n">
        <v>0</v>
      </c>
      <c r="F72" s="1" t="n"/>
      <c r="G72" s="1" t="n"/>
      <c r="H72" s="213" t="n"/>
      <c r="I72" s="248" t="n"/>
      <c r="J72" s="248" t="n"/>
      <c r="K72" s="129" t="n"/>
      <c r="L72" s="122" t="n"/>
      <c r="M72" s="249" t="n">
        <v>5000</v>
      </c>
      <c r="N72" s="123" t="n">
        <v>0.02</v>
      </c>
    </row>
    <row r="73">
      <c r="A73" s="18" t="n"/>
      <c r="C73" s="15" t="inlineStr">
        <is>
          <t>#11</t>
        </is>
      </c>
      <c r="E73" s="130" t="n">
        <v>0</v>
      </c>
      <c r="F73" s="1" t="n"/>
      <c r="G73" s="1" t="n"/>
      <c r="H73" s="213" t="n"/>
      <c r="I73" s="248" t="n"/>
      <c r="J73" s="248" t="n"/>
      <c r="K73" s="129" t="n"/>
      <c r="L73" s="122" t="n"/>
      <c r="M73" s="249" t="n">
        <v>5000</v>
      </c>
      <c r="N73" s="123" t="n">
        <v>0.02</v>
      </c>
    </row>
    <row r="74">
      <c r="A74" s="18" t="n"/>
      <c r="C74" s="15" t="inlineStr">
        <is>
          <t>#12</t>
        </is>
      </c>
      <c r="E74" s="130" t="n">
        <v>0</v>
      </c>
      <c r="F74" s="1" t="n"/>
      <c r="G74" s="1" t="n"/>
      <c r="H74" s="213" t="n"/>
      <c r="I74" s="248" t="n"/>
      <c r="J74" s="248" t="n"/>
      <c r="K74" s="129" t="n"/>
      <c r="L74" s="122" t="n"/>
      <c r="M74" s="249" t="n">
        <v>5000</v>
      </c>
      <c r="N74" s="123" t="n">
        <v>0.02</v>
      </c>
    </row>
    <row r="75">
      <c r="A75" s="18" t="n"/>
      <c r="C75" s="15" t="inlineStr">
        <is>
          <t>#13</t>
        </is>
      </c>
      <c r="E75" s="130" t="n">
        <v>0</v>
      </c>
      <c r="F75" s="1" t="n"/>
      <c r="G75" s="1" t="n"/>
      <c r="H75" s="213" t="n"/>
      <c r="I75" s="248" t="n"/>
      <c r="J75" s="248" t="n"/>
      <c r="K75" s="129" t="n"/>
      <c r="L75" s="122" t="n"/>
      <c r="M75" s="249" t="n">
        <v>5000</v>
      </c>
      <c r="N75" s="123" t="n">
        <v>0.02</v>
      </c>
    </row>
    <row r="76">
      <c r="A76" s="18" t="n"/>
      <c r="C76" s="15" t="inlineStr">
        <is>
          <t>#14</t>
        </is>
      </c>
      <c r="E76" s="130" t="n">
        <v>0</v>
      </c>
      <c r="F76" s="1" t="n"/>
      <c r="G76" s="1" t="n"/>
      <c r="H76" s="213" t="n"/>
      <c r="I76" s="248" t="n"/>
      <c r="J76" s="248" t="n"/>
      <c r="K76" s="129" t="n"/>
      <c r="L76" s="122" t="n"/>
      <c r="M76" s="249" t="n">
        <v>5000</v>
      </c>
      <c r="N76" s="123" t="n">
        <v>0.02</v>
      </c>
    </row>
    <row r="77">
      <c r="A77" s="18" t="n"/>
      <c r="C77" s="15" t="inlineStr">
        <is>
          <t>#15</t>
        </is>
      </c>
      <c r="E77" s="130" t="n">
        <v>0</v>
      </c>
      <c r="F77" s="1" t="n"/>
      <c r="G77" s="1" t="n"/>
      <c r="H77" s="213" t="n"/>
      <c r="I77" s="248" t="n"/>
      <c r="J77" s="248" t="n"/>
      <c r="K77" s="129" t="n"/>
      <c r="L77" s="122" t="n"/>
      <c r="M77" s="249" t="n">
        <v>5000</v>
      </c>
      <c r="N77" s="123" t="n">
        <v>0.02</v>
      </c>
    </row>
    <row r="78">
      <c r="A78" s="18" t="n"/>
      <c r="C78" s="15" t="inlineStr">
        <is>
          <t>#16</t>
        </is>
      </c>
      <c r="E78" s="130" t="n">
        <v>0</v>
      </c>
      <c r="F78" s="1" t="n"/>
      <c r="G78" s="1" t="n"/>
      <c r="H78" s="213" t="n"/>
      <c r="I78" s="248" t="n"/>
      <c r="J78" s="248" t="n"/>
      <c r="K78" s="129" t="n"/>
      <c r="L78" s="122" t="n"/>
      <c r="M78" s="249" t="n">
        <v>5000</v>
      </c>
      <c r="N78" s="123" t="n">
        <v>0.02</v>
      </c>
    </row>
    <row r="79">
      <c r="A79" s="18" t="n"/>
      <c r="C79" s="15" t="inlineStr">
        <is>
          <t>#17</t>
        </is>
      </c>
      <c r="E79" s="130" t="n">
        <v>0</v>
      </c>
      <c r="F79" s="1" t="n"/>
      <c r="G79" s="1" t="n"/>
      <c r="H79" s="213" t="n"/>
      <c r="I79" s="248" t="n"/>
      <c r="J79" s="248" t="n"/>
      <c r="K79" s="129" t="n"/>
      <c r="L79" s="122" t="n"/>
      <c r="M79" s="249" t="n">
        <v>5000</v>
      </c>
      <c r="N79" s="123" t="n">
        <v>0.02</v>
      </c>
    </row>
    <row r="80">
      <c r="A80" s="18" t="n"/>
      <c r="C80" s="15" t="inlineStr">
        <is>
          <t>#18</t>
        </is>
      </c>
      <c r="E80" s="130" t="n">
        <v>0</v>
      </c>
      <c r="F80" s="1" t="n"/>
      <c r="G80" s="1" t="n"/>
      <c r="H80" s="213" t="n"/>
      <c r="I80" s="248" t="n"/>
      <c r="J80" s="248" t="n"/>
      <c r="K80" s="129" t="n"/>
      <c r="L80" s="122" t="n"/>
      <c r="M80" s="249" t="n">
        <v>5000</v>
      </c>
      <c r="N80" s="123" t="n">
        <v>0.02</v>
      </c>
    </row>
    <row r="81">
      <c r="A81" s="18" t="n"/>
      <c r="C81" s="15" t="inlineStr">
        <is>
          <t>#19</t>
        </is>
      </c>
      <c r="E81" s="130" t="n">
        <v>0</v>
      </c>
      <c r="F81" s="1" t="n"/>
      <c r="G81" s="1" t="n"/>
      <c r="H81" s="213" t="n"/>
      <c r="I81" s="248" t="n"/>
      <c r="J81" s="248" t="n"/>
      <c r="K81" s="129" t="n"/>
      <c r="L81" s="122" t="n"/>
      <c r="M81" s="249" t="n">
        <v>5000</v>
      </c>
      <c r="N81" s="123" t="n">
        <v>0.02</v>
      </c>
    </row>
    <row r="82">
      <c r="A82" s="18" t="n"/>
      <c r="C82" s="15" t="inlineStr">
        <is>
          <t>#20</t>
        </is>
      </c>
      <c r="E82" s="130" t="n">
        <v>0</v>
      </c>
      <c r="F82" s="1" t="n"/>
      <c r="G82" s="1" t="n"/>
      <c r="H82" s="213" t="n"/>
      <c r="I82" s="248" t="n"/>
      <c r="J82" s="248" t="n"/>
      <c r="K82" s="129" t="n"/>
      <c r="L82" s="122" t="n"/>
      <c r="M82" s="249" t="n">
        <v>5000</v>
      </c>
      <c r="N82" s="123" t="n">
        <v>0.02</v>
      </c>
    </row>
    <row r="83">
      <c r="A83" s="18" t="n"/>
      <c r="C83" s="15" t="inlineStr">
        <is>
          <t>Covergae G Total (exclusing Solar Panels)</t>
        </is>
      </c>
      <c r="E83" s="130">
        <f>SUM(E63:E82)</f>
        <v/>
      </c>
      <c r="F83" s="1" t="n"/>
      <c r="G83" s="1" t="n"/>
      <c r="H83" s="130" t="n"/>
      <c r="I83" s="248" t="n"/>
      <c r="J83" s="129">
        <f>'Inception of Cover Rater'!K83</f>
        <v/>
      </c>
      <c r="K83" s="122">
        <f>E83*J83</f>
        <v/>
      </c>
      <c r="M83" s="249" t="n"/>
      <c r="N83" s="123" t="n"/>
    </row>
    <row r="84" ht="15" customHeight="1">
      <c r="A84" s="18" t="n"/>
      <c r="E84" s="130" t="n"/>
      <c r="F84" s="130" t="n"/>
      <c r="G84" s="130" t="n"/>
      <c r="H84" s="130" t="n"/>
      <c r="I84" s="248" t="n"/>
      <c r="J84" s="13" t="n"/>
      <c r="K84" s="122" t="n"/>
      <c r="M84" s="249" t="n"/>
      <c r="N84" s="123" t="n"/>
      <c r="O84" s="241" t="n"/>
    </row>
    <row r="85" ht="15" customHeight="1">
      <c r="A85" s="18" t="n"/>
      <c r="E85" s="130" t="n"/>
      <c r="F85" s="130" t="n"/>
      <c r="G85" s="130" t="n"/>
      <c r="H85" s="130" t="n"/>
      <c r="I85" s="248" t="n"/>
      <c r="J85" s="13" t="n"/>
      <c r="K85" s="122" t="n"/>
      <c r="M85" s="249" t="n"/>
      <c r="N85" s="215" t="inlineStr">
        <is>
          <t>IF BUILDER'S RISK IS COVERED, USD 5,000 DEDUCTIBLE AND 2% WIND AND HAIL DEDUCTIBLE MUST APPLY DURING CONSTRUCTION.</t>
        </is>
      </c>
      <c r="O85" s="241" t="n"/>
    </row>
    <row r="86" ht="15" customHeight="1">
      <c r="A86" s="18" t="n"/>
      <c r="E86" s="130" t="n"/>
      <c r="F86" s="130" t="n"/>
      <c r="G86" s="130" t="n"/>
      <c r="H86" s="130" t="n"/>
      <c r="I86" s="248" t="n"/>
      <c r="J86" s="13" t="n"/>
      <c r="K86" s="122" t="n"/>
      <c r="M86" s="249" t="n"/>
      <c r="N86" s="123" t="n"/>
      <c r="O86" s="241" t="n"/>
    </row>
    <row r="87">
      <c r="A87" s="18" t="inlineStr">
        <is>
          <t>Coverage G</t>
        </is>
      </c>
      <c r="B87" s="15" t="inlineStr">
        <is>
          <t>Solar Panels</t>
        </is>
      </c>
      <c r="C87" s="15" t="inlineStr">
        <is>
          <t xml:space="preserve">#1 </t>
        </is>
      </c>
      <c r="E87" s="130" t="n">
        <v>0</v>
      </c>
      <c r="F87" s="130" t="n"/>
      <c r="G87" s="130" t="n"/>
      <c r="H87" s="130" t="n"/>
      <c r="I87" s="248" t="n"/>
      <c r="J87" s="129" t="n">
        <v>0.02</v>
      </c>
      <c r="K87" s="122">
        <f>E87*J87</f>
        <v/>
      </c>
      <c r="M87" s="125" t="n">
        <v>0.05</v>
      </c>
      <c r="N87" s="123" t="inlineStr">
        <is>
          <t>Minimium $5,000</t>
        </is>
      </c>
    </row>
    <row r="88">
      <c r="A88" s="18" t="n"/>
      <c r="E88" s="130" t="n"/>
      <c r="F88" s="130" t="n"/>
      <c r="G88" s="130" t="n"/>
      <c r="H88" s="130" t="n"/>
      <c r="I88" s="248" t="n"/>
      <c r="J88" s="248" t="n"/>
      <c r="K88" s="129" t="n"/>
      <c r="L88" s="122" t="n"/>
      <c r="M88" s="249" t="n"/>
      <c r="N88" s="123" t="n"/>
    </row>
    <row r="89">
      <c r="A89" s="19" t="n"/>
      <c r="B89" s="38" t="n"/>
      <c r="C89" s="50" t="inlineStr">
        <is>
          <t>Covergae G Grand Total</t>
        </is>
      </c>
      <c r="D89" s="50" t="n"/>
      <c r="E89" s="100">
        <f>E83+E87</f>
        <v/>
      </c>
      <c r="F89" s="100" t="n"/>
      <c r="G89" s="100" t="n"/>
      <c r="H89" s="100" t="n"/>
      <c r="I89" s="250" t="n"/>
      <c r="J89" s="250" t="n"/>
      <c r="K89" s="40" t="n"/>
      <c r="L89" s="105">
        <f>SUM(K83+K87)*(100%+B106)</f>
        <v/>
      </c>
      <c r="M89" s="252" t="n"/>
      <c r="N89" s="92" t="n"/>
    </row>
    <row r="90">
      <c r="A90" s="41" t="inlineStr">
        <is>
          <t>Coverage H</t>
        </is>
      </c>
      <c r="B90" s="42" t="inlineStr">
        <is>
          <t>Farm Personal Liability</t>
        </is>
      </c>
      <c r="C90" s="42" t="n"/>
      <c r="D90" s="42" t="n"/>
      <c r="E90" s="253" t="n">
        <v>1000000</v>
      </c>
      <c r="F90" s="257" t="inlineStr">
        <is>
          <t>per occurrence, $2,000,000 in the annual aggregate</t>
        </is>
      </c>
      <c r="G90" s="253" t="n"/>
      <c r="H90" s="253" t="n"/>
      <c r="I90" s="253" t="n"/>
      <c r="K90" s="154" t="n">
        <v>500</v>
      </c>
      <c r="L90" s="141" t="n">
        <v>0</v>
      </c>
      <c r="M90" s="254" t="n"/>
      <c r="N90" s="93" t="n"/>
      <c r="O90" s="47" t="n"/>
    </row>
    <row r="91">
      <c r="A91" s="41" t="inlineStr">
        <is>
          <t>Coverage I</t>
        </is>
      </c>
      <c r="B91" s="42" t="inlineStr">
        <is>
          <t>Medical Payments to Others</t>
        </is>
      </c>
      <c r="C91" s="42" t="n"/>
      <c r="D91" s="42" t="n"/>
      <c r="E91" s="253" t="n">
        <v>5000</v>
      </c>
      <c r="F91" s="253" t="n"/>
      <c r="G91" s="253" t="n"/>
      <c r="H91" s="253" t="n"/>
      <c r="I91" s="253" t="n"/>
      <c r="J91" s="253" t="n"/>
      <c r="K91" s="154" t="inlineStr">
        <is>
          <t>Included</t>
        </is>
      </c>
      <c r="L91" s="142" t="inlineStr">
        <is>
          <t>Included</t>
        </is>
      </c>
      <c r="M91" s="254" t="n"/>
      <c r="N91" s="93" t="n"/>
      <c r="O91" s="15" t="n"/>
      <c r="P91" s="248" t="n"/>
      <c r="Q91" s="248" t="n"/>
      <c r="R91" s="240" t="n"/>
      <c r="S91" s="240" t="n"/>
      <c r="U91" s="15" t="n"/>
      <c r="V91" s="15" t="n"/>
      <c r="W91" s="248" t="n"/>
      <c r="X91" s="248" t="n"/>
      <c r="Y91" s="240" t="n"/>
      <c r="Z91" s="240" t="n"/>
      <c r="AB91" s="15" t="n"/>
      <c r="AC91" s="15" t="n"/>
      <c r="AD91" s="248" t="n"/>
      <c r="AE91" s="248" t="n"/>
      <c r="AF91" s="240" t="n"/>
      <c r="AG91" s="240" t="n"/>
      <c r="AI91" s="15" t="n"/>
      <c r="AJ91" s="15" t="n"/>
      <c r="AK91" s="248" t="n"/>
      <c r="AL91" s="248" t="n"/>
      <c r="AM91" s="240" t="n"/>
      <c r="AN91" s="240" t="n"/>
      <c r="AP91" s="15" t="n"/>
      <c r="AQ91" s="15" t="n"/>
      <c r="AR91" s="248" t="n"/>
      <c r="AS91" s="248" t="n"/>
      <c r="AT91" s="240" t="n"/>
      <c r="AU91" s="240" t="n"/>
      <c r="AW91" s="15" t="n"/>
      <c r="AX91" s="15" t="n"/>
      <c r="AY91" s="248" t="n"/>
      <c r="AZ91" s="248" t="n"/>
      <c r="BA91" s="240" t="n"/>
      <c r="BB91" s="240" t="n"/>
      <c r="BD91" s="15" t="n"/>
      <c r="BE91" s="15" t="n"/>
      <c r="BF91" s="248" t="n"/>
      <c r="BG91" s="248" t="n"/>
      <c r="BH91" s="240" t="n"/>
      <c r="BI91" s="240" t="n"/>
      <c r="BK91" s="15" t="n"/>
      <c r="BL91" s="15" t="n"/>
      <c r="BM91" s="248" t="n"/>
      <c r="BN91" s="248" t="n"/>
      <c r="BO91" s="240" t="n"/>
      <c r="BP91" s="240" t="n"/>
      <c r="BR91" s="15" t="n"/>
      <c r="BS91" s="15" t="n"/>
      <c r="BT91" s="248" t="n"/>
      <c r="BU91" s="248" t="n"/>
      <c r="BV91" s="240" t="n"/>
      <c r="BW91" s="240" t="n"/>
      <c r="BY91" s="15" t="n"/>
      <c r="BZ91" s="15" t="n"/>
      <c r="CA91" s="248" t="n"/>
      <c r="CB91" s="248" t="n"/>
      <c r="CC91" s="240" t="n"/>
      <c r="CD91" s="240" t="n"/>
      <c r="CF91" s="15" t="n"/>
      <c r="CG91" s="15" t="n"/>
      <c r="CH91" s="248" t="n"/>
      <c r="CI91" s="248" t="n"/>
      <c r="CJ91" s="240" t="n"/>
      <c r="CK91" s="240" t="n"/>
      <c r="CM91" s="15" t="n"/>
      <c r="CN91" s="15" t="n"/>
      <c r="CO91" s="248" t="n"/>
      <c r="CP91" s="248" t="n"/>
      <c r="CQ91" s="240" t="n"/>
      <c r="CR91" s="240" t="n"/>
      <c r="CT91" s="15" t="n"/>
      <c r="CU91" s="15" t="n"/>
      <c r="CV91" s="248" t="n"/>
      <c r="CW91" s="248" t="n"/>
      <c r="CX91" s="240" t="n"/>
      <c r="CY91" s="240" t="n"/>
      <c r="DA91" s="15" t="n"/>
      <c r="DB91" s="15" t="n"/>
      <c r="DC91" s="248" t="n"/>
      <c r="DD91" s="248" t="n"/>
      <c r="DE91" s="240" t="n"/>
      <c r="DF91" s="240" t="n"/>
      <c r="DH91" s="15" t="n"/>
      <c r="DI91" s="15" t="n"/>
      <c r="DJ91" s="248" t="n"/>
      <c r="DK91" s="248" t="n"/>
      <c r="DL91" s="240" t="n"/>
      <c r="DM91" s="240" t="n"/>
      <c r="DO91" s="15" t="n"/>
      <c r="DP91" s="15" t="n"/>
      <c r="DQ91" s="248" t="n"/>
      <c r="DR91" s="248" t="n"/>
      <c r="DS91" s="240" t="n"/>
      <c r="DT91" s="240" t="n"/>
      <c r="DV91" s="15" t="n"/>
      <c r="DW91" s="15" t="n"/>
      <c r="DX91" s="248" t="n"/>
      <c r="DY91" s="248" t="n"/>
      <c r="DZ91" s="240" t="n"/>
      <c r="EA91" s="240" t="n"/>
      <c r="EC91" s="15" t="n"/>
      <c r="ED91" s="15" t="n"/>
      <c r="EE91" s="248" t="n"/>
      <c r="EF91" s="248" t="n"/>
      <c r="EG91" s="240" t="n"/>
      <c r="EH91" s="240" t="n"/>
      <c r="EJ91" s="15" t="n"/>
      <c r="EK91" s="15" t="n"/>
      <c r="EL91" s="248" t="n"/>
      <c r="EM91" s="248" t="n"/>
      <c r="EN91" s="240" t="n"/>
      <c r="EO91" s="240" t="n"/>
      <c r="EQ91" s="15" t="n"/>
      <c r="ER91" s="15" t="n"/>
      <c r="ES91" s="248" t="n"/>
      <c r="ET91" s="248" t="n"/>
      <c r="EU91" s="240" t="n"/>
      <c r="EV91" s="240" t="n"/>
      <c r="EX91" s="15" t="n"/>
      <c r="EY91" s="15" t="n"/>
      <c r="EZ91" s="248" t="n"/>
      <c r="FA91" s="248" t="n"/>
      <c r="FB91" s="240" t="n"/>
      <c r="FC91" s="240" t="n"/>
      <c r="FE91" s="15" t="n"/>
      <c r="FF91" s="15" t="n"/>
      <c r="FG91" s="248" t="n"/>
      <c r="FH91" s="248" t="n"/>
      <c r="FI91" s="240" t="n"/>
      <c r="FJ91" s="240" t="n"/>
      <c r="FL91" s="15" t="n"/>
      <c r="FM91" s="15" t="n"/>
      <c r="FN91" s="248" t="n"/>
      <c r="FO91" s="248" t="n"/>
      <c r="FP91" s="240" t="n"/>
      <c r="FQ91" s="240" t="n"/>
      <c r="FS91" s="15" t="n"/>
      <c r="FT91" s="15" t="n"/>
      <c r="FU91" s="248" t="n"/>
      <c r="FV91" s="248" t="n"/>
      <c r="FW91" s="240" t="n"/>
      <c r="FX91" s="240" t="n"/>
      <c r="FZ91" s="15" t="n"/>
      <c r="GA91" s="15" t="n"/>
      <c r="GB91" s="248" t="n"/>
      <c r="GC91" s="248" t="n"/>
      <c r="GD91" s="240" t="n"/>
      <c r="GE91" s="240" t="n"/>
      <c r="GG91" s="15" t="n"/>
      <c r="GH91" s="15" t="n"/>
      <c r="GI91" s="248" t="n"/>
      <c r="GJ91" s="248" t="n"/>
      <c r="GK91" s="240" t="n"/>
      <c r="GL91" s="240" t="n"/>
      <c r="GN91" s="15" t="n"/>
      <c r="GO91" s="15" t="n"/>
      <c r="GP91" s="248" t="n"/>
      <c r="GQ91" s="248" t="n"/>
      <c r="GR91" s="240" t="n"/>
      <c r="GS91" s="240" t="n"/>
      <c r="GU91" s="15" t="n"/>
      <c r="GV91" s="15" t="n"/>
      <c r="GW91" s="248" t="n"/>
      <c r="GX91" s="248" t="n"/>
      <c r="GY91" s="240" t="n"/>
      <c r="GZ91" s="240" t="n"/>
      <c r="HB91" s="15" t="n"/>
      <c r="HC91" s="15" t="n"/>
      <c r="HD91" s="248" t="n"/>
      <c r="HE91" s="248" t="n"/>
      <c r="HF91" s="240" t="n"/>
      <c r="HG91" s="240" t="n"/>
      <c r="HI91" s="15" t="n"/>
      <c r="HJ91" s="15" t="n"/>
      <c r="HK91" s="248" t="n"/>
      <c r="HL91" s="248" t="n"/>
      <c r="HM91" s="240" t="n"/>
      <c r="HN91" s="240" t="n"/>
      <c r="HP91" s="15" t="n"/>
      <c r="HQ91" s="15" t="n"/>
      <c r="HR91" s="248" t="n"/>
      <c r="HS91" s="248" t="n"/>
      <c r="HT91" s="240" t="n"/>
      <c r="HU91" s="240" t="n"/>
      <c r="HW91" s="15" t="n"/>
      <c r="HX91" s="15" t="n"/>
      <c r="HY91" s="248" t="n"/>
      <c r="HZ91" s="248" t="n"/>
      <c r="IA91" s="240" t="n"/>
      <c r="IB91" s="240" t="n"/>
      <c r="ID91" s="15" t="n"/>
      <c r="IE91" s="15" t="n"/>
      <c r="IF91" s="248" t="n"/>
      <c r="IG91" s="248" t="n"/>
      <c r="IH91" s="240" t="n"/>
      <c r="II91" s="240" t="n"/>
      <c r="IK91" s="15" t="n"/>
      <c r="IL91" s="15" t="n"/>
      <c r="IM91" s="248" t="n"/>
      <c r="IN91" s="248" t="n"/>
      <c r="IO91" s="240" t="n"/>
      <c r="IP91" s="240" t="n"/>
      <c r="IR91" s="15" t="n"/>
      <c r="IS91" s="15" t="n"/>
      <c r="IT91" s="248" t="n"/>
      <c r="IU91" s="248" t="n"/>
      <c r="IV91" s="240" t="n"/>
      <c r="IW91" s="240" t="n"/>
      <c r="IY91" s="15" t="n"/>
      <c r="IZ91" s="15" t="n"/>
      <c r="JA91" s="248" t="n"/>
      <c r="JB91" s="248" t="n"/>
      <c r="JC91" s="240" t="n"/>
      <c r="JD91" s="240" t="n"/>
      <c r="JF91" s="15" t="n"/>
      <c r="JG91" s="15" t="n"/>
      <c r="JH91" s="248" t="n"/>
      <c r="JI91" s="248" t="n"/>
      <c r="JJ91" s="240" t="n"/>
      <c r="JK91" s="240" t="n"/>
      <c r="JM91" s="15" t="n"/>
      <c r="JN91" s="15" t="n"/>
      <c r="JO91" s="248" t="n"/>
      <c r="JP91" s="248" t="n"/>
      <c r="JQ91" s="240" t="n"/>
      <c r="JR91" s="240" t="n"/>
      <c r="JT91" s="15" t="n"/>
      <c r="JU91" s="15" t="n"/>
      <c r="JV91" s="248" t="n"/>
      <c r="JW91" s="248" t="n"/>
      <c r="JX91" s="240" t="n"/>
      <c r="JY91" s="240" t="n"/>
      <c r="KA91" s="15" t="n"/>
      <c r="KB91" s="15" t="n"/>
      <c r="KC91" s="248" t="n"/>
      <c r="KD91" s="248" t="n"/>
      <c r="KE91" s="240" t="n"/>
      <c r="KF91" s="240" t="n"/>
      <c r="KH91" s="15" t="n"/>
      <c r="KI91" s="15" t="n"/>
      <c r="KJ91" s="248" t="n"/>
      <c r="KK91" s="248" t="n"/>
      <c r="KL91" s="240" t="n"/>
      <c r="KM91" s="240" t="n"/>
      <c r="KO91" s="15" t="n"/>
      <c r="KP91" s="15" t="n"/>
      <c r="KQ91" s="248" t="n"/>
      <c r="KR91" s="248" t="n"/>
      <c r="KS91" s="240" t="n"/>
      <c r="KT91" s="240" t="n"/>
      <c r="KV91" s="15" t="n"/>
      <c r="KW91" s="15" t="n"/>
      <c r="KX91" s="248" t="n"/>
      <c r="KY91" s="248" t="n"/>
      <c r="KZ91" s="240" t="n"/>
      <c r="LA91" s="240" t="n"/>
      <c r="LC91" s="15" t="n"/>
      <c r="LD91" s="15" t="n"/>
      <c r="LE91" s="248" t="n"/>
      <c r="LF91" s="248" t="n"/>
      <c r="LG91" s="240" t="n"/>
      <c r="LH91" s="240" t="n"/>
      <c r="LJ91" s="15" t="n"/>
      <c r="LK91" s="15" t="n"/>
      <c r="LL91" s="248" t="n"/>
      <c r="LM91" s="248" t="n"/>
      <c r="LN91" s="240" t="n"/>
      <c r="LO91" s="240" t="n"/>
      <c r="LQ91" s="15" t="n"/>
      <c r="LR91" s="15" t="n"/>
      <c r="LS91" s="248" t="n"/>
      <c r="LT91" s="248" t="n"/>
      <c r="LU91" s="240" t="n"/>
      <c r="LV91" s="240" t="n"/>
      <c r="LX91" s="15" t="n"/>
      <c r="LY91" s="15" t="n"/>
      <c r="LZ91" s="248" t="n"/>
      <c r="MA91" s="248" t="n"/>
      <c r="MB91" s="240" t="n"/>
      <c r="MC91" s="240" t="n"/>
      <c r="ME91" s="15" t="n"/>
      <c r="MF91" s="15" t="n"/>
      <c r="MG91" s="248" t="n"/>
      <c r="MH91" s="248" t="n"/>
      <c r="MI91" s="240" t="n"/>
      <c r="MJ91" s="240" t="n"/>
      <c r="ML91" s="15" t="n"/>
      <c r="MM91" s="15" t="n"/>
      <c r="MN91" s="248" t="n"/>
      <c r="MO91" s="248" t="n"/>
      <c r="MP91" s="240" t="n"/>
      <c r="MQ91" s="240" t="n"/>
      <c r="MS91" s="15" t="n"/>
      <c r="MT91" s="15" t="n"/>
      <c r="MU91" s="248" t="n"/>
      <c r="MV91" s="248" t="n"/>
      <c r="MW91" s="240" t="n"/>
      <c r="MX91" s="240" t="n"/>
      <c r="MZ91" s="15" t="n"/>
      <c r="NA91" s="15" t="n"/>
      <c r="NB91" s="248" t="n"/>
      <c r="NC91" s="248" t="n"/>
      <c r="ND91" s="240" t="n"/>
      <c r="NE91" s="240" t="n"/>
      <c r="NG91" s="15" t="n"/>
      <c r="NH91" s="15" t="n"/>
      <c r="NI91" s="248" t="n"/>
      <c r="NJ91" s="248" t="n"/>
      <c r="NK91" s="240" t="n"/>
      <c r="NL91" s="240" t="n"/>
      <c r="NN91" s="15" t="n"/>
      <c r="NO91" s="15" t="n"/>
      <c r="NP91" s="248" t="n"/>
      <c r="NQ91" s="248" t="n"/>
      <c r="NR91" s="240" t="n"/>
      <c r="NS91" s="240" t="n"/>
      <c r="NU91" s="15" t="n"/>
      <c r="NV91" s="15" t="n"/>
      <c r="NW91" s="248" t="n"/>
      <c r="NX91" s="248" t="n"/>
      <c r="NY91" s="240" t="n"/>
      <c r="NZ91" s="240" t="n"/>
      <c r="OB91" s="15" t="n"/>
      <c r="OC91" s="15" t="n"/>
      <c r="OD91" s="248" t="n"/>
      <c r="OE91" s="248" t="n"/>
      <c r="OF91" s="240" t="n"/>
      <c r="OG91" s="240" t="n"/>
      <c r="OI91" s="15" t="n"/>
      <c r="OJ91" s="15" t="n"/>
      <c r="OK91" s="248" t="n"/>
      <c r="OL91" s="248" t="n"/>
      <c r="OM91" s="240" t="n"/>
      <c r="ON91" s="240" t="n"/>
      <c r="OP91" s="15" t="n"/>
      <c r="OQ91" s="15" t="n"/>
      <c r="OR91" s="248" t="n"/>
      <c r="OS91" s="248" t="n"/>
      <c r="OT91" s="240" t="n"/>
      <c r="OU91" s="240" t="n"/>
      <c r="OW91" s="15" t="n"/>
      <c r="OX91" s="15" t="n"/>
      <c r="OY91" s="248" t="n"/>
      <c r="OZ91" s="248" t="n"/>
      <c r="PA91" s="240" t="n"/>
      <c r="PB91" s="240" t="n"/>
      <c r="PD91" s="15" t="n"/>
      <c r="PE91" s="15" t="n"/>
      <c r="PF91" s="248" t="n"/>
      <c r="PG91" s="248" t="n"/>
      <c r="PH91" s="240" t="n"/>
      <c r="PI91" s="240" t="n"/>
      <c r="PK91" s="15" t="n"/>
      <c r="PL91" s="15" t="n"/>
      <c r="PM91" s="248" t="n"/>
      <c r="PN91" s="248" t="n"/>
      <c r="PO91" s="240" t="n"/>
      <c r="PP91" s="240" t="n"/>
      <c r="PR91" s="15" t="n"/>
      <c r="PS91" s="15" t="n"/>
      <c r="PT91" s="248" t="n"/>
      <c r="PU91" s="248" t="n"/>
      <c r="PV91" s="240" t="n"/>
      <c r="PW91" s="240" t="n"/>
      <c r="PY91" s="15" t="n"/>
      <c r="PZ91" s="15" t="n"/>
      <c r="QA91" s="248" t="n"/>
      <c r="QB91" s="248" t="n"/>
      <c r="QC91" s="240" t="n"/>
      <c r="QD91" s="240" t="n"/>
      <c r="QF91" s="15" t="n"/>
      <c r="QG91" s="15" t="n"/>
      <c r="QH91" s="248" t="n"/>
      <c r="QI91" s="248" t="n"/>
      <c r="QJ91" s="240" t="n"/>
      <c r="QK91" s="240" t="n"/>
      <c r="QM91" s="15" t="n"/>
      <c r="QN91" s="15" t="n"/>
      <c r="QO91" s="248" t="n"/>
      <c r="QP91" s="248" t="n"/>
      <c r="QQ91" s="240" t="n"/>
      <c r="QR91" s="240" t="n"/>
      <c r="QT91" s="15" t="n"/>
      <c r="QU91" s="15" t="n"/>
      <c r="QV91" s="248" t="n"/>
      <c r="QW91" s="248" t="n"/>
      <c r="QX91" s="240" t="n"/>
      <c r="QY91" s="240" t="n"/>
      <c r="RA91" s="15" t="n"/>
      <c r="RB91" s="15" t="n"/>
      <c r="RC91" s="248" t="n"/>
      <c r="RD91" s="248" t="n"/>
      <c r="RE91" s="240" t="n"/>
      <c r="RF91" s="240" t="n"/>
      <c r="RH91" s="15" t="n"/>
      <c r="RI91" s="15" t="n"/>
      <c r="RJ91" s="248" t="n"/>
      <c r="RK91" s="248" t="n"/>
      <c r="RL91" s="240" t="n"/>
      <c r="RM91" s="240" t="n"/>
      <c r="RO91" s="15" t="n"/>
      <c r="RP91" s="15" t="n"/>
      <c r="RQ91" s="248" t="n"/>
      <c r="RR91" s="248" t="n"/>
      <c r="RS91" s="240" t="n"/>
      <c r="RT91" s="240" t="n"/>
      <c r="RV91" s="15" t="n"/>
      <c r="RW91" s="15" t="n"/>
      <c r="RX91" s="248" t="n"/>
      <c r="RY91" s="248" t="n"/>
      <c r="RZ91" s="240" t="n"/>
      <c r="SA91" s="240" t="n"/>
      <c r="SC91" s="15" t="n"/>
      <c r="SD91" s="15" t="n"/>
      <c r="SE91" s="248" t="n"/>
      <c r="SF91" s="248" t="n"/>
      <c r="SG91" s="240" t="n"/>
      <c r="SH91" s="240" t="n"/>
      <c r="SJ91" s="15" t="n"/>
      <c r="SK91" s="15" t="n"/>
      <c r="SL91" s="248" t="n"/>
      <c r="SM91" s="248" t="n"/>
      <c r="SN91" s="240" t="n"/>
      <c r="SO91" s="240" t="n"/>
      <c r="SQ91" s="15" t="n"/>
      <c r="SR91" s="15" t="n"/>
      <c r="SS91" s="248" t="n"/>
      <c r="ST91" s="248" t="n"/>
      <c r="SU91" s="240" t="n"/>
      <c r="SV91" s="240" t="n"/>
      <c r="SX91" s="15" t="n"/>
      <c r="SY91" s="15" t="n"/>
      <c r="SZ91" s="248" t="n"/>
      <c r="TA91" s="248" t="n"/>
      <c r="TB91" s="240" t="n"/>
      <c r="TC91" s="240" t="n"/>
      <c r="TE91" s="15" t="n"/>
      <c r="TF91" s="15" t="n"/>
      <c r="TG91" s="248" t="n"/>
      <c r="TH91" s="248" t="n"/>
      <c r="TI91" s="240" t="n"/>
      <c r="TJ91" s="240" t="n"/>
      <c r="TL91" s="15" t="n"/>
      <c r="TM91" s="15" t="n"/>
      <c r="TN91" s="248" t="n"/>
      <c r="TO91" s="248" t="n"/>
      <c r="TP91" s="240" t="n"/>
      <c r="TQ91" s="240" t="n"/>
      <c r="TS91" s="15" t="n"/>
      <c r="TT91" s="15" t="n"/>
      <c r="TU91" s="248" t="n"/>
      <c r="TV91" s="248" t="n"/>
      <c r="TW91" s="240" t="n"/>
      <c r="TX91" s="240" t="n"/>
      <c r="TZ91" s="15" t="n"/>
      <c r="UA91" s="15" t="n"/>
      <c r="UB91" s="248" t="n"/>
      <c r="UC91" s="248" t="n"/>
      <c r="UD91" s="240" t="n"/>
      <c r="UE91" s="240" t="n"/>
      <c r="UG91" s="15" t="n"/>
      <c r="UH91" s="15" t="n"/>
      <c r="UI91" s="248" t="n"/>
      <c r="UJ91" s="248" t="n"/>
      <c r="UK91" s="240" t="n"/>
      <c r="UL91" s="240" t="n"/>
      <c r="UN91" s="15" t="n"/>
      <c r="UO91" s="15" t="n"/>
      <c r="UP91" s="248" t="n"/>
      <c r="UQ91" s="248" t="n"/>
      <c r="UR91" s="240" t="n"/>
      <c r="US91" s="240" t="n"/>
      <c r="UU91" s="15" t="n"/>
      <c r="UV91" s="15" t="n"/>
      <c r="UW91" s="248" t="n"/>
      <c r="UX91" s="248" t="n"/>
      <c r="UY91" s="240" t="n"/>
      <c r="UZ91" s="240" t="n"/>
      <c r="VB91" s="15" t="n"/>
      <c r="VC91" s="15" t="n"/>
      <c r="VD91" s="248" t="n"/>
      <c r="VE91" s="248" t="n"/>
      <c r="VF91" s="240" t="n"/>
      <c r="VG91" s="240" t="n"/>
      <c r="VI91" s="15" t="n"/>
      <c r="VJ91" s="15" t="n"/>
      <c r="VK91" s="248" t="n"/>
      <c r="VL91" s="248" t="n"/>
      <c r="VM91" s="240" t="n"/>
      <c r="VN91" s="240" t="n"/>
      <c r="VP91" s="15" t="n"/>
      <c r="VQ91" s="15" t="n"/>
      <c r="VR91" s="248" t="n"/>
      <c r="VS91" s="248" t="n"/>
      <c r="VT91" s="240" t="n"/>
      <c r="VU91" s="240" t="n"/>
      <c r="VW91" s="15" t="n"/>
      <c r="VX91" s="15" t="n"/>
      <c r="VY91" s="248" t="n"/>
      <c r="VZ91" s="248" t="n"/>
      <c r="WA91" s="240" t="n"/>
      <c r="WB91" s="240" t="n"/>
      <c r="WD91" s="15" t="n"/>
      <c r="WE91" s="15" t="n"/>
      <c r="WF91" s="248" t="n"/>
      <c r="WG91" s="248" t="n"/>
      <c r="WH91" s="240" t="n"/>
      <c r="WI91" s="240" t="n"/>
      <c r="WK91" s="15" t="n"/>
      <c r="WL91" s="15" t="n"/>
      <c r="WM91" s="248" t="n"/>
      <c r="WN91" s="248" t="n"/>
      <c r="WO91" s="240" t="n"/>
      <c r="WP91" s="240" t="n"/>
      <c r="WR91" s="15" t="n"/>
      <c r="WS91" s="15" t="n"/>
      <c r="WT91" s="248" t="n"/>
      <c r="WU91" s="248" t="n"/>
      <c r="WV91" s="240" t="n"/>
      <c r="WW91" s="240" t="n"/>
      <c r="WY91" s="15" t="n"/>
      <c r="WZ91" s="15" t="n"/>
      <c r="XA91" s="248" t="n"/>
      <c r="XB91" s="248" t="n"/>
      <c r="XC91" s="240" t="n"/>
      <c r="XD91" s="240" t="n"/>
      <c r="XF91" s="15" t="n"/>
      <c r="XG91" s="15" t="n"/>
      <c r="XH91" s="248" t="n"/>
      <c r="XI91" s="248" t="n"/>
      <c r="XJ91" s="240" t="n"/>
      <c r="XK91" s="240" t="n"/>
      <c r="XM91" s="15" t="n"/>
      <c r="XN91" s="15" t="n"/>
      <c r="XO91" s="248" t="n"/>
      <c r="XP91" s="248" t="n"/>
      <c r="XQ91" s="240" t="n"/>
      <c r="XR91" s="240" t="n"/>
      <c r="XT91" s="15" t="n"/>
      <c r="XU91" s="15" t="n"/>
      <c r="XV91" s="248" t="n"/>
      <c r="XW91" s="248" t="n"/>
      <c r="XX91" s="240" t="n"/>
      <c r="XY91" s="240" t="n"/>
      <c r="YA91" s="15" t="n"/>
      <c r="YB91" s="15" t="n"/>
      <c r="YC91" s="248" t="n"/>
      <c r="YD91" s="248" t="n"/>
      <c r="YE91" s="240" t="n"/>
      <c r="YF91" s="240" t="n"/>
      <c r="YH91" s="15" t="n"/>
      <c r="YI91" s="15" t="n"/>
      <c r="YJ91" s="248" t="n"/>
      <c r="YK91" s="248" t="n"/>
      <c r="YL91" s="240" t="n"/>
      <c r="YM91" s="240" t="n"/>
      <c r="YO91" s="15" t="n"/>
      <c r="YP91" s="15" t="n"/>
      <c r="YQ91" s="248" t="n"/>
      <c r="YR91" s="248" t="n"/>
      <c r="YS91" s="240" t="n"/>
      <c r="YT91" s="240" t="n"/>
      <c r="YV91" s="15" t="n"/>
      <c r="YW91" s="15" t="n"/>
      <c r="YX91" s="248" t="n"/>
      <c r="YY91" s="248" t="n"/>
      <c r="YZ91" s="240" t="n"/>
      <c r="ZA91" s="240" t="n"/>
      <c r="ZC91" s="15" t="n"/>
      <c r="ZD91" s="15" t="n"/>
      <c r="ZE91" s="248" t="n"/>
      <c r="ZF91" s="248" t="n"/>
      <c r="ZG91" s="240" t="n"/>
      <c r="ZH91" s="240" t="n"/>
      <c r="ZJ91" s="15" t="n"/>
      <c r="ZK91" s="15" t="n"/>
      <c r="ZL91" s="248" t="n"/>
      <c r="ZM91" s="248" t="n"/>
      <c r="ZN91" s="240" t="n"/>
      <c r="ZO91" s="240" t="n"/>
      <c r="ZQ91" s="15" t="n"/>
      <c r="ZR91" s="15" t="n"/>
      <c r="ZS91" s="248" t="n"/>
      <c r="ZT91" s="248" t="n"/>
      <c r="ZU91" s="240" t="n"/>
      <c r="ZV91" s="240" t="n"/>
      <c r="ZX91" s="15" t="n"/>
      <c r="ZY91" s="15" t="n"/>
      <c r="ZZ91" s="248" t="n"/>
      <c r="AAA91" s="248" t="n"/>
      <c r="AAB91" s="240" t="n"/>
      <c r="AAC91" s="240" t="n"/>
      <c r="AAE91" s="15" t="n"/>
      <c r="AAF91" s="15" t="n"/>
      <c r="AAG91" s="248" t="n"/>
      <c r="AAH91" s="248" t="n"/>
      <c r="AAI91" s="240" t="n"/>
      <c r="AAJ91" s="240" t="n"/>
      <c r="AAL91" s="15" t="n"/>
      <c r="AAM91" s="15" t="n"/>
      <c r="AAN91" s="248" t="n"/>
      <c r="AAO91" s="248" t="n"/>
      <c r="AAP91" s="240" t="n"/>
      <c r="AAQ91" s="240" t="n"/>
      <c r="AAS91" s="15" t="n"/>
      <c r="AAT91" s="15" t="n"/>
      <c r="AAU91" s="248" t="n"/>
      <c r="AAV91" s="248" t="n"/>
      <c r="AAW91" s="240" t="n"/>
      <c r="AAX91" s="240" t="n"/>
      <c r="AAZ91" s="15" t="n"/>
      <c r="ABA91" s="15" t="n"/>
      <c r="ABB91" s="248" t="n"/>
      <c r="ABC91" s="248" t="n"/>
      <c r="ABD91" s="240" t="n"/>
      <c r="ABE91" s="240" t="n"/>
      <c r="ABG91" s="15" t="n"/>
      <c r="ABH91" s="15" t="n"/>
      <c r="ABI91" s="248" t="n"/>
      <c r="ABJ91" s="248" t="n"/>
      <c r="ABK91" s="240" t="n"/>
      <c r="ABL91" s="240" t="n"/>
      <c r="ABN91" s="15" t="n"/>
      <c r="ABO91" s="15" t="n"/>
      <c r="ABP91" s="248" t="n"/>
      <c r="ABQ91" s="248" t="n"/>
      <c r="ABR91" s="240" t="n"/>
      <c r="ABS91" s="240" t="n"/>
      <c r="ABU91" s="15" t="n"/>
      <c r="ABV91" s="15" t="n"/>
      <c r="ABW91" s="248" t="n"/>
      <c r="ABX91" s="248" t="n"/>
      <c r="ABY91" s="240" t="n"/>
      <c r="ABZ91" s="240" t="n"/>
      <c r="ACB91" s="15" t="n"/>
      <c r="ACC91" s="15" t="n"/>
      <c r="ACD91" s="248" t="n"/>
      <c r="ACE91" s="248" t="n"/>
      <c r="ACF91" s="240" t="n"/>
      <c r="ACG91" s="240" t="n"/>
      <c r="ACI91" s="15" t="n"/>
      <c r="ACJ91" s="15" t="n"/>
      <c r="ACK91" s="248" t="n"/>
      <c r="ACL91" s="248" t="n"/>
      <c r="ACM91" s="240" t="n"/>
      <c r="ACN91" s="240" t="n"/>
      <c r="ACP91" s="15" t="n"/>
      <c r="ACQ91" s="15" t="n"/>
      <c r="ACR91" s="248" t="n"/>
      <c r="ACS91" s="248" t="n"/>
      <c r="ACT91" s="240" t="n"/>
      <c r="ACU91" s="240" t="n"/>
      <c r="ACW91" s="15" t="n"/>
      <c r="ACX91" s="15" t="n"/>
      <c r="ACY91" s="248" t="n"/>
      <c r="ACZ91" s="248" t="n"/>
      <c r="ADA91" s="240" t="n"/>
      <c r="ADB91" s="240" t="n"/>
      <c r="ADD91" s="15" t="n"/>
      <c r="ADE91" s="15" t="n"/>
      <c r="ADF91" s="248" t="n"/>
      <c r="ADG91" s="248" t="n"/>
      <c r="ADH91" s="240" t="n"/>
      <c r="ADI91" s="240" t="n"/>
      <c r="ADK91" s="15" t="n"/>
      <c r="ADL91" s="15" t="n"/>
      <c r="ADM91" s="248" t="n"/>
      <c r="ADN91" s="248" t="n"/>
      <c r="ADO91" s="240" t="n"/>
      <c r="ADP91" s="240" t="n"/>
      <c r="ADR91" s="15" t="n"/>
      <c r="ADS91" s="15" t="n"/>
      <c r="ADT91" s="248" t="n"/>
      <c r="ADU91" s="248" t="n"/>
      <c r="ADV91" s="240" t="n"/>
      <c r="ADW91" s="240" t="n"/>
      <c r="ADY91" s="15" t="n"/>
      <c r="ADZ91" s="15" t="n"/>
      <c r="AEA91" s="248" t="n"/>
      <c r="AEB91" s="248" t="n"/>
      <c r="AEC91" s="240" t="n"/>
      <c r="AED91" s="240" t="n"/>
      <c r="AEF91" s="15" t="n"/>
      <c r="AEG91" s="15" t="n"/>
      <c r="AEH91" s="248" t="n"/>
      <c r="AEI91" s="248" t="n"/>
      <c r="AEJ91" s="240" t="n"/>
      <c r="AEK91" s="240" t="n"/>
      <c r="AEM91" s="15" t="n"/>
      <c r="AEN91" s="15" t="n"/>
      <c r="AEO91" s="248" t="n"/>
      <c r="AEP91" s="248" t="n"/>
      <c r="AEQ91" s="240" t="n"/>
      <c r="AER91" s="240" t="n"/>
      <c r="AET91" s="15" t="n"/>
      <c r="AEU91" s="15" t="n"/>
      <c r="AEV91" s="248" t="n"/>
      <c r="AEW91" s="248" t="n"/>
      <c r="AEX91" s="240" t="n"/>
      <c r="AEY91" s="240" t="n"/>
      <c r="AFA91" s="15" t="n"/>
      <c r="AFB91" s="15" t="n"/>
      <c r="AFC91" s="248" t="n"/>
      <c r="AFD91" s="248" t="n"/>
      <c r="AFE91" s="240" t="n"/>
      <c r="AFF91" s="240" t="n"/>
      <c r="AFH91" s="15" t="n"/>
      <c r="AFI91" s="15" t="n"/>
      <c r="AFJ91" s="248" t="n"/>
      <c r="AFK91" s="248" t="n"/>
      <c r="AFL91" s="240" t="n"/>
      <c r="AFM91" s="240" t="n"/>
      <c r="AFO91" s="15" t="n"/>
      <c r="AFP91" s="15" t="n"/>
      <c r="AFQ91" s="248" t="n"/>
      <c r="AFR91" s="248" t="n"/>
      <c r="AFS91" s="240" t="n"/>
      <c r="AFT91" s="240" t="n"/>
      <c r="AFV91" s="15" t="n"/>
      <c r="AFW91" s="15" t="n"/>
      <c r="AFX91" s="248" t="n"/>
      <c r="AFY91" s="248" t="n"/>
      <c r="AFZ91" s="240" t="n"/>
      <c r="AGA91" s="240" t="n"/>
      <c r="AGC91" s="15" t="n"/>
      <c r="AGD91" s="15" t="n"/>
      <c r="AGE91" s="248" t="n"/>
      <c r="AGF91" s="248" t="n"/>
      <c r="AGG91" s="240" t="n"/>
      <c r="AGH91" s="240" t="n"/>
      <c r="AGJ91" s="15" t="n"/>
      <c r="AGK91" s="15" t="n"/>
      <c r="AGL91" s="248" t="n"/>
      <c r="AGM91" s="248" t="n"/>
      <c r="AGN91" s="240" t="n"/>
      <c r="AGO91" s="240" t="n"/>
      <c r="AGQ91" s="15" t="n"/>
      <c r="AGR91" s="15" t="n"/>
      <c r="AGS91" s="248" t="n"/>
      <c r="AGT91" s="248" t="n"/>
      <c r="AGU91" s="240" t="n"/>
      <c r="AGV91" s="240" t="n"/>
      <c r="AGX91" s="15" t="n"/>
      <c r="AGY91" s="15" t="n"/>
      <c r="AGZ91" s="248" t="n"/>
      <c r="AHA91" s="248" t="n"/>
      <c r="AHB91" s="240" t="n"/>
      <c r="AHC91" s="240" t="n"/>
      <c r="AHE91" s="15" t="n"/>
      <c r="AHF91" s="15" t="n"/>
      <c r="AHG91" s="248" t="n"/>
      <c r="AHH91" s="248" t="n"/>
      <c r="AHI91" s="240" t="n"/>
      <c r="AHJ91" s="240" t="n"/>
      <c r="AHL91" s="15" t="n"/>
      <c r="AHM91" s="15" t="n"/>
      <c r="AHN91" s="248" t="n"/>
      <c r="AHO91" s="248" t="n"/>
      <c r="AHP91" s="240" t="n"/>
      <c r="AHQ91" s="240" t="n"/>
      <c r="AHS91" s="15" t="n"/>
      <c r="AHT91" s="15" t="n"/>
      <c r="AHU91" s="248" t="n"/>
      <c r="AHV91" s="248" t="n"/>
      <c r="AHW91" s="240" t="n"/>
      <c r="AHX91" s="240" t="n"/>
      <c r="AHZ91" s="15" t="n"/>
      <c r="AIA91" s="15" t="n"/>
      <c r="AIB91" s="248" t="n"/>
      <c r="AIC91" s="248" t="n"/>
      <c r="AID91" s="240" t="n"/>
      <c r="AIE91" s="240" t="n"/>
      <c r="AIG91" s="15" t="n"/>
      <c r="AIH91" s="15" t="n"/>
      <c r="AII91" s="248" t="n"/>
      <c r="AIJ91" s="248" t="n"/>
      <c r="AIK91" s="240" t="n"/>
      <c r="AIL91" s="240" t="n"/>
      <c r="AIN91" s="15" t="n"/>
      <c r="AIO91" s="15" t="n"/>
      <c r="AIP91" s="248" t="n"/>
      <c r="AIQ91" s="248" t="n"/>
      <c r="AIR91" s="240" t="n"/>
      <c r="AIS91" s="240" t="n"/>
      <c r="AIU91" s="15" t="n"/>
      <c r="AIV91" s="15" t="n"/>
      <c r="AIW91" s="248" t="n"/>
      <c r="AIX91" s="248" t="n"/>
      <c r="AIY91" s="240" t="n"/>
      <c r="AIZ91" s="240" t="n"/>
      <c r="AJB91" s="15" t="n"/>
      <c r="AJC91" s="15" t="n"/>
      <c r="AJD91" s="248" t="n"/>
      <c r="AJE91" s="248" t="n"/>
      <c r="AJF91" s="240" t="n"/>
      <c r="AJG91" s="240" t="n"/>
      <c r="AJI91" s="15" t="n"/>
      <c r="AJJ91" s="15" t="n"/>
      <c r="AJK91" s="248" t="n"/>
      <c r="AJL91" s="248" t="n"/>
      <c r="AJM91" s="240" t="n"/>
      <c r="AJN91" s="240" t="n"/>
      <c r="AJP91" s="15" t="n"/>
      <c r="AJQ91" s="15" t="n"/>
      <c r="AJR91" s="248" t="n"/>
      <c r="AJS91" s="248" t="n"/>
      <c r="AJT91" s="240" t="n"/>
      <c r="AJU91" s="240" t="n"/>
      <c r="AJW91" s="15" t="n"/>
      <c r="AJX91" s="15" t="n"/>
      <c r="AJY91" s="248" t="n"/>
      <c r="AJZ91" s="248" t="n"/>
      <c r="AKA91" s="240" t="n"/>
      <c r="AKB91" s="240" t="n"/>
      <c r="AKD91" s="15" t="n"/>
      <c r="AKE91" s="15" t="n"/>
      <c r="AKF91" s="248" t="n"/>
      <c r="AKG91" s="248" t="n"/>
      <c r="AKH91" s="240" t="n"/>
      <c r="AKI91" s="240" t="n"/>
      <c r="AKK91" s="15" t="n"/>
      <c r="AKL91" s="15" t="n"/>
      <c r="AKM91" s="248" t="n"/>
      <c r="AKN91" s="248" t="n"/>
      <c r="AKO91" s="240" t="n"/>
      <c r="AKP91" s="240" t="n"/>
      <c r="AKR91" s="15" t="n"/>
      <c r="AKS91" s="15" t="n"/>
      <c r="AKT91" s="248" t="n"/>
      <c r="AKU91" s="248" t="n"/>
      <c r="AKV91" s="240" t="n"/>
      <c r="AKW91" s="240" t="n"/>
      <c r="AKY91" s="15" t="n"/>
      <c r="AKZ91" s="15" t="n"/>
      <c r="ALA91" s="248" t="n"/>
      <c r="ALB91" s="248" t="n"/>
      <c r="ALC91" s="240" t="n"/>
      <c r="ALD91" s="240" t="n"/>
      <c r="ALF91" s="15" t="n"/>
      <c r="ALG91" s="15" t="n"/>
      <c r="ALH91" s="248" t="n"/>
      <c r="ALI91" s="248" t="n"/>
      <c r="ALJ91" s="240" t="n"/>
      <c r="ALK91" s="240" t="n"/>
      <c r="ALM91" s="15" t="n"/>
      <c r="ALN91" s="15" t="n"/>
      <c r="ALO91" s="248" t="n"/>
      <c r="ALP91" s="248" t="n"/>
      <c r="ALQ91" s="240" t="n"/>
      <c r="ALR91" s="240" t="n"/>
      <c r="ALT91" s="15" t="n"/>
      <c r="ALU91" s="15" t="n"/>
      <c r="ALV91" s="248" t="n"/>
      <c r="ALW91" s="248" t="n"/>
      <c r="ALX91" s="240" t="n"/>
      <c r="ALY91" s="240" t="n"/>
      <c r="AMA91" s="15" t="n"/>
      <c r="AMB91" s="15" t="n"/>
      <c r="AMC91" s="248" t="n"/>
      <c r="AMD91" s="248" t="n"/>
      <c r="AME91" s="240" t="n"/>
      <c r="AMF91" s="240" t="n"/>
      <c r="AMH91" s="15" t="n"/>
      <c r="AMI91" s="15" t="n"/>
      <c r="AMJ91" s="248" t="n"/>
      <c r="AMK91" s="248" t="n"/>
      <c r="AML91" s="240" t="n"/>
      <c r="AMM91" s="240" t="n"/>
      <c r="AMO91" s="15" t="n"/>
      <c r="AMP91" s="15" t="n"/>
      <c r="AMQ91" s="248" t="n"/>
      <c r="AMR91" s="248" t="n"/>
      <c r="AMS91" s="240" t="n"/>
      <c r="AMT91" s="240" t="n"/>
      <c r="AMV91" s="15" t="n"/>
      <c r="AMW91" s="15" t="n"/>
      <c r="AMX91" s="248" t="n"/>
      <c r="AMY91" s="248" t="n"/>
      <c r="AMZ91" s="240" t="n"/>
      <c r="ANA91" s="240" t="n"/>
      <c r="ANC91" s="15" t="n"/>
      <c r="AND91" s="15" t="n"/>
      <c r="ANE91" s="248" t="n"/>
      <c r="ANF91" s="248" t="n"/>
      <c r="ANG91" s="240" t="n"/>
      <c r="ANH91" s="240" t="n"/>
      <c r="ANJ91" s="15" t="n"/>
      <c r="ANK91" s="15" t="n"/>
      <c r="ANL91" s="248" t="n"/>
      <c r="ANM91" s="248" t="n"/>
      <c r="ANN91" s="240" t="n"/>
      <c r="ANO91" s="240" t="n"/>
      <c r="ANQ91" s="15" t="n"/>
      <c r="ANR91" s="15" t="n"/>
      <c r="ANS91" s="248" t="n"/>
      <c r="ANT91" s="248" t="n"/>
      <c r="ANU91" s="240" t="n"/>
      <c r="ANV91" s="240" t="n"/>
      <c r="ANX91" s="15" t="n"/>
      <c r="ANY91" s="15" t="n"/>
      <c r="ANZ91" s="248" t="n"/>
      <c r="AOA91" s="248" t="n"/>
      <c r="AOB91" s="240" t="n"/>
      <c r="AOC91" s="240" t="n"/>
      <c r="AOE91" s="15" t="n"/>
      <c r="AOF91" s="15" t="n"/>
      <c r="AOG91" s="248" t="n"/>
      <c r="AOH91" s="248" t="n"/>
      <c r="AOI91" s="240" t="n"/>
      <c r="AOJ91" s="240" t="n"/>
      <c r="AOL91" s="15" t="n"/>
      <c r="AOM91" s="15" t="n"/>
      <c r="AON91" s="248" t="n"/>
      <c r="AOO91" s="248" t="n"/>
      <c r="AOP91" s="240" t="n"/>
      <c r="AOQ91" s="240" t="n"/>
      <c r="AOS91" s="15" t="n"/>
      <c r="AOT91" s="15" t="n"/>
      <c r="AOU91" s="248" t="n"/>
      <c r="AOV91" s="248" t="n"/>
      <c r="AOW91" s="240" t="n"/>
      <c r="AOX91" s="240" t="n"/>
      <c r="AOZ91" s="15" t="n"/>
      <c r="APA91" s="15" t="n"/>
      <c r="APB91" s="248" t="n"/>
      <c r="APC91" s="248" t="n"/>
      <c r="APD91" s="240" t="n"/>
      <c r="APE91" s="240" t="n"/>
      <c r="APG91" s="15" t="n"/>
      <c r="APH91" s="15" t="n"/>
      <c r="API91" s="248" t="n"/>
      <c r="APJ91" s="248" t="n"/>
      <c r="APK91" s="240" t="n"/>
      <c r="APL91" s="240" t="n"/>
      <c r="APN91" s="15" t="n"/>
      <c r="APO91" s="15" t="n"/>
      <c r="APP91" s="248" t="n"/>
      <c r="APQ91" s="248" t="n"/>
      <c r="APR91" s="240" t="n"/>
      <c r="APS91" s="240" t="n"/>
      <c r="APU91" s="15" t="n"/>
      <c r="APV91" s="15" t="n"/>
      <c r="APW91" s="248" t="n"/>
      <c r="APX91" s="248" t="n"/>
      <c r="APY91" s="240" t="n"/>
      <c r="APZ91" s="240" t="n"/>
      <c r="AQB91" s="15" t="n"/>
      <c r="AQC91" s="15" t="n"/>
      <c r="AQD91" s="248" t="n"/>
      <c r="AQE91" s="248" t="n"/>
      <c r="AQF91" s="240" t="n"/>
      <c r="AQG91" s="240" t="n"/>
      <c r="AQI91" s="15" t="n"/>
      <c r="AQJ91" s="15" t="n"/>
      <c r="AQK91" s="248" t="n"/>
      <c r="AQL91" s="248" t="n"/>
      <c r="AQM91" s="240" t="n"/>
      <c r="AQN91" s="240" t="n"/>
      <c r="AQP91" s="15" t="n"/>
      <c r="AQQ91" s="15" t="n"/>
      <c r="AQR91" s="248" t="n"/>
      <c r="AQS91" s="248" t="n"/>
      <c r="AQT91" s="240" t="n"/>
      <c r="AQU91" s="240" t="n"/>
      <c r="AQW91" s="15" t="n"/>
      <c r="AQX91" s="15" t="n"/>
      <c r="AQY91" s="248" t="n"/>
      <c r="AQZ91" s="248" t="n"/>
      <c r="ARA91" s="240" t="n"/>
      <c r="ARB91" s="240" t="n"/>
      <c r="ARD91" s="15" t="n"/>
      <c r="ARE91" s="15" t="n"/>
      <c r="ARF91" s="248" t="n"/>
      <c r="ARG91" s="248" t="n"/>
      <c r="ARH91" s="240" t="n"/>
      <c r="ARI91" s="240" t="n"/>
      <c r="ARK91" s="15" t="n"/>
      <c r="ARL91" s="15" t="n"/>
      <c r="ARM91" s="248" t="n"/>
      <c r="ARN91" s="248" t="n"/>
      <c r="ARO91" s="240" t="n"/>
      <c r="ARP91" s="240" t="n"/>
      <c r="ARR91" s="15" t="n"/>
      <c r="ARS91" s="15" t="n"/>
      <c r="ART91" s="248" t="n"/>
      <c r="ARU91" s="248" t="n"/>
      <c r="ARV91" s="240" t="n"/>
      <c r="ARW91" s="240" t="n"/>
      <c r="ARY91" s="15" t="n"/>
      <c r="ARZ91" s="15" t="n"/>
      <c r="ASA91" s="248" t="n"/>
      <c r="ASB91" s="248" t="n"/>
      <c r="ASC91" s="240" t="n"/>
      <c r="ASD91" s="240" t="n"/>
      <c r="ASF91" s="15" t="n"/>
      <c r="ASG91" s="15" t="n"/>
      <c r="ASH91" s="248" t="n"/>
      <c r="ASI91" s="248" t="n"/>
      <c r="ASJ91" s="240" t="n"/>
      <c r="ASK91" s="240" t="n"/>
      <c r="ASM91" s="15" t="n"/>
      <c r="ASN91" s="15" t="n"/>
      <c r="ASO91" s="248" t="n"/>
      <c r="ASP91" s="248" t="n"/>
      <c r="ASQ91" s="240" t="n"/>
      <c r="ASR91" s="240" t="n"/>
      <c r="AST91" s="15" t="n"/>
      <c r="ASU91" s="15" t="n"/>
      <c r="ASV91" s="248" t="n"/>
      <c r="ASW91" s="248" t="n"/>
      <c r="ASX91" s="240" t="n"/>
      <c r="ASY91" s="240" t="n"/>
      <c r="ATA91" s="15" t="n"/>
      <c r="ATB91" s="15" t="n"/>
      <c r="ATC91" s="248" t="n"/>
      <c r="ATD91" s="248" t="n"/>
      <c r="ATE91" s="240" t="n"/>
      <c r="ATF91" s="240" t="n"/>
      <c r="ATH91" s="15" t="n"/>
      <c r="ATI91" s="15" t="n"/>
      <c r="ATJ91" s="248" t="n"/>
      <c r="ATK91" s="248" t="n"/>
      <c r="ATL91" s="240" t="n"/>
      <c r="ATM91" s="240" t="n"/>
      <c r="ATO91" s="15" t="n"/>
      <c r="ATP91" s="15" t="n"/>
      <c r="ATQ91" s="248" t="n"/>
      <c r="ATR91" s="248" t="n"/>
      <c r="ATS91" s="240" t="n"/>
      <c r="ATT91" s="240" t="n"/>
      <c r="ATV91" s="15" t="n"/>
      <c r="ATW91" s="15" t="n"/>
      <c r="ATX91" s="248" t="n"/>
      <c r="ATY91" s="248" t="n"/>
      <c r="ATZ91" s="240" t="n"/>
      <c r="AUA91" s="240" t="n"/>
      <c r="AUC91" s="15" t="n"/>
      <c r="AUD91" s="15" t="n"/>
      <c r="AUE91" s="248" t="n"/>
      <c r="AUF91" s="248" t="n"/>
      <c r="AUG91" s="240" t="n"/>
      <c r="AUH91" s="240" t="n"/>
      <c r="AUJ91" s="15" t="n"/>
      <c r="AUK91" s="15" t="n"/>
      <c r="AUL91" s="248" t="n"/>
      <c r="AUM91" s="248" t="n"/>
      <c r="AUN91" s="240" t="n"/>
      <c r="AUO91" s="240" t="n"/>
      <c r="AUQ91" s="15" t="n"/>
      <c r="AUR91" s="15" t="n"/>
      <c r="AUS91" s="248" t="n"/>
      <c r="AUT91" s="248" t="n"/>
      <c r="AUU91" s="240" t="n"/>
      <c r="AUV91" s="240" t="n"/>
      <c r="AUX91" s="15" t="n"/>
      <c r="AUY91" s="15" t="n"/>
      <c r="AUZ91" s="248" t="n"/>
      <c r="AVA91" s="248" t="n"/>
      <c r="AVB91" s="240" t="n"/>
      <c r="AVC91" s="240" t="n"/>
      <c r="AVE91" s="15" t="n"/>
      <c r="AVF91" s="15" t="n"/>
      <c r="AVG91" s="248" t="n"/>
      <c r="AVH91" s="248" t="n"/>
      <c r="AVI91" s="240" t="n"/>
      <c r="AVJ91" s="240" t="n"/>
      <c r="AVL91" s="15" t="n"/>
      <c r="AVM91" s="15" t="n"/>
      <c r="AVN91" s="248" t="n"/>
      <c r="AVO91" s="248" t="n"/>
      <c r="AVP91" s="240" t="n"/>
      <c r="AVQ91" s="240" t="n"/>
      <c r="AVS91" s="15" t="n"/>
      <c r="AVT91" s="15" t="n"/>
      <c r="AVU91" s="248" t="n"/>
      <c r="AVV91" s="248" t="n"/>
      <c r="AVW91" s="240" t="n"/>
      <c r="AVX91" s="240" t="n"/>
      <c r="AVZ91" s="15" t="n"/>
      <c r="AWA91" s="15" t="n"/>
      <c r="AWB91" s="248" t="n"/>
      <c r="AWC91" s="248" t="n"/>
      <c r="AWD91" s="240" t="n"/>
      <c r="AWE91" s="240" t="n"/>
      <c r="AWG91" s="15" t="n"/>
      <c r="AWH91" s="15" t="n"/>
      <c r="AWI91" s="248" t="n"/>
      <c r="AWJ91" s="248" t="n"/>
      <c r="AWK91" s="240" t="n"/>
      <c r="AWL91" s="240" t="n"/>
      <c r="AWN91" s="15" t="n"/>
      <c r="AWO91" s="15" t="n"/>
      <c r="AWP91" s="248" t="n"/>
      <c r="AWQ91" s="248" t="n"/>
      <c r="AWR91" s="240" t="n"/>
      <c r="AWS91" s="240" t="n"/>
      <c r="AWU91" s="15" t="n"/>
      <c r="AWV91" s="15" t="n"/>
      <c r="AWW91" s="248" t="n"/>
      <c r="AWX91" s="248" t="n"/>
      <c r="AWY91" s="240" t="n"/>
      <c r="AWZ91" s="240" t="n"/>
      <c r="AXB91" s="15" t="n"/>
      <c r="AXC91" s="15" t="n"/>
      <c r="AXD91" s="248" t="n"/>
      <c r="AXE91" s="248" t="n"/>
      <c r="AXF91" s="240" t="n"/>
      <c r="AXG91" s="240" t="n"/>
      <c r="AXI91" s="15" t="n"/>
      <c r="AXJ91" s="15" t="n"/>
      <c r="AXK91" s="248" t="n"/>
      <c r="AXL91" s="248" t="n"/>
      <c r="AXM91" s="240" t="n"/>
      <c r="AXN91" s="240" t="n"/>
      <c r="AXP91" s="15" t="n"/>
      <c r="AXQ91" s="15" t="n"/>
      <c r="AXR91" s="248" t="n"/>
      <c r="AXS91" s="248" t="n"/>
      <c r="AXT91" s="240" t="n"/>
      <c r="AXU91" s="240" t="n"/>
      <c r="AXW91" s="15" t="n"/>
      <c r="AXX91" s="15" t="n"/>
      <c r="AXY91" s="248" t="n"/>
      <c r="AXZ91" s="248" t="n"/>
      <c r="AYA91" s="240" t="n"/>
      <c r="AYB91" s="240" t="n"/>
      <c r="AYD91" s="15" t="n"/>
      <c r="AYE91" s="15" t="n"/>
      <c r="AYF91" s="248" t="n"/>
      <c r="AYG91" s="248" t="n"/>
      <c r="AYH91" s="240" t="n"/>
      <c r="AYI91" s="240" t="n"/>
      <c r="AYK91" s="15" t="n"/>
      <c r="AYL91" s="15" t="n"/>
      <c r="AYM91" s="248" t="n"/>
      <c r="AYN91" s="248" t="n"/>
      <c r="AYO91" s="240" t="n"/>
      <c r="AYP91" s="240" t="n"/>
      <c r="AYR91" s="15" t="n"/>
      <c r="AYS91" s="15" t="n"/>
      <c r="AYT91" s="248" t="n"/>
      <c r="AYU91" s="248" t="n"/>
      <c r="AYV91" s="240" t="n"/>
      <c r="AYW91" s="240" t="n"/>
      <c r="AYY91" s="15" t="n"/>
      <c r="AYZ91" s="15" t="n"/>
      <c r="AZA91" s="248" t="n"/>
      <c r="AZB91" s="248" t="n"/>
      <c r="AZC91" s="240" t="n"/>
      <c r="AZD91" s="240" t="n"/>
      <c r="AZF91" s="15" t="n"/>
      <c r="AZG91" s="15" t="n"/>
      <c r="AZH91" s="248" t="n"/>
      <c r="AZI91" s="248" t="n"/>
      <c r="AZJ91" s="240" t="n"/>
      <c r="AZK91" s="240" t="n"/>
      <c r="AZM91" s="15" t="n"/>
      <c r="AZN91" s="15" t="n"/>
      <c r="AZO91" s="248" t="n"/>
      <c r="AZP91" s="248" t="n"/>
      <c r="AZQ91" s="240" t="n"/>
      <c r="AZR91" s="240" t="n"/>
      <c r="AZT91" s="15" t="n"/>
      <c r="AZU91" s="15" t="n"/>
      <c r="AZV91" s="248" t="n"/>
      <c r="AZW91" s="248" t="n"/>
      <c r="AZX91" s="240" t="n"/>
      <c r="AZY91" s="240" t="n"/>
      <c r="BAA91" s="15" t="n"/>
      <c r="BAB91" s="15" t="n"/>
      <c r="BAC91" s="248" t="n"/>
      <c r="BAD91" s="248" t="n"/>
      <c r="BAE91" s="240" t="n"/>
      <c r="BAF91" s="240" t="n"/>
      <c r="BAH91" s="15" t="n"/>
      <c r="BAI91" s="15" t="n"/>
      <c r="BAJ91" s="248" t="n"/>
      <c r="BAK91" s="248" t="n"/>
      <c r="BAL91" s="240" t="n"/>
      <c r="BAM91" s="240" t="n"/>
      <c r="BAO91" s="15" t="n"/>
      <c r="BAP91" s="15" t="n"/>
      <c r="BAQ91" s="248" t="n"/>
      <c r="BAR91" s="248" t="n"/>
      <c r="BAS91" s="240" t="n"/>
      <c r="BAT91" s="240" t="n"/>
      <c r="BAV91" s="15" t="n"/>
      <c r="BAW91" s="15" t="n"/>
      <c r="BAX91" s="248" t="n"/>
      <c r="BAY91" s="248" t="n"/>
      <c r="BAZ91" s="240" t="n"/>
      <c r="BBA91" s="240" t="n"/>
      <c r="BBC91" s="15" t="n"/>
      <c r="BBD91" s="15" t="n"/>
      <c r="BBE91" s="248" t="n"/>
      <c r="BBF91" s="248" t="n"/>
      <c r="BBG91" s="240" t="n"/>
      <c r="BBH91" s="240" t="n"/>
      <c r="BBJ91" s="15" t="n"/>
      <c r="BBK91" s="15" t="n"/>
      <c r="BBL91" s="248" t="n"/>
      <c r="BBM91" s="248" t="n"/>
      <c r="BBN91" s="240" t="n"/>
      <c r="BBO91" s="240" t="n"/>
      <c r="BBQ91" s="15" t="n"/>
      <c r="BBR91" s="15" t="n"/>
      <c r="BBS91" s="248" t="n"/>
      <c r="BBT91" s="248" t="n"/>
      <c r="BBU91" s="240" t="n"/>
      <c r="BBV91" s="240" t="n"/>
      <c r="BBX91" s="15" t="n"/>
      <c r="BBY91" s="15" t="n"/>
      <c r="BBZ91" s="248" t="n"/>
      <c r="BCA91" s="248" t="n"/>
      <c r="BCB91" s="240" t="n"/>
      <c r="BCC91" s="240" t="n"/>
      <c r="BCE91" s="15" t="n"/>
      <c r="BCF91" s="15" t="n"/>
      <c r="BCG91" s="248" t="n"/>
      <c r="BCH91" s="248" t="n"/>
      <c r="BCI91" s="240" t="n"/>
      <c r="BCJ91" s="240" t="n"/>
      <c r="BCL91" s="15" t="n"/>
      <c r="BCM91" s="15" t="n"/>
      <c r="BCN91" s="248" t="n"/>
      <c r="BCO91" s="248" t="n"/>
      <c r="BCP91" s="240" t="n"/>
      <c r="BCQ91" s="240" t="n"/>
      <c r="BCS91" s="15" t="n"/>
      <c r="BCT91" s="15" t="n"/>
      <c r="BCU91" s="248" t="n"/>
      <c r="BCV91" s="248" t="n"/>
      <c r="BCW91" s="240" t="n"/>
      <c r="BCX91" s="240" t="n"/>
      <c r="BCZ91" s="15" t="n"/>
      <c r="BDA91" s="15" t="n"/>
      <c r="BDB91" s="248" t="n"/>
      <c r="BDC91" s="248" t="n"/>
      <c r="BDD91" s="240" t="n"/>
      <c r="BDE91" s="240" t="n"/>
      <c r="BDG91" s="15" t="n"/>
      <c r="BDH91" s="15" t="n"/>
      <c r="BDI91" s="248" t="n"/>
      <c r="BDJ91" s="248" t="n"/>
      <c r="BDK91" s="240" t="n"/>
      <c r="BDL91" s="240" t="n"/>
      <c r="BDN91" s="15" t="n"/>
      <c r="BDO91" s="15" t="n"/>
      <c r="BDP91" s="248" t="n"/>
      <c r="BDQ91" s="248" t="n"/>
      <c r="BDR91" s="240" t="n"/>
      <c r="BDS91" s="240" t="n"/>
      <c r="BDU91" s="15" t="n"/>
      <c r="BDV91" s="15" t="n"/>
      <c r="BDW91" s="248" t="n"/>
      <c r="BDX91" s="248" t="n"/>
      <c r="BDY91" s="240" t="n"/>
      <c r="BDZ91" s="240" t="n"/>
      <c r="BEB91" s="15" t="n"/>
      <c r="BEC91" s="15" t="n"/>
      <c r="BED91" s="248" t="n"/>
      <c r="BEE91" s="248" t="n"/>
      <c r="BEF91" s="240" t="n"/>
      <c r="BEG91" s="240" t="n"/>
      <c r="BEI91" s="15" t="n"/>
      <c r="BEJ91" s="15" t="n"/>
      <c r="BEK91" s="248" t="n"/>
      <c r="BEL91" s="248" t="n"/>
      <c r="BEM91" s="240" t="n"/>
      <c r="BEN91" s="240" t="n"/>
      <c r="BEP91" s="15" t="n"/>
      <c r="BEQ91" s="15" t="n"/>
      <c r="BER91" s="248" t="n"/>
      <c r="BES91" s="248" t="n"/>
      <c r="BET91" s="240" t="n"/>
      <c r="BEU91" s="240" t="n"/>
      <c r="BEW91" s="15" t="n"/>
      <c r="BEX91" s="15" t="n"/>
      <c r="BEY91" s="248" t="n"/>
      <c r="BEZ91" s="248" t="n"/>
      <c r="BFA91" s="240" t="n"/>
      <c r="BFB91" s="240" t="n"/>
      <c r="BFD91" s="15" t="n"/>
      <c r="BFE91" s="15" t="n"/>
      <c r="BFF91" s="248" t="n"/>
      <c r="BFG91" s="248" t="n"/>
      <c r="BFH91" s="240" t="n"/>
      <c r="BFI91" s="240" t="n"/>
      <c r="BFK91" s="15" t="n"/>
      <c r="BFL91" s="15" t="n"/>
      <c r="BFM91" s="248" t="n"/>
      <c r="BFN91" s="248" t="n"/>
      <c r="BFO91" s="240" t="n"/>
      <c r="BFP91" s="240" t="n"/>
      <c r="BFR91" s="15" t="n"/>
      <c r="BFS91" s="15" t="n"/>
      <c r="BFT91" s="248" t="n"/>
      <c r="BFU91" s="248" t="n"/>
      <c r="BFV91" s="240" t="n"/>
      <c r="BFW91" s="240" t="n"/>
      <c r="BFY91" s="15" t="n"/>
      <c r="BFZ91" s="15" t="n"/>
      <c r="BGA91" s="248" t="n"/>
      <c r="BGB91" s="248" t="n"/>
      <c r="BGC91" s="240" t="n"/>
      <c r="BGD91" s="240" t="n"/>
      <c r="BGF91" s="15" t="n"/>
      <c r="BGG91" s="15" t="n"/>
      <c r="BGH91" s="248" t="n"/>
      <c r="BGI91" s="248" t="n"/>
      <c r="BGJ91" s="240" t="n"/>
      <c r="BGK91" s="240" t="n"/>
      <c r="BGM91" s="15" t="n"/>
      <c r="BGN91" s="15" t="n"/>
      <c r="BGO91" s="248" t="n"/>
      <c r="BGP91" s="248" t="n"/>
      <c r="BGQ91" s="240" t="n"/>
      <c r="BGR91" s="240" t="n"/>
      <c r="BGT91" s="15" t="n"/>
      <c r="BGU91" s="15" t="n"/>
      <c r="BGV91" s="248" t="n"/>
      <c r="BGW91" s="248" t="n"/>
      <c r="BGX91" s="240" t="n"/>
      <c r="BGY91" s="240" t="n"/>
      <c r="BHA91" s="15" t="n"/>
      <c r="BHB91" s="15" t="n"/>
      <c r="BHC91" s="248" t="n"/>
      <c r="BHD91" s="248" t="n"/>
      <c r="BHE91" s="240" t="n"/>
      <c r="BHF91" s="240" t="n"/>
      <c r="BHH91" s="15" t="n"/>
      <c r="BHI91" s="15" t="n"/>
      <c r="BHJ91" s="248" t="n"/>
      <c r="BHK91" s="248" t="n"/>
      <c r="BHL91" s="240" t="n"/>
      <c r="BHM91" s="240" t="n"/>
      <c r="BHO91" s="15" t="n"/>
      <c r="BHP91" s="15" t="n"/>
      <c r="BHQ91" s="248" t="n"/>
      <c r="BHR91" s="248" t="n"/>
      <c r="BHS91" s="240" t="n"/>
      <c r="BHT91" s="240" t="n"/>
      <c r="BHV91" s="15" t="n"/>
      <c r="BHW91" s="15" t="n"/>
      <c r="BHX91" s="248" t="n"/>
      <c r="BHY91" s="248" t="n"/>
      <c r="BHZ91" s="240" t="n"/>
      <c r="BIA91" s="240" t="n"/>
      <c r="BIC91" s="15" t="n"/>
      <c r="BID91" s="15" t="n"/>
      <c r="BIE91" s="248" t="n"/>
      <c r="BIF91" s="248" t="n"/>
      <c r="BIG91" s="240" t="n"/>
      <c r="BIH91" s="240" t="n"/>
      <c r="BIJ91" s="15" t="n"/>
      <c r="BIK91" s="15" t="n"/>
      <c r="BIL91" s="248" t="n"/>
      <c r="BIM91" s="248" t="n"/>
      <c r="BIN91" s="240" t="n"/>
      <c r="BIO91" s="240" t="n"/>
      <c r="BIQ91" s="15" t="n"/>
      <c r="BIR91" s="15" t="n"/>
      <c r="BIS91" s="248" t="n"/>
      <c r="BIT91" s="248" t="n"/>
      <c r="BIU91" s="240" t="n"/>
      <c r="BIV91" s="240" t="n"/>
      <c r="BIX91" s="15" t="n"/>
      <c r="BIY91" s="15" t="n"/>
      <c r="BIZ91" s="248" t="n"/>
      <c r="BJA91" s="248" t="n"/>
      <c r="BJB91" s="240" t="n"/>
      <c r="BJC91" s="240" t="n"/>
      <c r="BJE91" s="15" t="n"/>
      <c r="BJF91" s="15" t="n"/>
      <c r="BJG91" s="248" t="n"/>
      <c r="BJH91" s="248" t="n"/>
      <c r="BJI91" s="240" t="n"/>
      <c r="BJJ91" s="240" t="n"/>
      <c r="BJL91" s="15" t="n"/>
      <c r="BJM91" s="15" t="n"/>
      <c r="BJN91" s="248" t="n"/>
      <c r="BJO91" s="248" t="n"/>
      <c r="BJP91" s="240" t="n"/>
      <c r="BJQ91" s="240" t="n"/>
      <c r="BJS91" s="15" t="n"/>
      <c r="BJT91" s="15" t="n"/>
      <c r="BJU91" s="248" t="n"/>
      <c r="BJV91" s="248" t="n"/>
      <c r="BJW91" s="240" t="n"/>
      <c r="BJX91" s="240" t="n"/>
      <c r="BJZ91" s="15" t="n"/>
      <c r="BKA91" s="15" t="n"/>
      <c r="BKB91" s="248" t="n"/>
      <c r="BKC91" s="248" t="n"/>
      <c r="BKD91" s="240" t="n"/>
      <c r="BKE91" s="240" t="n"/>
      <c r="BKG91" s="15" t="n"/>
      <c r="BKH91" s="15" t="n"/>
      <c r="BKI91" s="248" t="n"/>
      <c r="BKJ91" s="248" t="n"/>
      <c r="BKK91" s="240" t="n"/>
      <c r="BKL91" s="240" t="n"/>
      <c r="BKN91" s="15" t="n"/>
      <c r="BKO91" s="15" t="n"/>
      <c r="BKP91" s="248" t="n"/>
      <c r="BKQ91" s="248" t="n"/>
      <c r="BKR91" s="240" t="n"/>
      <c r="BKS91" s="240" t="n"/>
      <c r="BKU91" s="15" t="n"/>
      <c r="BKV91" s="15" t="n"/>
      <c r="BKW91" s="248" t="n"/>
      <c r="BKX91" s="248" t="n"/>
      <c r="BKY91" s="240" t="n"/>
      <c r="BKZ91" s="240" t="n"/>
      <c r="BLB91" s="15" t="n"/>
      <c r="BLC91" s="15" t="n"/>
      <c r="BLD91" s="248" t="n"/>
      <c r="BLE91" s="248" t="n"/>
      <c r="BLF91" s="240" t="n"/>
      <c r="BLG91" s="240" t="n"/>
      <c r="BLI91" s="15" t="n"/>
      <c r="BLJ91" s="15" t="n"/>
      <c r="BLK91" s="248" t="n"/>
      <c r="BLL91" s="248" t="n"/>
      <c r="BLM91" s="240" t="n"/>
      <c r="BLN91" s="240" t="n"/>
      <c r="BLP91" s="15" t="n"/>
      <c r="BLQ91" s="15" t="n"/>
      <c r="BLR91" s="248" t="n"/>
      <c r="BLS91" s="248" t="n"/>
      <c r="BLT91" s="240" t="n"/>
      <c r="BLU91" s="240" t="n"/>
      <c r="BLW91" s="15" t="n"/>
      <c r="BLX91" s="15" t="n"/>
      <c r="BLY91" s="248" t="n"/>
      <c r="BLZ91" s="248" t="n"/>
      <c r="BMA91" s="240" t="n"/>
      <c r="BMB91" s="240" t="n"/>
      <c r="BMD91" s="15" t="n"/>
      <c r="BME91" s="15" t="n"/>
      <c r="BMF91" s="248" t="n"/>
      <c r="BMG91" s="248" t="n"/>
      <c r="BMH91" s="240" t="n"/>
      <c r="BMI91" s="240" t="n"/>
      <c r="BMK91" s="15" t="n"/>
      <c r="BML91" s="15" t="n"/>
      <c r="BMM91" s="248" t="n"/>
      <c r="BMN91" s="248" t="n"/>
      <c r="BMO91" s="240" t="n"/>
      <c r="BMP91" s="240" t="n"/>
      <c r="BMR91" s="15" t="n"/>
      <c r="BMS91" s="15" t="n"/>
      <c r="BMT91" s="248" t="n"/>
      <c r="BMU91" s="248" t="n"/>
      <c r="BMV91" s="240" t="n"/>
      <c r="BMW91" s="240" t="n"/>
      <c r="BMY91" s="15" t="n"/>
      <c r="BMZ91" s="15" t="n"/>
      <c r="BNA91" s="248" t="n"/>
      <c r="BNB91" s="248" t="n"/>
      <c r="BNC91" s="240" t="n"/>
      <c r="BND91" s="240" t="n"/>
      <c r="BNF91" s="15" t="n"/>
      <c r="BNG91" s="15" t="n"/>
      <c r="BNH91" s="248" t="n"/>
      <c r="BNI91" s="248" t="n"/>
      <c r="BNJ91" s="240" t="n"/>
      <c r="BNK91" s="240" t="n"/>
      <c r="BNM91" s="15" t="n"/>
      <c r="BNN91" s="15" t="n"/>
      <c r="BNO91" s="248" t="n"/>
      <c r="BNP91" s="248" t="n"/>
      <c r="BNQ91" s="240" t="n"/>
      <c r="BNR91" s="240" t="n"/>
      <c r="BNT91" s="15" t="n"/>
      <c r="BNU91" s="15" t="n"/>
      <c r="BNV91" s="248" t="n"/>
      <c r="BNW91" s="248" t="n"/>
      <c r="BNX91" s="240" t="n"/>
      <c r="BNY91" s="240" t="n"/>
      <c r="BOA91" s="15" t="n"/>
      <c r="BOB91" s="15" t="n"/>
      <c r="BOC91" s="248" t="n"/>
      <c r="BOD91" s="248" t="n"/>
      <c r="BOE91" s="240" t="n"/>
      <c r="BOF91" s="240" t="n"/>
      <c r="BOH91" s="15" t="n"/>
      <c r="BOI91" s="15" t="n"/>
      <c r="BOJ91" s="248" t="n"/>
      <c r="BOK91" s="248" t="n"/>
      <c r="BOL91" s="240" t="n"/>
      <c r="BOM91" s="240" t="n"/>
      <c r="BOO91" s="15" t="n"/>
      <c r="BOP91" s="15" t="n"/>
      <c r="BOQ91" s="248" t="n"/>
      <c r="BOR91" s="248" t="n"/>
      <c r="BOS91" s="240" t="n"/>
      <c r="BOT91" s="240" t="n"/>
      <c r="BOV91" s="15" t="n"/>
      <c r="BOW91" s="15" t="n"/>
      <c r="BOX91" s="248" t="n"/>
      <c r="BOY91" s="248" t="n"/>
      <c r="BOZ91" s="240" t="n"/>
      <c r="BPA91" s="240" t="n"/>
      <c r="BPC91" s="15" t="n"/>
      <c r="BPD91" s="15" t="n"/>
      <c r="BPE91" s="248" t="n"/>
      <c r="BPF91" s="248" t="n"/>
      <c r="BPG91" s="240" t="n"/>
      <c r="BPH91" s="240" t="n"/>
      <c r="BPJ91" s="15" t="n"/>
      <c r="BPK91" s="15" t="n"/>
      <c r="BPL91" s="248" t="n"/>
      <c r="BPM91" s="248" t="n"/>
      <c r="BPN91" s="240" t="n"/>
      <c r="BPO91" s="240" t="n"/>
      <c r="BPQ91" s="15" t="n"/>
      <c r="BPR91" s="15" t="n"/>
      <c r="BPS91" s="248" t="n"/>
      <c r="BPT91" s="248" t="n"/>
      <c r="BPU91" s="240" t="n"/>
      <c r="BPV91" s="240" t="n"/>
      <c r="BPX91" s="15" t="n"/>
      <c r="BPY91" s="15" t="n"/>
      <c r="BPZ91" s="248" t="n"/>
      <c r="BQA91" s="248" t="n"/>
      <c r="BQB91" s="240" t="n"/>
      <c r="BQC91" s="240" t="n"/>
      <c r="BQE91" s="15" t="n"/>
      <c r="BQF91" s="15" t="n"/>
      <c r="BQG91" s="248" t="n"/>
      <c r="BQH91" s="248" t="n"/>
      <c r="BQI91" s="240" t="n"/>
      <c r="BQJ91" s="240" t="n"/>
      <c r="BQL91" s="15" t="n"/>
      <c r="BQM91" s="15" t="n"/>
      <c r="BQN91" s="248" t="n"/>
      <c r="BQO91" s="248" t="n"/>
      <c r="BQP91" s="240" t="n"/>
      <c r="BQQ91" s="240" t="n"/>
      <c r="BQS91" s="15" t="n"/>
      <c r="BQT91" s="15" t="n"/>
      <c r="BQU91" s="248" t="n"/>
      <c r="BQV91" s="248" t="n"/>
      <c r="BQW91" s="240" t="n"/>
      <c r="BQX91" s="240" t="n"/>
      <c r="BQZ91" s="15" t="n"/>
      <c r="BRA91" s="15" t="n"/>
      <c r="BRB91" s="248" t="n"/>
      <c r="BRC91" s="248" t="n"/>
      <c r="BRD91" s="240" t="n"/>
      <c r="BRE91" s="240" t="n"/>
      <c r="BRG91" s="15" t="n"/>
      <c r="BRH91" s="15" t="n"/>
      <c r="BRI91" s="248" t="n"/>
      <c r="BRJ91" s="248" t="n"/>
      <c r="BRK91" s="240" t="n"/>
      <c r="BRL91" s="240" t="n"/>
      <c r="BRN91" s="15" t="n"/>
      <c r="BRO91" s="15" t="n"/>
      <c r="BRP91" s="248" t="n"/>
      <c r="BRQ91" s="248" t="n"/>
      <c r="BRR91" s="240" t="n"/>
      <c r="BRS91" s="240" t="n"/>
      <c r="BRU91" s="15" t="n"/>
      <c r="BRV91" s="15" t="n"/>
      <c r="BRW91" s="248" t="n"/>
      <c r="BRX91" s="248" t="n"/>
      <c r="BRY91" s="240" t="n"/>
      <c r="BRZ91" s="240" t="n"/>
      <c r="BSB91" s="15" t="n"/>
      <c r="BSC91" s="15" t="n"/>
      <c r="BSD91" s="248" t="n"/>
      <c r="BSE91" s="248" t="n"/>
      <c r="BSF91" s="240" t="n"/>
      <c r="BSG91" s="240" t="n"/>
      <c r="BSI91" s="15" t="n"/>
      <c r="BSJ91" s="15" t="n"/>
      <c r="BSK91" s="248" t="n"/>
      <c r="BSL91" s="248" t="n"/>
      <c r="BSM91" s="240" t="n"/>
      <c r="BSN91" s="240" t="n"/>
      <c r="BSP91" s="15" t="n"/>
      <c r="BSQ91" s="15" t="n"/>
      <c r="BSR91" s="248" t="n"/>
      <c r="BSS91" s="248" t="n"/>
      <c r="BST91" s="240" t="n"/>
      <c r="BSU91" s="240" t="n"/>
      <c r="BSW91" s="15" t="n"/>
      <c r="BSX91" s="15" t="n"/>
      <c r="BSY91" s="248" t="n"/>
      <c r="BSZ91" s="248" t="n"/>
      <c r="BTA91" s="240" t="n"/>
      <c r="BTB91" s="240" t="n"/>
      <c r="BTD91" s="15" t="n"/>
      <c r="BTE91" s="15" t="n"/>
      <c r="BTF91" s="248" t="n"/>
      <c r="BTG91" s="248" t="n"/>
      <c r="BTH91" s="240" t="n"/>
      <c r="BTI91" s="240" t="n"/>
      <c r="BTK91" s="15" t="n"/>
      <c r="BTL91" s="15" t="n"/>
      <c r="BTM91" s="248" t="n"/>
      <c r="BTN91" s="248" t="n"/>
      <c r="BTO91" s="240" t="n"/>
      <c r="BTP91" s="240" t="n"/>
      <c r="BTR91" s="15" t="n"/>
      <c r="BTS91" s="15" t="n"/>
      <c r="BTT91" s="248" t="n"/>
      <c r="BTU91" s="248" t="n"/>
      <c r="BTV91" s="240" t="n"/>
      <c r="BTW91" s="240" t="n"/>
      <c r="BTY91" s="15" t="n"/>
      <c r="BTZ91" s="15" t="n"/>
      <c r="BUA91" s="248" t="n"/>
      <c r="BUB91" s="248" t="n"/>
      <c r="BUC91" s="240" t="n"/>
      <c r="BUD91" s="240" t="n"/>
      <c r="BUF91" s="15" t="n"/>
      <c r="BUG91" s="15" t="n"/>
      <c r="BUH91" s="248" t="n"/>
      <c r="BUI91" s="248" t="n"/>
      <c r="BUJ91" s="240" t="n"/>
      <c r="BUK91" s="240" t="n"/>
      <c r="BUM91" s="15" t="n"/>
      <c r="BUN91" s="15" t="n"/>
      <c r="BUO91" s="248" t="n"/>
      <c r="BUP91" s="248" t="n"/>
      <c r="BUQ91" s="240" t="n"/>
      <c r="BUR91" s="240" t="n"/>
      <c r="BUT91" s="15" t="n"/>
      <c r="BUU91" s="15" t="n"/>
      <c r="BUV91" s="248" t="n"/>
      <c r="BUW91" s="248" t="n"/>
      <c r="BUX91" s="240" t="n"/>
      <c r="BUY91" s="240" t="n"/>
      <c r="BVA91" s="15" t="n"/>
      <c r="BVB91" s="15" t="n"/>
      <c r="BVC91" s="248" t="n"/>
      <c r="BVD91" s="248" t="n"/>
      <c r="BVE91" s="240" t="n"/>
      <c r="BVF91" s="240" t="n"/>
      <c r="BVH91" s="15" t="n"/>
      <c r="BVI91" s="15" t="n"/>
      <c r="BVJ91" s="248" t="n"/>
      <c r="BVK91" s="248" t="n"/>
      <c r="BVL91" s="240" t="n"/>
      <c r="BVM91" s="240" t="n"/>
      <c r="BVO91" s="15" t="n"/>
      <c r="BVP91" s="15" t="n"/>
      <c r="BVQ91" s="248" t="n"/>
      <c r="BVR91" s="248" t="n"/>
      <c r="BVS91" s="240" t="n"/>
      <c r="BVT91" s="240" t="n"/>
      <c r="BVV91" s="15" t="n"/>
      <c r="BVW91" s="15" t="n"/>
      <c r="BVX91" s="248" t="n"/>
      <c r="BVY91" s="248" t="n"/>
      <c r="BVZ91" s="240" t="n"/>
      <c r="BWA91" s="240" t="n"/>
      <c r="BWC91" s="15" t="n"/>
      <c r="BWD91" s="15" t="n"/>
      <c r="BWE91" s="248" t="n"/>
      <c r="BWF91" s="248" t="n"/>
      <c r="BWG91" s="240" t="n"/>
      <c r="BWH91" s="240" t="n"/>
      <c r="BWJ91" s="15" t="n"/>
      <c r="BWK91" s="15" t="n"/>
      <c r="BWL91" s="248" t="n"/>
      <c r="BWM91" s="248" t="n"/>
      <c r="BWN91" s="240" t="n"/>
      <c r="BWO91" s="240" t="n"/>
      <c r="BWQ91" s="15" t="n"/>
      <c r="BWR91" s="15" t="n"/>
      <c r="BWS91" s="248" t="n"/>
      <c r="BWT91" s="248" t="n"/>
      <c r="BWU91" s="240" t="n"/>
      <c r="BWV91" s="240" t="n"/>
      <c r="BWX91" s="15" t="n"/>
      <c r="BWY91" s="15" t="n"/>
      <c r="BWZ91" s="248" t="n"/>
      <c r="BXA91" s="248" t="n"/>
      <c r="BXB91" s="240" t="n"/>
      <c r="BXC91" s="240" t="n"/>
      <c r="BXE91" s="15" t="n"/>
      <c r="BXF91" s="15" t="n"/>
      <c r="BXG91" s="248" t="n"/>
      <c r="BXH91" s="248" t="n"/>
      <c r="BXI91" s="240" t="n"/>
      <c r="BXJ91" s="240" t="n"/>
      <c r="BXL91" s="15" t="n"/>
      <c r="BXM91" s="15" t="n"/>
      <c r="BXN91" s="248" t="n"/>
      <c r="BXO91" s="248" t="n"/>
      <c r="BXP91" s="240" t="n"/>
      <c r="BXQ91" s="240" t="n"/>
      <c r="BXS91" s="15" t="n"/>
      <c r="BXT91" s="15" t="n"/>
      <c r="BXU91" s="248" t="n"/>
      <c r="BXV91" s="248" t="n"/>
      <c r="BXW91" s="240" t="n"/>
      <c r="BXX91" s="240" t="n"/>
      <c r="BXZ91" s="15" t="n"/>
      <c r="BYA91" s="15" t="n"/>
      <c r="BYB91" s="248" t="n"/>
      <c r="BYC91" s="248" t="n"/>
      <c r="BYD91" s="240" t="n"/>
      <c r="BYE91" s="240" t="n"/>
      <c r="BYG91" s="15" t="n"/>
      <c r="BYH91" s="15" t="n"/>
      <c r="BYI91" s="248" t="n"/>
      <c r="BYJ91" s="248" t="n"/>
      <c r="BYK91" s="240" t="n"/>
      <c r="BYL91" s="240" t="n"/>
      <c r="BYN91" s="15" t="n"/>
      <c r="BYO91" s="15" t="n"/>
      <c r="BYP91" s="248" t="n"/>
      <c r="BYQ91" s="248" t="n"/>
      <c r="BYR91" s="240" t="n"/>
      <c r="BYS91" s="240" t="n"/>
      <c r="BYU91" s="15" t="n"/>
      <c r="BYV91" s="15" t="n"/>
      <c r="BYW91" s="248" t="n"/>
      <c r="BYX91" s="248" t="n"/>
      <c r="BYY91" s="240" t="n"/>
      <c r="BYZ91" s="240" t="n"/>
      <c r="BZB91" s="15" t="n"/>
      <c r="BZC91" s="15" t="n"/>
      <c r="BZD91" s="248" t="n"/>
      <c r="BZE91" s="248" t="n"/>
      <c r="BZF91" s="240" t="n"/>
      <c r="BZG91" s="240" t="n"/>
      <c r="BZI91" s="15" t="n"/>
      <c r="BZJ91" s="15" t="n"/>
      <c r="BZK91" s="248" t="n"/>
      <c r="BZL91" s="248" t="n"/>
      <c r="BZM91" s="240" t="n"/>
      <c r="BZN91" s="240" t="n"/>
      <c r="BZP91" s="15" t="n"/>
      <c r="BZQ91" s="15" t="n"/>
      <c r="BZR91" s="248" t="n"/>
      <c r="BZS91" s="248" t="n"/>
      <c r="BZT91" s="240" t="n"/>
      <c r="BZU91" s="240" t="n"/>
      <c r="BZW91" s="15" t="n"/>
      <c r="BZX91" s="15" t="n"/>
      <c r="BZY91" s="248" t="n"/>
      <c r="BZZ91" s="248" t="n"/>
      <c r="CAA91" s="240" t="n"/>
      <c r="CAB91" s="240" t="n"/>
      <c r="CAD91" s="15" t="n"/>
      <c r="CAE91" s="15" t="n"/>
      <c r="CAF91" s="248" t="n"/>
      <c r="CAG91" s="248" t="n"/>
      <c r="CAH91" s="240" t="n"/>
      <c r="CAI91" s="240" t="n"/>
      <c r="CAK91" s="15" t="n"/>
      <c r="CAL91" s="15" t="n"/>
      <c r="CAM91" s="248" t="n"/>
      <c r="CAN91" s="248" t="n"/>
      <c r="CAO91" s="240" t="n"/>
      <c r="CAP91" s="240" t="n"/>
      <c r="CAR91" s="15" t="n"/>
      <c r="CAS91" s="15" t="n"/>
      <c r="CAT91" s="248" t="n"/>
      <c r="CAU91" s="248" t="n"/>
      <c r="CAV91" s="240" t="n"/>
      <c r="CAW91" s="240" t="n"/>
      <c r="CAY91" s="15" t="n"/>
      <c r="CAZ91" s="15" t="n"/>
      <c r="CBA91" s="248" t="n"/>
      <c r="CBB91" s="248" t="n"/>
      <c r="CBC91" s="240" t="n"/>
      <c r="CBD91" s="240" t="n"/>
      <c r="CBF91" s="15" t="n"/>
      <c r="CBG91" s="15" t="n"/>
      <c r="CBH91" s="248" t="n"/>
      <c r="CBI91" s="248" t="n"/>
      <c r="CBJ91" s="240" t="n"/>
      <c r="CBK91" s="240" t="n"/>
      <c r="CBM91" s="15" t="n"/>
      <c r="CBN91" s="15" t="n"/>
      <c r="CBO91" s="248" t="n"/>
      <c r="CBP91" s="248" t="n"/>
      <c r="CBQ91" s="240" t="n"/>
      <c r="CBR91" s="240" t="n"/>
      <c r="CBT91" s="15" t="n"/>
      <c r="CBU91" s="15" t="n"/>
      <c r="CBV91" s="248" t="n"/>
      <c r="CBW91" s="248" t="n"/>
      <c r="CBX91" s="240" t="n"/>
      <c r="CBY91" s="240" t="n"/>
      <c r="CCA91" s="15" t="n"/>
      <c r="CCB91" s="15" t="n"/>
      <c r="CCC91" s="248" t="n"/>
      <c r="CCD91" s="248" t="n"/>
      <c r="CCE91" s="240" t="n"/>
      <c r="CCF91" s="240" t="n"/>
      <c r="CCH91" s="15" t="n"/>
      <c r="CCI91" s="15" t="n"/>
      <c r="CCJ91" s="248" t="n"/>
      <c r="CCK91" s="248" t="n"/>
      <c r="CCL91" s="240" t="n"/>
      <c r="CCM91" s="240" t="n"/>
      <c r="CCO91" s="15" t="n"/>
      <c r="CCP91" s="15" t="n"/>
      <c r="CCQ91" s="248" t="n"/>
      <c r="CCR91" s="248" t="n"/>
      <c r="CCS91" s="240" t="n"/>
      <c r="CCT91" s="240" t="n"/>
      <c r="CCV91" s="15" t="n"/>
      <c r="CCW91" s="15" t="n"/>
      <c r="CCX91" s="248" t="n"/>
      <c r="CCY91" s="248" t="n"/>
      <c r="CCZ91" s="240" t="n"/>
      <c r="CDA91" s="240" t="n"/>
      <c r="CDC91" s="15" t="n"/>
      <c r="CDD91" s="15" t="n"/>
      <c r="CDE91" s="248" t="n"/>
      <c r="CDF91" s="248" t="n"/>
      <c r="CDG91" s="240" t="n"/>
      <c r="CDH91" s="240" t="n"/>
      <c r="CDJ91" s="15" t="n"/>
      <c r="CDK91" s="15" t="n"/>
      <c r="CDL91" s="248" t="n"/>
      <c r="CDM91" s="248" t="n"/>
      <c r="CDN91" s="240" t="n"/>
      <c r="CDO91" s="240" t="n"/>
      <c r="CDQ91" s="15" t="n"/>
      <c r="CDR91" s="15" t="n"/>
      <c r="CDS91" s="248" t="n"/>
      <c r="CDT91" s="248" t="n"/>
      <c r="CDU91" s="240" t="n"/>
      <c r="CDV91" s="240" t="n"/>
      <c r="CDX91" s="15" t="n"/>
      <c r="CDY91" s="15" t="n"/>
      <c r="CDZ91" s="248" t="n"/>
      <c r="CEA91" s="248" t="n"/>
      <c r="CEB91" s="240" t="n"/>
      <c r="CEC91" s="240" t="n"/>
      <c r="CEE91" s="15" t="n"/>
      <c r="CEF91" s="15" t="n"/>
      <c r="CEG91" s="248" t="n"/>
      <c r="CEH91" s="248" t="n"/>
      <c r="CEI91" s="240" t="n"/>
      <c r="CEJ91" s="240" t="n"/>
      <c r="CEL91" s="15" t="n"/>
      <c r="CEM91" s="15" t="n"/>
      <c r="CEN91" s="248" t="n"/>
      <c r="CEO91" s="248" t="n"/>
      <c r="CEP91" s="240" t="n"/>
      <c r="CEQ91" s="240" t="n"/>
      <c r="CES91" s="15" t="n"/>
      <c r="CET91" s="15" t="n"/>
      <c r="CEU91" s="248" t="n"/>
      <c r="CEV91" s="248" t="n"/>
      <c r="CEW91" s="240" t="n"/>
      <c r="CEX91" s="240" t="n"/>
      <c r="CEZ91" s="15" t="n"/>
      <c r="CFA91" s="15" t="n"/>
      <c r="CFB91" s="248" t="n"/>
      <c r="CFC91" s="248" t="n"/>
      <c r="CFD91" s="240" t="n"/>
      <c r="CFE91" s="240" t="n"/>
      <c r="CFG91" s="15" t="n"/>
      <c r="CFH91" s="15" t="n"/>
      <c r="CFI91" s="248" t="n"/>
      <c r="CFJ91" s="248" t="n"/>
      <c r="CFK91" s="240" t="n"/>
      <c r="CFL91" s="240" t="n"/>
      <c r="CFN91" s="15" t="n"/>
      <c r="CFO91" s="15" t="n"/>
      <c r="CFP91" s="248" t="n"/>
      <c r="CFQ91" s="248" t="n"/>
      <c r="CFR91" s="240" t="n"/>
      <c r="CFS91" s="240" t="n"/>
      <c r="CFU91" s="15" t="n"/>
      <c r="CFV91" s="15" t="n"/>
      <c r="CFW91" s="248" t="n"/>
      <c r="CFX91" s="248" t="n"/>
      <c r="CFY91" s="240" t="n"/>
      <c r="CFZ91" s="240" t="n"/>
      <c r="CGB91" s="15" t="n"/>
      <c r="CGC91" s="15" t="n"/>
      <c r="CGD91" s="248" t="n"/>
      <c r="CGE91" s="248" t="n"/>
      <c r="CGF91" s="240" t="n"/>
      <c r="CGG91" s="240" t="n"/>
      <c r="CGI91" s="15" t="n"/>
      <c r="CGJ91" s="15" t="n"/>
      <c r="CGK91" s="248" t="n"/>
      <c r="CGL91" s="248" t="n"/>
      <c r="CGM91" s="240" t="n"/>
      <c r="CGN91" s="240" t="n"/>
      <c r="CGP91" s="15" t="n"/>
      <c r="CGQ91" s="15" t="n"/>
      <c r="CGR91" s="248" t="n"/>
      <c r="CGS91" s="248" t="n"/>
      <c r="CGT91" s="240" t="n"/>
      <c r="CGU91" s="240" t="n"/>
      <c r="CGW91" s="15" t="n"/>
      <c r="CGX91" s="15" t="n"/>
      <c r="CGY91" s="248" t="n"/>
      <c r="CGZ91" s="248" t="n"/>
      <c r="CHA91" s="240" t="n"/>
      <c r="CHB91" s="240" t="n"/>
      <c r="CHD91" s="15" t="n"/>
      <c r="CHE91" s="15" t="n"/>
      <c r="CHF91" s="248" t="n"/>
      <c r="CHG91" s="248" t="n"/>
      <c r="CHH91" s="240" t="n"/>
      <c r="CHI91" s="240" t="n"/>
      <c r="CHK91" s="15" t="n"/>
      <c r="CHL91" s="15" t="n"/>
      <c r="CHM91" s="248" t="n"/>
      <c r="CHN91" s="248" t="n"/>
      <c r="CHO91" s="240" t="n"/>
      <c r="CHP91" s="240" t="n"/>
      <c r="CHR91" s="15" t="n"/>
      <c r="CHS91" s="15" t="n"/>
      <c r="CHT91" s="248" t="n"/>
      <c r="CHU91" s="248" t="n"/>
      <c r="CHV91" s="240" t="n"/>
      <c r="CHW91" s="240" t="n"/>
      <c r="CHY91" s="15" t="n"/>
      <c r="CHZ91" s="15" t="n"/>
      <c r="CIA91" s="248" t="n"/>
      <c r="CIB91" s="248" t="n"/>
      <c r="CIC91" s="240" t="n"/>
      <c r="CID91" s="240" t="n"/>
      <c r="CIF91" s="15" t="n"/>
      <c r="CIG91" s="15" t="n"/>
      <c r="CIH91" s="248" t="n"/>
      <c r="CII91" s="248" t="n"/>
      <c r="CIJ91" s="240" t="n"/>
      <c r="CIK91" s="240" t="n"/>
      <c r="CIM91" s="15" t="n"/>
      <c r="CIN91" s="15" t="n"/>
      <c r="CIO91" s="248" t="n"/>
      <c r="CIP91" s="248" t="n"/>
      <c r="CIQ91" s="240" t="n"/>
      <c r="CIR91" s="240" t="n"/>
      <c r="CIT91" s="15" t="n"/>
      <c r="CIU91" s="15" t="n"/>
      <c r="CIV91" s="248" t="n"/>
      <c r="CIW91" s="248" t="n"/>
      <c r="CIX91" s="240" t="n"/>
      <c r="CIY91" s="240" t="n"/>
      <c r="CJA91" s="15" t="n"/>
      <c r="CJB91" s="15" t="n"/>
      <c r="CJC91" s="248" t="n"/>
      <c r="CJD91" s="248" t="n"/>
      <c r="CJE91" s="240" t="n"/>
      <c r="CJF91" s="240" t="n"/>
      <c r="CJH91" s="15" t="n"/>
      <c r="CJI91" s="15" t="n"/>
      <c r="CJJ91" s="248" t="n"/>
      <c r="CJK91" s="248" t="n"/>
      <c r="CJL91" s="240" t="n"/>
      <c r="CJM91" s="240" t="n"/>
      <c r="CJO91" s="15" t="n"/>
      <c r="CJP91" s="15" t="n"/>
      <c r="CJQ91" s="248" t="n"/>
      <c r="CJR91" s="248" t="n"/>
      <c r="CJS91" s="240" t="n"/>
      <c r="CJT91" s="240" t="n"/>
      <c r="CJV91" s="15" t="n"/>
      <c r="CJW91" s="15" t="n"/>
      <c r="CJX91" s="248" t="n"/>
      <c r="CJY91" s="248" t="n"/>
      <c r="CJZ91" s="240" t="n"/>
      <c r="CKA91" s="240" t="n"/>
      <c r="CKC91" s="15" t="n"/>
      <c r="CKD91" s="15" t="n"/>
      <c r="CKE91" s="248" t="n"/>
      <c r="CKF91" s="248" t="n"/>
      <c r="CKG91" s="240" t="n"/>
      <c r="CKH91" s="240" t="n"/>
      <c r="CKJ91" s="15" t="n"/>
      <c r="CKK91" s="15" t="n"/>
      <c r="CKL91" s="248" t="n"/>
      <c r="CKM91" s="248" t="n"/>
      <c r="CKN91" s="240" t="n"/>
      <c r="CKO91" s="240" t="n"/>
      <c r="CKQ91" s="15" t="n"/>
      <c r="CKR91" s="15" t="n"/>
      <c r="CKS91" s="248" t="n"/>
      <c r="CKT91" s="248" t="n"/>
      <c r="CKU91" s="240" t="n"/>
      <c r="CKV91" s="240" t="n"/>
      <c r="CKX91" s="15" t="n"/>
      <c r="CKY91" s="15" t="n"/>
      <c r="CKZ91" s="248" t="n"/>
      <c r="CLA91" s="248" t="n"/>
      <c r="CLB91" s="240" t="n"/>
      <c r="CLC91" s="240" t="n"/>
      <c r="CLE91" s="15" t="n"/>
      <c r="CLF91" s="15" t="n"/>
      <c r="CLG91" s="248" t="n"/>
      <c r="CLH91" s="248" t="n"/>
      <c r="CLI91" s="240" t="n"/>
      <c r="CLJ91" s="240" t="n"/>
      <c r="CLL91" s="15" t="n"/>
      <c r="CLM91" s="15" t="n"/>
      <c r="CLN91" s="248" t="n"/>
      <c r="CLO91" s="248" t="n"/>
      <c r="CLP91" s="240" t="n"/>
      <c r="CLQ91" s="240" t="n"/>
      <c r="CLS91" s="15" t="n"/>
      <c r="CLT91" s="15" t="n"/>
      <c r="CLU91" s="248" t="n"/>
      <c r="CLV91" s="248" t="n"/>
      <c r="CLW91" s="240" t="n"/>
      <c r="CLX91" s="240" t="n"/>
      <c r="CLZ91" s="15" t="n"/>
      <c r="CMA91" s="15" t="n"/>
      <c r="CMB91" s="248" t="n"/>
      <c r="CMC91" s="248" t="n"/>
      <c r="CMD91" s="240" t="n"/>
      <c r="CME91" s="240" t="n"/>
      <c r="CMG91" s="15" t="n"/>
      <c r="CMH91" s="15" t="n"/>
      <c r="CMI91" s="248" t="n"/>
      <c r="CMJ91" s="248" t="n"/>
      <c r="CMK91" s="240" t="n"/>
      <c r="CML91" s="240" t="n"/>
      <c r="CMN91" s="15" t="n"/>
      <c r="CMO91" s="15" t="n"/>
      <c r="CMP91" s="248" t="n"/>
      <c r="CMQ91" s="248" t="n"/>
      <c r="CMR91" s="240" t="n"/>
      <c r="CMS91" s="240" t="n"/>
      <c r="CMU91" s="15" t="n"/>
      <c r="CMV91" s="15" t="n"/>
      <c r="CMW91" s="248" t="n"/>
      <c r="CMX91" s="248" t="n"/>
      <c r="CMY91" s="240" t="n"/>
      <c r="CMZ91" s="240" t="n"/>
      <c r="CNB91" s="15" t="n"/>
      <c r="CNC91" s="15" t="n"/>
      <c r="CND91" s="248" t="n"/>
      <c r="CNE91" s="248" t="n"/>
      <c r="CNF91" s="240" t="n"/>
      <c r="CNG91" s="240" t="n"/>
      <c r="CNI91" s="15" t="n"/>
      <c r="CNJ91" s="15" t="n"/>
      <c r="CNK91" s="248" t="n"/>
      <c r="CNL91" s="248" t="n"/>
      <c r="CNM91" s="240" t="n"/>
      <c r="CNN91" s="240" t="n"/>
      <c r="CNP91" s="15" t="n"/>
      <c r="CNQ91" s="15" t="n"/>
      <c r="CNR91" s="248" t="n"/>
      <c r="CNS91" s="248" t="n"/>
      <c r="CNT91" s="240" t="n"/>
      <c r="CNU91" s="240" t="n"/>
      <c r="CNW91" s="15" t="n"/>
      <c r="CNX91" s="15" t="n"/>
      <c r="CNY91" s="248" t="n"/>
      <c r="CNZ91" s="248" t="n"/>
      <c r="COA91" s="240" t="n"/>
      <c r="COB91" s="240" t="n"/>
      <c r="COD91" s="15" t="n"/>
      <c r="COE91" s="15" t="n"/>
      <c r="COF91" s="248" t="n"/>
      <c r="COG91" s="248" t="n"/>
      <c r="COH91" s="240" t="n"/>
      <c r="COI91" s="240" t="n"/>
      <c r="COK91" s="15" t="n"/>
      <c r="COL91" s="15" t="n"/>
      <c r="COM91" s="248" t="n"/>
      <c r="CON91" s="248" t="n"/>
      <c r="COO91" s="240" t="n"/>
      <c r="COP91" s="240" t="n"/>
      <c r="COR91" s="15" t="n"/>
      <c r="COS91" s="15" t="n"/>
      <c r="COT91" s="248" t="n"/>
      <c r="COU91" s="248" t="n"/>
      <c r="COV91" s="240" t="n"/>
      <c r="COW91" s="240" t="n"/>
      <c r="COY91" s="15" t="n"/>
      <c r="COZ91" s="15" t="n"/>
      <c r="CPA91" s="248" t="n"/>
      <c r="CPB91" s="248" t="n"/>
      <c r="CPC91" s="240" t="n"/>
      <c r="CPD91" s="240" t="n"/>
      <c r="CPF91" s="15" t="n"/>
      <c r="CPG91" s="15" t="n"/>
      <c r="CPH91" s="248" t="n"/>
      <c r="CPI91" s="248" t="n"/>
      <c r="CPJ91" s="240" t="n"/>
      <c r="CPK91" s="240" t="n"/>
      <c r="CPM91" s="15" t="n"/>
      <c r="CPN91" s="15" t="n"/>
      <c r="CPO91" s="248" t="n"/>
      <c r="CPP91" s="248" t="n"/>
      <c r="CPQ91" s="240" t="n"/>
      <c r="CPR91" s="240" t="n"/>
      <c r="CPT91" s="15" t="n"/>
      <c r="CPU91" s="15" t="n"/>
      <c r="CPV91" s="248" t="n"/>
      <c r="CPW91" s="248" t="n"/>
      <c r="CPX91" s="240" t="n"/>
      <c r="CPY91" s="240" t="n"/>
      <c r="CQA91" s="15" t="n"/>
      <c r="CQB91" s="15" t="n"/>
      <c r="CQC91" s="248" t="n"/>
      <c r="CQD91" s="248" t="n"/>
      <c r="CQE91" s="240" t="n"/>
      <c r="CQF91" s="240" t="n"/>
      <c r="CQH91" s="15" t="n"/>
      <c r="CQI91" s="15" t="n"/>
      <c r="CQJ91" s="248" t="n"/>
      <c r="CQK91" s="248" t="n"/>
      <c r="CQL91" s="240" t="n"/>
      <c r="CQM91" s="240" t="n"/>
      <c r="CQO91" s="15" t="n"/>
      <c r="CQP91" s="15" t="n"/>
      <c r="CQQ91" s="248" t="n"/>
      <c r="CQR91" s="248" t="n"/>
      <c r="CQS91" s="240" t="n"/>
      <c r="CQT91" s="240" t="n"/>
      <c r="CQV91" s="15" t="n"/>
      <c r="CQW91" s="15" t="n"/>
      <c r="CQX91" s="248" t="n"/>
      <c r="CQY91" s="248" t="n"/>
      <c r="CQZ91" s="240" t="n"/>
      <c r="CRA91" s="240" t="n"/>
      <c r="CRC91" s="15" t="n"/>
      <c r="CRD91" s="15" t="n"/>
      <c r="CRE91" s="248" t="n"/>
      <c r="CRF91" s="248" t="n"/>
      <c r="CRG91" s="240" t="n"/>
      <c r="CRH91" s="240" t="n"/>
      <c r="CRJ91" s="15" t="n"/>
      <c r="CRK91" s="15" t="n"/>
      <c r="CRL91" s="248" t="n"/>
      <c r="CRM91" s="248" t="n"/>
      <c r="CRN91" s="240" t="n"/>
      <c r="CRO91" s="240" t="n"/>
      <c r="CRQ91" s="15" t="n"/>
      <c r="CRR91" s="15" t="n"/>
      <c r="CRS91" s="248" t="n"/>
      <c r="CRT91" s="248" t="n"/>
      <c r="CRU91" s="240" t="n"/>
      <c r="CRV91" s="240" t="n"/>
      <c r="CRX91" s="15" t="n"/>
      <c r="CRY91" s="15" t="n"/>
      <c r="CRZ91" s="248" t="n"/>
      <c r="CSA91" s="248" t="n"/>
      <c r="CSB91" s="240" t="n"/>
      <c r="CSC91" s="240" t="n"/>
      <c r="CSE91" s="15" t="n"/>
      <c r="CSF91" s="15" t="n"/>
      <c r="CSG91" s="248" t="n"/>
      <c r="CSH91" s="248" t="n"/>
      <c r="CSI91" s="240" t="n"/>
      <c r="CSJ91" s="240" t="n"/>
      <c r="CSL91" s="15" t="n"/>
      <c r="CSM91" s="15" t="n"/>
      <c r="CSN91" s="248" t="n"/>
      <c r="CSO91" s="248" t="n"/>
      <c r="CSP91" s="240" t="n"/>
      <c r="CSQ91" s="240" t="n"/>
      <c r="CSS91" s="15" t="n"/>
      <c r="CST91" s="15" t="n"/>
      <c r="CSU91" s="248" t="n"/>
      <c r="CSV91" s="248" t="n"/>
      <c r="CSW91" s="240" t="n"/>
      <c r="CSX91" s="240" t="n"/>
      <c r="CSZ91" s="15" t="n"/>
      <c r="CTA91" s="15" t="n"/>
      <c r="CTB91" s="248" t="n"/>
      <c r="CTC91" s="248" t="n"/>
      <c r="CTD91" s="240" t="n"/>
      <c r="CTE91" s="240" t="n"/>
      <c r="CTG91" s="15" t="n"/>
      <c r="CTH91" s="15" t="n"/>
      <c r="CTI91" s="248" t="n"/>
      <c r="CTJ91" s="248" t="n"/>
      <c r="CTK91" s="240" t="n"/>
      <c r="CTL91" s="240" t="n"/>
      <c r="CTN91" s="15" t="n"/>
      <c r="CTO91" s="15" t="n"/>
      <c r="CTP91" s="248" t="n"/>
      <c r="CTQ91" s="248" t="n"/>
      <c r="CTR91" s="240" t="n"/>
      <c r="CTS91" s="240" t="n"/>
      <c r="CTU91" s="15" t="n"/>
      <c r="CTV91" s="15" t="n"/>
      <c r="CTW91" s="248" t="n"/>
      <c r="CTX91" s="248" t="n"/>
      <c r="CTY91" s="240" t="n"/>
      <c r="CTZ91" s="240" t="n"/>
      <c r="CUB91" s="15" t="n"/>
      <c r="CUC91" s="15" t="n"/>
      <c r="CUD91" s="248" t="n"/>
      <c r="CUE91" s="248" t="n"/>
      <c r="CUF91" s="240" t="n"/>
      <c r="CUG91" s="240" t="n"/>
      <c r="CUI91" s="15" t="n"/>
      <c r="CUJ91" s="15" t="n"/>
      <c r="CUK91" s="248" t="n"/>
      <c r="CUL91" s="248" t="n"/>
      <c r="CUM91" s="240" t="n"/>
      <c r="CUN91" s="240" t="n"/>
      <c r="CUP91" s="15" t="n"/>
      <c r="CUQ91" s="15" t="n"/>
      <c r="CUR91" s="248" t="n"/>
      <c r="CUS91" s="248" t="n"/>
      <c r="CUT91" s="240" t="n"/>
      <c r="CUU91" s="240" t="n"/>
      <c r="CUW91" s="15" t="n"/>
      <c r="CUX91" s="15" t="n"/>
      <c r="CUY91" s="248" t="n"/>
      <c r="CUZ91" s="248" t="n"/>
      <c r="CVA91" s="240" t="n"/>
      <c r="CVB91" s="240" t="n"/>
      <c r="CVD91" s="15" t="n"/>
      <c r="CVE91" s="15" t="n"/>
      <c r="CVF91" s="248" t="n"/>
      <c r="CVG91" s="248" t="n"/>
      <c r="CVH91" s="240" t="n"/>
      <c r="CVI91" s="240" t="n"/>
      <c r="CVK91" s="15" t="n"/>
      <c r="CVL91" s="15" t="n"/>
      <c r="CVM91" s="248" t="n"/>
      <c r="CVN91" s="248" t="n"/>
      <c r="CVO91" s="240" t="n"/>
      <c r="CVP91" s="240" t="n"/>
      <c r="CVR91" s="15" t="n"/>
      <c r="CVS91" s="15" t="n"/>
      <c r="CVT91" s="248" t="n"/>
      <c r="CVU91" s="248" t="n"/>
      <c r="CVV91" s="240" t="n"/>
      <c r="CVW91" s="240" t="n"/>
      <c r="CVY91" s="15" t="n"/>
      <c r="CVZ91" s="15" t="n"/>
      <c r="CWA91" s="248" t="n"/>
      <c r="CWB91" s="248" t="n"/>
      <c r="CWC91" s="240" t="n"/>
      <c r="CWD91" s="240" t="n"/>
      <c r="CWF91" s="15" t="n"/>
      <c r="CWG91" s="15" t="n"/>
      <c r="CWH91" s="248" t="n"/>
      <c r="CWI91" s="248" t="n"/>
      <c r="CWJ91" s="240" t="n"/>
      <c r="CWK91" s="240" t="n"/>
      <c r="CWM91" s="15" t="n"/>
      <c r="CWN91" s="15" t="n"/>
      <c r="CWO91" s="248" t="n"/>
      <c r="CWP91" s="248" t="n"/>
      <c r="CWQ91" s="240" t="n"/>
      <c r="CWR91" s="240" t="n"/>
      <c r="CWT91" s="15" t="n"/>
      <c r="CWU91" s="15" t="n"/>
      <c r="CWV91" s="248" t="n"/>
      <c r="CWW91" s="248" t="n"/>
      <c r="CWX91" s="240" t="n"/>
      <c r="CWY91" s="240" t="n"/>
      <c r="CXA91" s="15" t="n"/>
      <c r="CXB91" s="15" t="n"/>
      <c r="CXC91" s="248" t="n"/>
      <c r="CXD91" s="248" t="n"/>
      <c r="CXE91" s="240" t="n"/>
      <c r="CXF91" s="240" t="n"/>
      <c r="CXH91" s="15" t="n"/>
      <c r="CXI91" s="15" t="n"/>
      <c r="CXJ91" s="248" t="n"/>
      <c r="CXK91" s="248" t="n"/>
      <c r="CXL91" s="240" t="n"/>
      <c r="CXM91" s="240" t="n"/>
      <c r="CXO91" s="15" t="n"/>
      <c r="CXP91" s="15" t="n"/>
      <c r="CXQ91" s="248" t="n"/>
      <c r="CXR91" s="248" t="n"/>
      <c r="CXS91" s="240" t="n"/>
      <c r="CXT91" s="240" t="n"/>
      <c r="CXV91" s="15" t="n"/>
      <c r="CXW91" s="15" t="n"/>
      <c r="CXX91" s="248" t="n"/>
      <c r="CXY91" s="248" t="n"/>
      <c r="CXZ91" s="240" t="n"/>
      <c r="CYA91" s="240" t="n"/>
      <c r="CYC91" s="15" t="n"/>
      <c r="CYD91" s="15" t="n"/>
      <c r="CYE91" s="248" t="n"/>
      <c r="CYF91" s="248" t="n"/>
      <c r="CYG91" s="240" t="n"/>
      <c r="CYH91" s="240" t="n"/>
      <c r="CYJ91" s="15" t="n"/>
      <c r="CYK91" s="15" t="n"/>
      <c r="CYL91" s="248" t="n"/>
      <c r="CYM91" s="248" t="n"/>
      <c r="CYN91" s="240" t="n"/>
      <c r="CYO91" s="240" t="n"/>
      <c r="CYQ91" s="15" t="n"/>
      <c r="CYR91" s="15" t="n"/>
      <c r="CYS91" s="248" t="n"/>
      <c r="CYT91" s="248" t="n"/>
      <c r="CYU91" s="240" t="n"/>
      <c r="CYV91" s="240" t="n"/>
      <c r="CYX91" s="15" t="n"/>
      <c r="CYY91" s="15" t="n"/>
      <c r="CYZ91" s="248" t="n"/>
      <c r="CZA91" s="248" t="n"/>
      <c r="CZB91" s="240" t="n"/>
      <c r="CZC91" s="240" t="n"/>
      <c r="CZE91" s="15" t="n"/>
      <c r="CZF91" s="15" t="n"/>
      <c r="CZG91" s="248" t="n"/>
      <c r="CZH91" s="248" t="n"/>
      <c r="CZI91" s="240" t="n"/>
      <c r="CZJ91" s="240" t="n"/>
      <c r="CZL91" s="15" t="n"/>
      <c r="CZM91" s="15" t="n"/>
      <c r="CZN91" s="248" t="n"/>
      <c r="CZO91" s="248" t="n"/>
      <c r="CZP91" s="240" t="n"/>
      <c r="CZQ91" s="240" t="n"/>
      <c r="CZS91" s="15" t="n"/>
      <c r="CZT91" s="15" t="n"/>
      <c r="CZU91" s="248" t="n"/>
      <c r="CZV91" s="248" t="n"/>
      <c r="CZW91" s="240" t="n"/>
      <c r="CZX91" s="240" t="n"/>
      <c r="CZZ91" s="15" t="n"/>
      <c r="DAA91" s="15" t="n"/>
      <c r="DAB91" s="248" t="n"/>
      <c r="DAC91" s="248" t="n"/>
      <c r="DAD91" s="240" t="n"/>
      <c r="DAE91" s="240" t="n"/>
      <c r="DAG91" s="15" t="n"/>
      <c r="DAH91" s="15" t="n"/>
      <c r="DAI91" s="248" t="n"/>
      <c r="DAJ91" s="248" t="n"/>
      <c r="DAK91" s="240" t="n"/>
      <c r="DAL91" s="240" t="n"/>
      <c r="DAN91" s="15" t="n"/>
      <c r="DAO91" s="15" t="n"/>
      <c r="DAP91" s="248" t="n"/>
      <c r="DAQ91" s="248" t="n"/>
      <c r="DAR91" s="240" t="n"/>
      <c r="DAS91" s="240" t="n"/>
      <c r="DAU91" s="15" t="n"/>
      <c r="DAV91" s="15" t="n"/>
      <c r="DAW91" s="248" t="n"/>
      <c r="DAX91" s="248" t="n"/>
      <c r="DAY91" s="240" t="n"/>
      <c r="DAZ91" s="240" t="n"/>
      <c r="DBB91" s="15" t="n"/>
      <c r="DBC91" s="15" t="n"/>
      <c r="DBD91" s="248" t="n"/>
      <c r="DBE91" s="248" t="n"/>
      <c r="DBF91" s="240" t="n"/>
      <c r="DBG91" s="240" t="n"/>
      <c r="DBI91" s="15" t="n"/>
      <c r="DBJ91" s="15" t="n"/>
      <c r="DBK91" s="248" t="n"/>
      <c r="DBL91" s="248" t="n"/>
      <c r="DBM91" s="240" t="n"/>
      <c r="DBN91" s="240" t="n"/>
      <c r="DBP91" s="15" t="n"/>
      <c r="DBQ91" s="15" t="n"/>
      <c r="DBR91" s="248" t="n"/>
      <c r="DBS91" s="248" t="n"/>
      <c r="DBT91" s="240" t="n"/>
      <c r="DBU91" s="240" t="n"/>
      <c r="DBW91" s="15" t="n"/>
      <c r="DBX91" s="15" t="n"/>
      <c r="DBY91" s="248" t="n"/>
      <c r="DBZ91" s="248" t="n"/>
      <c r="DCA91" s="240" t="n"/>
      <c r="DCB91" s="240" t="n"/>
      <c r="DCD91" s="15" t="n"/>
      <c r="DCE91" s="15" t="n"/>
      <c r="DCF91" s="248" t="n"/>
      <c r="DCG91" s="248" t="n"/>
      <c r="DCH91" s="240" t="n"/>
      <c r="DCI91" s="240" t="n"/>
      <c r="DCK91" s="15" t="n"/>
      <c r="DCL91" s="15" t="n"/>
      <c r="DCM91" s="248" t="n"/>
      <c r="DCN91" s="248" t="n"/>
      <c r="DCO91" s="240" t="n"/>
      <c r="DCP91" s="240" t="n"/>
      <c r="DCR91" s="15" t="n"/>
      <c r="DCS91" s="15" t="n"/>
      <c r="DCT91" s="248" t="n"/>
      <c r="DCU91" s="248" t="n"/>
      <c r="DCV91" s="240" t="n"/>
      <c r="DCW91" s="240" t="n"/>
      <c r="DCY91" s="15" t="n"/>
      <c r="DCZ91" s="15" t="n"/>
      <c r="DDA91" s="248" t="n"/>
      <c r="DDB91" s="248" t="n"/>
      <c r="DDC91" s="240" t="n"/>
      <c r="DDD91" s="240" t="n"/>
      <c r="DDF91" s="15" t="n"/>
      <c r="DDG91" s="15" t="n"/>
      <c r="DDH91" s="248" t="n"/>
      <c r="DDI91" s="248" t="n"/>
      <c r="DDJ91" s="240" t="n"/>
      <c r="DDK91" s="240" t="n"/>
      <c r="DDM91" s="15" t="n"/>
      <c r="DDN91" s="15" t="n"/>
      <c r="DDO91" s="248" t="n"/>
      <c r="DDP91" s="248" t="n"/>
      <c r="DDQ91" s="240" t="n"/>
      <c r="DDR91" s="240" t="n"/>
      <c r="DDT91" s="15" t="n"/>
      <c r="DDU91" s="15" t="n"/>
      <c r="DDV91" s="248" t="n"/>
      <c r="DDW91" s="248" t="n"/>
      <c r="DDX91" s="240" t="n"/>
      <c r="DDY91" s="240" t="n"/>
      <c r="DEA91" s="15" t="n"/>
      <c r="DEB91" s="15" t="n"/>
      <c r="DEC91" s="248" t="n"/>
      <c r="DED91" s="248" t="n"/>
      <c r="DEE91" s="240" t="n"/>
      <c r="DEF91" s="240" t="n"/>
      <c r="DEH91" s="15" t="n"/>
      <c r="DEI91" s="15" t="n"/>
      <c r="DEJ91" s="248" t="n"/>
      <c r="DEK91" s="248" t="n"/>
      <c r="DEL91" s="240" t="n"/>
      <c r="DEM91" s="240" t="n"/>
      <c r="DEO91" s="15" t="n"/>
      <c r="DEP91" s="15" t="n"/>
      <c r="DEQ91" s="248" t="n"/>
      <c r="DER91" s="248" t="n"/>
      <c r="DES91" s="240" t="n"/>
      <c r="DET91" s="240" t="n"/>
      <c r="DEV91" s="15" t="n"/>
      <c r="DEW91" s="15" t="n"/>
      <c r="DEX91" s="248" t="n"/>
      <c r="DEY91" s="248" t="n"/>
      <c r="DEZ91" s="240" t="n"/>
      <c r="DFA91" s="240" t="n"/>
      <c r="DFC91" s="15" t="n"/>
      <c r="DFD91" s="15" t="n"/>
      <c r="DFE91" s="248" t="n"/>
      <c r="DFF91" s="248" t="n"/>
      <c r="DFG91" s="240" t="n"/>
      <c r="DFH91" s="240" t="n"/>
      <c r="DFJ91" s="15" t="n"/>
      <c r="DFK91" s="15" t="n"/>
      <c r="DFL91" s="248" t="n"/>
      <c r="DFM91" s="248" t="n"/>
      <c r="DFN91" s="240" t="n"/>
      <c r="DFO91" s="240" t="n"/>
      <c r="DFQ91" s="15" t="n"/>
      <c r="DFR91" s="15" t="n"/>
      <c r="DFS91" s="248" t="n"/>
      <c r="DFT91" s="248" t="n"/>
      <c r="DFU91" s="240" t="n"/>
      <c r="DFV91" s="240" t="n"/>
      <c r="DFX91" s="15" t="n"/>
      <c r="DFY91" s="15" t="n"/>
      <c r="DFZ91" s="248" t="n"/>
      <c r="DGA91" s="248" t="n"/>
      <c r="DGB91" s="240" t="n"/>
      <c r="DGC91" s="240" t="n"/>
      <c r="DGE91" s="15" t="n"/>
      <c r="DGF91" s="15" t="n"/>
      <c r="DGG91" s="248" t="n"/>
      <c r="DGH91" s="248" t="n"/>
      <c r="DGI91" s="240" t="n"/>
      <c r="DGJ91" s="240" t="n"/>
      <c r="DGL91" s="15" t="n"/>
      <c r="DGM91" s="15" t="n"/>
      <c r="DGN91" s="248" t="n"/>
      <c r="DGO91" s="248" t="n"/>
      <c r="DGP91" s="240" t="n"/>
      <c r="DGQ91" s="240" t="n"/>
      <c r="DGS91" s="15" t="n"/>
      <c r="DGT91" s="15" t="n"/>
      <c r="DGU91" s="248" t="n"/>
      <c r="DGV91" s="248" t="n"/>
      <c r="DGW91" s="240" t="n"/>
      <c r="DGX91" s="240" t="n"/>
      <c r="DGZ91" s="15" t="n"/>
      <c r="DHA91" s="15" t="n"/>
      <c r="DHB91" s="248" t="n"/>
      <c r="DHC91" s="248" t="n"/>
      <c r="DHD91" s="240" t="n"/>
      <c r="DHE91" s="240" t="n"/>
      <c r="DHG91" s="15" t="n"/>
      <c r="DHH91" s="15" t="n"/>
      <c r="DHI91" s="248" t="n"/>
      <c r="DHJ91" s="248" t="n"/>
      <c r="DHK91" s="240" t="n"/>
      <c r="DHL91" s="240" t="n"/>
      <c r="DHN91" s="15" t="n"/>
      <c r="DHO91" s="15" t="n"/>
      <c r="DHP91" s="248" t="n"/>
      <c r="DHQ91" s="248" t="n"/>
      <c r="DHR91" s="240" t="n"/>
      <c r="DHS91" s="240" t="n"/>
      <c r="DHU91" s="15" t="n"/>
      <c r="DHV91" s="15" t="n"/>
      <c r="DHW91" s="248" t="n"/>
      <c r="DHX91" s="248" t="n"/>
      <c r="DHY91" s="240" t="n"/>
      <c r="DHZ91" s="240" t="n"/>
      <c r="DIB91" s="15" t="n"/>
      <c r="DIC91" s="15" t="n"/>
      <c r="DID91" s="248" t="n"/>
      <c r="DIE91" s="248" t="n"/>
      <c r="DIF91" s="240" t="n"/>
      <c r="DIG91" s="240" t="n"/>
      <c r="DII91" s="15" t="n"/>
      <c r="DIJ91" s="15" t="n"/>
      <c r="DIK91" s="248" t="n"/>
      <c r="DIL91" s="248" t="n"/>
      <c r="DIM91" s="240" t="n"/>
      <c r="DIN91" s="240" t="n"/>
      <c r="DIP91" s="15" t="n"/>
      <c r="DIQ91" s="15" t="n"/>
      <c r="DIR91" s="248" t="n"/>
      <c r="DIS91" s="248" t="n"/>
      <c r="DIT91" s="240" t="n"/>
      <c r="DIU91" s="240" t="n"/>
      <c r="DIW91" s="15" t="n"/>
      <c r="DIX91" s="15" t="n"/>
      <c r="DIY91" s="248" t="n"/>
      <c r="DIZ91" s="248" t="n"/>
      <c r="DJA91" s="240" t="n"/>
      <c r="DJB91" s="240" t="n"/>
      <c r="DJD91" s="15" t="n"/>
      <c r="DJE91" s="15" t="n"/>
      <c r="DJF91" s="248" t="n"/>
      <c r="DJG91" s="248" t="n"/>
      <c r="DJH91" s="240" t="n"/>
      <c r="DJI91" s="240" t="n"/>
      <c r="DJK91" s="15" t="n"/>
      <c r="DJL91" s="15" t="n"/>
      <c r="DJM91" s="248" t="n"/>
      <c r="DJN91" s="248" t="n"/>
      <c r="DJO91" s="240" t="n"/>
      <c r="DJP91" s="240" t="n"/>
      <c r="DJR91" s="15" t="n"/>
      <c r="DJS91" s="15" t="n"/>
      <c r="DJT91" s="248" t="n"/>
      <c r="DJU91" s="248" t="n"/>
      <c r="DJV91" s="240" t="n"/>
      <c r="DJW91" s="240" t="n"/>
      <c r="DJY91" s="15" t="n"/>
      <c r="DJZ91" s="15" t="n"/>
      <c r="DKA91" s="248" t="n"/>
      <c r="DKB91" s="248" t="n"/>
      <c r="DKC91" s="240" t="n"/>
      <c r="DKD91" s="240" t="n"/>
      <c r="DKF91" s="15" t="n"/>
      <c r="DKG91" s="15" t="n"/>
      <c r="DKH91" s="248" t="n"/>
      <c r="DKI91" s="248" t="n"/>
      <c r="DKJ91" s="240" t="n"/>
      <c r="DKK91" s="240" t="n"/>
      <c r="DKM91" s="15" t="n"/>
      <c r="DKN91" s="15" t="n"/>
      <c r="DKO91" s="248" t="n"/>
      <c r="DKP91" s="248" t="n"/>
      <c r="DKQ91" s="240" t="n"/>
      <c r="DKR91" s="240" t="n"/>
      <c r="DKT91" s="15" t="n"/>
      <c r="DKU91" s="15" t="n"/>
      <c r="DKV91" s="248" t="n"/>
      <c r="DKW91" s="248" t="n"/>
      <c r="DKX91" s="240" t="n"/>
      <c r="DKY91" s="240" t="n"/>
      <c r="DLA91" s="15" t="n"/>
      <c r="DLB91" s="15" t="n"/>
      <c r="DLC91" s="248" t="n"/>
      <c r="DLD91" s="248" t="n"/>
      <c r="DLE91" s="240" t="n"/>
      <c r="DLF91" s="240" t="n"/>
      <c r="DLH91" s="15" t="n"/>
      <c r="DLI91" s="15" t="n"/>
      <c r="DLJ91" s="248" t="n"/>
      <c r="DLK91" s="248" t="n"/>
      <c r="DLL91" s="240" t="n"/>
      <c r="DLM91" s="240" t="n"/>
      <c r="DLO91" s="15" t="n"/>
      <c r="DLP91" s="15" t="n"/>
      <c r="DLQ91" s="248" t="n"/>
      <c r="DLR91" s="248" t="n"/>
      <c r="DLS91" s="240" t="n"/>
      <c r="DLT91" s="240" t="n"/>
      <c r="DLV91" s="15" t="n"/>
      <c r="DLW91" s="15" t="n"/>
      <c r="DLX91" s="248" t="n"/>
      <c r="DLY91" s="248" t="n"/>
      <c r="DLZ91" s="240" t="n"/>
      <c r="DMA91" s="240" t="n"/>
      <c r="DMC91" s="15" t="n"/>
      <c r="DMD91" s="15" t="n"/>
      <c r="DME91" s="248" t="n"/>
      <c r="DMF91" s="248" t="n"/>
      <c r="DMG91" s="240" t="n"/>
      <c r="DMH91" s="240" t="n"/>
      <c r="DMJ91" s="15" t="n"/>
      <c r="DMK91" s="15" t="n"/>
      <c r="DML91" s="248" t="n"/>
      <c r="DMM91" s="248" t="n"/>
      <c r="DMN91" s="240" t="n"/>
      <c r="DMO91" s="240" t="n"/>
      <c r="DMQ91" s="15" t="n"/>
      <c r="DMR91" s="15" t="n"/>
      <c r="DMS91" s="248" t="n"/>
      <c r="DMT91" s="248" t="n"/>
      <c r="DMU91" s="240" t="n"/>
      <c r="DMV91" s="240" t="n"/>
      <c r="DMX91" s="15" t="n"/>
      <c r="DMY91" s="15" t="n"/>
      <c r="DMZ91" s="248" t="n"/>
      <c r="DNA91" s="248" t="n"/>
      <c r="DNB91" s="240" t="n"/>
      <c r="DNC91" s="240" t="n"/>
      <c r="DNE91" s="15" t="n"/>
      <c r="DNF91" s="15" t="n"/>
      <c r="DNG91" s="248" t="n"/>
      <c r="DNH91" s="248" t="n"/>
      <c r="DNI91" s="240" t="n"/>
      <c r="DNJ91" s="240" t="n"/>
      <c r="DNL91" s="15" t="n"/>
      <c r="DNM91" s="15" t="n"/>
      <c r="DNN91" s="248" t="n"/>
      <c r="DNO91" s="248" t="n"/>
      <c r="DNP91" s="240" t="n"/>
      <c r="DNQ91" s="240" t="n"/>
      <c r="DNS91" s="15" t="n"/>
      <c r="DNT91" s="15" t="n"/>
      <c r="DNU91" s="248" t="n"/>
      <c r="DNV91" s="248" t="n"/>
      <c r="DNW91" s="240" t="n"/>
      <c r="DNX91" s="240" t="n"/>
      <c r="DNZ91" s="15" t="n"/>
      <c r="DOA91" s="15" t="n"/>
      <c r="DOB91" s="248" t="n"/>
      <c r="DOC91" s="248" t="n"/>
      <c r="DOD91" s="240" t="n"/>
      <c r="DOE91" s="240" t="n"/>
      <c r="DOG91" s="15" t="n"/>
      <c r="DOH91" s="15" t="n"/>
      <c r="DOI91" s="248" t="n"/>
      <c r="DOJ91" s="248" t="n"/>
      <c r="DOK91" s="240" t="n"/>
      <c r="DOL91" s="240" t="n"/>
      <c r="DON91" s="15" t="n"/>
      <c r="DOO91" s="15" t="n"/>
      <c r="DOP91" s="248" t="n"/>
      <c r="DOQ91" s="248" t="n"/>
      <c r="DOR91" s="240" t="n"/>
      <c r="DOS91" s="240" t="n"/>
      <c r="DOU91" s="15" t="n"/>
      <c r="DOV91" s="15" t="n"/>
      <c r="DOW91" s="248" t="n"/>
      <c r="DOX91" s="248" t="n"/>
      <c r="DOY91" s="240" t="n"/>
      <c r="DOZ91" s="240" t="n"/>
      <c r="DPB91" s="15" t="n"/>
      <c r="DPC91" s="15" t="n"/>
      <c r="DPD91" s="248" t="n"/>
      <c r="DPE91" s="248" t="n"/>
      <c r="DPF91" s="240" t="n"/>
      <c r="DPG91" s="240" t="n"/>
      <c r="DPI91" s="15" t="n"/>
      <c r="DPJ91" s="15" t="n"/>
      <c r="DPK91" s="248" t="n"/>
      <c r="DPL91" s="248" t="n"/>
      <c r="DPM91" s="240" t="n"/>
      <c r="DPN91" s="240" t="n"/>
      <c r="DPP91" s="15" t="n"/>
      <c r="DPQ91" s="15" t="n"/>
      <c r="DPR91" s="248" t="n"/>
      <c r="DPS91" s="248" t="n"/>
      <c r="DPT91" s="240" t="n"/>
      <c r="DPU91" s="240" t="n"/>
      <c r="DPW91" s="15" t="n"/>
      <c r="DPX91" s="15" t="n"/>
      <c r="DPY91" s="248" t="n"/>
      <c r="DPZ91" s="248" t="n"/>
      <c r="DQA91" s="240" t="n"/>
      <c r="DQB91" s="240" t="n"/>
      <c r="DQD91" s="15" t="n"/>
      <c r="DQE91" s="15" t="n"/>
      <c r="DQF91" s="248" t="n"/>
      <c r="DQG91" s="248" t="n"/>
      <c r="DQH91" s="240" t="n"/>
      <c r="DQI91" s="240" t="n"/>
      <c r="DQK91" s="15" t="n"/>
      <c r="DQL91" s="15" t="n"/>
      <c r="DQM91" s="248" t="n"/>
      <c r="DQN91" s="248" t="n"/>
      <c r="DQO91" s="240" t="n"/>
      <c r="DQP91" s="240" t="n"/>
      <c r="DQR91" s="15" t="n"/>
      <c r="DQS91" s="15" t="n"/>
      <c r="DQT91" s="248" t="n"/>
      <c r="DQU91" s="248" t="n"/>
      <c r="DQV91" s="240" t="n"/>
      <c r="DQW91" s="240" t="n"/>
      <c r="DQY91" s="15" t="n"/>
      <c r="DQZ91" s="15" t="n"/>
      <c r="DRA91" s="248" t="n"/>
      <c r="DRB91" s="248" t="n"/>
      <c r="DRC91" s="240" t="n"/>
      <c r="DRD91" s="240" t="n"/>
      <c r="DRF91" s="15" t="n"/>
      <c r="DRG91" s="15" t="n"/>
      <c r="DRH91" s="248" t="n"/>
      <c r="DRI91" s="248" t="n"/>
      <c r="DRJ91" s="240" t="n"/>
      <c r="DRK91" s="240" t="n"/>
      <c r="DRM91" s="15" t="n"/>
      <c r="DRN91" s="15" t="n"/>
      <c r="DRO91" s="248" t="n"/>
      <c r="DRP91" s="248" t="n"/>
      <c r="DRQ91" s="240" t="n"/>
      <c r="DRR91" s="240" t="n"/>
      <c r="DRT91" s="15" t="n"/>
      <c r="DRU91" s="15" t="n"/>
      <c r="DRV91" s="248" t="n"/>
      <c r="DRW91" s="248" t="n"/>
      <c r="DRX91" s="240" t="n"/>
      <c r="DRY91" s="240" t="n"/>
      <c r="DSA91" s="15" t="n"/>
      <c r="DSB91" s="15" t="n"/>
      <c r="DSC91" s="248" t="n"/>
      <c r="DSD91" s="248" t="n"/>
      <c r="DSE91" s="240" t="n"/>
      <c r="DSF91" s="240" t="n"/>
      <c r="DSH91" s="15" t="n"/>
      <c r="DSI91" s="15" t="n"/>
      <c r="DSJ91" s="248" t="n"/>
      <c r="DSK91" s="248" t="n"/>
      <c r="DSL91" s="240" t="n"/>
      <c r="DSM91" s="240" t="n"/>
      <c r="DSO91" s="15" t="n"/>
      <c r="DSP91" s="15" t="n"/>
      <c r="DSQ91" s="248" t="n"/>
      <c r="DSR91" s="248" t="n"/>
      <c r="DSS91" s="240" t="n"/>
      <c r="DST91" s="240" t="n"/>
      <c r="DSV91" s="15" t="n"/>
      <c r="DSW91" s="15" t="n"/>
      <c r="DSX91" s="248" t="n"/>
      <c r="DSY91" s="248" t="n"/>
      <c r="DSZ91" s="240" t="n"/>
      <c r="DTA91" s="240" t="n"/>
      <c r="DTC91" s="15" t="n"/>
      <c r="DTD91" s="15" t="n"/>
      <c r="DTE91" s="248" t="n"/>
      <c r="DTF91" s="248" t="n"/>
      <c r="DTG91" s="240" t="n"/>
      <c r="DTH91" s="240" t="n"/>
      <c r="DTJ91" s="15" t="n"/>
      <c r="DTK91" s="15" t="n"/>
      <c r="DTL91" s="248" t="n"/>
      <c r="DTM91" s="248" t="n"/>
      <c r="DTN91" s="240" t="n"/>
      <c r="DTO91" s="240" t="n"/>
      <c r="DTQ91" s="15" t="n"/>
      <c r="DTR91" s="15" t="n"/>
      <c r="DTS91" s="248" t="n"/>
      <c r="DTT91" s="248" t="n"/>
      <c r="DTU91" s="240" t="n"/>
      <c r="DTV91" s="240" t="n"/>
      <c r="DTX91" s="15" t="n"/>
      <c r="DTY91" s="15" t="n"/>
      <c r="DTZ91" s="248" t="n"/>
      <c r="DUA91" s="248" t="n"/>
      <c r="DUB91" s="240" t="n"/>
      <c r="DUC91" s="240" t="n"/>
      <c r="DUE91" s="15" t="n"/>
      <c r="DUF91" s="15" t="n"/>
      <c r="DUG91" s="248" t="n"/>
      <c r="DUH91" s="248" t="n"/>
      <c r="DUI91" s="240" t="n"/>
      <c r="DUJ91" s="240" t="n"/>
      <c r="DUL91" s="15" t="n"/>
      <c r="DUM91" s="15" t="n"/>
      <c r="DUN91" s="248" t="n"/>
      <c r="DUO91" s="248" t="n"/>
      <c r="DUP91" s="240" t="n"/>
      <c r="DUQ91" s="240" t="n"/>
      <c r="DUS91" s="15" t="n"/>
      <c r="DUT91" s="15" t="n"/>
      <c r="DUU91" s="248" t="n"/>
      <c r="DUV91" s="248" t="n"/>
      <c r="DUW91" s="240" t="n"/>
      <c r="DUX91" s="240" t="n"/>
      <c r="DUZ91" s="15" t="n"/>
      <c r="DVA91" s="15" t="n"/>
      <c r="DVB91" s="248" t="n"/>
      <c r="DVC91" s="248" t="n"/>
      <c r="DVD91" s="240" t="n"/>
      <c r="DVE91" s="240" t="n"/>
      <c r="DVG91" s="15" t="n"/>
      <c r="DVH91" s="15" t="n"/>
      <c r="DVI91" s="248" t="n"/>
      <c r="DVJ91" s="248" t="n"/>
      <c r="DVK91" s="240" t="n"/>
      <c r="DVL91" s="240" t="n"/>
      <c r="DVN91" s="15" t="n"/>
      <c r="DVO91" s="15" t="n"/>
      <c r="DVP91" s="248" t="n"/>
      <c r="DVQ91" s="248" t="n"/>
      <c r="DVR91" s="240" t="n"/>
      <c r="DVS91" s="240" t="n"/>
      <c r="DVU91" s="15" t="n"/>
      <c r="DVV91" s="15" t="n"/>
      <c r="DVW91" s="248" t="n"/>
      <c r="DVX91" s="248" t="n"/>
      <c r="DVY91" s="240" t="n"/>
      <c r="DVZ91" s="240" t="n"/>
      <c r="DWB91" s="15" t="n"/>
      <c r="DWC91" s="15" t="n"/>
      <c r="DWD91" s="248" t="n"/>
      <c r="DWE91" s="248" t="n"/>
      <c r="DWF91" s="240" t="n"/>
      <c r="DWG91" s="240" t="n"/>
      <c r="DWI91" s="15" t="n"/>
      <c r="DWJ91" s="15" t="n"/>
      <c r="DWK91" s="248" t="n"/>
      <c r="DWL91" s="248" t="n"/>
      <c r="DWM91" s="240" t="n"/>
      <c r="DWN91" s="240" t="n"/>
      <c r="DWP91" s="15" t="n"/>
      <c r="DWQ91" s="15" t="n"/>
      <c r="DWR91" s="248" t="n"/>
      <c r="DWS91" s="248" t="n"/>
      <c r="DWT91" s="240" t="n"/>
      <c r="DWU91" s="240" t="n"/>
      <c r="DWW91" s="15" t="n"/>
      <c r="DWX91" s="15" t="n"/>
      <c r="DWY91" s="248" t="n"/>
      <c r="DWZ91" s="248" t="n"/>
      <c r="DXA91" s="240" t="n"/>
      <c r="DXB91" s="240" t="n"/>
      <c r="DXD91" s="15" t="n"/>
      <c r="DXE91" s="15" t="n"/>
      <c r="DXF91" s="248" t="n"/>
      <c r="DXG91" s="248" t="n"/>
      <c r="DXH91" s="240" t="n"/>
      <c r="DXI91" s="240" t="n"/>
      <c r="DXK91" s="15" t="n"/>
      <c r="DXL91" s="15" t="n"/>
      <c r="DXM91" s="248" t="n"/>
      <c r="DXN91" s="248" t="n"/>
      <c r="DXO91" s="240" t="n"/>
      <c r="DXP91" s="240" t="n"/>
      <c r="DXR91" s="15" t="n"/>
      <c r="DXS91" s="15" t="n"/>
      <c r="DXT91" s="248" t="n"/>
      <c r="DXU91" s="248" t="n"/>
      <c r="DXV91" s="240" t="n"/>
      <c r="DXW91" s="240" t="n"/>
      <c r="DXY91" s="15" t="n"/>
      <c r="DXZ91" s="15" t="n"/>
      <c r="DYA91" s="248" t="n"/>
      <c r="DYB91" s="248" t="n"/>
      <c r="DYC91" s="240" t="n"/>
      <c r="DYD91" s="240" t="n"/>
      <c r="DYF91" s="15" t="n"/>
      <c r="DYG91" s="15" t="n"/>
      <c r="DYH91" s="248" t="n"/>
      <c r="DYI91" s="248" t="n"/>
      <c r="DYJ91" s="240" t="n"/>
      <c r="DYK91" s="240" t="n"/>
      <c r="DYM91" s="15" t="n"/>
      <c r="DYN91" s="15" t="n"/>
      <c r="DYO91" s="248" t="n"/>
      <c r="DYP91" s="248" t="n"/>
      <c r="DYQ91" s="240" t="n"/>
      <c r="DYR91" s="240" t="n"/>
      <c r="DYT91" s="15" t="n"/>
      <c r="DYU91" s="15" t="n"/>
      <c r="DYV91" s="248" t="n"/>
      <c r="DYW91" s="248" t="n"/>
      <c r="DYX91" s="240" t="n"/>
      <c r="DYY91" s="240" t="n"/>
      <c r="DZA91" s="15" t="n"/>
      <c r="DZB91" s="15" t="n"/>
      <c r="DZC91" s="248" t="n"/>
      <c r="DZD91" s="248" t="n"/>
      <c r="DZE91" s="240" t="n"/>
      <c r="DZF91" s="240" t="n"/>
      <c r="DZH91" s="15" t="n"/>
      <c r="DZI91" s="15" t="n"/>
      <c r="DZJ91" s="248" t="n"/>
      <c r="DZK91" s="248" t="n"/>
      <c r="DZL91" s="240" t="n"/>
      <c r="DZM91" s="240" t="n"/>
      <c r="DZO91" s="15" t="n"/>
      <c r="DZP91" s="15" t="n"/>
      <c r="DZQ91" s="248" t="n"/>
      <c r="DZR91" s="248" t="n"/>
      <c r="DZS91" s="240" t="n"/>
      <c r="DZT91" s="240" t="n"/>
      <c r="DZV91" s="15" t="n"/>
      <c r="DZW91" s="15" t="n"/>
      <c r="DZX91" s="248" t="n"/>
      <c r="DZY91" s="248" t="n"/>
      <c r="DZZ91" s="240" t="n"/>
      <c r="EAA91" s="240" t="n"/>
      <c r="EAC91" s="15" t="n"/>
      <c r="EAD91" s="15" t="n"/>
      <c r="EAE91" s="248" t="n"/>
      <c r="EAF91" s="248" t="n"/>
      <c r="EAG91" s="240" t="n"/>
      <c r="EAH91" s="240" t="n"/>
      <c r="EAJ91" s="15" t="n"/>
      <c r="EAK91" s="15" t="n"/>
      <c r="EAL91" s="248" t="n"/>
      <c r="EAM91" s="248" t="n"/>
      <c r="EAN91" s="240" t="n"/>
      <c r="EAO91" s="240" t="n"/>
      <c r="EAQ91" s="15" t="n"/>
      <c r="EAR91" s="15" t="n"/>
      <c r="EAS91" s="248" t="n"/>
      <c r="EAT91" s="248" t="n"/>
      <c r="EAU91" s="240" t="n"/>
      <c r="EAV91" s="240" t="n"/>
      <c r="EAX91" s="15" t="n"/>
      <c r="EAY91" s="15" t="n"/>
      <c r="EAZ91" s="248" t="n"/>
      <c r="EBA91" s="248" t="n"/>
      <c r="EBB91" s="240" t="n"/>
      <c r="EBC91" s="240" t="n"/>
      <c r="EBE91" s="15" t="n"/>
      <c r="EBF91" s="15" t="n"/>
      <c r="EBG91" s="248" t="n"/>
      <c r="EBH91" s="248" t="n"/>
      <c r="EBI91" s="240" t="n"/>
      <c r="EBJ91" s="240" t="n"/>
      <c r="EBL91" s="15" t="n"/>
      <c r="EBM91" s="15" t="n"/>
      <c r="EBN91" s="248" t="n"/>
      <c r="EBO91" s="248" t="n"/>
      <c r="EBP91" s="240" t="n"/>
      <c r="EBQ91" s="240" t="n"/>
      <c r="EBS91" s="15" t="n"/>
      <c r="EBT91" s="15" t="n"/>
      <c r="EBU91" s="248" t="n"/>
      <c r="EBV91" s="248" t="n"/>
      <c r="EBW91" s="240" t="n"/>
      <c r="EBX91" s="240" t="n"/>
      <c r="EBZ91" s="15" t="n"/>
      <c r="ECA91" s="15" t="n"/>
      <c r="ECB91" s="248" t="n"/>
      <c r="ECC91" s="248" t="n"/>
      <c r="ECD91" s="240" t="n"/>
      <c r="ECE91" s="240" t="n"/>
      <c r="ECG91" s="15" t="n"/>
      <c r="ECH91" s="15" t="n"/>
      <c r="ECI91" s="248" t="n"/>
      <c r="ECJ91" s="248" t="n"/>
      <c r="ECK91" s="240" t="n"/>
      <c r="ECL91" s="240" t="n"/>
      <c r="ECN91" s="15" t="n"/>
      <c r="ECO91" s="15" t="n"/>
      <c r="ECP91" s="248" t="n"/>
      <c r="ECQ91" s="248" t="n"/>
      <c r="ECR91" s="240" t="n"/>
      <c r="ECS91" s="240" t="n"/>
      <c r="ECU91" s="15" t="n"/>
      <c r="ECV91" s="15" t="n"/>
      <c r="ECW91" s="248" t="n"/>
      <c r="ECX91" s="248" t="n"/>
      <c r="ECY91" s="240" t="n"/>
      <c r="ECZ91" s="240" t="n"/>
      <c r="EDB91" s="15" t="n"/>
      <c r="EDC91" s="15" t="n"/>
      <c r="EDD91" s="248" t="n"/>
      <c r="EDE91" s="248" t="n"/>
      <c r="EDF91" s="240" t="n"/>
      <c r="EDG91" s="240" t="n"/>
      <c r="EDI91" s="15" t="n"/>
      <c r="EDJ91" s="15" t="n"/>
      <c r="EDK91" s="248" t="n"/>
      <c r="EDL91" s="248" t="n"/>
      <c r="EDM91" s="240" t="n"/>
      <c r="EDN91" s="240" t="n"/>
      <c r="EDP91" s="15" t="n"/>
      <c r="EDQ91" s="15" t="n"/>
      <c r="EDR91" s="248" t="n"/>
      <c r="EDS91" s="248" t="n"/>
      <c r="EDT91" s="240" t="n"/>
      <c r="EDU91" s="240" t="n"/>
      <c r="EDW91" s="15" t="n"/>
      <c r="EDX91" s="15" t="n"/>
      <c r="EDY91" s="248" t="n"/>
      <c r="EDZ91" s="248" t="n"/>
      <c r="EEA91" s="240" t="n"/>
      <c r="EEB91" s="240" t="n"/>
      <c r="EED91" s="15" t="n"/>
      <c r="EEE91" s="15" t="n"/>
      <c r="EEF91" s="248" t="n"/>
      <c r="EEG91" s="248" t="n"/>
      <c r="EEH91" s="240" t="n"/>
      <c r="EEI91" s="240" t="n"/>
      <c r="EEK91" s="15" t="n"/>
      <c r="EEL91" s="15" t="n"/>
      <c r="EEM91" s="248" t="n"/>
      <c r="EEN91" s="248" t="n"/>
      <c r="EEO91" s="240" t="n"/>
      <c r="EEP91" s="240" t="n"/>
      <c r="EER91" s="15" t="n"/>
      <c r="EES91" s="15" t="n"/>
      <c r="EET91" s="248" t="n"/>
      <c r="EEU91" s="248" t="n"/>
      <c r="EEV91" s="240" t="n"/>
      <c r="EEW91" s="240" t="n"/>
      <c r="EEY91" s="15" t="n"/>
      <c r="EEZ91" s="15" t="n"/>
      <c r="EFA91" s="248" t="n"/>
      <c r="EFB91" s="248" t="n"/>
      <c r="EFC91" s="240" t="n"/>
      <c r="EFD91" s="240" t="n"/>
      <c r="EFF91" s="15" t="n"/>
      <c r="EFG91" s="15" t="n"/>
      <c r="EFH91" s="248" t="n"/>
      <c r="EFI91" s="248" t="n"/>
      <c r="EFJ91" s="240" t="n"/>
      <c r="EFK91" s="240" t="n"/>
      <c r="EFM91" s="15" t="n"/>
      <c r="EFN91" s="15" t="n"/>
      <c r="EFO91" s="248" t="n"/>
      <c r="EFP91" s="248" t="n"/>
      <c r="EFQ91" s="240" t="n"/>
      <c r="EFR91" s="240" t="n"/>
      <c r="EFT91" s="15" t="n"/>
      <c r="EFU91" s="15" t="n"/>
      <c r="EFV91" s="248" t="n"/>
      <c r="EFW91" s="248" t="n"/>
      <c r="EFX91" s="240" t="n"/>
      <c r="EFY91" s="240" t="n"/>
      <c r="EGA91" s="15" t="n"/>
      <c r="EGB91" s="15" t="n"/>
      <c r="EGC91" s="248" t="n"/>
      <c r="EGD91" s="248" t="n"/>
      <c r="EGE91" s="240" t="n"/>
      <c r="EGF91" s="240" t="n"/>
      <c r="EGH91" s="15" t="n"/>
      <c r="EGI91" s="15" t="n"/>
      <c r="EGJ91" s="248" t="n"/>
      <c r="EGK91" s="248" t="n"/>
      <c r="EGL91" s="240" t="n"/>
      <c r="EGM91" s="240" t="n"/>
      <c r="EGO91" s="15" t="n"/>
      <c r="EGP91" s="15" t="n"/>
      <c r="EGQ91" s="248" t="n"/>
      <c r="EGR91" s="248" t="n"/>
      <c r="EGS91" s="240" t="n"/>
      <c r="EGT91" s="240" t="n"/>
      <c r="EGV91" s="15" t="n"/>
      <c r="EGW91" s="15" t="n"/>
      <c r="EGX91" s="248" t="n"/>
      <c r="EGY91" s="248" t="n"/>
      <c r="EGZ91" s="240" t="n"/>
      <c r="EHA91" s="240" t="n"/>
      <c r="EHC91" s="15" t="n"/>
      <c r="EHD91" s="15" t="n"/>
      <c r="EHE91" s="248" t="n"/>
      <c r="EHF91" s="248" t="n"/>
      <c r="EHG91" s="240" t="n"/>
      <c r="EHH91" s="240" t="n"/>
      <c r="EHJ91" s="15" t="n"/>
      <c r="EHK91" s="15" t="n"/>
      <c r="EHL91" s="248" t="n"/>
      <c r="EHM91" s="248" t="n"/>
      <c r="EHN91" s="240" t="n"/>
      <c r="EHO91" s="240" t="n"/>
      <c r="EHQ91" s="15" t="n"/>
      <c r="EHR91" s="15" t="n"/>
      <c r="EHS91" s="248" t="n"/>
      <c r="EHT91" s="248" t="n"/>
      <c r="EHU91" s="240" t="n"/>
      <c r="EHV91" s="240" t="n"/>
      <c r="EHX91" s="15" t="n"/>
      <c r="EHY91" s="15" t="n"/>
      <c r="EHZ91" s="248" t="n"/>
      <c r="EIA91" s="248" t="n"/>
      <c r="EIB91" s="240" t="n"/>
      <c r="EIC91" s="240" t="n"/>
      <c r="EIE91" s="15" t="n"/>
      <c r="EIF91" s="15" t="n"/>
      <c r="EIG91" s="248" t="n"/>
      <c r="EIH91" s="248" t="n"/>
      <c r="EII91" s="240" t="n"/>
      <c r="EIJ91" s="240" t="n"/>
      <c r="EIL91" s="15" t="n"/>
      <c r="EIM91" s="15" t="n"/>
      <c r="EIN91" s="248" t="n"/>
      <c r="EIO91" s="248" t="n"/>
      <c r="EIP91" s="240" t="n"/>
      <c r="EIQ91" s="240" t="n"/>
      <c r="EIS91" s="15" t="n"/>
      <c r="EIT91" s="15" t="n"/>
      <c r="EIU91" s="248" t="n"/>
      <c r="EIV91" s="248" t="n"/>
      <c r="EIW91" s="240" t="n"/>
      <c r="EIX91" s="240" t="n"/>
      <c r="EIZ91" s="15" t="n"/>
      <c r="EJA91" s="15" t="n"/>
      <c r="EJB91" s="248" t="n"/>
      <c r="EJC91" s="248" t="n"/>
      <c r="EJD91" s="240" t="n"/>
      <c r="EJE91" s="240" t="n"/>
      <c r="EJG91" s="15" t="n"/>
      <c r="EJH91" s="15" t="n"/>
      <c r="EJI91" s="248" t="n"/>
      <c r="EJJ91" s="248" t="n"/>
      <c r="EJK91" s="240" t="n"/>
      <c r="EJL91" s="240" t="n"/>
      <c r="EJN91" s="15" t="n"/>
      <c r="EJO91" s="15" t="n"/>
      <c r="EJP91" s="248" t="n"/>
      <c r="EJQ91" s="248" t="n"/>
      <c r="EJR91" s="240" t="n"/>
      <c r="EJS91" s="240" t="n"/>
      <c r="EJU91" s="15" t="n"/>
      <c r="EJV91" s="15" t="n"/>
      <c r="EJW91" s="248" t="n"/>
      <c r="EJX91" s="248" t="n"/>
      <c r="EJY91" s="240" t="n"/>
      <c r="EJZ91" s="240" t="n"/>
      <c r="EKB91" s="15" t="n"/>
      <c r="EKC91" s="15" t="n"/>
      <c r="EKD91" s="248" t="n"/>
      <c r="EKE91" s="248" t="n"/>
      <c r="EKF91" s="240" t="n"/>
      <c r="EKG91" s="240" t="n"/>
      <c r="EKI91" s="15" t="n"/>
      <c r="EKJ91" s="15" t="n"/>
      <c r="EKK91" s="248" t="n"/>
      <c r="EKL91" s="248" t="n"/>
      <c r="EKM91" s="240" t="n"/>
      <c r="EKN91" s="240" t="n"/>
      <c r="EKP91" s="15" t="n"/>
      <c r="EKQ91" s="15" t="n"/>
      <c r="EKR91" s="248" t="n"/>
      <c r="EKS91" s="248" t="n"/>
      <c r="EKT91" s="240" t="n"/>
      <c r="EKU91" s="240" t="n"/>
      <c r="EKW91" s="15" t="n"/>
      <c r="EKX91" s="15" t="n"/>
      <c r="EKY91" s="248" t="n"/>
      <c r="EKZ91" s="248" t="n"/>
      <c r="ELA91" s="240" t="n"/>
      <c r="ELB91" s="240" t="n"/>
      <c r="ELD91" s="15" t="n"/>
      <c r="ELE91" s="15" t="n"/>
      <c r="ELF91" s="248" t="n"/>
      <c r="ELG91" s="248" t="n"/>
      <c r="ELH91" s="240" t="n"/>
      <c r="ELI91" s="240" t="n"/>
      <c r="ELK91" s="15" t="n"/>
      <c r="ELL91" s="15" t="n"/>
      <c r="ELM91" s="248" t="n"/>
      <c r="ELN91" s="248" t="n"/>
      <c r="ELO91" s="240" t="n"/>
      <c r="ELP91" s="240" t="n"/>
      <c r="ELR91" s="15" t="n"/>
      <c r="ELS91" s="15" t="n"/>
      <c r="ELT91" s="248" t="n"/>
      <c r="ELU91" s="248" t="n"/>
      <c r="ELV91" s="240" t="n"/>
      <c r="ELW91" s="240" t="n"/>
      <c r="ELY91" s="15" t="n"/>
      <c r="ELZ91" s="15" t="n"/>
      <c r="EMA91" s="248" t="n"/>
      <c r="EMB91" s="248" t="n"/>
      <c r="EMC91" s="240" t="n"/>
      <c r="EMD91" s="240" t="n"/>
      <c r="EMF91" s="15" t="n"/>
      <c r="EMG91" s="15" t="n"/>
      <c r="EMH91" s="248" t="n"/>
      <c r="EMI91" s="248" t="n"/>
      <c r="EMJ91" s="240" t="n"/>
      <c r="EMK91" s="240" t="n"/>
      <c r="EMM91" s="15" t="n"/>
      <c r="EMN91" s="15" t="n"/>
      <c r="EMO91" s="248" t="n"/>
      <c r="EMP91" s="248" t="n"/>
      <c r="EMQ91" s="240" t="n"/>
      <c r="EMR91" s="240" t="n"/>
      <c r="EMT91" s="15" t="n"/>
      <c r="EMU91" s="15" t="n"/>
      <c r="EMV91" s="248" t="n"/>
      <c r="EMW91" s="248" t="n"/>
      <c r="EMX91" s="240" t="n"/>
      <c r="EMY91" s="240" t="n"/>
      <c r="ENA91" s="15" t="n"/>
      <c r="ENB91" s="15" t="n"/>
      <c r="ENC91" s="248" t="n"/>
      <c r="END91" s="248" t="n"/>
      <c r="ENE91" s="240" t="n"/>
      <c r="ENF91" s="240" t="n"/>
      <c r="ENH91" s="15" t="n"/>
      <c r="ENI91" s="15" t="n"/>
      <c r="ENJ91" s="248" t="n"/>
      <c r="ENK91" s="248" t="n"/>
      <c r="ENL91" s="240" t="n"/>
      <c r="ENM91" s="240" t="n"/>
      <c r="ENO91" s="15" t="n"/>
      <c r="ENP91" s="15" t="n"/>
      <c r="ENQ91" s="248" t="n"/>
      <c r="ENR91" s="248" t="n"/>
      <c r="ENS91" s="240" t="n"/>
      <c r="ENT91" s="240" t="n"/>
      <c r="ENV91" s="15" t="n"/>
      <c r="ENW91" s="15" t="n"/>
      <c r="ENX91" s="248" t="n"/>
      <c r="ENY91" s="248" t="n"/>
      <c r="ENZ91" s="240" t="n"/>
      <c r="EOA91" s="240" t="n"/>
      <c r="EOC91" s="15" t="n"/>
      <c r="EOD91" s="15" t="n"/>
      <c r="EOE91" s="248" t="n"/>
      <c r="EOF91" s="248" t="n"/>
      <c r="EOG91" s="240" t="n"/>
      <c r="EOH91" s="240" t="n"/>
      <c r="EOJ91" s="15" t="n"/>
      <c r="EOK91" s="15" t="n"/>
      <c r="EOL91" s="248" t="n"/>
      <c r="EOM91" s="248" t="n"/>
      <c r="EON91" s="240" t="n"/>
      <c r="EOO91" s="240" t="n"/>
      <c r="EOQ91" s="15" t="n"/>
      <c r="EOR91" s="15" t="n"/>
      <c r="EOS91" s="248" t="n"/>
      <c r="EOT91" s="248" t="n"/>
      <c r="EOU91" s="240" t="n"/>
      <c r="EOV91" s="240" t="n"/>
      <c r="EOX91" s="15" t="n"/>
      <c r="EOY91" s="15" t="n"/>
      <c r="EOZ91" s="248" t="n"/>
      <c r="EPA91" s="248" t="n"/>
      <c r="EPB91" s="240" t="n"/>
      <c r="EPC91" s="240" t="n"/>
      <c r="EPE91" s="15" t="n"/>
      <c r="EPF91" s="15" t="n"/>
      <c r="EPG91" s="248" t="n"/>
      <c r="EPH91" s="248" t="n"/>
      <c r="EPI91" s="240" t="n"/>
      <c r="EPJ91" s="240" t="n"/>
      <c r="EPL91" s="15" t="n"/>
      <c r="EPM91" s="15" t="n"/>
      <c r="EPN91" s="248" t="n"/>
      <c r="EPO91" s="248" t="n"/>
      <c r="EPP91" s="240" t="n"/>
      <c r="EPQ91" s="240" t="n"/>
      <c r="EPS91" s="15" t="n"/>
      <c r="EPT91" s="15" t="n"/>
      <c r="EPU91" s="248" t="n"/>
      <c r="EPV91" s="248" t="n"/>
      <c r="EPW91" s="240" t="n"/>
      <c r="EPX91" s="240" t="n"/>
      <c r="EPZ91" s="15" t="n"/>
      <c r="EQA91" s="15" t="n"/>
      <c r="EQB91" s="248" t="n"/>
      <c r="EQC91" s="248" t="n"/>
      <c r="EQD91" s="240" t="n"/>
      <c r="EQE91" s="240" t="n"/>
      <c r="EQG91" s="15" t="n"/>
      <c r="EQH91" s="15" t="n"/>
      <c r="EQI91" s="248" t="n"/>
      <c r="EQJ91" s="248" t="n"/>
      <c r="EQK91" s="240" t="n"/>
      <c r="EQL91" s="240" t="n"/>
      <c r="EQN91" s="15" t="n"/>
      <c r="EQO91" s="15" t="n"/>
      <c r="EQP91" s="248" t="n"/>
      <c r="EQQ91" s="248" t="n"/>
      <c r="EQR91" s="240" t="n"/>
      <c r="EQS91" s="240" t="n"/>
      <c r="EQU91" s="15" t="n"/>
      <c r="EQV91" s="15" t="n"/>
      <c r="EQW91" s="248" t="n"/>
      <c r="EQX91" s="248" t="n"/>
      <c r="EQY91" s="240" t="n"/>
      <c r="EQZ91" s="240" t="n"/>
      <c r="ERB91" s="15" t="n"/>
      <c r="ERC91" s="15" t="n"/>
      <c r="ERD91" s="248" t="n"/>
      <c r="ERE91" s="248" t="n"/>
      <c r="ERF91" s="240" t="n"/>
      <c r="ERG91" s="240" t="n"/>
      <c r="ERI91" s="15" t="n"/>
      <c r="ERJ91" s="15" t="n"/>
      <c r="ERK91" s="248" t="n"/>
      <c r="ERL91" s="248" t="n"/>
      <c r="ERM91" s="240" t="n"/>
      <c r="ERN91" s="240" t="n"/>
      <c r="ERP91" s="15" t="n"/>
      <c r="ERQ91" s="15" t="n"/>
      <c r="ERR91" s="248" t="n"/>
      <c r="ERS91" s="248" t="n"/>
      <c r="ERT91" s="240" t="n"/>
      <c r="ERU91" s="240" t="n"/>
      <c r="ERW91" s="15" t="n"/>
      <c r="ERX91" s="15" t="n"/>
      <c r="ERY91" s="248" t="n"/>
      <c r="ERZ91" s="248" t="n"/>
      <c r="ESA91" s="240" t="n"/>
      <c r="ESB91" s="240" t="n"/>
      <c r="ESD91" s="15" t="n"/>
      <c r="ESE91" s="15" t="n"/>
      <c r="ESF91" s="248" t="n"/>
      <c r="ESG91" s="248" t="n"/>
      <c r="ESH91" s="240" t="n"/>
      <c r="ESI91" s="240" t="n"/>
      <c r="ESK91" s="15" t="n"/>
      <c r="ESL91" s="15" t="n"/>
      <c r="ESM91" s="248" t="n"/>
      <c r="ESN91" s="248" t="n"/>
      <c r="ESO91" s="240" t="n"/>
      <c r="ESP91" s="240" t="n"/>
      <c r="ESR91" s="15" t="n"/>
      <c r="ESS91" s="15" t="n"/>
      <c r="EST91" s="248" t="n"/>
      <c r="ESU91" s="248" t="n"/>
      <c r="ESV91" s="240" t="n"/>
      <c r="ESW91" s="240" t="n"/>
      <c r="ESY91" s="15" t="n"/>
      <c r="ESZ91" s="15" t="n"/>
      <c r="ETA91" s="248" t="n"/>
      <c r="ETB91" s="248" t="n"/>
      <c r="ETC91" s="240" t="n"/>
      <c r="ETD91" s="240" t="n"/>
      <c r="ETF91" s="15" t="n"/>
      <c r="ETG91" s="15" t="n"/>
      <c r="ETH91" s="248" t="n"/>
      <c r="ETI91" s="248" t="n"/>
      <c r="ETJ91" s="240" t="n"/>
      <c r="ETK91" s="240" t="n"/>
      <c r="ETM91" s="15" t="n"/>
      <c r="ETN91" s="15" t="n"/>
      <c r="ETO91" s="248" t="n"/>
      <c r="ETP91" s="248" t="n"/>
      <c r="ETQ91" s="240" t="n"/>
      <c r="ETR91" s="240" t="n"/>
      <c r="ETT91" s="15" t="n"/>
      <c r="ETU91" s="15" t="n"/>
      <c r="ETV91" s="248" t="n"/>
      <c r="ETW91" s="248" t="n"/>
      <c r="ETX91" s="240" t="n"/>
      <c r="ETY91" s="240" t="n"/>
      <c r="EUA91" s="15" t="n"/>
      <c r="EUB91" s="15" t="n"/>
      <c r="EUC91" s="248" t="n"/>
      <c r="EUD91" s="248" t="n"/>
      <c r="EUE91" s="240" t="n"/>
      <c r="EUF91" s="240" t="n"/>
      <c r="EUH91" s="15" t="n"/>
      <c r="EUI91" s="15" t="n"/>
      <c r="EUJ91" s="248" t="n"/>
      <c r="EUK91" s="248" t="n"/>
      <c r="EUL91" s="240" t="n"/>
      <c r="EUM91" s="240" t="n"/>
      <c r="EUO91" s="15" t="n"/>
      <c r="EUP91" s="15" t="n"/>
      <c r="EUQ91" s="248" t="n"/>
      <c r="EUR91" s="248" t="n"/>
      <c r="EUS91" s="240" t="n"/>
      <c r="EUT91" s="240" t="n"/>
      <c r="EUV91" s="15" t="n"/>
      <c r="EUW91" s="15" t="n"/>
      <c r="EUX91" s="248" t="n"/>
      <c r="EUY91" s="248" t="n"/>
      <c r="EUZ91" s="240" t="n"/>
      <c r="EVA91" s="240" t="n"/>
      <c r="EVC91" s="15" t="n"/>
      <c r="EVD91" s="15" t="n"/>
      <c r="EVE91" s="248" t="n"/>
      <c r="EVF91" s="248" t="n"/>
      <c r="EVG91" s="240" t="n"/>
      <c r="EVH91" s="240" t="n"/>
      <c r="EVJ91" s="15" t="n"/>
      <c r="EVK91" s="15" t="n"/>
      <c r="EVL91" s="248" t="n"/>
      <c r="EVM91" s="248" t="n"/>
      <c r="EVN91" s="240" t="n"/>
      <c r="EVO91" s="240" t="n"/>
      <c r="EVQ91" s="15" t="n"/>
      <c r="EVR91" s="15" t="n"/>
      <c r="EVS91" s="248" t="n"/>
      <c r="EVT91" s="248" t="n"/>
      <c r="EVU91" s="240" t="n"/>
      <c r="EVV91" s="240" t="n"/>
      <c r="EVX91" s="15" t="n"/>
      <c r="EVY91" s="15" t="n"/>
      <c r="EVZ91" s="248" t="n"/>
      <c r="EWA91" s="248" t="n"/>
      <c r="EWB91" s="240" t="n"/>
      <c r="EWC91" s="240" t="n"/>
      <c r="EWE91" s="15" t="n"/>
      <c r="EWF91" s="15" t="n"/>
      <c r="EWG91" s="248" t="n"/>
      <c r="EWH91" s="248" t="n"/>
      <c r="EWI91" s="240" t="n"/>
      <c r="EWJ91" s="240" t="n"/>
      <c r="EWL91" s="15" t="n"/>
      <c r="EWM91" s="15" t="n"/>
      <c r="EWN91" s="248" t="n"/>
      <c r="EWO91" s="248" t="n"/>
      <c r="EWP91" s="240" t="n"/>
      <c r="EWQ91" s="240" t="n"/>
      <c r="EWS91" s="15" t="n"/>
      <c r="EWT91" s="15" t="n"/>
      <c r="EWU91" s="248" t="n"/>
      <c r="EWV91" s="248" t="n"/>
      <c r="EWW91" s="240" t="n"/>
      <c r="EWX91" s="240" t="n"/>
      <c r="EWZ91" s="15" t="n"/>
      <c r="EXA91" s="15" t="n"/>
      <c r="EXB91" s="248" t="n"/>
      <c r="EXC91" s="248" t="n"/>
      <c r="EXD91" s="240" t="n"/>
      <c r="EXE91" s="240" t="n"/>
      <c r="EXG91" s="15" t="n"/>
      <c r="EXH91" s="15" t="n"/>
      <c r="EXI91" s="248" t="n"/>
      <c r="EXJ91" s="248" t="n"/>
      <c r="EXK91" s="240" t="n"/>
      <c r="EXL91" s="240" t="n"/>
      <c r="EXN91" s="15" t="n"/>
      <c r="EXO91" s="15" t="n"/>
      <c r="EXP91" s="248" t="n"/>
      <c r="EXQ91" s="248" t="n"/>
      <c r="EXR91" s="240" t="n"/>
      <c r="EXS91" s="240" t="n"/>
      <c r="EXU91" s="15" t="n"/>
      <c r="EXV91" s="15" t="n"/>
      <c r="EXW91" s="248" t="n"/>
      <c r="EXX91" s="248" t="n"/>
      <c r="EXY91" s="240" t="n"/>
      <c r="EXZ91" s="240" t="n"/>
      <c r="EYB91" s="15" t="n"/>
      <c r="EYC91" s="15" t="n"/>
      <c r="EYD91" s="248" t="n"/>
      <c r="EYE91" s="248" t="n"/>
      <c r="EYF91" s="240" t="n"/>
      <c r="EYG91" s="240" t="n"/>
      <c r="EYI91" s="15" t="n"/>
      <c r="EYJ91" s="15" t="n"/>
      <c r="EYK91" s="248" t="n"/>
      <c r="EYL91" s="248" t="n"/>
      <c r="EYM91" s="240" t="n"/>
      <c r="EYN91" s="240" t="n"/>
      <c r="EYP91" s="15" t="n"/>
      <c r="EYQ91" s="15" t="n"/>
      <c r="EYR91" s="248" t="n"/>
      <c r="EYS91" s="248" t="n"/>
      <c r="EYT91" s="240" t="n"/>
      <c r="EYU91" s="240" t="n"/>
      <c r="EYW91" s="15" t="n"/>
      <c r="EYX91" s="15" t="n"/>
      <c r="EYY91" s="248" t="n"/>
      <c r="EYZ91" s="248" t="n"/>
      <c r="EZA91" s="240" t="n"/>
      <c r="EZB91" s="240" t="n"/>
      <c r="EZD91" s="15" t="n"/>
      <c r="EZE91" s="15" t="n"/>
      <c r="EZF91" s="248" t="n"/>
      <c r="EZG91" s="248" t="n"/>
      <c r="EZH91" s="240" t="n"/>
      <c r="EZI91" s="240" t="n"/>
      <c r="EZK91" s="15" t="n"/>
      <c r="EZL91" s="15" t="n"/>
      <c r="EZM91" s="248" t="n"/>
      <c r="EZN91" s="248" t="n"/>
      <c r="EZO91" s="240" t="n"/>
      <c r="EZP91" s="240" t="n"/>
      <c r="EZR91" s="15" t="n"/>
      <c r="EZS91" s="15" t="n"/>
      <c r="EZT91" s="248" t="n"/>
      <c r="EZU91" s="248" t="n"/>
      <c r="EZV91" s="240" t="n"/>
      <c r="EZW91" s="240" t="n"/>
      <c r="EZY91" s="15" t="n"/>
      <c r="EZZ91" s="15" t="n"/>
      <c r="FAA91" s="248" t="n"/>
      <c r="FAB91" s="248" t="n"/>
      <c r="FAC91" s="240" t="n"/>
      <c r="FAD91" s="240" t="n"/>
      <c r="FAF91" s="15" t="n"/>
      <c r="FAG91" s="15" t="n"/>
      <c r="FAH91" s="248" t="n"/>
      <c r="FAI91" s="248" t="n"/>
      <c r="FAJ91" s="240" t="n"/>
      <c r="FAK91" s="240" t="n"/>
      <c r="FAM91" s="15" t="n"/>
      <c r="FAN91" s="15" t="n"/>
      <c r="FAO91" s="248" t="n"/>
      <c r="FAP91" s="248" t="n"/>
      <c r="FAQ91" s="240" t="n"/>
      <c r="FAR91" s="240" t="n"/>
      <c r="FAT91" s="15" t="n"/>
      <c r="FAU91" s="15" t="n"/>
      <c r="FAV91" s="248" t="n"/>
      <c r="FAW91" s="248" t="n"/>
      <c r="FAX91" s="240" t="n"/>
      <c r="FAY91" s="240" t="n"/>
      <c r="FBA91" s="15" t="n"/>
      <c r="FBB91" s="15" t="n"/>
      <c r="FBC91" s="248" t="n"/>
      <c r="FBD91" s="248" t="n"/>
      <c r="FBE91" s="240" t="n"/>
      <c r="FBF91" s="240" t="n"/>
      <c r="FBH91" s="15" t="n"/>
      <c r="FBI91" s="15" t="n"/>
      <c r="FBJ91" s="248" t="n"/>
      <c r="FBK91" s="248" t="n"/>
      <c r="FBL91" s="240" t="n"/>
      <c r="FBM91" s="240" t="n"/>
      <c r="FBO91" s="15" t="n"/>
      <c r="FBP91" s="15" t="n"/>
      <c r="FBQ91" s="248" t="n"/>
      <c r="FBR91" s="248" t="n"/>
      <c r="FBS91" s="240" t="n"/>
      <c r="FBT91" s="240" t="n"/>
      <c r="FBV91" s="15" t="n"/>
      <c r="FBW91" s="15" t="n"/>
      <c r="FBX91" s="248" t="n"/>
      <c r="FBY91" s="248" t="n"/>
      <c r="FBZ91" s="240" t="n"/>
      <c r="FCA91" s="240" t="n"/>
      <c r="FCC91" s="15" t="n"/>
      <c r="FCD91" s="15" t="n"/>
      <c r="FCE91" s="248" t="n"/>
      <c r="FCF91" s="248" t="n"/>
      <c r="FCG91" s="240" t="n"/>
      <c r="FCH91" s="240" t="n"/>
      <c r="FCJ91" s="15" t="n"/>
      <c r="FCK91" s="15" t="n"/>
      <c r="FCL91" s="248" t="n"/>
      <c r="FCM91" s="248" t="n"/>
      <c r="FCN91" s="240" t="n"/>
      <c r="FCO91" s="240" t="n"/>
      <c r="FCQ91" s="15" t="n"/>
      <c r="FCR91" s="15" t="n"/>
      <c r="FCS91" s="248" t="n"/>
      <c r="FCT91" s="248" t="n"/>
      <c r="FCU91" s="240" t="n"/>
      <c r="FCV91" s="240" t="n"/>
      <c r="FCX91" s="15" t="n"/>
      <c r="FCY91" s="15" t="n"/>
      <c r="FCZ91" s="248" t="n"/>
      <c r="FDA91" s="248" t="n"/>
      <c r="FDB91" s="240" t="n"/>
      <c r="FDC91" s="240" t="n"/>
      <c r="FDE91" s="15" t="n"/>
      <c r="FDF91" s="15" t="n"/>
      <c r="FDG91" s="248" t="n"/>
      <c r="FDH91" s="248" t="n"/>
      <c r="FDI91" s="240" t="n"/>
      <c r="FDJ91" s="240" t="n"/>
      <c r="FDL91" s="15" t="n"/>
      <c r="FDM91" s="15" t="n"/>
      <c r="FDN91" s="248" t="n"/>
      <c r="FDO91" s="248" t="n"/>
      <c r="FDP91" s="240" t="n"/>
      <c r="FDQ91" s="240" t="n"/>
      <c r="FDS91" s="15" t="n"/>
      <c r="FDT91" s="15" t="n"/>
      <c r="FDU91" s="248" t="n"/>
      <c r="FDV91" s="248" t="n"/>
      <c r="FDW91" s="240" t="n"/>
      <c r="FDX91" s="240" t="n"/>
      <c r="FDZ91" s="15" t="n"/>
      <c r="FEA91" s="15" t="n"/>
      <c r="FEB91" s="248" t="n"/>
      <c r="FEC91" s="248" t="n"/>
      <c r="FED91" s="240" t="n"/>
      <c r="FEE91" s="240" t="n"/>
      <c r="FEG91" s="15" t="n"/>
      <c r="FEH91" s="15" t="n"/>
      <c r="FEI91" s="248" t="n"/>
      <c r="FEJ91" s="248" t="n"/>
      <c r="FEK91" s="240" t="n"/>
      <c r="FEL91" s="240" t="n"/>
      <c r="FEN91" s="15" t="n"/>
      <c r="FEO91" s="15" t="n"/>
      <c r="FEP91" s="248" t="n"/>
      <c r="FEQ91" s="248" t="n"/>
      <c r="FER91" s="240" t="n"/>
      <c r="FES91" s="240" t="n"/>
      <c r="FEU91" s="15" t="n"/>
      <c r="FEV91" s="15" t="n"/>
      <c r="FEW91" s="248" t="n"/>
      <c r="FEX91" s="248" t="n"/>
      <c r="FEY91" s="240" t="n"/>
      <c r="FEZ91" s="240" t="n"/>
      <c r="FFB91" s="15" t="n"/>
      <c r="FFC91" s="15" t="n"/>
      <c r="FFD91" s="248" t="n"/>
      <c r="FFE91" s="248" t="n"/>
      <c r="FFF91" s="240" t="n"/>
      <c r="FFG91" s="240" t="n"/>
      <c r="FFI91" s="15" t="n"/>
      <c r="FFJ91" s="15" t="n"/>
      <c r="FFK91" s="248" t="n"/>
      <c r="FFL91" s="248" t="n"/>
      <c r="FFM91" s="240" t="n"/>
      <c r="FFN91" s="240" t="n"/>
      <c r="FFP91" s="15" t="n"/>
      <c r="FFQ91" s="15" t="n"/>
      <c r="FFR91" s="248" t="n"/>
      <c r="FFS91" s="248" t="n"/>
      <c r="FFT91" s="240" t="n"/>
      <c r="FFU91" s="240" t="n"/>
      <c r="FFW91" s="15" t="n"/>
      <c r="FFX91" s="15" t="n"/>
      <c r="FFY91" s="248" t="n"/>
      <c r="FFZ91" s="248" t="n"/>
      <c r="FGA91" s="240" t="n"/>
      <c r="FGB91" s="240" t="n"/>
      <c r="FGD91" s="15" t="n"/>
      <c r="FGE91" s="15" t="n"/>
      <c r="FGF91" s="248" t="n"/>
      <c r="FGG91" s="248" t="n"/>
      <c r="FGH91" s="240" t="n"/>
      <c r="FGI91" s="240" t="n"/>
      <c r="FGK91" s="15" t="n"/>
      <c r="FGL91" s="15" t="n"/>
      <c r="FGM91" s="248" t="n"/>
      <c r="FGN91" s="248" t="n"/>
      <c r="FGO91" s="240" t="n"/>
      <c r="FGP91" s="240" t="n"/>
      <c r="FGR91" s="15" t="n"/>
      <c r="FGS91" s="15" t="n"/>
      <c r="FGT91" s="248" t="n"/>
      <c r="FGU91" s="248" t="n"/>
      <c r="FGV91" s="240" t="n"/>
      <c r="FGW91" s="240" t="n"/>
      <c r="FGY91" s="15" t="n"/>
      <c r="FGZ91" s="15" t="n"/>
      <c r="FHA91" s="248" t="n"/>
      <c r="FHB91" s="248" t="n"/>
      <c r="FHC91" s="240" t="n"/>
      <c r="FHD91" s="240" t="n"/>
      <c r="FHF91" s="15" t="n"/>
      <c r="FHG91" s="15" t="n"/>
      <c r="FHH91" s="248" t="n"/>
      <c r="FHI91" s="248" t="n"/>
      <c r="FHJ91" s="240" t="n"/>
      <c r="FHK91" s="240" t="n"/>
      <c r="FHM91" s="15" t="n"/>
      <c r="FHN91" s="15" t="n"/>
      <c r="FHO91" s="248" t="n"/>
      <c r="FHP91" s="248" t="n"/>
      <c r="FHQ91" s="240" t="n"/>
      <c r="FHR91" s="240" t="n"/>
      <c r="FHT91" s="15" t="n"/>
      <c r="FHU91" s="15" t="n"/>
      <c r="FHV91" s="248" t="n"/>
      <c r="FHW91" s="248" t="n"/>
      <c r="FHX91" s="240" t="n"/>
      <c r="FHY91" s="240" t="n"/>
      <c r="FIA91" s="15" t="n"/>
      <c r="FIB91" s="15" t="n"/>
      <c r="FIC91" s="248" t="n"/>
      <c r="FID91" s="248" t="n"/>
      <c r="FIE91" s="240" t="n"/>
      <c r="FIF91" s="240" t="n"/>
      <c r="FIH91" s="15" t="n"/>
      <c r="FII91" s="15" t="n"/>
      <c r="FIJ91" s="248" t="n"/>
      <c r="FIK91" s="248" t="n"/>
      <c r="FIL91" s="240" t="n"/>
      <c r="FIM91" s="240" t="n"/>
      <c r="FIO91" s="15" t="n"/>
      <c r="FIP91" s="15" t="n"/>
      <c r="FIQ91" s="248" t="n"/>
      <c r="FIR91" s="248" t="n"/>
      <c r="FIS91" s="240" t="n"/>
      <c r="FIT91" s="240" t="n"/>
      <c r="FIV91" s="15" t="n"/>
      <c r="FIW91" s="15" t="n"/>
      <c r="FIX91" s="248" t="n"/>
      <c r="FIY91" s="248" t="n"/>
      <c r="FIZ91" s="240" t="n"/>
      <c r="FJA91" s="240" t="n"/>
      <c r="FJC91" s="15" t="n"/>
      <c r="FJD91" s="15" t="n"/>
      <c r="FJE91" s="248" t="n"/>
      <c r="FJF91" s="248" t="n"/>
      <c r="FJG91" s="240" t="n"/>
      <c r="FJH91" s="240" t="n"/>
      <c r="FJJ91" s="15" t="n"/>
      <c r="FJK91" s="15" t="n"/>
      <c r="FJL91" s="248" t="n"/>
      <c r="FJM91" s="248" t="n"/>
      <c r="FJN91" s="240" t="n"/>
      <c r="FJO91" s="240" t="n"/>
      <c r="FJQ91" s="15" t="n"/>
      <c r="FJR91" s="15" t="n"/>
      <c r="FJS91" s="248" t="n"/>
      <c r="FJT91" s="248" t="n"/>
      <c r="FJU91" s="240" t="n"/>
      <c r="FJV91" s="240" t="n"/>
      <c r="FJX91" s="15" t="n"/>
      <c r="FJY91" s="15" t="n"/>
      <c r="FJZ91" s="248" t="n"/>
      <c r="FKA91" s="248" t="n"/>
      <c r="FKB91" s="240" t="n"/>
      <c r="FKC91" s="240" t="n"/>
      <c r="FKE91" s="15" t="n"/>
      <c r="FKF91" s="15" t="n"/>
      <c r="FKG91" s="248" t="n"/>
      <c r="FKH91" s="248" t="n"/>
      <c r="FKI91" s="240" t="n"/>
      <c r="FKJ91" s="240" t="n"/>
      <c r="FKL91" s="15" t="n"/>
      <c r="FKM91" s="15" t="n"/>
      <c r="FKN91" s="248" t="n"/>
      <c r="FKO91" s="248" t="n"/>
      <c r="FKP91" s="240" t="n"/>
      <c r="FKQ91" s="240" t="n"/>
      <c r="FKS91" s="15" t="n"/>
      <c r="FKT91" s="15" t="n"/>
      <c r="FKU91" s="248" t="n"/>
      <c r="FKV91" s="248" t="n"/>
      <c r="FKW91" s="240" t="n"/>
      <c r="FKX91" s="240" t="n"/>
      <c r="FKZ91" s="15" t="n"/>
      <c r="FLA91" s="15" t="n"/>
      <c r="FLB91" s="248" t="n"/>
      <c r="FLC91" s="248" t="n"/>
      <c r="FLD91" s="240" t="n"/>
      <c r="FLE91" s="240" t="n"/>
      <c r="FLG91" s="15" t="n"/>
      <c r="FLH91" s="15" t="n"/>
      <c r="FLI91" s="248" t="n"/>
      <c r="FLJ91" s="248" t="n"/>
      <c r="FLK91" s="240" t="n"/>
      <c r="FLL91" s="240" t="n"/>
      <c r="FLN91" s="15" t="n"/>
      <c r="FLO91" s="15" t="n"/>
      <c r="FLP91" s="248" t="n"/>
      <c r="FLQ91" s="248" t="n"/>
      <c r="FLR91" s="240" t="n"/>
      <c r="FLS91" s="240" t="n"/>
      <c r="FLU91" s="15" t="n"/>
      <c r="FLV91" s="15" t="n"/>
      <c r="FLW91" s="248" t="n"/>
      <c r="FLX91" s="248" t="n"/>
      <c r="FLY91" s="240" t="n"/>
      <c r="FLZ91" s="240" t="n"/>
      <c r="FMB91" s="15" t="n"/>
      <c r="FMC91" s="15" t="n"/>
      <c r="FMD91" s="248" t="n"/>
      <c r="FME91" s="248" t="n"/>
      <c r="FMF91" s="240" t="n"/>
      <c r="FMG91" s="240" t="n"/>
      <c r="FMI91" s="15" t="n"/>
      <c r="FMJ91" s="15" t="n"/>
      <c r="FMK91" s="248" t="n"/>
      <c r="FML91" s="248" t="n"/>
      <c r="FMM91" s="240" t="n"/>
      <c r="FMN91" s="240" t="n"/>
      <c r="FMP91" s="15" t="n"/>
      <c r="FMQ91" s="15" t="n"/>
      <c r="FMR91" s="248" t="n"/>
      <c r="FMS91" s="248" t="n"/>
      <c r="FMT91" s="240" t="n"/>
      <c r="FMU91" s="240" t="n"/>
      <c r="FMW91" s="15" t="n"/>
      <c r="FMX91" s="15" t="n"/>
      <c r="FMY91" s="248" t="n"/>
      <c r="FMZ91" s="248" t="n"/>
      <c r="FNA91" s="240" t="n"/>
      <c r="FNB91" s="240" t="n"/>
      <c r="FND91" s="15" t="n"/>
      <c r="FNE91" s="15" t="n"/>
      <c r="FNF91" s="248" t="n"/>
      <c r="FNG91" s="248" t="n"/>
      <c r="FNH91" s="240" t="n"/>
      <c r="FNI91" s="240" t="n"/>
      <c r="FNK91" s="15" t="n"/>
      <c r="FNL91" s="15" t="n"/>
      <c r="FNM91" s="248" t="n"/>
      <c r="FNN91" s="248" t="n"/>
      <c r="FNO91" s="240" t="n"/>
      <c r="FNP91" s="240" t="n"/>
      <c r="FNR91" s="15" t="n"/>
      <c r="FNS91" s="15" t="n"/>
      <c r="FNT91" s="248" t="n"/>
      <c r="FNU91" s="248" t="n"/>
      <c r="FNV91" s="240" t="n"/>
      <c r="FNW91" s="240" t="n"/>
      <c r="FNY91" s="15" t="n"/>
      <c r="FNZ91" s="15" t="n"/>
      <c r="FOA91" s="248" t="n"/>
      <c r="FOB91" s="248" t="n"/>
      <c r="FOC91" s="240" t="n"/>
      <c r="FOD91" s="240" t="n"/>
      <c r="FOF91" s="15" t="n"/>
      <c r="FOG91" s="15" t="n"/>
      <c r="FOH91" s="248" t="n"/>
      <c r="FOI91" s="248" t="n"/>
      <c r="FOJ91" s="240" t="n"/>
      <c r="FOK91" s="240" t="n"/>
      <c r="FOM91" s="15" t="n"/>
      <c r="FON91" s="15" t="n"/>
      <c r="FOO91" s="248" t="n"/>
      <c r="FOP91" s="248" t="n"/>
      <c r="FOQ91" s="240" t="n"/>
      <c r="FOR91" s="240" t="n"/>
      <c r="FOT91" s="15" t="n"/>
      <c r="FOU91" s="15" t="n"/>
      <c r="FOV91" s="248" t="n"/>
      <c r="FOW91" s="248" t="n"/>
      <c r="FOX91" s="240" t="n"/>
      <c r="FOY91" s="240" t="n"/>
      <c r="FPA91" s="15" t="n"/>
      <c r="FPB91" s="15" t="n"/>
      <c r="FPC91" s="248" t="n"/>
      <c r="FPD91" s="248" t="n"/>
      <c r="FPE91" s="240" t="n"/>
      <c r="FPF91" s="240" t="n"/>
      <c r="FPH91" s="15" t="n"/>
      <c r="FPI91" s="15" t="n"/>
      <c r="FPJ91" s="248" t="n"/>
      <c r="FPK91" s="248" t="n"/>
      <c r="FPL91" s="240" t="n"/>
      <c r="FPM91" s="240" t="n"/>
      <c r="FPO91" s="15" t="n"/>
      <c r="FPP91" s="15" t="n"/>
      <c r="FPQ91" s="248" t="n"/>
      <c r="FPR91" s="248" t="n"/>
      <c r="FPS91" s="240" t="n"/>
      <c r="FPT91" s="240" t="n"/>
      <c r="FPV91" s="15" t="n"/>
      <c r="FPW91" s="15" t="n"/>
      <c r="FPX91" s="248" t="n"/>
      <c r="FPY91" s="248" t="n"/>
      <c r="FPZ91" s="240" t="n"/>
      <c r="FQA91" s="240" t="n"/>
      <c r="FQC91" s="15" t="n"/>
      <c r="FQD91" s="15" t="n"/>
      <c r="FQE91" s="248" t="n"/>
      <c r="FQF91" s="248" t="n"/>
      <c r="FQG91" s="240" t="n"/>
      <c r="FQH91" s="240" t="n"/>
      <c r="FQJ91" s="15" t="n"/>
      <c r="FQK91" s="15" t="n"/>
      <c r="FQL91" s="248" t="n"/>
      <c r="FQM91" s="248" t="n"/>
      <c r="FQN91" s="240" t="n"/>
      <c r="FQO91" s="240" t="n"/>
      <c r="FQQ91" s="15" t="n"/>
      <c r="FQR91" s="15" t="n"/>
      <c r="FQS91" s="248" t="n"/>
      <c r="FQT91" s="248" t="n"/>
      <c r="FQU91" s="240" t="n"/>
      <c r="FQV91" s="240" t="n"/>
      <c r="FQX91" s="15" t="n"/>
      <c r="FQY91" s="15" t="n"/>
      <c r="FQZ91" s="248" t="n"/>
      <c r="FRA91" s="248" t="n"/>
      <c r="FRB91" s="240" t="n"/>
      <c r="FRC91" s="240" t="n"/>
      <c r="FRE91" s="15" t="n"/>
      <c r="FRF91" s="15" t="n"/>
      <c r="FRG91" s="248" t="n"/>
      <c r="FRH91" s="248" t="n"/>
      <c r="FRI91" s="240" t="n"/>
      <c r="FRJ91" s="240" t="n"/>
      <c r="FRL91" s="15" t="n"/>
      <c r="FRM91" s="15" t="n"/>
      <c r="FRN91" s="248" t="n"/>
      <c r="FRO91" s="248" t="n"/>
      <c r="FRP91" s="240" t="n"/>
      <c r="FRQ91" s="240" t="n"/>
      <c r="FRS91" s="15" t="n"/>
      <c r="FRT91" s="15" t="n"/>
      <c r="FRU91" s="248" t="n"/>
      <c r="FRV91" s="248" t="n"/>
      <c r="FRW91" s="240" t="n"/>
      <c r="FRX91" s="240" t="n"/>
      <c r="FRZ91" s="15" t="n"/>
      <c r="FSA91" s="15" t="n"/>
      <c r="FSB91" s="248" t="n"/>
      <c r="FSC91" s="248" t="n"/>
      <c r="FSD91" s="240" t="n"/>
      <c r="FSE91" s="240" t="n"/>
      <c r="FSG91" s="15" t="n"/>
      <c r="FSH91" s="15" t="n"/>
      <c r="FSI91" s="248" t="n"/>
      <c r="FSJ91" s="248" t="n"/>
      <c r="FSK91" s="240" t="n"/>
      <c r="FSL91" s="240" t="n"/>
      <c r="FSN91" s="15" t="n"/>
      <c r="FSO91" s="15" t="n"/>
      <c r="FSP91" s="248" t="n"/>
      <c r="FSQ91" s="248" t="n"/>
      <c r="FSR91" s="240" t="n"/>
      <c r="FSS91" s="240" t="n"/>
      <c r="FSU91" s="15" t="n"/>
      <c r="FSV91" s="15" t="n"/>
      <c r="FSW91" s="248" t="n"/>
      <c r="FSX91" s="248" t="n"/>
      <c r="FSY91" s="240" t="n"/>
      <c r="FSZ91" s="240" t="n"/>
      <c r="FTB91" s="15" t="n"/>
      <c r="FTC91" s="15" t="n"/>
      <c r="FTD91" s="248" t="n"/>
      <c r="FTE91" s="248" t="n"/>
      <c r="FTF91" s="240" t="n"/>
      <c r="FTG91" s="240" t="n"/>
      <c r="FTI91" s="15" t="n"/>
      <c r="FTJ91" s="15" t="n"/>
      <c r="FTK91" s="248" t="n"/>
      <c r="FTL91" s="248" t="n"/>
      <c r="FTM91" s="240" t="n"/>
      <c r="FTN91" s="240" t="n"/>
      <c r="FTP91" s="15" t="n"/>
      <c r="FTQ91" s="15" t="n"/>
      <c r="FTR91" s="248" t="n"/>
      <c r="FTS91" s="248" t="n"/>
      <c r="FTT91" s="240" t="n"/>
      <c r="FTU91" s="240" t="n"/>
      <c r="FTW91" s="15" t="n"/>
      <c r="FTX91" s="15" t="n"/>
      <c r="FTY91" s="248" t="n"/>
      <c r="FTZ91" s="248" t="n"/>
      <c r="FUA91" s="240" t="n"/>
      <c r="FUB91" s="240" t="n"/>
      <c r="FUD91" s="15" t="n"/>
      <c r="FUE91" s="15" t="n"/>
      <c r="FUF91" s="248" t="n"/>
      <c r="FUG91" s="248" t="n"/>
      <c r="FUH91" s="240" t="n"/>
      <c r="FUI91" s="240" t="n"/>
      <c r="FUK91" s="15" t="n"/>
      <c r="FUL91" s="15" t="n"/>
      <c r="FUM91" s="248" t="n"/>
      <c r="FUN91" s="248" t="n"/>
      <c r="FUO91" s="240" t="n"/>
      <c r="FUP91" s="240" t="n"/>
      <c r="FUR91" s="15" t="n"/>
      <c r="FUS91" s="15" t="n"/>
      <c r="FUT91" s="248" t="n"/>
      <c r="FUU91" s="248" t="n"/>
      <c r="FUV91" s="240" t="n"/>
      <c r="FUW91" s="240" t="n"/>
      <c r="FUY91" s="15" t="n"/>
      <c r="FUZ91" s="15" t="n"/>
      <c r="FVA91" s="248" t="n"/>
      <c r="FVB91" s="248" t="n"/>
      <c r="FVC91" s="240" t="n"/>
      <c r="FVD91" s="240" t="n"/>
      <c r="FVF91" s="15" t="n"/>
      <c r="FVG91" s="15" t="n"/>
      <c r="FVH91" s="248" t="n"/>
      <c r="FVI91" s="248" t="n"/>
      <c r="FVJ91" s="240" t="n"/>
      <c r="FVK91" s="240" t="n"/>
      <c r="FVM91" s="15" t="n"/>
      <c r="FVN91" s="15" t="n"/>
      <c r="FVO91" s="248" t="n"/>
      <c r="FVP91" s="248" t="n"/>
      <c r="FVQ91" s="240" t="n"/>
      <c r="FVR91" s="240" t="n"/>
      <c r="FVT91" s="15" t="n"/>
      <c r="FVU91" s="15" t="n"/>
      <c r="FVV91" s="248" t="n"/>
      <c r="FVW91" s="248" t="n"/>
      <c r="FVX91" s="240" t="n"/>
      <c r="FVY91" s="240" t="n"/>
      <c r="FWA91" s="15" t="n"/>
      <c r="FWB91" s="15" t="n"/>
      <c r="FWC91" s="248" t="n"/>
      <c r="FWD91" s="248" t="n"/>
      <c r="FWE91" s="240" t="n"/>
      <c r="FWF91" s="240" t="n"/>
      <c r="FWH91" s="15" t="n"/>
      <c r="FWI91" s="15" t="n"/>
      <c r="FWJ91" s="248" t="n"/>
      <c r="FWK91" s="248" t="n"/>
      <c r="FWL91" s="240" t="n"/>
      <c r="FWM91" s="240" t="n"/>
      <c r="FWO91" s="15" t="n"/>
      <c r="FWP91" s="15" t="n"/>
      <c r="FWQ91" s="248" t="n"/>
      <c r="FWR91" s="248" t="n"/>
      <c r="FWS91" s="240" t="n"/>
      <c r="FWT91" s="240" t="n"/>
      <c r="FWV91" s="15" t="n"/>
      <c r="FWW91" s="15" t="n"/>
      <c r="FWX91" s="248" t="n"/>
      <c r="FWY91" s="248" t="n"/>
      <c r="FWZ91" s="240" t="n"/>
      <c r="FXA91" s="240" t="n"/>
      <c r="FXC91" s="15" t="n"/>
      <c r="FXD91" s="15" t="n"/>
      <c r="FXE91" s="248" t="n"/>
      <c r="FXF91" s="248" t="n"/>
      <c r="FXG91" s="240" t="n"/>
      <c r="FXH91" s="240" t="n"/>
      <c r="FXJ91" s="15" t="n"/>
      <c r="FXK91" s="15" t="n"/>
      <c r="FXL91" s="248" t="n"/>
      <c r="FXM91" s="248" t="n"/>
      <c r="FXN91" s="240" t="n"/>
      <c r="FXO91" s="240" t="n"/>
      <c r="FXQ91" s="15" t="n"/>
      <c r="FXR91" s="15" t="n"/>
      <c r="FXS91" s="248" t="n"/>
      <c r="FXT91" s="248" t="n"/>
      <c r="FXU91" s="240" t="n"/>
      <c r="FXV91" s="240" t="n"/>
      <c r="FXX91" s="15" t="n"/>
      <c r="FXY91" s="15" t="n"/>
      <c r="FXZ91" s="248" t="n"/>
      <c r="FYA91" s="248" t="n"/>
      <c r="FYB91" s="240" t="n"/>
      <c r="FYC91" s="240" t="n"/>
      <c r="FYE91" s="15" t="n"/>
      <c r="FYF91" s="15" t="n"/>
      <c r="FYG91" s="248" t="n"/>
      <c r="FYH91" s="248" t="n"/>
      <c r="FYI91" s="240" t="n"/>
      <c r="FYJ91" s="240" t="n"/>
      <c r="FYL91" s="15" t="n"/>
      <c r="FYM91" s="15" t="n"/>
      <c r="FYN91" s="248" t="n"/>
      <c r="FYO91" s="248" t="n"/>
      <c r="FYP91" s="240" t="n"/>
      <c r="FYQ91" s="240" t="n"/>
      <c r="FYS91" s="15" t="n"/>
      <c r="FYT91" s="15" t="n"/>
      <c r="FYU91" s="248" t="n"/>
      <c r="FYV91" s="248" t="n"/>
      <c r="FYW91" s="240" t="n"/>
      <c r="FYX91" s="240" t="n"/>
      <c r="FYZ91" s="15" t="n"/>
      <c r="FZA91" s="15" t="n"/>
      <c r="FZB91" s="248" t="n"/>
      <c r="FZC91" s="248" t="n"/>
      <c r="FZD91" s="240" t="n"/>
      <c r="FZE91" s="240" t="n"/>
      <c r="FZG91" s="15" t="n"/>
      <c r="FZH91" s="15" t="n"/>
      <c r="FZI91" s="248" t="n"/>
      <c r="FZJ91" s="248" t="n"/>
      <c r="FZK91" s="240" t="n"/>
      <c r="FZL91" s="240" t="n"/>
      <c r="FZN91" s="15" t="n"/>
      <c r="FZO91" s="15" t="n"/>
      <c r="FZP91" s="248" t="n"/>
      <c r="FZQ91" s="248" t="n"/>
      <c r="FZR91" s="240" t="n"/>
      <c r="FZS91" s="240" t="n"/>
      <c r="FZU91" s="15" t="n"/>
      <c r="FZV91" s="15" t="n"/>
      <c r="FZW91" s="248" t="n"/>
      <c r="FZX91" s="248" t="n"/>
      <c r="FZY91" s="240" t="n"/>
      <c r="FZZ91" s="240" t="n"/>
      <c r="GAB91" s="15" t="n"/>
      <c r="GAC91" s="15" t="n"/>
      <c r="GAD91" s="248" t="n"/>
      <c r="GAE91" s="248" t="n"/>
      <c r="GAF91" s="240" t="n"/>
      <c r="GAG91" s="240" t="n"/>
      <c r="GAI91" s="15" t="n"/>
      <c r="GAJ91" s="15" t="n"/>
      <c r="GAK91" s="248" t="n"/>
      <c r="GAL91" s="248" t="n"/>
      <c r="GAM91" s="240" t="n"/>
      <c r="GAN91" s="240" t="n"/>
      <c r="GAP91" s="15" t="n"/>
      <c r="GAQ91" s="15" t="n"/>
      <c r="GAR91" s="248" t="n"/>
      <c r="GAS91" s="248" t="n"/>
      <c r="GAT91" s="240" t="n"/>
      <c r="GAU91" s="240" t="n"/>
      <c r="GAW91" s="15" t="n"/>
      <c r="GAX91" s="15" t="n"/>
      <c r="GAY91" s="248" t="n"/>
      <c r="GAZ91" s="248" t="n"/>
      <c r="GBA91" s="240" t="n"/>
      <c r="GBB91" s="240" t="n"/>
      <c r="GBD91" s="15" t="n"/>
      <c r="GBE91" s="15" t="n"/>
      <c r="GBF91" s="248" t="n"/>
      <c r="GBG91" s="248" t="n"/>
      <c r="GBH91" s="240" t="n"/>
      <c r="GBI91" s="240" t="n"/>
      <c r="GBK91" s="15" t="n"/>
      <c r="GBL91" s="15" t="n"/>
      <c r="GBM91" s="248" t="n"/>
      <c r="GBN91" s="248" t="n"/>
      <c r="GBO91" s="240" t="n"/>
      <c r="GBP91" s="240" t="n"/>
      <c r="GBR91" s="15" t="n"/>
      <c r="GBS91" s="15" t="n"/>
      <c r="GBT91" s="248" t="n"/>
      <c r="GBU91" s="248" t="n"/>
      <c r="GBV91" s="240" t="n"/>
      <c r="GBW91" s="240" t="n"/>
      <c r="GBY91" s="15" t="n"/>
      <c r="GBZ91" s="15" t="n"/>
      <c r="GCA91" s="248" t="n"/>
      <c r="GCB91" s="248" t="n"/>
      <c r="GCC91" s="240" t="n"/>
      <c r="GCD91" s="240" t="n"/>
      <c r="GCF91" s="15" t="n"/>
      <c r="GCG91" s="15" t="n"/>
      <c r="GCH91" s="248" t="n"/>
      <c r="GCI91" s="248" t="n"/>
      <c r="GCJ91" s="240" t="n"/>
      <c r="GCK91" s="240" t="n"/>
      <c r="GCM91" s="15" t="n"/>
      <c r="GCN91" s="15" t="n"/>
      <c r="GCO91" s="248" t="n"/>
      <c r="GCP91" s="248" t="n"/>
      <c r="GCQ91" s="240" t="n"/>
      <c r="GCR91" s="240" t="n"/>
      <c r="GCT91" s="15" t="n"/>
      <c r="GCU91" s="15" t="n"/>
      <c r="GCV91" s="248" t="n"/>
      <c r="GCW91" s="248" t="n"/>
      <c r="GCX91" s="240" t="n"/>
      <c r="GCY91" s="240" t="n"/>
      <c r="GDA91" s="15" t="n"/>
      <c r="GDB91" s="15" t="n"/>
      <c r="GDC91" s="248" t="n"/>
      <c r="GDD91" s="248" t="n"/>
      <c r="GDE91" s="240" t="n"/>
      <c r="GDF91" s="240" t="n"/>
      <c r="GDH91" s="15" t="n"/>
      <c r="GDI91" s="15" t="n"/>
      <c r="GDJ91" s="248" t="n"/>
      <c r="GDK91" s="248" t="n"/>
      <c r="GDL91" s="240" t="n"/>
      <c r="GDM91" s="240" t="n"/>
      <c r="GDO91" s="15" t="n"/>
      <c r="GDP91" s="15" t="n"/>
      <c r="GDQ91" s="248" t="n"/>
      <c r="GDR91" s="248" t="n"/>
      <c r="GDS91" s="240" t="n"/>
      <c r="GDT91" s="240" t="n"/>
      <c r="GDV91" s="15" t="n"/>
      <c r="GDW91" s="15" t="n"/>
      <c r="GDX91" s="248" t="n"/>
      <c r="GDY91" s="248" t="n"/>
      <c r="GDZ91" s="240" t="n"/>
      <c r="GEA91" s="240" t="n"/>
      <c r="GEC91" s="15" t="n"/>
      <c r="GED91" s="15" t="n"/>
      <c r="GEE91" s="248" t="n"/>
      <c r="GEF91" s="248" t="n"/>
      <c r="GEG91" s="240" t="n"/>
      <c r="GEH91" s="240" t="n"/>
      <c r="GEJ91" s="15" t="n"/>
      <c r="GEK91" s="15" t="n"/>
      <c r="GEL91" s="248" t="n"/>
      <c r="GEM91" s="248" t="n"/>
      <c r="GEN91" s="240" t="n"/>
      <c r="GEO91" s="240" t="n"/>
      <c r="GEQ91" s="15" t="n"/>
      <c r="GER91" s="15" t="n"/>
      <c r="GES91" s="248" t="n"/>
      <c r="GET91" s="248" t="n"/>
      <c r="GEU91" s="240" t="n"/>
      <c r="GEV91" s="240" t="n"/>
      <c r="GEX91" s="15" t="n"/>
      <c r="GEY91" s="15" t="n"/>
      <c r="GEZ91" s="248" t="n"/>
      <c r="GFA91" s="248" t="n"/>
      <c r="GFB91" s="240" t="n"/>
      <c r="GFC91" s="240" t="n"/>
      <c r="GFE91" s="15" t="n"/>
      <c r="GFF91" s="15" t="n"/>
      <c r="GFG91" s="248" t="n"/>
      <c r="GFH91" s="248" t="n"/>
      <c r="GFI91" s="240" t="n"/>
      <c r="GFJ91" s="240" t="n"/>
      <c r="GFL91" s="15" t="n"/>
      <c r="GFM91" s="15" t="n"/>
      <c r="GFN91" s="248" t="n"/>
      <c r="GFO91" s="248" t="n"/>
      <c r="GFP91" s="240" t="n"/>
      <c r="GFQ91" s="240" t="n"/>
      <c r="GFS91" s="15" t="n"/>
      <c r="GFT91" s="15" t="n"/>
      <c r="GFU91" s="248" t="n"/>
      <c r="GFV91" s="248" t="n"/>
      <c r="GFW91" s="240" t="n"/>
      <c r="GFX91" s="240" t="n"/>
      <c r="GFZ91" s="15" t="n"/>
      <c r="GGA91" s="15" t="n"/>
      <c r="GGB91" s="248" t="n"/>
      <c r="GGC91" s="248" t="n"/>
      <c r="GGD91" s="240" t="n"/>
      <c r="GGE91" s="240" t="n"/>
      <c r="GGG91" s="15" t="n"/>
      <c r="GGH91" s="15" t="n"/>
      <c r="GGI91" s="248" t="n"/>
      <c r="GGJ91" s="248" t="n"/>
      <c r="GGK91" s="240" t="n"/>
      <c r="GGL91" s="240" t="n"/>
      <c r="GGN91" s="15" t="n"/>
      <c r="GGO91" s="15" t="n"/>
      <c r="GGP91" s="248" t="n"/>
      <c r="GGQ91" s="248" t="n"/>
      <c r="GGR91" s="240" t="n"/>
      <c r="GGS91" s="240" t="n"/>
      <c r="GGU91" s="15" t="n"/>
      <c r="GGV91" s="15" t="n"/>
      <c r="GGW91" s="248" t="n"/>
      <c r="GGX91" s="248" t="n"/>
      <c r="GGY91" s="240" t="n"/>
      <c r="GGZ91" s="240" t="n"/>
      <c r="GHB91" s="15" t="n"/>
      <c r="GHC91" s="15" t="n"/>
      <c r="GHD91" s="248" t="n"/>
      <c r="GHE91" s="248" t="n"/>
      <c r="GHF91" s="240" t="n"/>
      <c r="GHG91" s="240" t="n"/>
      <c r="GHI91" s="15" t="n"/>
      <c r="GHJ91" s="15" t="n"/>
      <c r="GHK91" s="248" t="n"/>
      <c r="GHL91" s="248" t="n"/>
      <c r="GHM91" s="240" t="n"/>
      <c r="GHN91" s="240" t="n"/>
      <c r="GHP91" s="15" t="n"/>
      <c r="GHQ91" s="15" t="n"/>
      <c r="GHR91" s="248" t="n"/>
      <c r="GHS91" s="248" t="n"/>
      <c r="GHT91" s="240" t="n"/>
      <c r="GHU91" s="240" t="n"/>
      <c r="GHW91" s="15" t="n"/>
      <c r="GHX91" s="15" t="n"/>
      <c r="GHY91" s="248" t="n"/>
      <c r="GHZ91" s="248" t="n"/>
      <c r="GIA91" s="240" t="n"/>
      <c r="GIB91" s="240" t="n"/>
      <c r="GID91" s="15" t="n"/>
      <c r="GIE91" s="15" t="n"/>
      <c r="GIF91" s="248" t="n"/>
      <c r="GIG91" s="248" t="n"/>
      <c r="GIH91" s="240" t="n"/>
      <c r="GII91" s="240" t="n"/>
      <c r="GIK91" s="15" t="n"/>
      <c r="GIL91" s="15" t="n"/>
      <c r="GIM91" s="248" t="n"/>
      <c r="GIN91" s="248" t="n"/>
      <c r="GIO91" s="240" t="n"/>
      <c r="GIP91" s="240" t="n"/>
      <c r="GIR91" s="15" t="n"/>
      <c r="GIS91" s="15" t="n"/>
      <c r="GIT91" s="248" t="n"/>
      <c r="GIU91" s="248" t="n"/>
      <c r="GIV91" s="240" t="n"/>
      <c r="GIW91" s="240" t="n"/>
      <c r="GIY91" s="15" t="n"/>
      <c r="GIZ91" s="15" t="n"/>
      <c r="GJA91" s="248" t="n"/>
      <c r="GJB91" s="248" t="n"/>
      <c r="GJC91" s="240" t="n"/>
      <c r="GJD91" s="240" t="n"/>
      <c r="GJF91" s="15" t="n"/>
      <c r="GJG91" s="15" t="n"/>
      <c r="GJH91" s="248" t="n"/>
      <c r="GJI91" s="248" t="n"/>
      <c r="GJJ91" s="240" t="n"/>
      <c r="GJK91" s="240" t="n"/>
      <c r="GJM91" s="15" t="n"/>
      <c r="GJN91" s="15" t="n"/>
      <c r="GJO91" s="248" t="n"/>
      <c r="GJP91" s="248" t="n"/>
      <c r="GJQ91" s="240" t="n"/>
      <c r="GJR91" s="240" t="n"/>
      <c r="GJT91" s="15" t="n"/>
      <c r="GJU91" s="15" t="n"/>
      <c r="GJV91" s="248" t="n"/>
      <c r="GJW91" s="248" t="n"/>
      <c r="GJX91" s="240" t="n"/>
      <c r="GJY91" s="240" t="n"/>
      <c r="GKA91" s="15" t="n"/>
      <c r="GKB91" s="15" t="n"/>
      <c r="GKC91" s="248" t="n"/>
      <c r="GKD91" s="248" t="n"/>
      <c r="GKE91" s="240" t="n"/>
      <c r="GKF91" s="240" t="n"/>
      <c r="GKH91" s="15" t="n"/>
      <c r="GKI91" s="15" t="n"/>
      <c r="GKJ91" s="248" t="n"/>
      <c r="GKK91" s="248" t="n"/>
      <c r="GKL91" s="240" t="n"/>
      <c r="GKM91" s="240" t="n"/>
      <c r="GKO91" s="15" t="n"/>
      <c r="GKP91" s="15" t="n"/>
      <c r="GKQ91" s="248" t="n"/>
      <c r="GKR91" s="248" t="n"/>
      <c r="GKS91" s="240" t="n"/>
      <c r="GKT91" s="240" t="n"/>
      <c r="GKV91" s="15" t="n"/>
      <c r="GKW91" s="15" t="n"/>
      <c r="GKX91" s="248" t="n"/>
      <c r="GKY91" s="248" t="n"/>
      <c r="GKZ91" s="240" t="n"/>
      <c r="GLA91" s="240" t="n"/>
      <c r="GLC91" s="15" t="n"/>
      <c r="GLD91" s="15" t="n"/>
      <c r="GLE91" s="248" t="n"/>
      <c r="GLF91" s="248" t="n"/>
      <c r="GLG91" s="240" t="n"/>
      <c r="GLH91" s="240" t="n"/>
      <c r="GLJ91" s="15" t="n"/>
      <c r="GLK91" s="15" t="n"/>
      <c r="GLL91" s="248" t="n"/>
      <c r="GLM91" s="248" t="n"/>
      <c r="GLN91" s="240" t="n"/>
      <c r="GLO91" s="240" t="n"/>
      <c r="GLQ91" s="15" t="n"/>
      <c r="GLR91" s="15" t="n"/>
      <c r="GLS91" s="248" t="n"/>
      <c r="GLT91" s="248" t="n"/>
      <c r="GLU91" s="240" t="n"/>
      <c r="GLV91" s="240" t="n"/>
      <c r="GLX91" s="15" t="n"/>
      <c r="GLY91" s="15" t="n"/>
      <c r="GLZ91" s="248" t="n"/>
      <c r="GMA91" s="248" t="n"/>
      <c r="GMB91" s="240" t="n"/>
      <c r="GMC91" s="240" t="n"/>
      <c r="GME91" s="15" t="n"/>
      <c r="GMF91" s="15" t="n"/>
      <c r="GMG91" s="248" t="n"/>
      <c r="GMH91" s="248" t="n"/>
      <c r="GMI91" s="240" t="n"/>
      <c r="GMJ91" s="240" t="n"/>
      <c r="GML91" s="15" t="n"/>
      <c r="GMM91" s="15" t="n"/>
      <c r="GMN91" s="248" t="n"/>
      <c r="GMO91" s="248" t="n"/>
      <c r="GMP91" s="240" t="n"/>
      <c r="GMQ91" s="240" t="n"/>
      <c r="GMS91" s="15" t="n"/>
      <c r="GMT91" s="15" t="n"/>
      <c r="GMU91" s="248" t="n"/>
      <c r="GMV91" s="248" t="n"/>
      <c r="GMW91" s="240" t="n"/>
      <c r="GMX91" s="240" t="n"/>
      <c r="GMZ91" s="15" t="n"/>
      <c r="GNA91" s="15" t="n"/>
      <c r="GNB91" s="248" t="n"/>
      <c r="GNC91" s="248" t="n"/>
      <c r="GND91" s="240" t="n"/>
      <c r="GNE91" s="240" t="n"/>
      <c r="GNG91" s="15" t="n"/>
      <c r="GNH91" s="15" t="n"/>
      <c r="GNI91" s="248" t="n"/>
      <c r="GNJ91" s="248" t="n"/>
      <c r="GNK91" s="240" t="n"/>
      <c r="GNL91" s="240" t="n"/>
      <c r="GNN91" s="15" t="n"/>
      <c r="GNO91" s="15" t="n"/>
      <c r="GNP91" s="248" t="n"/>
      <c r="GNQ91" s="248" t="n"/>
      <c r="GNR91" s="240" t="n"/>
      <c r="GNS91" s="240" t="n"/>
      <c r="GNU91" s="15" t="n"/>
      <c r="GNV91" s="15" t="n"/>
      <c r="GNW91" s="248" t="n"/>
      <c r="GNX91" s="248" t="n"/>
      <c r="GNY91" s="240" t="n"/>
      <c r="GNZ91" s="240" t="n"/>
      <c r="GOB91" s="15" t="n"/>
      <c r="GOC91" s="15" t="n"/>
      <c r="GOD91" s="248" t="n"/>
      <c r="GOE91" s="248" t="n"/>
      <c r="GOF91" s="240" t="n"/>
      <c r="GOG91" s="240" t="n"/>
      <c r="GOI91" s="15" t="n"/>
      <c r="GOJ91" s="15" t="n"/>
      <c r="GOK91" s="248" t="n"/>
      <c r="GOL91" s="248" t="n"/>
      <c r="GOM91" s="240" t="n"/>
      <c r="GON91" s="240" t="n"/>
      <c r="GOP91" s="15" t="n"/>
      <c r="GOQ91" s="15" t="n"/>
      <c r="GOR91" s="248" t="n"/>
      <c r="GOS91" s="248" t="n"/>
      <c r="GOT91" s="240" t="n"/>
      <c r="GOU91" s="240" t="n"/>
      <c r="GOW91" s="15" t="n"/>
      <c r="GOX91" s="15" t="n"/>
      <c r="GOY91" s="248" t="n"/>
      <c r="GOZ91" s="248" t="n"/>
      <c r="GPA91" s="240" t="n"/>
      <c r="GPB91" s="240" t="n"/>
      <c r="GPD91" s="15" t="n"/>
      <c r="GPE91" s="15" t="n"/>
      <c r="GPF91" s="248" t="n"/>
      <c r="GPG91" s="248" t="n"/>
      <c r="GPH91" s="240" t="n"/>
      <c r="GPI91" s="240" t="n"/>
      <c r="GPK91" s="15" t="n"/>
      <c r="GPL91" s="15" t="n"/>
      <c r="GPM91" s="248" t="n"/>
      <c r="GPN91" s="248" t="n"/>
      <c r="GPO91" s="240" t="n"/>
      <c r="GPP91" s="240" t="n"/>
      <c r="GPR91" s="15" t="n"/>
      <c r="GPS91" s="15" t="n"/>
      <c r="GPT91" s="248" t="n"/>
      <c r="GPU91" s="248" t="n"/>
      <c r="GPV91" s="240" t="n"/>
      <c r="GPW91" s="240" t="n"/>
      <c r="GPY91" s="15" t="n"/>
      <c r="GPZ91" s="15" t="n"/>
      <c r="GQA91" s="248" t="n"/>
      <c r="GQB91" s="248" t="n"/>
      <c r="GQC91" s="240" t="n"/>
      <c r="GQD91" s="240" t="n"/>
      <c r="GQF91" s="15" t="n"/>
      <c r="GQG91" s="15" t="n"/>
      <c r="GQH91" s="248" t="n"/>
      <c r="GQI91" s="248" t="n"/>
      <c r="GQJ91" s="240" t="n"/>
      <c r="GQK91" s="240" t="n"/>
      <c r="GQM91" s="15" t="n"/>
      <c r="GQN91" s="15" t="n"/>
      <c r="GQO91" s="248" t="n"/>
      <c r="GQP91" s="248" t="n"/>
      <c r="GQQ91" s="240" t="n"/>
      <c r="GQR91" s="240" t="n"/>
      <c r="GQT91" s="15" t="n"/>
      <c r="GQU91" s="15" t="n"/>
      <c r="GQV91" s="248" t="n"/>
      <c r="GQW91" s="248" t="n"/>
      <c r="GQX91" s="240" t="n"/>
      <c r="GQY91" s="240" t="n"/>
      <c r="GRA91" s="15" t="n"/>
      <c r="GRB91" s="15" t="n"/>
      <c r="GRC91" s="248" t="n"/>
      <c r="GRD91" s="248" t="n"/>
      <c r="GRE91" s="240" t="n"/>
      <c r="GRF91" s="240" t="n"/>
      <c r="GRH91" s="15" t="n"/>
      <c r="GRI91" s="15" t="n"/>
      <c r="GRJ91" s="248" t="n"/>
      <c r="GRK91" s="248" t="n"/>
      <c r="GRL91" s="240" t="n"/>
      <c r="GRM91" s="240" t="n"/>
      <c r="GRO91" s="15" t="n"/>
      <c r="GRP91" s="15" t="n"/>
      <c r="GRQ91" s="248" t="n"/>
      <c r="GRR91" s="248" t="n"/>
      <c r="GRS91" s="240" t="n"/>
      <c r="GRT91" s="240" t="n"/>
      <c r="GRV91" s="15" t="n"/>
      <c r="GRW91" s="15" t="n"/>
      <c r="GRX91" s="248" t="n"/>
      <c r="GRY91" s="248" t="n"/>
      <c r="GRZ91" s="240" t="n"/>
      <c r="GSA91" s="240" t="n"/>
      <c r="GSC91" s="15" t="n"/>
      <c r="GSD91" s="15" t="n"/>
      <c r="GSE91" s="248" t="n"/>
      <c r="GSF91" s="248" t="n"/>
      <c r="GSG91" s="240" t="n"/>
      <c r="GSH91" s="240" t="n"/>
      <c r="GSJ91" s="15" t="n"/>
      <c r="GSK91" s="15" t="n"/>
      <c r="GSL91" s="248" t="n"/>
      <c r="GSM91" s="248" t="n"/>
      <c r="GSN91" s="240" t="n"/>
      <c r="GSO91" s="240" t="n"/>
      <c r="GSQ91" s="15" t="n"/>
      <c r="GSR91" s="15" t="n"/>
      <c r="GSS91" s="248" t="n"/>
      <c r="GST91" s="248" t="n"/>
      <c r="GSU91" s="240" t="n"/>
      <c r="GSV91" s="240" t="n"/>
      <c r="GSX91" s="15" t="n"/>
      <c r="GSY91" s="15" t="n"/>
      <c r="GSZ91" s="248" t="n"/>
      <c r="GTA91" s="248" t="n"/>
      <c r="GTB91" s="240" t="n"/>
      <c r="GTC91" s="240" t="n"/>
      <c r="GTE91" s="15" t="n"/>
      <c r="GTF91" s="15" t="n"/>
      <c r="GTG91" s="248" t="n"/>
      <c r="GTH91" s="248" t="n"/>
      <c r="GTI91" s="240" t="n"/>
      <c r="GTJ91" s="240" t="n"/>
      <c r="GTL91" s="15" t="n"/>
      <c r="GTM91" s="15" t="n"/>
      <c r="GTN91" s="248" t="n"/>
      <c r="GTO91" s="248" t="n"/>
      <c r="GTP91" s="240" t="n"/>
      <c r="GTQ91" s="240" t="n"/>
      <c r="GTS91" s="15" t="n"/>
      <c r="GTT91" s="15" t="n"/>
      <c r="GTU91" s="248" t="n"/>
      <c r="GTV91" s="248" t="n"/>
      <c r="GTW91" s="240" t="n"/>
      <c r="GTX91" s="240" t="n"/>
      <c r="GTZ91" s="15" t="n"/>
      <c r="GUA91" s="15" t="n"/>
      <c r="GUB91" s="248" t="n"/>
      <c r="GUC91" s="248" t="n"/>
      <c r="GUD91" s="240" t="n"/>
      <c r="GUE91" s="240" t="n"/>
      <c r="GUG91" s="15" t="n"/>
      <c r="GUH91" s="15" t="n"/>
      <c r="GUI91" s="248" t="n"/>
      <c r="GUJ91" s="248" t="n"/>
      <c r="GUK91" s="240" t="n"/>
      <c r="GUL91" s="240" t="n"/>
      <c r="GUN91" s="15" t="n"/>
      <c r="GUO91" s="15" t="n"/>
      <c r="GUP91" s="248" t="n"/>
      <c r="GUQ91" s="248" t="n"/>
      <c r="GUR91" s="240" t="n"/>
      <c r="GUS91" s="240" t="n"/>
      <c r="GUU91" s="15" t="n"/>
      <c r="GUV91" s="15" t="n"/>
      <c r="GUW91" s="248" t="n"/>
      <c r="GUX91" s="248" t="n"/>
      <c r="GUY91" s="240" t="n"/>
      <c r="GUZ91" s="240" t="n"/>
      <c r="GVB91" s="15" t="n"/>
      <c r="GVC91" s="15" t="n"/>
      <c r="GVD91" s="248" t="n"/>
      <c r="GVE91" s="248" t="n"/>
      <c r="GVF91" s="240" t="n"/>
      <c r="GVG91" s="240" t="n"/>
      <c r="GVI91" s="15" t="n"/>
      <c r="GVJ91" s="15" t="n"/>
      <c r="GVK91" s="248" t="n"/>
      <c r="GVL91" s="248" t="n"/>
      <c r="GVM91" s="240" t="n"/>
      <c r="GVN91" s="240" t="n"/>
      <c r="GVP91" s="15" t="n"/>
      <c r="GVQ91" s="15" t="n"/>
      <c r="GVR91" s="248" t="n"/>
      <c r="GVS91" s="248" t="n"/>
      <c r="GVT91" s="240" t="n"/>
      <c r="GVU91" s="240" t="n"/>
      <c r="GVW91" s="15" t="n"/>
      <c r="GVX91" s="15" t="n"/>
      <c r="GVY91" s="248" t="n"/>
      <c r="GVZ91" s="248" t="n"/>
      <c r="GWA91" s="240" t="n"/>
      <c r="GWB91" s="240" t="n"/>
      <c r="GWD91" s="15" t="n"/>
      <c r="GWE91" s="15" t="n"/>
      <c r="GWF91" s="248" t="n"/>
      <c r="GWG91" s="248" t="n"/>
      <c r="GWH91" s="240" t="n"/>
      <c r="GWI91" s="240" t="n"/>
      <c r="GWK91" s="15" t="n"/>
      <c r="GWL91" s="15" t="n"/>
      <c r="GWM91" s="248" t="n"/>
      <c r="GWN91" s="248" t="n"/>
      <c r="GWO91" s="240" t="n"/>
      <c r="GWP91" s="240" t="n"/>
      <c r="GWR91" s="15" t="n"/>
      <c r="GWS91" s="15" t="n"/>
      <c r="GWT91" s="248" t="n"/>
      <c r="GWU91" s="248" t="n"/>
      <c r="GWV91" s="240" t="n"/>
      <c r="GWW91" s="240" t="n"/>
      <c r="GWY91" s="15" t="n"/>
      <c r="GWZ91" s="15" t="n"/>
      <c r="GXA91" s="248" t="n"/>
      <c r="GXB91" s="248" t="n"/>
      <c r="GXC91" s="240" t="n"/>
      <c r="GXD91" s="240" t="n"/>
      <c r="GXF91" s="15" t="n"/>
      <c r="GXG91" s="15" t="n"/>
      <c r="GXH91" s="248" t="n"/>
      <c r="GXI91" s="248" t="n"/>
      <c r="GXJ91" s="240" t="n"/>
      <c r="GXK91" s="240" t="n"/>
      <c r="GXM91" s="15" t="n"/>
      <c r="GXN91" s="15" t="n"/>
      <c r="GXO91" s="248" t="n"/>
      <c r="GXP91" s="248" t="n"/>
      <c r="GXQ91" s="240" t="n"/>
      <c r="GXR91" s="240" t="n"/>
      <c r="GXT91" s="15" t="n"/>
      <c r="GXU91" s="15" t="n"/>
      <c r="GXV91" s="248" t="n"/>
      <c r="GXW91" s="248" t="n"/>
      <c r="GXX91" s="240" t="n"/>
      <c r="GXY91" s="240" t="n"/>
      <c r="GYA91" s="15" t="n"/>
      <c r="GYB91" s="15" t="n"/>
      <c r="GYC91" s="248" t="n"/>
      <c r="GYD91" s="248" t="n"/>
      <c r="GYE91" s="240" t="n"/>
      <c r="GYF91" s="240" t="n"/>
      <c r="GYH91" s="15" t="n"/>
      <c r="GYI91" s="15" t="n"/>
      <c r="GYJ91" s="248" t="n"/>
      <c r="GYK91" s="248" t="n"/>
      <c r="GYL91" s="240" t="n"/>
      <c r="GYM91" s="240" t="n"/>
      <c r="GYO91" s="15" t="n"/>
      <c r="GYP91" s="15" t="n"/>
      <c r="GYQ91" s="248" t="n"/>
      <c r="GYR91" s="248" t="n"/>
      <c r="GYS91" s="240" t="n"/>
      <c r="GYT91" s="240" t="n"/>
      <c r="GYV91" s="15" t="n"/>
      <c r="GYW91" s="15" t="n"/>
      <c r="GYX91" s="248" t="n"/>
      <c r="GYY91" s="248" t="n"/>
      <c r="GYZ91" s="240" t="n"/>
      <c r="GZA91" s="240" t="n"/>
      <c r="GZC91" s="15" t="n"/>
      <c r="GZD91" s="15" t="n"/>
      <c r="GZE91" s="248" t="n"/>
      <c r="GZF91" s="248" t="n"/>
      <c r="GZG91" s="240" t="n"/>
      <c r="GZH91" s="240" t="n"/>
      <c r="GZJ91" s="15" t="n"/>
      <c r="GZK91" s="15" t="n"/>
      <c r="GZL91" s="248" t="n"/>
      <c r="GZM91" s="248" t="n"/>
      <c r="GZN91" s="240" t="n"/>
      <c r="GZO91" s="240" t="n"/>
      <c r="GZQ91" s="15" t="n"/>
      <c r="GZR91" s="15" t="n"/>
      <c r="GZS91" s="248" t="n"/>
      <c r="GZT91" s="248" t="n"/>
      <c r="GZU91" s="240" t="n"/>
      <c r="GZV91" s="240" t="n"/>
      <c r="GZX91" s="15" t="n"/>
      <c r="GZY91" s="15" t="n"/>
      <c r="GZZ91" s="248" t="n"/>
      <c r="HAA91" s="248" t="n"/>
      <c r="HAB91" s="240" t="n"/>
      <c r="HAC91" s="240" t="n"/>
      <c r="HAE91" s="15" t="n"/>
      <c r="HAF91" s="15" t="n"/>
      <c r="HAG91" s="248" t="n"/>
      <c r="HAH91" s="248" t="n"/>
      <c r="HAI91" s="240" t="n"/>
      <c r="HAJ91" s="240" t="n"/>
      <c r="HAL91" s="15" t="n"/>
      <c r="HAM91" s="15" t="n"/>
      <c r="HAN91" s="248" t="n"/>
      <c r="HAO91" s="248" t="n"/>
      <c r="HAP91" s="240" t="n"/>
      <c r="HAQ91" s="240" t="n"/>
      <c r="HAS91" s="15" t="n"/>
      <c r="HAT91" s="15" t="n"/>
      <c r="HAU91" s="248" t="n"/>
      <c r="HAV91" s="248" t="n"/>
      <c r="HAW91" s="240" t="n"/>
      <c r="HAX91" s="240" t="n"/>
      <c r="HAZ91" s="15" t="n"/>
      <c r="HBA91" s="15" t="n"/>
      <c r="HBB91" s="248" t="n"/>
      <c r="HBC91" s="248" t="n"/>
      <c r="HBD91" s="240" t="n"/>
      <c r="HBE91" s="240" t="n"/>
      <c r="HBG91" s="15" t="n"/>
      <c r="HBH91" s="15" t="n"/>
      <c r="HBI91" s="248" t="n"/>
      <c r="HBJ91" s="248" t="n"/>
      <c r="HBK91" s="240" t="n"/>
      <c r="HBL91" s="240" t="n"/>
      <c r="HBN91" s="15" t="n"/>
      <c r="HBO91" s="15" t="n"/>
      <c r="HBP91" s="248" t="n"/>
      <c r="HBQ91" s="248" t="n"/>
      <c r="HBR91" s="240" t="n"/>
      <c r="HBS91" s="240" t="n"/>
      <c r="HBU91" s="15" t="n"/>
      <c r="HBV91" s="15" t="n"/>
      <c r="HBW91" s="248" t="n"/>
      <c r="HBX91" s="248" t="n"/>
      <c r="HBY91" s="240" t="n"/>
      <c r="HBZ91" s="240" t="n"/>
      <c r="HCB91" s="15" t="n"/>
      <c r="HCC91" s="15" t="n"/>
      <c r="HCD91" s="248" t="n"/>
      <c r="HCE91" s="248" t="n"/>
      <c r="HCF91" s="240" t="n"/>
      <c r="HCG91" s="240" t="n"/>
      <c r="HCI91" s="15" t="n"/>
      <c r="HCJ91" s="15" t="n"/>
      <c r="HCK91" s="248" t="n"/>
      <c r="HCL91" s="248" t="n"/>
      <c r="HCM91" s="240" t="n"/>
      <c r="HCN91" s="240" t="n"/>
      <c r="HCP91" s="15" t="n"/>
      <c r="HCQ91" s="15" t="n"/>
      <c r="HCR91" s="248" t="n"/>
      <c r="HCS91" s="248" t="n"/>
      <c r="HCT91" s="240" t="n"/>
      <c r="HCU91" s="240" t="n"/>
      <c r="HCW91" s="15" t="n"/>
      <c r="HCX91" s="15" t="n"/>
      <c r="HCY91" s="248" t="n"/>
      <c r="HCZ91" s="248" t="n"/>
      <c r="HDA91" s="240" t="n"/>
      <c r="HDB91" s="240" t="n"/>
      <c r="HDD91" s="15" t="n"/>
      <c r="HDE91" s="15" t="n"/>
      <c r="HDF91" s="248" t="n"/>
      <c r="HDG91" s="248" t="n"/>
      <c r="HDH91" s="240" t="n"/>
      <c r="HDI91" s="240" t="n"/>
      <c r="HDK91" s="15" t="n"/>
      <c r="HDL91" s="15" t="n"/>
      <c r="HDM91" s="248" t="n"/>
      <c r="HDN91" s="248" t="n"/>
      <c r="HDO91" s="240" t="n"/>
      <c r="HDP91" s="240" t="n"/>
      <c r="HDR91" s="15" t="n"/>
      <c r="HDS91" s="15" t="n"/>
      <c r="HDT91" s="248" t="n"/>
      <c r="HDU91" s="248" t="n"/>
      <c r="HDV91" s="240" t="n"/>
      <c r="HDW91" s="240" t="n"/>
      <c r="HDY91" s="15" t="n"/>
      <c r="HDZ91" s="15" t="n"/>
      <c r="HEA91" s="248" t="n"/>
      <c r="HEB91" s="248" t="n"/>
      <c r="HEC91" s="240" t="n"/>
      <c r="HED91" s="240" t="n"/>
      <c r="HEF91" s="15" t="n"/>
      <c r="HEG91" s="15" t="n"/>
      <c r="HEH91" s="248" t="n"/>
      <c r="HEI91" s="248" t="n"/>
      <c r="HEJ91" s="240" t="n"/>
      <c r="HEK91" s="240" t="n"/>
      <c r="HEM91" s="15" t="n"/>
      <c r="HEN91" s="15" t="n"/>
      <c r="HEO91" s="248" t="n"/>
      <c r="HEP91" s="248" t="n"/>
      <c r="HEQ91" s="240" t="n"/>
      <c r="HER91" s="240" t="n"/>
      <c r="HET91" s="15" t="n"/>
      <c r="HEU91" s="15" t="n"/>
      <c r="HEV91" s="248" t="n"/>
      <c r="HEW91" s="248" t="n"/>
      <c r="HEX91" s="240" t="n"/>
      <c r="HEY91" s="240" t="n"/>
      <c r="HFA91" s="15" t="n"/>
      <c r="HFB91" s="15" t="n"/>
      <c r="HFC91" s="248" t="n"/>
      <c r="HFD91" s="248" t="n"/>
      <c r="HFE91" s="240" t="n"/>
      <c r="HFF91" s="240" t="n"/>
      <c r="HFH91" s="15" t="n"/>
      <c r="HFI91" s="15" t="n"/>
      <c r="HFJ91" s="248" t="n"/>
      <c r="HFK91" s="248" t="n"/>
      <c r="HFL91" s="240" t="n"/>
      <c r="HFM91" s="240" t="n"/>
      <c r="HFO91" s="15" t="n"/>
      <c r="HFP91" s="15" t="n"/>
      <c r="HFQ91" s="248" t="n"/>
      <c r="HFR91" s="248" t="n"/>
      <c r="HFS91" s="240" t="n"/>
      <c r="HFT91" s="240" t="n"/>
      <c r="HFV91" s="15" t="n"/>
      <c r="HFW91" s="15" t="n"/>
      <c r="HFX91" s="248" t="n"/>
      <c r="HFY91" s="248" t="n"/>
      <c r="HFZ91" s="240" t="n"/>
      <c r="HGA91" s="240" t="n"/>
      <c r="HGC91" s="15" t="n"/>
      <c r="HGD91" s="15" t="n"/>
      <c r="HGE91" s="248" t="n"/>
      <c r="HGF91" s="248" t="n"/>
      <c r="HGG91" s="240" t="n"/>
      <c r="HGH91" s="240" t="n"/>
      <c r="HGJ91" s="15" t="n"/>
      <c r="HGK91" s="15" t="n"/>
      <c r="HGL91" s="248" t="n"/>
      <c r="HGM91" s="248" t="n"/>
      <c r="HGN91" s="240" t="n"/>
      <c r="HGO91" s="240" t="n"/>
      <c r="HGQ91" s="15" t="n"/>
      <c r="HGR91" s="15" t="n"/>
      <c r="HGS91" s="248" t="n"/>
      <c r="HGT91" s="248" t="n"/>
      <c r="HGU91" s="240" t="n"/>
      <c r="HGV91" s="240" t="n"/>
      <c r="HGX91" s="15" t="n"/>
      <c r="HGY91" s="15" t="n"/>
      <c r="HGZ91" s="248" t="n"/>
      <c r="HHA91" s="248" t="n"/>
      <c r="HHB91" s="240" t="n"/>
      <c r="HHC91" s="240" t="n"/>
      <c r="HHE91" s="15" t="n"/>
      <c r="HHF91" s="15" t="n"/>
      <c r="HHG91" s="248" t="n"/>
      <c r="HHH91" s="248" t="n"/>
      <c r="HHI91" s="240" t="n"/>
      <c r="HHJ91" s="240" t="n"/>
      <c r="HHL91" s="15" t="n"/>
      <c r="HHM91" s="15" t="n"/>
      <c r="HHN91" s="248" t="n"/>
      <c r="HHO91" s="248" t="n"/>
      <c r="HHP91" s="240" t="n"/>
      <c r="HHQ91" s="240" t="n"/>
      <c r="HHS91" s="15" t="n"/>
      <c r="HHT91" s="15" t="n"/>
      <c r="HHU91" s="248" t="n"/>
      <c r="HHV91" s="248" t="n"/>
      <c r="HHW91" s="240" t="n"/>
      <c r="HHX91" s="240" t="n"/>
      <c r="HHZ91" s="15" t="n"/>
      <c r="HIA91" s="15" t="n"/>
      <c r="HIB91" s="248" t="n"/>
      <c r="HIC91" s="248" t="n"/>
      <c r="HID91" s="240" t="n"/>
      <c r="HIE91" s="240" t="n"/>
      <c r="HIG91" s="15" t="n"/>
      <c r="HIH91" s="15" t="n"/>
      <c r="HII91" s="248" t="n"/>
      <c r="HIJ91" s="248" t="n"/>
      <c r="HIK91" s="240" t="n"/>
      <c r="HIL91" s="240" t="n"/>
      <c r="HIN91" s="15" t="n"/>
      <c r="HIO91" s="15" t="n"/>
      <c r="HIP91" s="248" t="n"/>
      <c r="HIQ91" s="248" t="n"/>
      <c r="HIR91" s="240" t="n"/>
      <c r="HIS91" s="240" t="n"/>
      <c r="HIU91" s="15" t="n"/>
      <c r="HIV91" s="15" t="n"/>
      <c r="HIW91" s="248" t="n"/>
      <c r="HIX91" s="248" t="n"/>
      <c r="HIY91" s="240" t="n"/>
      <c r="HIZ91" s="240" t="n"/>
      <c r="HJB91" s="15" t="n"/>
      <c r="HJC91" s="15" t="n"/>
      <c r="HJD91" s="248" t="n"/>
      <c r="HJE91" s="248" t="n"/>
      <c r="HJF91" s="240" t="n"/>
      <c r="HJG91" s="240" t="n"/>
      <c r="HJI91" s="15" t="n"/>
      <c r="HJJ91" s="15" t="n"/>
      <c r="HJK91" s="248" t="n"/>
      <c r="HJL91" s="248" t="n"/>
      <c r="HJM91" s="240" t="n"/>
      <c r="HJN91" s="240" t="n"/>
      <c r="HJP91" s="15" t="n"/>
      <c r="HJQ91" s="15" t="n"/>
      <c r="HJR91" s="248" t="n"/>
      <c r="HJS91" s="248" t="n"/>
      <c r="HJT91" s="240" t="n"/>
      <c r="HJU91" s="240" t="n"/>
      <c r="HJW91" s="15" t="n"/>
      <c r="HJX91" s="15" t="n"/>
      <c r="HJY91" s="248" t="n"/>
      <c r="HJZ91" s="248" t="n"/>
      <c r="HKA91" s="240" t="n"/>
      <c r="HKB91" s="240" t="n"/>
      <c r="HKD91" s="15" t="n"/>
      <c r="HKE91" s="15" t="n"/>
      <c r="HKF91" s="248" t="n"/>
      <c r="HKG91" s="248" t="n"/>
      <c r="HKH91" s="240" t="n"/>
      <c r="HKI91" s="240" t="n"/>
      <c r="HKK91" s="15" t="n"/>
      <c r="HKL91" s="15" t="n"/>
      <c r="HKM91" s="248" t="n"/>
      <c r="HKN91" s="248" t="n"/>
      <c r="HKO91" s="240" t="n"/>
      <c r="HKP91" s="240" t="n"/>
      <c r="HKR91" s="15" t="n"/>
      <c r="HKS91" s="15" t="n"/>
      <c r="HKT91" s="248" t="n"/>
      <c r="HKU91" s="248" t="n"/>
      <c r="HKV91" s="240" t="n"/>
      <c r="HKW91" s="240" t="n"/>
      <c r="HKY91" s="15" t="n"/>
      <c r="HKZ91" s="15" t="n"/>
      <c r="HLA91" s="248" t="n"/>
      <c r="HLB91" s="248" t="n"/>
      <c r="HLC91" s="240" t="n"/>
      <c r="HLD91" s="240" t="n"/>
      <c r="HLF91" s="15" t="n"/>
      <c r="HLG91" s="15" t="n"/>
      <c r="HLH91" s="248" t="n"/>
      <c r="HLI91" s="248" t="n"/>
      <c r="HLJ91" s="240" t="n"/>
      <c r="HLK91" s="240" t="n"/>
      <c r="HLM91" s="15" t="n"/>
      <c r="HLN91" s="15" t="n"/>
      <c r="HLO91" s="248" t="n"/>
      <c r="HLP91" s="248" t="n"/>
      <c r="HLQ91" s="240" t="n"/>
      <c r="HLR91" s="240" t="n"/>
      <c r="HLT91" s="15" t="n"/>
      <c r="HLU91" s="15" t="n"/>
      <c r="HLV91" s="248" t="n"/>
      <c r="HLW91" s="248" t="n"/>
      <c r="HLX91" s="240" t="n"/>
      <c r="HLY91" s="240" t="n"/>
      <c r="HMA91" s="15" t="n"/>
      <c r="HMB91" s="15" t="n"/>
      <c r="HMC91" s="248" t="n"/>
      <c r="HMD91" s="248" t="n"/>
      <c r="HME91" s="240" t="n"/>
      <c r="HMF91" s="240" t="n"/>
      <c r="HMH91" s="15" t="n"/>
      <c r="HMI91" s="15" t="n"/>
      <c r="HMJ91" s="248" t="n"/>
      <c r="HMK91" s="248" t="n"/>
      <c r="HML91" s="240" t="n"/>
      <c r="HMM91" s="240" t="n"/>
      <c r="HMO91" s="15" t="n"/>
      <c r="HMP91" s="15" t="n"/>
      <c r="HMQ91" s="248" t="n"/>
      <c r="HMR91" s="248" t="n"/>
      <c r="HMS91" s="240" t="n"/>
      <c r="HMT91" s="240" t="n"/>
      <c r="HMV91" s="15" t="n"/>
      <c r="HMW91" s="15" t="n"/>
      <c r="HMX91" s="248" t="n"/>
      <c r="HMY91" s="248" t="n"/>
      <c r="HMZ91" s="240" t="n"/>
      <c r="HNA91" s="240" t="n"/>
      <c r="HNC91" s="15" t="n"/>
      <c r="HND91" s="15" t="n"/>
      <c r="HNE91" s="248" t="n"/>
      <c r="HNF91" s="248" t="n"/>
      <c r="HNG91" s="240" t="n"/>
      <c r="HNH91" s="240" t="n"/>
      <c r="HNJ91" s="15" t="n"/>
      <c r="HNK91" s="15" t="n"/>
      <c r="HNL91" s="248" t="n"/>
      <c r="HNM91" s="248" t="n"/>
      <c r="HNN91" s="240" t="n"/>
      <c r="HNO91" s="240" t="n"/>
      <c r="HNQ91" s="15" t="n"/>
      <c r="HNR91" s="15" t="n"/>
      <c r="HNS91" s="248" t="n"/>
      <c r="HNT91" s="248" t="n"/>
      <c r="HNU91" s="240" t="n"/>
      <c r="HNV91" s="240" t="n"/>
      <c r="HNX91" s="15" t="n"/>
      <c r="HNY91" s="15" t="n"/>
      <c r="HNZ91" s="248" t="n"/>
      <c r="HOA91" s="248" t="n"/>
      <c r="HOB91" s="240" t="n"/>
      <c r="HOC91" s="240" t="n"/>
      <c r="HOE91" s="15" t="n"/>
      <c r="HOF91" s="15" t="n"/>
      <c r="HOG91" s="248" t="n"/>
      <c r="HOH91" s="248" t="n"/>
      <c r="HOI91" s="240" t="n"/>
      <c r="HOJ91" s="240" t="n"/>
      <c r="HOL91" s="15" t="n"/>
      <c r="HOM91" s="15" t="n"/>
      <c r="HON91" s="248" t="n"/>
      <c r="HOO91" s="248" t="n"/>
      <c r="HOP91" s="240" t="n"/>
      <c r="HOQ91" s="240" t="n"/>
      <c r="HOS91" s="15" t="n"/>
      <c r="HOT91" s="15" t="n"/>
      <c r="HOU91" s="248" t="n"/>
      <c r="HOV91" s="248" t="n"/>
      <c r="HOW91" s="240" t="n"/>
      <c r="HOX91" s="240" t="n"/>
      <c r="HOZ91" s="15" t="n"/>
      <c r="HPA91" s="15" t="n"/>
      <c r="HPB91" s="248" t="n"/>
      <c r="HPC91" s="248" t="n"/>
      <c r="HPD91" s="240" t="n"/>
      <c r="HPE91" s="240" t="n"/>
      <c r="HPG91" s="15" t="n"/>
      <c r="HPH91" s="15" t="n"/>
      <c r="HPI91" s="248" t="n"/>
      <c r="HPJ91" s="248" t="n"/>
      <c r="HPK91" s="240" t="n"/>
      <c r="HPL91" s="240" t="n"/>
      <c r="HPN91" s="15" t="n"/>
      <c r="HPO91" s="15" t="n"/>
      <c r="HPP91" s="248" t="n"/>
      <c r="HPQ91" s="248" t="n"/>
      <c r="HPR91" s="240" t="n"/>
      <c r="HPS91" s="240" t="n"/>
      <c r="HPU91" s="15" t="n"/>
      <c r="HPV91" s="15" t="n"/>
      <c r="HPW91" s="248" t="n"/>
      <c r="HPX91" s="248" t="n"/>
      <c r="HPY91" s="240" t="n"/>
      <c r="HPZ91" s="240" t="n"/>
      <c r="HQB91" s="15" t="n"/>
      <c r="HQC91" s="15" t="n"/>
      <c r="HQD91" s="248" t="n"/>
      <c r="HQE91" s="248" t="n"/>
      <c r="HQF91" s="240" t="n"/>
      <c r="HQG91" s="240" t="n"/>
      <c r="HQI91" s="15" t="n"/>
      <c r="HQJ91" s="15" t="n"/>
      <c r="HQK91" s="248" t="n"/>
      <c r="HQL91" s="248" t="n"/>
      <c r="HQM91" s="240" t="n"/>
      <c r="HQN91" s="240" t="n"/>
      <c r="HQP91" s="15" t="n"/>
      <c r="HQQ91" s="15" t="n"/>
      <c r="HQR91" s="248" t="n"/>
      <c r="HQS91" s="248" t="n"/>
      <c r="HQT91" s="240" t="n"/>
      <c r="HQU91" s="240" t="n"/>
      <c r="HQW91" s="15" t="n"/>
      <c r="HQX91" s="15" t="n"/>
      <c r="HQY91" s="248" t="n"/>
      <c r="HQZ91" s="248" t="n"/>
      <c r="HRA91" s="240" t="n"/>
      <c r="HRB91" s="240" t="n"/>
      <c r="HRD91" s="15" t="n"/>
      <c r="HRE91" s="15" t="n"/>
      <c r="HRF91" s="248" t="n"/>
      <c r="HRG91" s="248" t="n"/>
      <c r="HRH91" s="240" t="n"/>
      <c r="HRI91" s="240" t="n"/>
      <c r="HRK91" s="15" t="n"/>
      <c r="HRL91" s="15" t="n"/>
      <c r="HRM91" s="248" t="n"/>
      <c r="HRN91" s="248" t="n"/>
      <c r="HRO91" s="240" t="n"/>
      <c r="HRP91" s="240" t="n"/>
      <c r="HRR91" s="15" t="n"/>
      <c r="HRS91" s="15" t="n"/>
      <c r="HRT91" s="248" t="n"/>
      <c r="HRU91" s="248" t="n"/>
      <c r="HRV91" s="240" t="n"/>
      <c r="HRW91" s="240" t="n"/>
      <c r="HRY91" s="15" t="n"/>
      <c r="HRZ91" s="15" t="n"/>
      <c r="HSA91" s="248" t="n"/>
      <c r="HSB91" s="248" t="n"/>
      <c r="HSC91" s="240" t="n"/>
      <c r="HSD91" s="240" t="n"/>
      <c r="HSF91" s="15" t="n"/>
      <c r="HSG91" s="15" t="n"/>
      <c r="HSH91" s="248" t="n"/>
      <c r="HSI91" s="248" t="n"/>
      <c r="HSJ91" s="240" t="n"/>
      <c r="HSK91" s="240" t="n"/>
      <c r="HSM91" s="15" t="n"/>
      <c r="HSN91" s="15" t="n"/>
      <c r="HSO91" s="248" t="n"/>
      <c r="HSP91" s="248" t="n"/>
      <c r="HSQ91" s="240" t="n"/>
      <c r="HSR91" s="240" t="n"/>
      <c r="HST91" s="15" t="n"/>
      <c r="HSU91" s="15" t="n"/>
      <c r="HSV91" s="248" t="n"/>
      <c r="HSW91" s="248" t="n"/>
      <c r="HSX91" s="240" t="n"/>
      <c r="HSY91" s="240" t="n"/>
      <c r="HTA91" s="15" t="n"/>
      <c r="HTB91" s="15" t="n"/>
      <c r="HTC91" s="248" t="n"/>
      <c r="HTD91" s="248" t="n"/>
      <c r="HTE91" s="240" t="n"/>
      <c r="HTF91" s="240" t="n"/>
      <c r="HTH91" s="15" t="n"/>
      <c r="HTI91" s="15" t="n"/>
      <c r="HTJ91" s="248" t="n"/>
      <c r="HTK91" s="248" t="n"/>
      <c r="HTL91" s="240" t="n"/>
      <c r="HTM91" s="240" t="n"/>
      <c r="HTO91" s="15" t="n"/>
      <c r="HTP91" s="15" t="n"/>
      <c r="HTQ91" s="248" t="n"/>
      <c r="HTR91" s="248" t="n"/>
      <c r="HTS91" s="240" t="n"/>
      <c r="HTT91" s="240" t="n"/>
      <c r="HTV91" s="15" t="n"/>
      <c r="HTW91" s="15" t="n"/>
      <c r="HTX91" s="248" t="n"/>
      <c r="HTY91" s="248" t="n"/>
      <c r="HTZ91" s="240" t="n"/>
      <c r="HUA91" s="240" t="n"/>
      <c r="HUC91" s="15" t="n"/>
      <c r="HUD91" s="15" t="n"/>
      <c r="HUE91" s="248" t="n"/>
      <c r="HUF91" s="248" t="n"/>
      <c r="HUG91" s="240" t="n"/>
      <c r="HUH91" s="240" t="n"/>
      <c r="HUJ91" s="15" t="n"/>
      <c r="HUK91" s="15" t="n"/>
      <c r="HUL91" s="248" t="n"/>
      <c r="HUM91" s="248" t="n"/>
      <c r="HUN91" s="240" t="n"/>
      <c r="HUO91" s="240" t="n"/>
      <c r="HUQ91" s="15" t="n"/>
      <c r="HUR91" s="15" t="n"/>
      <c r="HUS91" s="248" t="n"/>
      <c r="HUT91" s="248" t="n"/>
      <c r="HUU91" s="240" t="n"/>
      <c r="HUV91" s="240" t="n"/>
      <c r="HUX91" s="15" t="n"/>
      <c r="HUY91" s="15" t="n"/>
      <c r="HUZ91" s="248" t="n"/>
      <c r="HVA91" s="248" t="n"/>
      <c r="HVB91" s="240" t="n"/>
      <c r="HVC91" s="240" t="n"/>
      <c r="HVE91" s="15" t="n"/>
      <c r="HVF91" s="15" t="n"/>
      <c r="HVG91" s="248" t="n"/>
      <c r="HVH91" s="248" t="n"/>
      <c r="HVI91" s="240" t="n"/>
      <c r="HVJ91" s="240" t="n"/>
      <c r="HVL91" s="15" t="n"/>
      <c r="HVM91" s="15" t="n"/>
      <c r="HVN91" s="248" t="n"/>
      <c r="HVO91" s="248" t="n"/>
      <c r="HVP91" s="240" t="n"/>
      <c r="HVQ91" s="240" t="n"/>
      <c r="HVS91" s="15" t="n"/>
      <c r="HVT91" s="15" t="n"/>
      <c r="HVU91" s="248" t="n"/>
      <c r="HVV91" s="248" t="n"/>
      <c r="HVW91" s="240" t="n"/>
      <c r="HVX91" s="240" t="n"/>
      <c r="HVZ91" s="15" t="n"/>
      <c r="HWA91" s="15" t="n"/>
      <c r="HWB91" s="248" t="n"/>
      <c r="HWC91" s="248" t="n"/>
      <c r="HWD91" s="240" t="n"/>
      <c r="HWE91" s="240" t="n"/>
      <c r="HWG91" s="15" t="n"/>
      <c r="HWH91" s="15" t="n"/>
      <c r="HWI91" s="248" t="n"/>
      <c r="HWJ91" s="248" t="n"/>
      <c r="HWK91" s="240" t="n"/>
      <c r="HWL91" s="240" t="n"/>
      <c r="HWN91" s="15" t="n"/>
      <c r="HWO91" s="15" t="n"/>
      <c r="HWP91" s="248" t="n"/>
      <c r="HWQ91" s="248" t="n"/>
      <c r="HWR91" s="240" t="n"/>
      <c r="HWS91" s="240" t="n"/>
      <c r="HWU91" s="15" t="n"/>
      <c r="HWV91" s="15" t="n"/>
      <c r="HWW91" s="248" t="n"/>
      <c r="HWX91" s="248" t="n"/>
      <c r="HWY91" s="240" t="n"/>
      <c r="HWZ91" s="240" t="n"/>
      <c r="HXB91" s="15" t="n"/>
      <c r="HXC91" s="15" t="n"/>
      <c r="HXD91" s="248" t="n"/>
      <c r="HXE91" s="248" t="n"/>
      <c r="HXF91" s="240" t="n"/>
      <c r="HXG91" s="240" t="n"/>
      <c r="HXI91" s="15" t="n"/>
      <c r="HXJ91" s="15" t="n"/>
      <c r="HXK91" s="248" t="n"/>
      <c r="HXL91" s="248" t="n"/>
      <c r="HXM91" s="240" t="n"/>
      <c r="HXN91" s="240" t="n"/>
      <c r="HXP91" s="15" t="n"/>
      <c r="HXQ91" s="15" t="n"/>
      <c r="HXR91" s="248" t="n"/>
      <c r="HXS91" s="248" t="n"/>
      <c r="HXT91" s="240" t="n"/>
      <c r="HXU91" s="240" t="n"/>
      <c r="HXW91" s="15" t="n"/>
      <c r="HXX91" s="15" t="n"/>
      <c r="HXY91" s="248" t="n"/>
      <c r="HXZ91" s="248" t="n"/>
      <c r="HYA91" s="240" t="n"/>
      <c r="HYB91" s="240" t="n"/>
      <c r="HYD91" s="15" t="n"/>
      <c r="HYE91" s="15" t="n"/>
      <c r="HYF91" s="248" t="n"/>
      <c r="HYG91" s="248" t="n"/>
      <c r="HYH91" s="240" t="n"/>
      <c r="HYI91" s="240" t="n"/>
      <c r="HYK91" s="15" t="n"/>
      <c r="HYL91" s="15" t="n"/>
      <c r="HYM91" s="248" t="n"/>
      <c r="HYN91" s="248" t="n"/>
      <c r="HYO91" s="240" t="n"/>
      <c r="HYP91" s="240" t="n"/>
      <c r="HYR91" s="15" t="n"/>
      <c r="HYS91" s="15" t="n"/>
      <c r="HYT91" s="248" t="n"/>
      <c r="HYU91" s="248" t="n"/>
      <c r="HYV91" s="240" t="n"/>
      <c r="HYW91" s="240" t="n"/>
      <c r="HYY91" s="15" t="n"/>
      <c r="HYZ91" s="15" t="n"/>
      <c r="HZA91" s="248" t="n"/>
      <c r="HZB91" s="248" t="n"/>
      <c r="HZC91" s="240" t="n"/>
      <c r="HZD91" s="240" t="n"/>
      <c r="HZF91" s="15" t="n"/>
      <c r="HZG91" s="15" t="n"/>
      <c r="HZH91" s="248" t="n"/>
      <c r="HZI91" s="248" t="n"/>
      <c r="HZJ91" s="240" t="n"/>
      <c r="HZK91" s="240" t="n"/>
      <c r="HZM91" s="15" t="n"/>
      <c r="HZN91" s="15" t="n"/>
      <c r="HZO91" s="248" t="n"/>
      <c r="HZP91" s="248" t="n"/>
      <c r="HZQ91" s="240" t="n"/>
      <c r="HZR91" s="240" t="n"/>
      <c r="HZT91" s="15" t="n"/>
      <c r="HZU91" s="15" t="n"/>
      <c r="HZV91" s="248" t="n"/>
      <c r="HZW91" s="248" t="n"/>
      <c r="HZX91" s="240" t="n"/>
      <c r="HZY91" s="240" t="n"/>
      <c r="IAA91" s="15" t="n"/>
      <c r="IAB91" s="15" t="n"/>
      <c r="IAC91" s="248" t="n"/>
      <c r="IAD91" s="248" t="n"/>
      <c r="IAE91" s="240" t="n"/>
      <c r="IAF91" s="240" t="n"/>
      <c r="IAH91" s="15" t="n"/>
      <c r="IAI91" s="15" t="n"/>
      <c r="IAJ91" s="248" t="n"/>
      <c r="IAK91" s="248" t="n"/>
      <c r="IAL91" s="240" t="n"/>
      <c r="IAM91" s="240" t="n"/>
      <c r="IAO91" s="15" t="n"/>
      <c r="IAP91" s="15" t="n"/>
      <c r="IAQ91" s="248" t="n"/>
      <c r="IAR91" s="248" t="n"/>
      <c r="IAS91" s="240" t="n"/>
      <c r="IAT91" s="240" t="n"/>
      <c r="IAV91" s="15" t="n"/>
      <c r="IAW91" s="15" t="n"/>
      <c r="IAX91" s="248" t="n"/>
      <c r="IAY91" s="248" t="n"/>
      <c r="IAZ91" s="240" t="n"/>
      <c r="IBA91" s="240" t="n"/>
      <c r="IBC91" s="15" t="n"/>
      <c r="IBD91" s="15" t="n"/>
      <c r="IBE91" s="248" t="n"/>
      <c r="IBF91" s="248" t="n"/>
      <c r="IBG91" s="240" t="n"/>
      <c r="IBH91" s="240" t="n"/>
      <c r="IBJ91" s="15" t="n"/>
      <c r="IBK91" s="15" t="n"/>
      <c r="IBL91" s="248" t="n"/>
      <c r="IBM91" s="248" t="n"/>
      <c r="IBN91" s="240" t="n"/>
      <c r="IBO91" s="240" t="n"/>
      <c r="IBQ91" s="15" t="n"/>
      <c r="IBR91" s="15" t="n"/>
      <c r="IBS91" s="248" t="n"/>
      <c r="IBT91" s="248" t="n"/>
      <c r="IBU91" s="240" t="n"/>
      <c r="IBV91" s="240" t="n"/>
      <c r="IBX91" s="15" t="n"/>
      <c r="IBY91" s="15" t="n"/>
      <c r="IBZ91" s="248" t="n"/>
      <c r="ICA91" s="248" t="n"/>
      <c r="ICB91" s="240" t="n"/>
      <c r="ICC91" s="240" t="n"/>
      <c r="ICE91" s="15" t="n"/>
      <c r="ICF91" s="15" t="n"/>
      <c r="ICG91" s="248" t="n"/>
      <c r="ICH91" s="248" t="n"/>
      <c r="ICI91" s="240" t="n"/>
      <c r="ICJ91" s="240" t="n"/>
      <c r="ICL91" s="15" t="n"/>
      <c r="ICM91" s="15" t="n"/>
      <c r="ICN91" s="248" t="n"/>
      <c r="ICO91" s="248" t="n"/>
      <c r="ICP91" s="240" t="n"/>
      <c r="ICQ91" s="240" t="n"/>
      <c r="ICS91" s="15" t="n"/>
      <c r="ICT91" s="15" t="n"/>
      <c r="ICU91" s="248" t="n"/>
      <c r="ICV91" s="248" t="n"/>
      <c r="ICW91" s="240" t="n"/>
      <c r="ICX91" s="240" t="n"/>
      <c r="ICZ91" s="15" t="n"/>
      <c r="IDA91" s="15" t="n"/>
      <c r="IDB91" s="248" t="n"/>
      <c r="IDC91" s="248" t="n"/>
      <c r="IDD91" s="240" t="n"/>
      <c r="IDE91" s="240" t="n"/>
      <c r="IDG91" s="15" t="n"/>
      <c r="IDH91" s="15" t="n"/>
      <c r="IDI91" s="248" t="n"/>
      <c r="IDJ91" s="248" t="n"/>
      <c r="IDK91" s="240" t="n"/>
      <c r="IDL91" s="240" t="n"/>
      <c r="IDN91" s="15" t="n"/>
      <c r="IDO91" s="15" t="n"/>
      <c r="IDP91" s="248" t="n"/>
      <c r="IDQ91" s="248" t="n"/>
      <c r="IDR91" s="240" t="n"/>
      <c r="IDS91" s="240" t="n"/>
      <c r="IDU91" s="15" t="n"/>
      <c r="IDV91" s="15" t="n"/>
      <c r="IDW91" s="248" t="n"/>
      <c r="IDX91" s="248" t="n"/>
      <c r="IDY91" s="240" t="n"/>
      <c r="IDZ91" s="240" t="n"/>
      <c r="IEB91" s="15" t="n"/>
      <c r="IEC91" s="15" t="n"/>
      <c r="IED91" s="248" t="n"/>
      <c r="IEE91" s="248" t="n"/>
      <c r="IEF91" s="240" t="n"/>
      <c r="IEG91" s="240" t="n"/>
      <c r="IEI91" s="15" t="n"/>
      <c r="IEJ91" s="15" t="n"/>
      <c r="IEK91" s="248" t="n"/>
      <c r="IEL91" s="248" t="n"/>
      <c r="IEM91" s="240" t="n"/>
      <c r="IEN91" s="240" t="n"/>
      <c r="IEP91" s="15" t="n"/>
      <c r="IEQ91" s="15" t="n"/>
      <c r="IER91" s="248" t="n"/>
      <c r="IES91" s="248" t="n"/>
      <c r="IET91" s="240" t="n"/>
      <c r="IEU91" s="240" t="n"/>
      <c r="IEW91" s="15" t="n"/>
      <c r="IEX91" s="15" t="n"/>
      <c r="IEY91" s="248" t="n"/>
      <c r="IEZ91" s="248" t="n"/>
      <c r="IFA91" s="240" t="n"/>
      <c r="IFB91" s="240" t="n"/>
      <c r="IFD91" s="15" t="n"/>
      <c r="IFE91" s="15" t="n"/>
      <c r="IFF91" s="248" t="n"/>
      <c r="IFG91" s="248" t="n"/>
      <c r="IFH91" s="240" t="n"/>
      <c r="IFI91" s="240" t="n"/>
      <c r="IFK91" s="15" t="n"/>
      <c r="IFL91" s="15" t="n"/>
      <c r="IFM91" s="248" t="n"/>
      <c r="IFN91" s="248" t="n"/>
      <c r="IFO91" s="240" t="n"/>
      <c r="IFP91" s="240" t="n"/>
      <c r="IFR91" s="15" t="n"/>
      <c r="IFS91" s="15" t="n"/>
      <c r="IFT91" s="248" t="n"/>
      <c r="IFU91" s="248" t="n"/>
      <c r="IFV91" s="240" t="n"/>
      <c r="IFW91" s="240" t="n"/>
      <c r="IFY91" s="15" t="n"/>
      <c r="IFZ91" s="15" t="n"/>
      <c r="IGA91" s="248" t="n"/>
      <c r="IGB91" s="248" t="n"/>
      <c r="IGC91" s="240" t="n"/>
      <c r="IGD91" s="240" t="n"/>
      <c r="IGF91" s="15" t="n"/>
      <c r="IGG91" s="15" t="n"/>
      <c r="IGH91" s="248" t="n"/>
      <c r="IGI91" s="248" t="n"/>
      <c r="IGJ91" s="240" t="n"/>
      <c r="IGK91" s="240" t="n"/>
      <c r="IGM91" s="15" t="n"/>
      <c r="IGN91" s="15" t="n"/>
      <c r="IGO91" s="248" t="n"/>
      <c r="IGP91" s="248" t="n"/>
      <c r="IGQ91" s="240" t="n"/>
      <c r="IGR91" s="240" t="n"/>
      <c r="IGT91" s="15" t="n"/>
      <c r="IGU91" s="15" t="n"/>
      <c r="IGV91" s="248" t="n"/>
      <c r="IGW91" s="248" t="n"/>
      <c r="IGX91" s="240" t="n"/>
      <c r="IGY91" s="240" t="n"/>
      <c r="IHA91" s="15" t="n"/>
      <c r="IHB91" s="15" t="n"/>
      <c r="IHC91" s="248" t="n"/>
      <c r="IHD91" s="248" t="n"/>
      <c r="IHE91" s="240" t="n"/>
      <c r="IHF91" s="240" t="n"/>
      <c r="IHH91" s="15" t="n"/>
      <c r="IHI91" s="15" t="n"/>
      <c r="IHJ91" s="248" t="n"/>
      <c r="IHK91" s="248" t="n"/>
      <c r="IHL91" s="240" t="n"/>
      <c r="IHM91" s="240" t="n"/>
      <c r="IHO91" s="15" t="n"/>
      <c r="IHP91" s="15" t="n"/>
      <c r="IHQ91" s="248" t="n"/>
      <c r="IHR91" s="248" t="n"/>
      <c r="IHS91" s="240" t="n"/>
      <c r="IHT91" s="240" t="n"/>
      <c r="IHV91" s="15" t="n"/>
      <c r="IHW91" s="15" t="n"/>
      <c r="IHX91" s="248" t="n"/>
      <c r="IHY91" s="248" t="n"/>
      <c r="IHZ91" s="240" t="n"/>
      <c r="IIA91" s="240" t="n"/>
      <c r="IIC91" s="15" t="n"/>
      <c r="IID91" s="15" t="n"/>
      <c r="IIE91" s="248" t="n"/>
      <c r="IIF91" s="248" t="n"/>
      <c r="IIG91" s="240" t="n"/>
      <c r="IIH91" s="240" t="n"/>
      <c r="IIJ91" s="15" t="n"/>
      <c r="IIK91" s="15" t="n"/>
      <c r="IIL91" s="248" t="n"/>
      <c r="IIM91" s="248" t="n"/>
      <c r="IIN91" s="240" t="n"/>
      <c r="IIO91" s="240" t="n"/>
      <c r="IIQ91" s="15" t="n"/>
      <c r="IIR91" s="15" t="n"/>
      <c r="IIS91" s="248" t="n"/>
      <c r="IIT91" s="248" t="n"/>
      <c r="IIU91" s="240" t="n"/>
      <c r="IIV91" s="240" t="n"/>
      <c r="IIX91" s="15" t="n"/>
      <c r="IIY91" s="15" t="n"/>
      <c r="IIZ91" s="248" t="n"/>
      <c r="IJA91" s="248" t="n"/>
      <c r="IJB91" s="240" t="n"/>
      <c r="IJC91" s="240" t="n"/>
      <c r="IJE91" s="15" t="n"/>
      <c r="IJF91" s="15" t="n"/>
      <c r="IJG91" s="248" t="n"/>
      <c r="IJH91" s="248" t="n"/>
      <c r="IJI91" s="240" t="n"/>
      <c r="IJJ91" s="240" t="n"/>
      <c r="IJL91" s="15" t="n"/>
      <c r="IJM91" s="15" t="n"/>
      <c r="IJN91" s="248" t="n"/>
      <c r="IJO91" s="248" t="n"/>
      <c r="IJP91" s="240" t="n"/>
      <c r="IJQ91" s="240" t="n"/>
      <c r="IJS91" s="15" t="n"/>
      <c r="IJT91" s="15" t="n"/>
      <c r="IJU91" s="248" t="n"/>
      <c r="IJV91" s="248" t="n"/>
      <c r="IJW91" s="240" t="n"/>
      <c r="IJX91" s="240" t="n"/>
      <c r="IJZ91" s="15" t="n"/>
      <c r="IKA91" s="15" t="n"/>
      <c r="IKB91" s="248" t="n"/>
      <c r="IKC91" s="248" t="n"/>
      <c r="IKD91" s="240" t="n"/>
      <c r="IKE91" s="240" t="n"/>
      <c r="IKG91" s="15" t="n"/>
      <c r="IKH91" s="15" t="n"/>
      <c r="IKI91" s="248" t="n"/>
      <c r="IKJ91" s="248" t="n"/>
      <c r="IKK91" s="240" t="n"/>
      <c r="IKL91" s="240" t="n"/>
      <c r="IKN91" s="15" t="n"/>
      <c r="IKO91" s="15" t="n"/>
      <c r="IKP91" s="248" t="n"/>
      <c r="IKQ91" s="248" t="n"/>
      <c r="IKR91" s="240" t="n"/>
      <c r="IKS91" s="240" t="n"/>
      <c r="IKU91" s="15" t="n"/>
      <c r="IKV91" s="15" t="n"/>
      <c r="IKW91" s="248" t="n"/>
      <c r="IKX91" s="248" t="n"/>
      <c r="IKY91" s="240" t="n"/>
      <c r="IKZ91" s="240" t="n"/>
      <c r="ILB91" s="15" t="n"/>
      <c r="ILC91" s="15" t="n"/>
      <c r="ILD91" s="248" t="n"/>
      <c r="ILE91" s="248" t="n"/>
      <c r="ILF91" s="240" t="n"/>
      <c r="ILG91" s="240" t="n"/>
      <c r="ILI91" s="15" t="n"/>
      <c r="ILJ91" s="15" t="n"/>
      <c r="ILK91" s="248" t="n"/>
      <c r="ILL91" s="248" t="n"/>
      <c r="ILM91" s="240" t="n"/>
      <c r="ILN91" s="240" t="n"/>
      <c r="ILP91" s="15" t="n"/>
      <c r="ILQ91" s="15" t="n"/>
      <c r="ILR91" s="248" t="n"/>
      <c r="ILS91" s="248" t="n"/>
      <c r="ILT91" s="240" t="n"/>
      <c r="ILU91" s="240" t="n"/>
      <c r="ILW91" s="15" t="n"/>
      <c r="ILX91" s="15" t="n"/>
      <c r="ILY91" s="248" t="n"/>
      <c r="ILZ91" s="248" t="n"/>
      <c r="IMA91" s="240" t="n"/>
      <c r="IMB91" s="240" t="n"/>
      <c r="IMD91" s="15" t="n"/>
      <c r="IME91" s="15" t="n"/>
      <c r="IMF91" s="248" t="n"/>
      <c r="IMG91" s="248" t="n"/>
      <c r="IMH91" s="240" t="n"/>
      <c r="IMI91" s="240" t="n"/>
      <c r="IMK91" s="15" t="n"/>
      <c r="IML91" s="15" t="n"/>
      <c r="IMM91" s="248" t="n"/>
      <c r="IMN91" s="248" t="n"/>
      <c r="IMO91" s="240" t="n"/>
      <c r="IMP91" s="240" t="n"/>
      <c r="IMR91" s="15" t="n"/>
      <c r="IMS91" s="15" t="n"/>
      <c r="IMT91" s="248" t="n"/>
      <c r="IMU91" s="248" t="n"/>
      <c r="IMV91" s="240" t="n"/>
      <c r="IMW91" s="240" t="n"/>
      <c r="IMY91" s="15" t="n"/>
      <c r="IMZ91" s="15" t="n"/>
      <c r="INA91" s="248" t="n"/>
      <c r="INB91" s="248" t="n"/>
      <c r="INC91" s="240" t="n"/>
      <c r="IND91" s="240" t="n"/>
      <c r="INF91" s="15" t="n"/>
      <c r="ING91" s="15" t="n"/>
      <c r="INH91" s="248" t="n"/>
      <c r="INI91" s="248" t="n"/>
      <c r="INJ91" s="240" t="n"/>
      <c r="INK91" s="240" t="n"/>
      <c r="INM91" s="15" t="n"/>
      <c r="INN91" s="15" t="n"/>
      <c r="INO91" s="248" t="n"/>
      <c r="INP91" s="248" t="n"/>
      <c r="INQ91" s="240" t="n"/>
      <c r="INR91" s="240" t="n"/>
      <c r="INT91" s="15" t="n"/>
      <c r="INU91" s="15" t="n"/>
      <c r="INV91" s="248" t="n"/>
      <c r="INW91" s="248" t="n"/>
      <c r="INX91" s="240" t="n"/>
      <c r="INY91" s="240" t="n"/>
      <c r="IOA91" s="15" t="n"/>
      <c r="IOB91" s="15" t="n"/>
      <c r="IOC91" s="248" t="n"/>
      <c r="IOD91" s="248" t="n"/>
      <c r="IOE91" s="240" t="n"/>
      <c r="IOF91" s="240" t="n"/>
      <c r="IOH91" s="15" t="n"/>
      <c r="IOI91" s="15" t="n"/>
      <c r="IOJ91" s="248" t="n"/>
      <c r="IOK91" s="248" t="n"/>
      <c r="IOL91" s="240" t="n"/>
      <c r="IOM91" s="240" t="n"/>
      <c r="IOO91" s="15" t="n"/>
      <c r="IOP91" s="15" t="n"/>
      <c r="IOQ91" s="248" t="n"/>
      <c r="IOR91" s="248" t="n"/>
      <c r="IOS91" s="240" t="n"/>
      <c r="IOT91" s="240" t="n"/>
      <c r="IOV91" s="15" t="n"/>
      <c r="IOW91" s="15" t="n"/>
      <c r="IOX91" s="248" t="n"/>
      <c r="IOY91" s="248" t="n"/>
      <c r="IOZ91" s="240" t="n"/>
      <c r="IPA91" s="240" t="n"/>
      <c r="IPC91" s="15" t="n"/>
      <c r="IPD91" s="15" t="n"/>
      <c r="IPE91" s="248" t="n"/>
      <c r="IPF91" s="248" t="n"/>
      <c r="IPG91" s="240" t="n"/>
      <c r="IPH91" s="240" t="n"/>
      <c r="IPJ91" s="15" t="n"/>
      <c r="IPK91" s="15" t="n"/>
      <c r="IPL91" s="248" t="n"/>
      <c r="IPM91" s="248" t="n"/>
      <c r="IPN91" s="240" t="n"/>
      <c r="IPO91" s="240" t="n"/>
      <c r="IPQ91" s="15" t="n"/>
      <c r="IPR91" s="15" t="n"/>
      <c r="IPS91" s="248" t="n"/>
      <c r="IPT91" s="248" t="n"/>
      <c r="IPU91" s="240" t="n"/>
      <c r="IPV91" s="240" t="n"/>
      <c r="IPX91" s="15" t="n"/>
      <c r="IPY91" s="15" t="n"/>
      <c r="IPZ91" s="248" t="n"/>
      <c r="IQA91" s="248" t="n"/>
      <c r="IQB91" s="240" t="n"/>
      <c r="IQC91" s="240" t="n"/>
      <c r="IQE91" s="15" t="n"/>
      <c r="IQF91" s="15" t="n"/>
      <c r="IQG91" s="248" t="n"/>
      <c r="IQH91" s="248" t="n"/>
      <c r="IQI91" s="240" t="n"/>
      <c r="IQJ91" s="240" t="n"/>
      <c r="IQL91" s="15" t="n"/>
      <c r="IQM91" s="15" t="n"/>
      <c r="IQN91" s="248" t="n"/>
      <c r="IQO91" s="248" t="n"/>
      <c r="IQP91" s="240" t="n"/>
      <c r="IQQ91" s="240" t="n"/>
      <c r="IQS91" s="15" t="n"/>
      <c r="IQT91" s="15" t="n"/>
      <c r="IQU91" s="248" t="n"/>
      <c r="IQV91" s="248" t="n"/>
      <c r="IQW91" s="240" t="n"/>
      <c r="IQX91" s="240" t="n"/>
      <c r="IQZ91" s="15" t="n"/>
      <c r="IRA91" s="15" t="n"/>
      <c r="IRB91" s="248" t="n"/>
      <c r="IRC91" s="248" t="n"/>
      <c r="IRD91" s="240" t="n"/>
      <c r="IRE91" s="240" t="n"/>
      <c r="IRG91" s="15" t="n"/>
      <c r="IRH91" s="15" t="n"/>
      <c r="IRI91" s="248" t="n"/>
      <c r="IRJ91" s="248" t="n"/>
      <c r="IRK91" s="240" t="n"/>
      <c r="IRL91" s="240" t="n"/>
      <c r="IRN91" s="15" t="n"/>
      <c r="IRO91" s="15" t="n"/>
      <c r="IRP91" s="248" t="n"/>
      <c r="IRQ91" s="248" t="n"/>
      <c r="IRR91" s="240" t="n"/>
      <c r="IRS91" s="240" t="n"/>
      <c r="IRU91" s="15" t="n"/>
      <c r="IRV91" s="15" t="n"/>
      <c r="IRW91" s="248" t="n"/>
      <c r="IRX91" s="248" t="n"/>
      <c r="IRY91" s="240" t="n"/>
      <c r="IRZ91" s="240" t="n"/>
      <c r="ISB91" s="15" t="n"/>
      <c r="ISC91" s="15" t="n"/>
      <c r="ISD91" s="248" t="n"/>
      <c r="ISE91" s="248" t="n"/>
      <c r="ISF91" s="240" t="n"/>
      <c r="ISG91" s="240" t="n"/>
      <c r="ISI91" s="15" t="n"/>
      <c r="ISJ91" s="15" t="n"/>
      <c r="ISK91" s="248" t="n"/>
      <c r="ISL91" s="248" t="n"/>
      <c r="ISM91" s="240" t="n"/>
      <c r="ISN91" s="240" t="n"/>
      <c r="ISP91" s="15" t="n"/>
      <c r="ISQ91" s="15" t="n"/>
      <c r="ISR91" s="248" t="n"/>
      <c r="ISS91" s="248" t="n"/>
      <c r="IST91" s="240" t="n"/>
      <c r="ISU91" s="240" t="n"/>
      <c r="ISW91" s="15" t="n"/>
      <c r="ISX91" s="15" t="n"/>
      <c r="ISY91" s="248" t="n"/>
      <c r="ISZ91" s="248" t="n"/>
      <c r="ITA91" s="240" t="n"/>
      <c r="ITB91" s="240" t="n"/>
      <c r="ITD91" s="15" t="n"/>
      <c r="ITE91" s="15" t="n"/>
      <c r="ITF91" s="248" t="n"/>
      <c r="ITG91" s="248" t="n"/>
      <c r="ITH91" s="240" t="n"/>
      <c r="ITI91" s="240" t="n"/>
      <c r="ITK91" s="15" t="n"/>
      <c r="ITL91" s="15" t="n"/>
      <c r="ITM91" s="248" t="n"/>
      <c r="ITN91" s="248" t="n"/>
      <c r="ITO91" s="240" t="n"/>
      <c r="ITP91" s="240" t="n"/>
      <c r="ITR91" s="15" t="n"/>
      <c r="ITS91" s="15" t="n"/>
      <c r="ITT91" s="248" t="n"/>
      <c r="ITU91" s="248" t="n"/>
      <c r="ITV91" s="240" t="n"/>
      <c r="ITW91" s="240" t="n"/>
      <c r="ITY91" s="15" t="n"/>
      <c r="ITZ91" s="15" t="n"/>
      <c r="IUA91" s="248" t="n"/>
      <c r="IUB91" s="248" t="n"/>
      <c r="IUC91" s="240" t="n"/>
      <c r="IUD91" s="240" t="n"/>
      <c r="IUF91" s="15" t="n"/>
      <c r="IUG91" s="15" t="n"/>
      <c r="IUH91" s="248" t="n"/>
      <c r="IUI91" s="248" t="n"/>
      <c r="IUJ91" s="240" t="n"/>
      <c r="IUK91" s="240" t="n"/>
      <c r="IUM91" s="15" t="n"/>
      <c r="IUN91" s="15" t="n"/>
      <c r="IUO91" s="248" t="n"/>
      <c r="IUP91" s="248" t="n"/>
      <c r="IUQ91" s="240" t="n"/>
      <c r="IUR91" s="240" t="n"/>
      <c r="IUT91" s="15" t="n"/>
      <c r="IUU91" s="15" t="n"/>
      <c r="IUV91" s="248" t="n"/>
      <c r="IUW91" s="248" t="n"/>
      <c r="IUX91" s="240" t="n"/>
      <c r="IUY91" s="240" t="n"/>
      <c r="IVA91" s="15" t="n"/>
      <c r="IVB91" s="15" t="n"/>
      <c r="IVC91" s="248" t="n"/>
      <c r="IVD91" s="248" t="n"/>
      <c r="IVE91" s="240" t="n"/>
      <c r="IVF91" s="240" t="n"/>
      <c r="IVH91" s="15" t="n"/>
      <c r="IVI91" s="15" t="n"/>
      <c r="IVJ91" s="248" t="n"/>
      <c r="IVK91" s="248" t="n"/>
      <c r="IVL91" s="240" t="n"/>
      <c r="IVM91" s="240" t="n"/>
      <c r="IVO91" s="15" t="n"/>
      <c r="IVP91" s="15" t="n"/>
      <c r="IVQ91" s="248" t="n"/>
      <c r="IVR91" s="248" t="n"/>
      <c r="IVS91" s="240" t="n"/>
      <c r="IVT91" s="240" t="n"/>
      <c r="IVV91" s="15" t="n"/>
      <c r="IVW91" s="15" t="n"/>
      <c r="IVX91" s="248" t="n"/>
      <c r="IVY91" s="248" t="n"/>
      <c r="IVZ91" s="240" t="n"/>
      <c r="IWA91" s="240" t="n"/>
      <c r="IWC91" s="15" t="n"/>
      <c r="IWD91" s="15" t="n"/>
      <c r="IWE91" s="248" t="n"/>
      <c r="IWF91" s="248" t="n"/>
      <c r="IWG91" s="240" t="n"/>
      <c r="IWH91" s="240" t="n"/>
      <c r="IWJ91" s="15" t="n"/>
      <c r="IWK91" s="15" t="n"/>
      <c r="IWL91" s="248" t="n"/>
      <c r="IWM91" s="248" t="n"/>
      <c r="IWN91" s="240" t="n"/>
      <c r="IWO91" s="240" t="n"/>
      <c r="IWQ91" s="15" t="n"/>
      <c r="IWR91" s="15" t="n"/>
      <c r="IWS91" s="248" t="n"/>
      <c r="IWT91" s="248" t="n"/>
      <c r="IWU91" s="240" t="n"/>
      <c r="IWV91" s="240" t="n"/>
      <c r="IWX91" s="15" t="n"/>
      <c r="IWY91" s="15" t="n"/>
      <c r="IWZ91" s="248" t="n"/>
      <c r="IXA91" s="248" t="n"/>
      <c r="IXB91" s="240" t="n"/>
      <c r="IXC91" s="240" t="n"/>
      <c r="IXE91" s="15" t="n"/>
      <c r="IXF91" s="15" t="n"/>
      <c r="IXG91" s="248" t="n"/>
      <c r="IXH91" s="248" t="n"/>
      <c r="IXI91" s="240" t="n"/>
      <c r="IXJ91" s="240" t="n"/>
      <c r="IXL91" s="15" t="n"/>
      <c r="IXM91" s="15" t="n"/>
      <c r="IXN91" s="248" t="n"/>
      <c r="IXO91" s="248" t="n"/>
      <c r="IXP91" s="240" t="n"/>
      <c r="IXQ91" s="240" t="n"/>
      <c r="IXS91" s="15" t="n"/>
      <c r="IXT91" s="15" t="n"/>
      <c r="IXU91" s="248" t="n"/>
      <c r="IXV91" s="248" t="n"/>
      <c r="IXW91" s="240" t="n"/>
      <c r="IXX91" s="240" t="n"/>
      <c r="IXZ91" s="15" t="n"/>
      <c r="IYA91" s="15" t="n"/>
      <c r="IYB91" s="248" t="n"/>
      <c r="IYC91" s="248" t="n"/>
      <c r="IYD91" s="240" t="n"/>
      <c r="IYE91" s="240" t="n"/>
      <c r="IYG91" s="15" t="n"/>
      <c r="IYH91" s="15" t="n"/>
      <c r="IYI91" s="248" t="n"/>
      <c r="IYJ91" s="248" t="n"/>
      <c r="IYK91" s="240" t="n"/>
      <c r="IYL91" s="240" t="n"/>
      <c r="IYN91" s="15" t="n"/>
      <c r="IYO91" s="15" t="n"/>
      <c r="IYP91" s="248" t="n"/>
      <c r="IYQ91" s="248" t="n"/>
      <c r="IYR91" s="240" t="n"/>
      <c r="IYS91" s="240" t="n"/>
      <c r="IYU91" s="15" t="n"/>
      <c r="IYV91" s="15" t="n"/>
      <c r="IYW91" s="248" t="n"/>
      <c r="IYX91" s="248" t="n"/>
      <c r="IYY91" s="240" t="n"/>
      <c r="IYZ91" s="240" t="n"/>
      <c r="IZB91" s="15" t="n"/>
      <c r="IZC91" s="15" t="n"/>
      <c r="IZD91" s="248" t="n"/>
      <c r="IZE91" s="248" t="n"/>
      <c r="IZF91" s="240" t="n"/>
      <c r="IZG91" s="240" t="n"/>
      <c r="IZI91" s="15" t="n"/>
      <c r="IZJ91" s="15" t="n"/>
      <c r="IZK91" s="248" t="n"/>
      <c r="IZL91" s="248" t="n"/>
      <c r="IZM91" s="240" t="n"/>
      <c r="IZN91" s="240" t="n"/>
      <c r="IZP91" s="15" t="n"/>
      <c r="IZQ91" s="15" t="n"/>
      <c r="IZR91" s="248" t="n"/>
      <c r="IZS91" s="248" t="n"/>
      <c r="IZT91" s="240" t="n"/>
      <c r="IZU91" s="240" t="n"/>
      <c r="IZW91" s="15" t="n"/>
      <c r="IZX91" s="15" t="n"/>
      <c r="IZY91" s="248" t="n"/>
      <c r="IZZ91" s="248" t="n"/>
      <c r="JAA91" s="240" t="n"/>
      <c r="JAB91" s="240" t="n"/>
      <c r="JAD91" s="15" t="n"/>
      <c r="JAE91" s="15" t="n"/>
      <c r="JAF91" s="248" t="n"/>
      <c r="JAG91" s="248" t="n"/>
      <c r="JAH91" s="240" t="n"/>
      <c r="JAI91" s="240" t="n"/>
      <c r="JAK91" s="15" t="n"/>
      <c r="JAL91" s="15" t="n"/>
      <c r="JAM91" s="248" t="n"/>
      <c r="JAN91" s="248" t="n"/>
      <c r="JAO91" s="240" t="n"/>
      <c r="JAP91" s="240" t="n"/>
      <c r="JAR91" s="15" t="n"/>
      <c r="JAS91" s="15" t="n"/>
      <c r="JAT91" s="248" t="n"/>
      <c r="JAU91" s="248" t="n"/>
      <c r="JAV91" s="240" t="n"/>
      <c r="JAW91" s="240" t="n"/>
      <c r="JAY91" s="15" t="n"/>
      <c r="JAZ91" s="15" t="n"/>
      <c r="JBA91" s="248" t="n"/>
      <c r="JBB91" s="248" t="n"/>
      <c r="JBC91" s="240" t="n"/>
      <c r="JBD91" s="240" t="n"/>
      <c r="JBF91" s="15" t="n"/>
      <c r="JBG91" s="15" t="n"/>
      <c r="JBH91" s="248" t="n"/>
      <c r="JBI91" s="248" t="n"/>
      <c r="JBJ91" s="240" t="n"/>
      <c r="JBK91" s="240" t="n"/>
      <c r="JBM91" s="15" t="n"/>
      <c r="JBN91" s="15" t="n"/>
      <c r="JBO91" s="248" t="n"/>
      <c r="JBP91" s="248" t="n"/>
      <c r="JBQ91" s="240" t="n"/>
      <c r="JBR91" s="240" t="n"/>
      <c r="JBT91" s="15" t="n"/>
      <c r="JBU91" s="15" t="n"/>
      <c r="JBV91" s="248" t="n"/>
      <c r="JBW91" s="248" t="n"/>
      <c r="JBX91" s="240" t="n"/>
      <c r="JBY91" s="240" t="n"/>
      <c r="JCA91" s="15" t="n"/>
      <c r="JCB91" s="15" t="n"/>
      <c r="JCC91" s="248" t="n"/>
      <c r="JCD91" s="248" t="n"/>
      <c r="JCE91" s="240" t="n"/>
      <c r="JCF91" s="240" t="n"/>
      <c r="JCH91" s="15" t="n"/>
      <c r="JCI91" s="15" t="n"/>
      <c r="JCJ91" s="248" t="n"/>
      <c r="JCK91" s="248" t="n"/>
      <c r="JCL91" s="240" t="n"/>
      <c r="JCM91" s="240" t="n"/>
      <c r="JCO91" s="15" t="n"/>
      <c r="JCP91" s="15" t="n"/>
      <c r="JCQ91" s="248" t="n"/>
      <c r="JCR91" s="248" t="n"/>
      <c r="JCS91" s="240" t="n"/>
      <c r="JCT91" s="240" t="n"/>
      <c r="JCV91" s="15" t="n"/>
      <c r="JCW91" s="15" t="n"/>
      <c r="JCX91" s="248" t="n"/>
      <c r="JCY91" s="248" t="n"/>
      <c r="JCZ91" s="240" t="n"/>
      <c r="JDA91" s="240" t="n"/>
      <c r="JDC91" s="15" t="n"/>
      <c r="JDD91" s="15" t="n"/>
      <c r="JDE91" s="248" t="n"/>
      <c r="JDF91" s="248" t="n"/>
      <c r="JDG91" s="240" t="n"/>
      <c r="JDH91" s="240" t="n"/>
      <c r="JDJ91" s="15" t="n"/>
      <c r="JDK91" s="15" t="n"/>
      <c r="JDL91" s="248" t="n"/>
      <c r="JDM91" s="248" t="n"/>
      <c r="JDN91" s="240" t="n"/>
      <c r="JDO91" s="240" t="n"/>
      <c r="JDQ91" s="15" t="n"/>
      <c r="JDR91" s="15" t="n"/>
      <c r="JDS91" s="248" t="n"/>
      <c r="JDT91" s="248" t="n"/>
      <c r="JDU91" s="240" t="n"/>
      <c r="JDV91" s="240" t="n"/>
      <c r="JDX91" s="15" t="n"/>
      <c r="JDY91" s="15" t="n"/>
      <c r="JDZ91" s="248" t="n"/>
      <c r="JEA91" s="248" t="n"/>
      <c r="JEB91" s="240" t="n"/>
      <c r="JEC91" s="240" t="n"/>
      <c r="JEE91" s="15" t="n"/>
      <c r="JEF91" s="15" t="n"/>
      <c r="JEG91" s="248" t="n"/>
      <c r="JEH91" s="248" t="n"/>
      <c r="JEI91" s="240" t="n"/>
      <c r="JEJ91" s="240" t="n"/>
      <c r="JEL91" s="15" t="n"/>
      <c r="JEM91" s="15" t="n"/>
      <c r="JEN91" s="248" t="n"/>
      <c r="JEO91" s="248" t="n"/>
      <c r="JEP91" s="240" t="n"/>
      <c r="JEQ91" s="240" t="n"/>
      <c r="JES91" s="15" t="n"/>
      <c r="JET91" s="15" t="n"/>
      <c r="JEU91" s="248" t="n"/>
      <c r="JEV91" s="248" t="n"/>
      <c r="JEW91" s="240" t="n"/>
      <c r="JEX91" s="240" t="n"/>
      <c r="JEZ91" s="15" t="n"/>
      <c r="JFA91" s="15" t="n"/>
      <c r="JFB91" s="248" t="n"/>
      <c r="JFC91" s="248" t="n"/>
      <c r="JFD91" s="240" t="n"/>
      <c r="JFE91" s="240" t="n"/>
      <c r="JFG91" s="15" t="n"/>
      <c r="JFH91" s="15" t="n"/>
      <c r="JFI91" s="248" t="n"/>
      <c r="JFJ91" s="248" t="n"/>
      <c r="JFK91" s="240" t="n"/>
      <c r="JFL91" s="240" t="n"/>
      <c r="JFN91" s="15" t="n"/>
      <c r="JFO91" s="15" t="n"/>
      <c r="JFP91" s="248" t="n"/>
      <c r="JFQ91" s="248" t="n"/>
      <c r="JFR91" s="240" t="n"/>
      <c r="JFS91" s="240" t="n"/>
      <c r="JFU91" s="15" t="n"/>
      <c r="JFV91" s="15" t="n"/>
      <c r="JFW91" s="248" t="n"/>
      <c r="JFX91" s="248" t="n"/>
      <c r="JFY91" s="240" t="n"/>
      <c r="JFZ91" s="240" t="n"/>
      <c r="JGB91" s="15" t="n"/>
      <c r="JGC91" s="15" t="n"/>
      <c r="JGD91" s="248" t="n"/>
      <c r="JGE91" s="248" t="n"/>
      <c r="JGF91" s="240" t="n"/>
      <c r="JGG91" s="240" t="n"/>
      <c r="JGI91" s="15" t="n"/>
      <c r="JGJ91" s="15" t="n"/>
      <c r="JGK91" s="248" t="n"/>
      <c r="JGL91" s="248" t="n"/>
      <c r="JGM91" s="240" t="n"/>
      <c r="JGN91" s="240" t="n"/>
      <c r="JGP91" s="15" t="n"/>
      <c r="JGQ91" s="15" t="n"/>
      <c r="JGR91" s="248" t="n"/>
      <c r="JGS91" s="248" t="n"/>
      <c r="JGT91" s="240" t="n"/>
      <c r="JGU91" s="240" t="n"/>
      <c r="JGW91" s="15" t="n"/>
      <c r="JGX91" s="15" t="n"/>
      <c r="JGY91" s="248" t="n"/>
      <c r="JGZ91" s="248" t="n"/>
      <c r="JHA91" s="240" t="n"/>
      <c r="JHB91" s="240" t="n"/>
      <c r="JHD91" s="15" t="n"/>
      <c r="JHE91" s="15" t="n"/>
      <c r="JHF91" s="248" t="n"/>
      <c r="JHG91" s="248" t="n"/>
      <c r="JHH91" s="240" t="n"/>
      <c r="JHI91" s="240" t="n"/>
      <c r="JHK91" s="15" t="n"/>
      <c r="JHL91" s="15" t="n"/>
      <c r="JHM91" s="248" t="n"/>
      <c r="JHN91" s="248" t="n"/>
      <c r="JHO91" s="240" t="n"/>
      <c r="JHP91" s="240" t="n"/>
      <c r="JHR91" s="15" t="n"/>
      <c r="JHS91" s="15" t="n"/>
      <c r="JHT91" s="248" t="n"/>
      <c r="JHU91" s="248" t="n"/>
      <c r="JHV91" s="240" t="n"/>
      <c r="JHW91" s="240" t="n"/>
      <c r="JHY91" s="15" t="n"/>
      <c r="JHZ91" s="15" t="n"/>
      <c r="JIA91" s="248" t="n"/>
      <c r="JIB91" s="248" t="n"/>
      <c r="JIC91" s="240" t="n"/>
      <c r="JID91" s="240" t="n"/>
      <c r="JIF91" s="15" t="n"/>
      <c r="JIG91" s="15" t="n"/>
      <c r="JIH91" s="248" t="n"/>
      <c r="JII91" s="248" t="n"/>
      <c r="JIJ91" s="240" t="n"/>
      <c r="JIK91" s="240" t="n"/>
      <c r="JIM91" s="15" t="n"/>
      <c r="JIN91" s="15" t="n"/>
      <c r="JIO91" s="248" t="n"/>
      <c r="JIP91" s="248" t="n"/>
      <c r="JIQ91" s="240" t="n"/>
      <c r="JIR91" s="240" t="n"/>
      <c r="JIT91" s="15" t="n"/>
      <c r="JIU91" s="15" t="n"/>
      <c r="JIV91" s="248" t="n"/>
      <c r="JIW91" s="248" t="n"/>
      <c r="JIX91" s="240" t="n"/>
      <c r="JIY91" s="240" t="n"/>
      <c r="JJA91" s="15" t="n"/>
      <c r="JJB91" s="15" t="n"/>
      <c r="JJC91" s="248" t="n"/>
      <c r="JJD91" s="248" t="n"/>
      <c r="JJE91" s="240" t="n"/>
      <c r="JJF91" s="240" t="n"/>
      <c r="JJH91" s="15" t="n"/>
      <c r="JJI91" s="15" t="n"/>
      <c r="JJJ91" s="248" t="n"/>
      <c r="JJK91" s="248" t="n"/>
      <c r="JJL91" s="240" t="n"/>
      <c r="JJM91" s="240" t="n"/>
      <c r="JJO91" s="15" t="n"/>
      <c r="JJP91" s="15" t="n"/>
      <c r="JJQ91" s="248" t="n"/>
      <c r="JJR91" s="248" t="n"/>
      <c r="JJS91" s="240" t="n"/>
      <c r="JJT91" s="240" t="n"/>
      <c r="JJV91" s="15" t="n"/>
      <c r="JJW91" s="15" t="n"/>
      <c r="JJX91" s="248" t="n"/>
      <c r="JJY91" s="248" t="n"/>
      <c r="JJZ91" s="240" t="n"/>
      <c r="JKA91" s="240" t="n"/>
      <c r="JKC91" s="15" t="n"/>
      <c r="JKD91" s="15" t="n"/>
      <c r="JKE91" s="248" t="n"/>
      <c r="JKF91" s="248" t="n"/>
      <c r="JKG91" s="240" t="n"/>
      <c r="JKH91" s="240" t="n"/>
      <c r="JKJ91" s="15" t="n"/>
      <c r="JKK91" s="15" t="n"/>
      <c r="JKL91" s="248" t="n"/>
      <c r="JKM91" s="248" t="n"/>
      <c r="JKN91" s="240" t="n"/>
      <c r="JKO91" s="240" t="n"/>
      <c r="JKQ91" s="15" t="n"/>
      <c r="JKR91" s="15" t="n"/>
      <c r="JKS91" s="248" t="n"/>
      <c r="JKT91" s="248" t="n"/>
      <c r="JKU91" s="240" t="n"/>
      <c r="JKV91" s="240" t="n"/>
      <c r="JKX91" s="15" t="n"/>
      <c r="JKY91" s="15" t="n"/>
      <c r="JKZ91" s="248" t="n"/>
      <c r="JLA91" s="248" t="n"/>
      <c r="JLB91" s="240" t="n"/>
      <c r="JLC91" s="240" t="n"/>
      <c r="JLE91" s="15" t="n"/>
      <c r="JLF91" s="15" t="n"/>
      <c r="JLG91" s="248" t="n"/>
      <c r="JLH91" s="248" t="n"/>
      <c r="JLI91" s="240" t="n"/>
      <c r="JLJ91" s="240" t="n"/>
      <c r="JLL91" s="15" t="n"/>
      <c r="JLM91" s="15" t="n"/>
      <c r="JLN91" s="248" t="n"/>
      <c r="JLO91" s="248" t="n"/>
      <c r="JLP91" s="240" t="n"/>
      <c r="JLQ91" s="240" t="n"/>
      <c r="JLS91" s="15" t="n"/>
      <c r="JLT91" s="15" t="n"/>
      <c r="JLU91" s="248" t="n"/>
      <c r="JLV91" s="248" t="n"/>
      <c r="JLW91" s="240" t="n"/>
      <c r="JLX91" s="240" t="n"/>
      <c r="JLZ91" s="15" t="n"/>
      <c r="JMA91" s="15" t="n"/>
      <c r="JMB91" s="248" t="n"/>
      <c r="JMC91" s="248" t="n"/>
      <c r="JMD91" s="240" t="n"/>
      <c r="JME91" s="240" t="n"/>
      <c r="JMG91" s="15" t="n"/>
      <c r="JMH91" s="15" t="n"/>
      <c r="JMI91" s="248" t="n"/>
      <c r="JMJ91" s="248" t="n"/>
      <c r="JMK91" s="240" t="n"/>
      <c r="JML91" s="240" t="n"/>
      <c r="JMN91" s="15" t="n"/>
      <c r="JMO91" s="15" t="n"/>
      <c r="JMP91" s="248" t="n"/>
      <c r="JMQ91" s="248" t="n"/>
      <c r="JMR91" s="240" t="n"/>
      <c r="JMS91" s="240" t="n"/>
      <c r="JMU91" s="15" t="n"/>
      <c r="JMV91" s="15" t="n"/>
      <c r="JMW91" s="248" t="n"/>
      <c r="JMX91" s="248" t="n"/>
      <c r="JMY91" s="240" t="n"/>
      <c r="JMZ91" s="240" t="n"/>
      <c r="JNB91" s="15" t="n"/>
      <c r="JNC91" s="15" t="n"/>
      <c r="JND91" s="248" t="n"/>
      <c r="JNE91" s="248" t="n"/>
      <c r="JNF91" s="240" t="n"/>
      <c r="JNG91" s="240" t="n"/>
      <c r="JNI91" s="15" t="n"/>
      <c r="JNJ91" s="15" t="n"/>
      <c r="JNK91" s="248" t="n"/>
      <c r="JNL91" s="248" t="n"/>
      <c r="JNM91" s="240" t="n"/>
      <c r="JNN91" s="240" t="n"/>
      <c r="JNP91" s="15" t="n"/>
      <c r="JNQ91" s="15" t="n"/>
      <c r="JNR91" s="248" t="n"/>
      <c r="JNS91" s="248" t="n"/>
      <c r="JNT91" s="240" t="n"/>
      <c r="JNU91" s="240" t="n"/>
      <c r="JNW91" s="15" t="n"/>
      <c r="JNX91" s="15" t="n"/>
      <c r="JNY91" s="248" t="n"/>
      <c r="JNZ91" s="248" t="n"/>
      <c r="JOA91" s="240" t="n"/>
      <c r="JOB91" s="240" t="n"/>
      <c r="JOD91" s="15" t="n"/>
      <c r="JOE91" s="15" t="n"/>
      <c r="JOF91" s="248" t="n"/>
      <c r="JOG91" s="248" t="n"/>
      <c r="JOH91" s="240" t="n"/>
      <c r="JOI91" s="240" t="n"/>
      <c r="JOK91" s="15" t="n"/>
      <c r="JOL91" s="15" t="n"/>
      <c r="JOM91" s="248" t="n"/>
      <c r="JON91" s="248" t="n"/>
      <c r="JOO91" s="240" t="n"/>
      <c r="JOP91" s="240" t="n"/>
      <c r="JOR91" s="15" t="n"/>
      <c r="JOS91" s="15" t="n"/>
      <c r="JOT91" s="248" t="n"/>
      <c r="JOU91" s="248" t="n"/>
      <c r="JOV91" s="240" t="n"/>
      <c r="JOW91" s="240" t="n"/>
      <c r="JOY91" s="15" t="n"/>
      <c r="JOZ91" s="15" t="n"/>
      <c r="JPA91" s="248" t="n"/>
      <c r="JPB91" s="248" t="n"/>
      <c r="JPC91" s="240" t="n"/>
      <c r="JPD91" s="240" t="n"/>
      <c r="JPF91" s="15" t="n"/>
      <c r="JPG91" s="15" t="n"/>
      <c r="JPH91" s="248" t="n"/>
      <c r="JPI91" s="248" t="n"/>
      <c r="JPJ91" s="240" t="n"/>
      <c r="JPK91" s="240" t="n"/>
      <c r="JPM91" s="15" t="n"/>
      <c r="JPN91" s="15" t="n"/>
      <c r="JPO91" s="248" t="n"/>
      <c r="JPP91" s="248" t="n"/>
      <c r="JPQ91" s="240" t="n"/>
      <c r="JPR91" s="240" t="n"/>
      <c r="JPT91" s="15" t="n"/>
      <c r="JPU91" s="15" t="n"/>
      <c r="JPV91" s="248" t="n"/>
      <c r="JPW91" s="248" t="n"/>
      <c r="JPX91" s="240" t="n"/>
      <c r="JPY91" s="240" t="n"/>
      <c r="JQA91" s="15" t="n"/>
      <c r="JQB91" s="15" t="n"/>
      <c r="JQC91" s="248" t="n"/>
      <c r="JQD91" s="248" t="n"/>
      <c r="JQE91" s="240" t="n"/>
      <c r="JQF91" s="240" t="n"/>
      <c r="JQH91" s="15" t="n"/>
      <c r="JQI91" s="15" t="n"/>
      <c r="JQJ91" s="248" t="n"/>
      <c r="JQK91" s="248" t="n"/>
      <c r="JQL91" s="240" t="n"/>
      <c r="JQM91" s="240" t="n"/>
      <c r="JQO91" s="15" t="n"/>
      <c r="JQP91" s="15" t="n"/>
      <c r="JQQ91" s="248" t="n"/>
      <c r="JQR91" s="248" t="n"/>
      <c r="JQS91" s="240" t="n"/>
      <c r="JQT91" s="240" t="n"/>
      <c r="JQV91" s="15" t="n"/>
      <c r="JQW91" s="15" t="n"/>
      <c r="JQX91" s="248" t="n"/>
      <c r="JQY91" s="248" t="n"/>
      <c r="JQZ91" s="240" t="n"/>
      <c r="JRA91" s="240" t="n"/>
      <c r="JRC91" s="15" t="n"/>
      <c r="JRD91" s="15" t="n"/>
      <c r="JRE91" s="248" t="n"/>
      <c r="JRF91" s="248" t="n"/>
      <c r="JRG91" s="240" t="n"/>
      <c r="JRH91" s="240" t="n"/>
      <c r="JRJ91" s="15" t="n"/>
      <c r="JRK91" s="15" t="n"/>
      <c r="JRL91" s="248" t="n"/>
      <c r="JRM91" s="248" t="n"/>
      <c r="JRN91" s="240" t="n"/>
      <c r="JRO91" s="240" t="n"/>
      <c r="JRQ91" s="15" t="n"/>
      <c r="JRR91" s="15" t="n"/>
      <c r="JRS91" s="248" t="n"/>
      <c r="JRT91" s="248" t="n"/>
      <c r="JRU91" s="240" t="n"/>
      <c r="JRV91" s="240" t="n"/>
      <c r="JRX91" s="15" t="n"/>
      <c r="JRY91" s="15" t="n"/>
      <c r="JRZ91" s="248" t="n"/>
      <c r="JSA91" s="248" t="n"/>
      <c r="JSB91" s="240" t="n"/>
      <c r="JSC91" s="240" t="n"/>
      <c r="JSE91" s="15" t="n"/>
      <c r="JSF91" s="15" t="n"/>
      <c r="JSG91" s="248" t="n"/>
      <c r="JSH91" s="248" t="n"/>
      <c r="JSI91" s="240" t="n"/>
      <c r="JSJ91" s="240" t="n"/>
      <c r="JSL91" s="15" t="n"/>
      <c r="JSM91" s="15" t="n"/>
      <c r="JSN91" s="248" t="n"/>
      <c r="JSO91" s="248" t="n"/>
      <c r="JSP91" s="240" t="n"/>
      <c r="JSQ91" s="240" t="n"/>
      <c r="JSS91" s="15" t="n"/>
      <c r="JST91" s="15" t="n"/>
      <c r="JSU91" s="248" t="n"/>
      <c r="JSV91" s="248" t="n"/>
      <c r="JSW91" s="240" t="n"/>
      <c r="JSX91" s="240" t="n"/>
      <c r="JSZ91" s="15" t="n"/>
      <c r="JTA91" s="15" t="n"/>
      <c r="JTB91" s="248" t="n"/>
      <c r="JTC91" s="248" t="n"/>
      <c r="JTD91" s="240" t="n"/>
      <c r="JTE91" s="240" t="n"/>
      <c r="JTG91" s="15" t="n"/>
      <c r="JTH91" s="15" t="n"/>
      <c r="JTI91" s="248" t="n"/>
      <c r="JTJ91" s="248" t="n"/>
      <c r="JTK91" s="240" t="n"/>
      <c r="JTL91" s="240" t="n"/>
      <c r="JTN91" s="15" t="n"/>
      <c r="JTO91" s="15" t="n"/>
      <c r="JTP91" s="248" t="n"/>
      <c r="JTQ91" s="248" t="n"/>
      <c r="JTR91" s="240" t="n"/>
      <c r="JTS91" s="240" t="n"/>
      <c r="JTU91" s="15" t="n"/>
      <c r="JTV91" s="15" t="n"/>
      <c r="JTW91" s="248" t="n"/>
      <c r="JTX91" s="248" t="n"/>
      <c r="JTY91" s="240" t="n"/>
      <c r="JTZ91" s="240" t="n"/>
      <c r="JUB91" s="15" t="n"/>
      <c r="JUC91" s="15" t="n"/>
      <c r="JUD91" s="248" t="n"/>
      <c r="JUE91" s="248" t="n"/>
      <c r="JUF91" s="240" t="n"/>
      <c r="JUG91" s="240" t="n"/>
      <c r="JUI91" s="15" t="n"/>
      <c r="JUJ91" s="15" t="n"/>
      <c r="JUK91" s="248" t="n"/>
      <c r="JUL91" s="248" t="n"/>
      <c r="JUM91" s="240" t="n"/>
      <c r="JUN91" s="240" t="n"/>
      <c r="JUP91" s="15" t="n"/>
      <c r="JUQ91" s="15" t="n"/>
      <c r="JUR91" s="248" t="n"/>
      <c r="JUS91" s="248" t="n"/>
      <c r="JUT91" s="240" t="n"/>
      <c r="JUU91" s="240" t="n"/>
      <c r="JUW91" s="15" t="n"/>
      <c r="JUX91" s="15" t="n"/>
      <c r="JUY91" s="248" t="n"/>
      <c r="JUZ91" s="248" t="n"/>
      <c r="JVA91" s="240" t="n"/>
      <c r="JVB91" s="240" t="n"/>
      <c r="JVD91" s="15" t="n"/>
      <c r="JVE91" s="15" t="n"/>
      <c r="JVF91" s="248" t="n"/>
      <c r="JVG91" s="248" t="n"/>
      <c r="JVH91" s="240" t="n"/>
      <c r="JVI91" s="240" t="n"/>
      <c r="JVK91" s="15" t="n"/>
      <c r="JVL91" s="15" t="n"/>
      <c r="JVM91" s="248" t="n"/>
      <c r="JVN91" s="248" t="n"/>
      <c r="JVO91" s="240" t="n"/>
      <c r="JVP91" s="240" t="n"/>
      <c r="JVR91" s="15" t="n"/>
      <c r="JVS91" s="15" t="n"/>
      <c r="JVT91" s="248" t="n"/>
      <c r="JVU91" s="248" t="n"/>
      <c r="JVV91" s="240" t="n"/>
      <c r="JVW91" s="240" t="n"/>
      <c r="JVY91" s="15" t="n"/>
      <c r="JVZ91" s="15" t="n"/>
      <c r="JWA91" s="248" t="n"/>
      <c r="JWB91" s="248" t="n"/>
      <c r="JWC91" s="240" t="n"/>
      <c r="JWD91" s="240" t="n"/>
      <c r="JWF91" s="15" t="n"/>
      <c r="JWG91" s="15" t="n"/>
      <c r="JWH91" s="248" t="n"/>
      <c r="JWI91" s="248" t="n"/>
      <c r="JWJ91" s="240" t="n"/>
      <c r="JWK91" s="240" t="n"/>
      <c r="JWM91" s="15" t="n"/>
      <c r="JWN91" s="15" t="n"/>
      <c r="JWO91" s="248" t="n"/>
      <c r="JWP91" s="248" t="n"/>
      <c r="JWQ91" s="240" t="n"/>
      <c r="JWR91" s="240" t="n"/>
      <c r="JWT91" s="15" t="n"/>
      <c r="JWU91" s="15" t="n"/>
      <c r="JWV91" s="248" t="n"/>
      <c r="JWW91" s="248" t="n"/>
      <c r="JWX91" s="240" t="n"/>
      <c r="JWY91" s="240" t="n"/>
      <c r="JXA91" s="15" t="n"/>
      <c r="JXB91" s="15" t="n"/>
      <c r="JXC91" s="248" t="n"/>
      <c r="JXD91" s="248" t="n"/>
      <c r="JXE91" s="240" t="n"/>
      <c r="JXF91" s="240" t="n"/>
      <c r="JXH91" s="15" t="n"/>
      <c r="JXI91" s="15" t="n"/>
      <c r="JXJ91" s="248" t="n"/>
      <c r="JXK91" s="248" t="n"/>
      <c r="JXL91" s="240" t="n"/>
      <c r="JXM91" s="240" t="n"/>
      <c r="JXO91" s="15" t="n"/>
      <c r="JXP91" s="15" t="n"/>
      <c r="JXQ91" s="248" t="n"/>
      <c r="JXR91" s="248" t="n"/>
      <c r="JXS91" s="240" t="n"/>
      <c r="JXT91" s="240" t="n"/>
      <c r="JXV91" s="15" t="n"/>
      <c r="JXW91" s="15" t="n"/>
      <c r="JXX91" s="248" t="n"/>
      <c r="JXY91" s="248" t="n"/>
      <c r="JXZ91" s="240" t="n"/>
      <c r="JYA91" s="240" t="n"/>
      <c r="JYC91" s="15" t="n"/>
      <c r="JYD91" s="15" t="n"/>
      <c r="JYE91" s="248" t="n"/>
      <c r="JYF91" s="248" t="n"/>
      <c r="JYG91" s="240" t="n"/>
      <c r="JYH91" s="240" t="n"/>
      <c r="JYJ91" s="15" t="n"/>
      <c r="JYK91" s="15" t="n"/>
      <c r="JYL91" s="248" t="n"/>
      <c r="JYM91" s="248" t="n"/>
      <c r="JYN91" s="240" t="n"/>
      <c r="JYO91" s="240" t="n"/>
      <c r="JYQ91" s="15" t="n"/>
      <c r="JYR91" s="15" t="n"/>
      <c r="JYS91" s="248" t="n"/>
      <c r="JYT91" s="248" t="n"/>
      <c r="JYU91" s="240" t="n"/>
      <c r="JYV91" s="240" t="n"/>
      <c r="JYX91" s="15" t="n"/>
      <c r="JYY91" s="15" t="n"/>
      <c r="JYZ91" s="248" t="n"/>
      <c r="JZA91" s="248" t="n"/>
      <c r="JZB91" s="240" t="n"/>
      <c r="JZC91" s="240" t="n"/>
      <c r="JZE91" s="15" t="n"/>
      <c r="JZF91" s="15" t="n"/>
      <c r="JZG91" s="248" t="n"/>
      <c r="JZH91" s="248" t="n"/>
      <c r="JZI91" s="240" t="n"/>
      <c r="JZJ91" s="240" t="n"/>
      <c r="JZL91" s="15" t="n"/>
      <c r="JZM91" s="15" t="n"/>
      <c r="JZN91" s="248" t="n"/>
      <c r="JZO91" s="248" t="n"/>
      <c r="JZP91" s="240" t="n"/>
      <c r="JZQ91" s="240" t="n"/>
      <c r="JZS91" s="15" t="n"/>
      <c r="JZT91" s="15" t="n"/>
      <c r="JZU91" s="248" t="n"/>
      <c r="JZV91" s="248" t="n"/>
      <c r="JZW91" s="240" t="n"/>
      <c r="JZX91" s="240" t="n"/>
      <c r="JZZ91" s="15" t="n"/>
      <c r="KAA91" s="15" t="n"/>
      <c r="KAB91" s="248" t="n"/>
      <c r="KAC91" s="248" t="n"/>
      <c r="KAD91" s="240" t="n"/>
      <c r="KAE91" s="240" t="n"/>
      <c r="KAG91" s="15" t="n"/>
      <c r="KAH91" s="15" t="n"/>
      <c r="KAI91" s="248" t="n"/>
      <c r="KAJ91" s="248" t="n"/>
      <c r="KAK91" s="240" t="n"/>
      <c r="KAL91" s="240" t="n"/>
      <c r="KAN91" s="15" t="n"/>
      <c r="KAO91" s="15" t="n"/>
      <c r="KAP91" s="248" t="n"/>
      <c r="KAQ91" s="248" t="n"/>
      <c r="KAR91" s="240" t="n"/>
      <c r="KAS91" s="240" t="n"/>
      <c r="KAU91" s="15" t="n"/>
      <c r="KAV91" s="15" t="n"/>
      <c r="KAW91" s="248" t="n"/>
      <c r="KAX91" s="248" t="n"/>
      <c r="KAY91" s="240" t="n"/>
      <c r="KAZ91" s="240" t="n"/>
      <c r="KBB91" s="15" t="n"/>
      <c r="KBC91" s="15" t="n"/>
      <c r="KBD91" s="248" t="n"/>
      <c r="KBE91" s="248" t="n"/>
      <c r="KBF91" s="240" t="n"/>
      <c r="KBG91" s="240" t="n"/>
      <c r="KBI91" s="15" t="n"/>
      <c r="KBJ91" s="15" t="n"/>
      <c r="KBK91" s="248" t="n"/>
      <c r="KBL91" s="248" t="n"/>
      <c r="KBM91" s="240" t="n"/>
      <c r="KBN91" s="240" t="n"/>
      <c r="KBP91" s="15" t="n"/>
      <c r="KBQ91" s="15" t="n"/>
      <c r="KBR91" s="248" t="n"/>
      <c r="KBS91" s="248" t="n"/>
      <c r="KBT91" s="240" t="n"/>
      <c r="KBU91" s="240" t="n"/>
      <c r="KBW91" s="15" t="n"/>
      <c r="KBX91" s="15" t="n"/>
      <c r="KBY91" s="248" t="n"/>
      <c r="KBZ91" s="248" t="n"/>
      <c r="KCA91" s="240" t="n"/>
      <c r="KCB91" s="240" t="n"/>
      <c r="KCD91" s="15" t="n"/>
      <c r="KCE91" s="15" t="n"/>
      <c r="KCF91" s="248" t="n"/>
      <c r="KCG91" s="248" t="n"/>
      <c r="KCH91" s="240" t="n"/>
      <c r="KCI91" s="240" t="n"/>
      <c r="KCK91" s="15" t="n"/>
      <c r="KCL91" s="15" t="n"/>
      <c r="KCM91" s="248" t="n"/>
      <c r="KCN91" s="248" t="n"/>
      <c r="KCO91" s="240" t="n"/>
      <c r="KCP91" s="240" t="n"/>
      <c r="KCR91" s="15" t="n"/>
      <c r="KCS91" s="15" t="n"/>
      <c r="KCT91" s="248" t="n"/>
      <c r="KCU91" s="248" t="n"/>
      <c r="KCV91" s="240" t="n"/>
      <c r="KCW91" s="240" t="n"/>
      <c r="KCY91" s="15" t="n"/>
      <c r="KCZ91" s="15" t="n"/>
      <c r="KDA91" s="248" t="n"/>
      <c r="KDB91" s="248" t="n"/>
      <c r="KDC91" s="240" t="n"/>
      <c r="KDD91" s="240" t="n"/>
      <c r="KDF91" s="15" t="n"/>
      <c r="KDG91" s="15" t="n"/>
      <c r="KDH91" s="248" t="n"/>
      <c r="KDI91" s="248" t="n"/>
      <c r="KDJ91" s="240" t="n"/>
      <c r="KDK91" s="240" t="n"/>
      <c r="KDM91" s="15" t="n"/>
      <c r="KDN91" s="15" t="n"/>
      <c r="KDO91" s="248" t="n"/>
      <c r="KDP91" s="248" t="n"/>
      <c r="KDQ91" s="240" t="n"/>
      <c r="KDR91" s="240" t="n"/>
      <c r="KDT91" s="15" t="n"/>
      <c r="KDU91" s="15" t="n"/>
      <c r="KDV91" s="248" t="n"/>
      <c r="KDW91" s="248" t="n"/>
      <c r="KDX91" s="240" t="n"/>
      <c r="KDY91" s="240" t="n"/>
      <c r="KEA91" s="15" t="n"/>
      <c r="KEB91" s="15" t="n"/>
      <c r="KEC91" s="248" t="n"/>
      <c r="KED91" s="248" t="n"/>
      <c r="KEE91" s="240" t="n"/>
      <c r="KEF91" s="240" t="n"/>
      <c r="KEH91" s="15" t="n"/>
      <c r="KEI91" s="15" t="n"/>
      <c r="KEJ91" s="248" t="n"/>
      <c r="KEK91" s="248" t="n"/>
      <c r="KEL91" s="240" t="n"/>
      <c r="KEM91" s="240" t="n"/>
      <c r="KEO91" s="15" t="n"/>
      <c r="KEP91" s="15" t="n"/>
      <c r="KEQ91" s="248" t="n"/>
      <c r="KER91" s="248" t="n"/>
      <c r="KES91" s="240" t="n"/>
      <c r="KET91" s="240" t="n"/>
      <c r="KEV91" s="15" t="n"/>
      <c r="KEW91" s="15" t="n"/>
      <c r="KEX91" s="248" t="n"/>
      <c r="KEY91" s="248" t="n"/>
      <c r="KEZ91" s="240" t="n"/>
      <c r="KFA91" s="240" t="n"/>
      <c r="KFC91" s="15" t="n"/>
      <c r="KFD91" s="15" t="n"/>
      <c r="KFE91" s="248" t="n"/>
      <c r="KFF91" s="248" t="n"/>
      <c r="KFG91" s="240" t="n"/>
      <c r="KFH91" s="240" t="n"/>
      <c r="KFJ91" s="15" t="n"/>
      <c r="KFK91" s="15" t="n"/>
      <c r="KFL91" s="248" t="n"/>
      <c r="KFM91" s="248" t="n"/>
      <c r="KFN91" s="240" t="n"/>
      <c r="KFO91" s="240" t="n"/>
      <c r="KFQ91" s="15" t="n"/>
      <c r="KFR91" s="15" t="n"/>
      <c r="KFS91" s="248" t="n"/>
      <c r="KFT91" s="248" t="n"/>
      <c r="KFU91" s="240" t="n"/>
      <c r="KFV91" s="240" t="n"/>
      <c r="KFX91" s="15" t="n"/>
      <c r="KFY91" s="15" t="n"/>
      <c r="KFZ91" s="248" t="n"/>
      <c r="KGA91" s="248" t="n"/>
      <c r="KGB91" s="240" t="n"/>
      <c r="KGC91" s="240" t="n"/>
      <c r="KGE91" s="15" t="n"/>
      <c r="KGF91" s="15" t="n"/>
      <c r="KGG91" s="248" t="n"/>
      <c r="KGH91" s="248" t="n"/>
      <c r="KGI91" s="240" t="n"/>
      <c r="KGJ91" s="240" t="n"/>
      <c r="KGL91" s="15" t="n"/>
      <c r="KGM91" s="15" t="n"/>
      <c r="KGN91" s="248" t="n"/>
      <c r="KGO91" s="248" t="n"/>
      <c r="KGP91" s="240" t="n"/>
      <c r="KGQ91" s="240" t="n"/>
      <c r="KGS91" s="15" t="n"/>
      <c r="KGT91" s="15" t="n"/>
      <c r="KGU91" s="248" t="n"/>
      <c r="KGV91" s="248" t="n"/>
      <c r="KGW91" s="240" t="n"/>
      <c r="KGX91" s="240" t="n"/>
      <c r="KGZ91" s="15" t="n"/>
      <c r="KHA91" s="15" t="n"/>
      <c r="KHB91" s="248" t="n"/>
      <c r="KHC91" s="248" t="n"/>
      <c r="KHD91" s="240" t="n"/>
      <c r="KHE91" s="240" t="n"/>
      <c r="KHG91" s="15" t="n"/>
      <c r="KHH91" s="15" t="n"/>
      <c r="KHI91" s="248" t="n"/>
      <c r="KHJ91" s="248" t="n"/>
      <c r="KHK91" s="240" t="n"/>
      <c r="KHL91" s="240" t="n"/>
      <c r="KHN91" s="15" t="n"/>
      <c r="KHO91" s="15" t="n"/>
      <c r="KHP91" s="248" t="n"/>
      <c r="KHQ91" s="248" t="n"/>
      <c r="KHR91" s="240" t="n"/>
      <c r="KHS91" s="240" t="n"/>
      <c r="KHU91" s="15" t="n"/>
      <c r="KHV91" s="15" t="n"/>
      <c r="KHW91" s="248" t="n"/>
      <c r="KHX91" s="248" t="n"/>
      <c r="KHY91" s="240" t="n"/>
      <c r="KHZ91" s="240" t="n"/>
      <c r="KIB91" s="15" t="n"/>
      <c r="KIC91" s="15" t="n"/>
      <c r="KID91" s="248" t="n"/>
      <c r="KIE91" s="248" t="n"/>
      <c r="KIF91" s="240" t="n"/>
      <c r="KIG91" s="240" t="n"/>
      <c r="KII91" s="15" t="n"/>
      <c r="KIJ91" s="15" t="n"/>
      <c r="KIK91" s="248" t="n"/>
      <c r="KIL91" s="248" t="n"/>
      <c r="KIM91" s="240" t="n"/>
      <c r="KIN91" s="240" t="n"/>
      <c r="KIP91" s="15" t="n"/>
      <c r="KIQ91" s="15" t="n"/>
      <c r="KIR91" s="248" t="n"/>
      <c r="KIS91" s="248" t="n"/>
      <c r="KIT91" s="240" t="n"/>
      <c r="KIU91" s="240" t="n"/>
      <c r="KIW91" s="15" t="n"/>
      <c r="KIX91" s="15" t="n"/>
      <c r="KIY91" s="248" t="n"/>
      <c r="KIZ91" s="248" t="n"/>
      <c r="KJA91" s="240" t="n"/>
      <c r="KJB91" s="240" t="n"/>
      <c r="KJD91" s="15" t="n"/>
      <c r="KJE91" s="15" t="n"/>
      <c r="KJF91" s="248" t="n"/>
      <c r="KJG91" s="248" t="n"/>
      <c r="KJH91" s="240" t="n"/>
      <c r="KJI91" s="240" t="n"/>
      <c r="KJK91" s="15" t="n"/>
      <c r="KJL91" s="15" t="n"/>
      <c r="KJM91" s="248" t="n"/>
      <c r="KJN91" s="248" t="n"/>
      <c r="KJO91" s="240" t="n"/>
      <c r="KJP91" s="240" t="n"/>
      <c r="KJR91" s="15" t="n"/>
      <c r="KJS91" s="15" t="n"/>
      <c r="KJT91" s="248" t="n"/>
      <c r="KJU91" s="248" t="n"/>
      <c r="KJV91" s="240" t="n"/>
      <c r="KJW91" s="240" t="n"/>
      <c r="KJY91" s="15" t="n"/>
      <c r="KJZ91" s="15" t="n"/>
      <c r="KKA91" s="248" t="n"/>
      <c r="KKB91" s="248" t="n"/>
      <c r="KKC91" s="240" t="n"/>
      <c r="KKD91" s="240" t="n"/>
      <c r="KKF91" s="15" t="n"/>
      <c r="KKG91" s="15" t="n"/>
      <c r="KKH91" s="248" t="n"/>
      <c r="KKI91" s="248" t="n"/>
      <c r="KKJ91" s="240" t="n"/>
      <c r="KKK91" s="240" t="n"/>
      <c r="KKM91" s="15" t="n"/>
      <c r="KKN91" s="15" t="n"/>
      <c r="KKO91" s="248" t="n"/>
      <c r="KKP91" s="248" t="n"/>
      <c r="KKQ91" s="240" t="n"/>
      <c r="KKR91" s="240" t="n"/>
      <c r="KKT91" s="15" t="n"/>
      <c r="KKU91" s="15" t="n"/>
      <c r="KKV91" s="248" t="n"/>
      <c r="KKW91" s="248" t="n"/>
      <c r="KKX91" s="240" t="n"/>
      <c r="KKY91" s="240" t="n"/>
      <c r="KLA91" s="15" t="n"/>
      <c r="KLB91" s="15" t="n"/>
      <c r="KLC91" s="248" t="n"/>
      <c r="KLD91" s="248" t="n"/>
      <c r="KLE91" s="240" t="n"/>
      <c r="KLF91" s="240" t="n"/>
      <c r="KLH91" s="15" t="n"/>
      <c r="KLI91" s="15" t="n"/>
      <c r="KLJ91" s="248" t="n"/>
      <c r="KLK91" s="248" t="n"/>
      <c r="KLL91" s="240" t="n"/>
      <c r="KLM91" s="240" t="n"/>
      <c r="KLO91" s="15" t="n"/>
      <c r="KLP91" s="15" t="n"/>
      <c r="KLQ91" s="248" t="n"/>
      <c r="KLR91" s="248" t="n"/>
      <c r="KLS91" s="240" t="n"/>
      <c r="KLT91" s="240" t="n"/>
      <c r="KLV91" s="15" t="n"/>
      <c r="KLW91" s="15" t="n"/>
      <c r="KLX91" s="248" t="n"/>
      <c r="KLY91" s="248" t="n"/>
      <c r="KLZ91" s="240" t="n"/>
      <c r="KMA91" s="240" t="n"/>
      <c r="KMC91" s="15" t="n"/>
      <c r="KMD91" s="15" t="n"/>
      <c r="KME91" s="248" t="n"/>
      <c r="KMF91" s="248" t="n"/>
      <c r="KMG91" s="240" t="n"/>
      <c r="KMH91" s="240" t="n"/>
      <c r="KMJ91" s="15" t="n"/>
      <c r="KMK91" s="15" t="n"/>
      <c r="KML91" s="248" t="n"/>
      <c r="KMM91" s="248" t="n"/>
      <c r="KMN91" s="240" t="n"/>
      <c r="KMO91" s="240" t="n"/>
      <c r="KMQ91" s="15" t="n"/>
      <c r="KMR91" s="15" t="n"/>
      <c r="KMS91" s="248" t="n"/>
      <c r="KMT91" s="248" t="n"/>
      <c r="KMU91" s="240" t="n"/>
      <c r="KMV91" s="240" t="n"/>
      <c r="KMX91" s="15" t="n"/>
      <c r="KMY91" s="15" t="n"/>
      <c r="KMZ91" s="248" t="n"/>
      <c r="KNA91" s="248" t="n"/>
      <c r="KNB91" s="240" t="n"/>
      <c r="KNC91" s="240" t="n"/>
      <c r="KNE91" s="15" t="n"/>
      <c r="KNF91" s="15" t="n"/>
      <c r="KNG91" s="248" t="n"/>
      <c r="KNH91" s="248" t="n"/>
      <c r="KNI91" s="240" t="n"/>
      <c r="KNJ91" s="240" t="n"/>
      <c r="KNL91" s="15" t="n"/>
      <c r="KNM91" s="15" t="n"/>
      <c r="KNN91" s="248" t="n"/>
      <c r="KNO91" s="248" t="n"/>
      <c r="KNP91" s="240" t="n"/>
      <c r="KNQ91" s="240" t="n"/>
      <c r="KNS91" s="15" t="n"/>
      <c r="KNT91" s="15" t="n"/>
      <c r="KNU91" s="248" t="n"/>
      <c r="KNV91" s="248" t="n"/>
      <c r="KNW91" s="240" t="n"/>
      <c r="KNX91" s="240" t="n"/>
      <c r="KNZ91" s="15" t="n"/>
      <c r="KOA91" s="15" t="n"/>
      <c r="KOB91" s="248" t="n"/>
      <c r="KOC91" s="248" t="n"/>
      <c r="KOD91" s="240" t="n"/>
      <c r="KOE91" s="240" t="n"/>
      <c r="KOG91" s="15" t="n"/>
      <c r="KOH91" s="15" t="n"/>
      <c r="KOI91" s="248" t="n"/>
      <c r="KOJ91" s="248" t="n"/>
      <c r="KOK91" s="240" t="n"/>
      <c r="KOL91" s="240" t="n"/>
      <c r="KON91" s="15" t="n"/>
      <c r="KOO91" s="15" t="n"/>
      <c r="KOP91" s="248" t="n"/>
      <c r="KOQ91" s="248" t="n"/>
      <c r="KOR91" s="240" t="n"/>
      <c r="KOS91" s="240" t="n"/>
      <c r="KOU91" s="15" t="n"/>
      <c r="KOV91" s="15" t="n"/>
      <c r="KOW91" s="248" t="n"/>
      <c r="KOX91" s="248" t="n"/>
      <c r="KOY91" s="240" t="n"/>
      <c r="KOZ91" s="240" t="n"/>
      <c r="KPB91" s="15" t="n"/>
      <c r="KPC91" s="15" t="n"/>
      <c r="KPD91" s="248" t="n"/>
      <c r="KPE91" s="248" t="n"/>
      <c r="KPF91" s="240" t="n"/>
      <c r="KPG91" s="240" t="n"/>
      <c r="KPI91" s="15" t="n"/>
      <c r="KPJ91" s="15" t="n"/>
      <c r="KPK91" s="248" t="n"/>
      <c r="KPL91" s="248" t="n"/>
      <c r="KPM91" s="240" t="n"/>
      <c r="KPN91" s="240" t="n"/>
      <c r="KPP91" s="15" t="n"/>
      <c r="KPQ91" s="15" t="n"/>
      <c r="KPR91" s="248" t="n"/>
      <c r="KPS91" s="248" t="n"/>
      <c r="KPT91" s="240" t="n"/>
      <c r="KPU91" s="240" t="n"/>
      <c r="KPW91" s="15" t="n"/>
      <c r="KPX91" s="15" t="n"/>
      <c r="KPY91" s="248" t="n"/>
      <c r="KPZ91" s="248" t="n"/>
      <c r="KQA91" s="240" t="n"/>
      <c r="KQB91" s="240" t="n"/>
      <c r="KQD91" s="15" t="n"/>
      <c r="KQE91" s="15" t="n"/>
      <c r="KQF91" s="248" t="n"/>
      <c r="KQG91" s="248" t="n"/>
      <c r="KQH91" s="240" t="n"/>
      <c r="KQI91" s="240" t="n"/>
      <c r="KQK91" s="15" t="n"/>
      <c r="KQL91" s="15" t="n"/>
      <c r="KQM91" s="248" t="n"/>
      <c r="KQN91" s="248" t="n"/>
      <c r="KQO91" s="240" t="n"/>
      <c r="KQP91" s="240" t="n"/>
      <c r="KQR91" s="15" t="n"/>
      <c r="KQS91" s="15" t="n"/>
      <c r="KQT91" s="248" t="n"/>
      <c r="KQU91" s="248" t="n"/>
      <c r="KQV91" s="240" t="n"/>
      <c r="KQW91" s="240" t="n"/>
      <c r="KQY91" s="15" t="n"/>
      <c r="KQZ91" s="15" t="n"/>
      <c r="KRA91" s="248" t="n"/>
      <c r="KRB91" s="248" t="n"/>
      <c r="KRC91" s="240" t="n"/>
      <c r="KRD91" s="240" t="n"/>
      <c r="KRF91" s="15" t="n"/>
      <c r="KRG91" s="15" t="n"/>
      <c r="KRH91" s="248" t="n"/>
      <c r="KRI91" s="248" t="n"/>
      <c r="KRJ91" s="240" t="n"/>
      <c r="KRK91" s="240" t="n"/>
      <c r="KRM91" s="15" t="n"/>
      <c r="KRN91" s="15" t="n"/>
      <c r="KRO91" s="248" t="n"/>
      <c r="KRP91" s="248" t="n"/>
      <c r="KRQ91" s="240" t="n"/>
      <c r="KRR91" s="240" t="n"/>
      <c r="KRT91" s="15" t="n"/>
      <c r="KRU91" s="15" t="n"/>
      <c r="KRV91" s="248" t="n"/>
      <c r="KRW91" s="248" t="n"/>
      <c r="KRX91" s="240" t="n"/>
      <c r="KRY91" s="240" t="n"/>
      <c r="KSA91" s="15" t="n"/>
      <c r="KSB91" s="15" t="n"/>
      <c r="KSC91" s="248" t="n"/>
      <c r="KSD91" s="248" t="n"/>
      <c r="KSE91" s="240" t="n"/>
      <c r="KSF91" s="240" t="n"/>
      <c r="KSH91" s="15" t="n"/>
      <c r="KSI91" s="15" t="n"/>
      <c r="KSJ91" s="248" t="n"/>
      <c r="KSK91" s="248" t="n"/>
      <c r="KSL91" s="240" t="n"/>
      <c r="KSM91" s="240" t="n"/>
      <c r="KSO91" s="15" t="n"/>
      <c r="KSP91" s="15" t="n"/>
      <c r="KSQ91" s="248" t="n"/>
      <c r="KSR91" s="248" t="n"/>
      <c r="KSS91" s="240" t="n"/>
      <c r="KST91" s="240" t="n"/>
      <c r="KSV91" s="15" t="n"/>
      <c r="KSW91" s="15" t="n"/>
      <c r="KSX91" s="248" t="n"/>
      <c r="KSY91" s="248" t="n"/>
      <c r="KSZ91" s="240" t="n"/>
      <c r="KTA91" s="240" t="n"/>
      <c r="KTC91" s="15" t="n"/>
      <c r="KTD91" s="15" t="n"/>
      <c r="KTE91" s="248" t="n"/>
      <c r="KTF91" s="248" t="n"/>
      <c r="KTG91" s="240" t="n"/>
      <c r="KTH91" s="240" t="n"/>
      <c r="KTJ91" s="15" t="n"/>
      <c r="KTK91" s="15" t="n"/>
      <c r="KTL91" s="248" t="n"/>
      <c r="KTM91" s="248" t="n"/>
      <c r="KTN91" s="240" t="n"/>
      <c r="KTO91" s="240" t="n"/>
      <c r="KTQ91" s="15" t="n"/>
      <c r="KTR91" s="15" t="n"/>
      <c r="KTS91" s="248" t="n"/>
      <c r="KTT91" s="248" t="n"/>
      <c r="KTU91" s="240" t="n"/>
      <c r="KTV91" s="240" t="n"/>
      <c r="KTX91" s="15" t="n"/>
      <c r="KTY91" s="15" t="n"/>
      <c r="KTZ91" s="248" t="n"/>
      <c r="KUA91" s="248" t="n"/>
      <c r="KUB91" s="240" t="n"/>
      <c r="KUC91" s="240" t="n"/>
      <c r="KUE91" s="15" t="n"/>
      <c r="KUF91" s="15" t="n"/>
      <c r="KUG91" s="248" t="n"/>
      <c r="KUH91" s="248" t="n"/>
      <c r="KUI91" s="240" t="n"/>
      <c r="KUJ91" s="240" t="n"/>
      <c r="KUL91" s="15" t="n"/>
      <c r="KUM91" s="15" t="n"/>
      <c r="KUN91" s="248" t="n"/>
      <c r="KUO91" s="248" t="n"/>
      <c r="KUP91" s="240" t="n"/>
      <c r="KUQ91" s="240" t="n"/>
      <c r="KUS91" s="15" t="n"/>
      <c r="KUT91" s="15" t="n"/>
      <c r="KUU91" s="248" t="n"/>
      <c r="KUV91" s="248" t="n"/>
      <c r="KUW91" s="240" t="n"/>
      <c r="KUX91" s="240" t="n"/>
      <c r="KUZ91" s="15" t="n"/>
      <c r="KVA91" s="15" t="n"/>
      <c r="KVB91" s="248" t="n"/>
      <c r="KVC91" s="248" t="n"/>
      <c r="KVD91" s="240" t="n"/>
      <c r="KVE91" s="240" t="n"/>
      <c r="KVG91" s="15" t="n"/>
      <c r="KVH91" s="15" t="n"/>
      <c r="KVI91" s="248" t="n"/>
      <c r="KVJ91" s="248" t="n"/>
      <c r="KVK91" s="240" t="n"/>
      <c r="KVL91" s="240" t="n"/>
      <c r="KVN91" s="15" t="n"/>
      <c r="KVO91" s="15" t="n"/>
      <c r="KVP91" s="248" t="n"/>
      <c r="KVQ91" s="248" t="n"/>
      <c r="KVR91" s="240" t="n"/>
      <c r="KVS91" s="240" t="n"/>
      <c r="KVU91" s="15" t="n"/>
      <c r="KVV91" s="15" t="n"/>
      <c r="KVW91" s="248" t="n"/>
      <c r="KVX91" s="248" t="n"/>
      <c r="KVY91" s="240" t="n"/>
      <c r="KVZ91" s="240" t="n"/>
      <c r="KWB91" s="15" t="n"/>
      <c r="KWC91" s="15" t="n"/>
      <c r="KWD91" s="248" t="n"/>
      <c r="KWE91" s="248" t="n"/>
      <c r="KWF91" s="240" t="n"/>
      <c r="KWG91" s="240" t="n"/>
      <c r="KWI91" s="15" t="n"/>
      <c r="KWJ91" s="15" t="n"/>
      <c r="KWK91" s="248" t="n"/>
      <c r="KWL91" s="248" t="n"/>
      <c r="KWM91" s="240" t="n"/>
      <c r="KWN91" s="240" t="n"/>
      <c r="KWP91" s="15" t="n"/>
      <c r="KWQ91" s="15" t="n"/>
      <c r="KWR91" s="248" t="n"/>
      <c r="KWS91" s="248" t="n"/>
      <c r="KWT91" s="240" t="n"/>
      <c r="KWU91" s="240" t="n"/>
      <c r="KWW91" s="15" t="n"/>
      <c r="KWX91" s="15" t="n"/>
      <c r="KWY91" s="248" t="n"/>
      <c r="KWZ91" s="248" t="n"/>
      <c r="KXA91" s="240" t="n"/>
      <c r="KXB91" s="240" t="n"/>
      <c r="KXD91" s="15" t="n"/>
      <c r="KXE91" s="15" t="n"/>
      <c r="KXF91" s="248" t="n"/>
      <c r="KXG91" s="248" t="n"/>
      <c r="KXH91" s="240" t="n"/>
      <c r="KXI91" s="240" t="n"/>
      <c r="KXK91" s="15" t="n"/>
      <c r="KXL91" s="15" t="n"/>
      <c r="KXM91" s="248" t="n"/>
      <c r="KXN91" s="248" t="n"/>
      <c r="KXO91" s="240" t="n"/>
      <c r="KXP91" s="240" t="n"/>
      <c r="KXR91" s="15" t="n"/>
      <c r="KXS91" s="15" t="n"/>
      <c r="KXT91" s="248" t="n"/>
      <c r="KXU91" s="248" t="n"/>
      <c r="KXV91" s="240" t="n"/>
      <c r="KXW91" s="240" t="n"/>
      <c r="KXY91" s="15" t="n"/>
      <c r="KXZ91" s="15" t="n"/>
      <c r="KYA91" s="248" t="n"/>
      <c r="KYB91" s="248" t="n"/>
      <c r="KYC91" s="240" t="n"/>
      <c r="KYD91" s="240" t="n"/>
      <c r="KYF91" s="15" t="n"/>
      <c r="KYG91" s="15" t="n"/>
      <c r="KYH91" s="248" t="n"/>
      <c r="KYI91" s="248" t="n"/>
      <c r="KYJ91" s="240" t="n"/>
      <c r="KYK91" s="240" t="n"/>
      <c r="KYM91" s="15" t="n"/>
      <c r="KYN91" s="15" t="n"/>
      <c r="KYO91" s="248" t="n"/>
      <c r="KYP91" s="248" t="n"/>
      <c r="KYQ91" s="240" t="n"/>
      <c r="KYR91" s="240" t="n"/>
      <c r="KYT91" s="15" t="n"/>
      <c r="KYU91" s="15" t="n"/>
      <c r="KYV91" s="248" t="n"/>
      <c r="KYW91" s="248" t="n"/>
      <c r="KYX91" s="240" t="n"/>
      <c r="KYY91" s="240" t="n"/>
      <c r="KZA91" s="15" t="n"/>
      <c r="KZB91" s="15" t="n"/>
      <c r="KZC91" s="248" t="n"/>
      <c r="KZD91" s="248" t="n"/>
      <c r="KZE91" s="240" t="n"/>
      <c r="KZF91" s="240" t="n"/>
      <c r="KZH91" s="15" t="n"/>
      <c r="KZI91" s="15" t="n"/>
      <c r="KZJ91" s="248" t="n"/>
      <c r="KZK91" s="248" t="n"/>
      <c r="KZL91" s="240" t="n"/>
      <c r="KZM91" s="240" t="n"/>
      <c r="KZO91" s="15" t="n"/>
      <c r="KZP91" s="15" t="n"/>
      <c r="KZQ91" s="248" t="n"/>
      <c r="KZR91" s="248" t="n"/>
      <c r="KZS91" s="240" t="n"/>
      <c r="KZT91" s="240" t="n"/>
      <c r="KZV91" s="15" t="n"/>
      <c r="KZW91" s="15" t="n"/>
      <c r="KZX91" s="248" t="n"/>
      <c r="KZY91" s="248" t="n"/>
      <c r="KZZ91" s="240" t="n"/>
      <c r="LAA91" s="240" t="n"/>
      <c r="LAC91" s="15" t="n"/>
      <c r="LAD91" s="15" t="n"/>
      <c r="LAE91" s="248" t="n"/>
      <c r="LAF91" s="248" t="n"/>
      <c r="LAG91" s="240" t="n"/>
      <c r="LAH91" s="240" t="n"/>
      <c r="LAJ91" s="15" t="n"/>
      <c r="LAK91" s="15" t="n"/>
      <c r="LAL91" s="248" t="n"/>
      <c r="LAM91" s="248" t="n"/>
      <c r="LAN91" s="240" t="n"/>
      <c r="LAO91" s="240" t="n"/>
      <c r="LAQ91" s="15" t="n"/>
      <c r="LAR91" s="15" t="n"/>
      <c r="LAS91" s="248" t="n"/>
      <c r="LAT91" s="248" t="n"/>
      <c r="LAU91" s="240" t="n"/>
      <c r="LAV91" s="240" t="n"/>
      <c r="LAX91" s="15" t="n"/>
      <c r="LAY91" s="15" t="n"/>
      <c r="LAZ91" s="248" t="n"/>
      <c r="LBA91" s="248" t="n"/>
      <c r="LBB91" s="240" t="n"/>
      <c r="LBC91" s="240" t="n"/>
      <c r="LBE91" s="15" t="n"/>
      <c r="LBF91" s="15" t="n"/>
      <c r="LBG91" s="248" t="n"/>
      <c r="LBH91" s="248" t="n"/>
      <c r="LBI91" s="240" t="n"/>
      <c r="LBJ91" s="240" t="n"/>
      <c r="LBL91" s="15" t="n"/>
      <c r="LBM91" s="15" t="n"/>
      <c r="LBN91" s="248" t="n"/>
      <c r="LBO91" s="248" t="n"/>
      <c r="LBP91" s="240" t="n"/>
      <c r="LBQ91" s="240" t="n"/>
      <c r="LBS91" s="15" t="n"/>
      <c r="LBT91" s="15" t="n"/>
      <c r="LBU91" s="248" t="n"/>
      <c r="LBV91" s="248" t="n"/>
      <c r="LBW91" s="240" t="n"/>
      <c r="LBX91" s="240" t="n"/>
      <c r="LBZ91" s="15" t="n"/>
      <c r="LCA91" s="15" t="n"/>
      <c r="LCB91" s="248" t="n"/>
      <c r="LCC91" s="248" t="n"/>
      <c r="LCD91" s="240" t="n"/>
      <c r="LCE91" s="240" t="n"/>
      <c r="LCG91" s="15" t="n"/>
      <c r="LCH91" s="15" t="n"/>
      <c r="LCI91" s="248" t="n"/>
      <c r="LCJ91" s="248" t="n"/>
      <c r="LCK91" s="240" t="n"/>
      <c r="LCL91" s="240" t="n"/>
      <c r="LCN91" s="15" t="n"/>
      <c r="LCO91" s="15" t="n"/>
      <c r="LCP91" s="248" t="n"/>
      <c r="LCQ91" s="248" t="n"/>
      <c r="LCR91" s="240" t="n"/>
      <c r="LCS91" s="240" t="n"/>
      <c r="LCU91" s="15" t="n"/>
      <c r="LCV91" s="15" t="n"/>
      <c r="LCW91" s="248" t="n"/>
      <c r="LCX91" s="248" t="n"/>
      <c r="LCY91" s="240" t="n"/>
      <c r="LCZ91" s="240" t="n"/>
      <c r="LDB91" s="15" t="n"/>
      <c r="LDC91" s="15" t="n"/>
      <c r="LDD91" s="248" t="n"/>
      <c r="LDE91" s="248" t="n"/>
      <c r="LDF91" s="240" t="n"/>
      <c r="LDG91" s="240" t="n"/>
      <c r="LDI91" s="15" t="n"/>
      <c r="LDJ91" s="15" t="n"/>
      <c r="LDK91" s="248" t="n"/>
      <c r="LDL91" s="248" t="n"/>
      <c r="LDM91" s="240" t="n"/>
      <c r="LDN91" s="240" t="n"/>
      <c r="LDP91" s="15" t="n"/>
      <c r="LDQ91" s="15" t="n"/>
      <c r="LDR91" s="248" t="n"/>
      <c r="LDS91" s="248" t="n"/>
      <c r="LDT91" s="240" t="n"/>
      <c r="LDU91" s="240" t="n"/>
      <c r="LDW91" s="15" t="n"/>
      <c r="LDX91" s="15" t="n"/>
      <c r="LDY91" s="248" t="n"/>
      <c r="LDZ91" s="248" t="n"/>
      <c r="LEA91" s="240" t="n"/>
      <c r="LEB91" s="240" t="n"/>
      <c r="LED91" s="15" t="n"/>
      <c r="LEE91" s="15" t="n"/>
      <c r="LEF91" s="248" t="n"/>
      <c r="LEG91" s="248" t="n"/>
      <c r="LEH91" s="240" t="n"/>
      <c r="LEI91" s="240" t="n"/>
      <c r="LEK91" s="15" t="n"/>
      <c r="LEL91" s="15" t="n"/>
      <c r="LEM91" s="248" t="n"/>
      <c r="LEN91" s="248" t="n"/>
      <c r="LEO91" s="240" t="n"/>
      <c r="LEP91" s="240" t="n"/>
      <c r="LER91" s="15" t="n"/>
      <c r="LES91" s="15" t="n"/>
      <c r="LET91" s="248" t="n"/>
      <c r="LEU91" s="248" t="n"/>
      <c r="LEV91" s="240" t="n"/>
      <c r="LEW91" s="240" t="n"/>
      <c r="LEY91" s="15" t="n"/>
      <c r="LEZ91" s="15" t="n"/>
      <c r="LFA91" s="248" t="n"/>
      <c r="LFB91" s="248" t="n"/>
      <c r="LFC91" s="240" t="n"/>
      <c r="LFD91" s="240" t="n"/>
      <c r="LFF91" s="15" t="n"/>
      <c r="LFG91" s="15" t="n"/>
      <c r="LFH91" s="248" t="n"/>
      <c r="LFI91" s="248" t="n"/>
      <c r="LFJ91" s="240" t="n"/>
      <c r="LFK91" s="240" t="n"/>
      <c r="LFM91" s="15" t="n"/>
      <c r="LFN91" s="15" t="n"/>
      <c r="LFO91" s="248" t="n"/>
      <c r="LFP91" s="248" t="n"/>
      <c r="LFQ91" s="240" t="n"/>
      <c r="LFR91" s="240" t="n"/>
      <c r="LFT91" s="15" t="n"/>
      <c r="LFU91" s="15" t="n"/>
      <c r="LFV91" s="248" t="n"/>
      <c r="LFW91" s="248" t="n"/>
      <c r="LFX91" s="240" t="n"/>
      <c r="LFY91" s="240" t="n"/>
      <c r="LGA91" s="15" t="n"/>
      <c r="LGB91" s="15" t="n"/>
      <c r="LGC91" s="248" t="n"/>
      <c r="LGD91" s="248" t="n"/>
      <c r="LGE91" s="240" t="n"/>
      <c r="LGF91" s="240" t="n"/>
      <c r="LGH91" s="15" t="n"/>
      <c r="LGI91" s="15" t="n"/>
      <c r="LGJ91" s="248" t="n"/>
      <c r="LGK91" s="248" t="n"/>
      <c r="LGL91" s="240" t="n"/>
      <c r="LGM91" s="240" t="n"/>
      <c r="LGO91" s="15" t="n"/>
      <c r="LGP91" s="15" t="n"/>
      <c r="LGQ91" s="248" t="n"/>
      <c r="LGR91" s="248" t="n"/>
      <c r="LGS91" s="240" t="n"/>
      <c r="LGT91" s="240" t="n"/>
      <c r="LGV91" s="15" t="n"/>
      <c r="LGW91" s="15" t="n"/>
      <c r="LGX91" s="248" t="n"/>
      <c r="LGY91" s="248" t="n"/>
      <c r="LGZ91" s="240" t="n"/>
      <c r="LHA91" s="240" t="n"/>
      <c r="LHC91" s="15" t="n"/>
      <c r="LHD91" s="15" t="n"/>
      <c r="LHE91" s="248" t="n"/>
      <c r="LHF91" s="248" t="n"/>
      <c r="LHG91" s="240" t="n"/>
      <c r="LHH91" s="240" t="n"/>
      <c r="LHJ91" s="15" t="n"/>
      <c r="LHK91" s="15" t="n"/>
      <c r="LHL91" s="248" t="n"/>
      <c r="LHM91" s="248" t="n"/>
      <c r="LHN91" s="240" t="n"/>
      <c r="LHO91" s="240" t="n"/>
      <c r="LHQ91" s="15" t="n"/>
      <c r="LHR91" s="15" t="n"/>
      <c r="LHS91" s="248" t="n"/>
      <c r="LHT91" s="248" t="n"/>
      <c r="LHU91" s="240" t="n"/>
      <c r="LHV91" s="240" t="n"/>
      <c r="LHX91" s="15" t="n"/>
      <c r="LHY91" s="15" t="n"/>
      <c r="LHZ91" s="248" t="n"/>
      <c r="LIA91" s="248" t="n"/>
      <c r="LIB91" s="240" t="n"/>
      <c r="LIC91" s="240" t="n"/>
      <c r="LIE91" s="15" t="n"/>
      <c r="LIF91" s="15" t="n"/>
      <c r="LIG91" s="248" t="n"/>
      <c r="LIH91" s="248" t="n"/>
      <c r="LII91" s="240" t="n"/>
      <c r="LIJ91" s="240" t="n"/>
      <c r="LIL91" s="15" t="n"/>
      <c r="LIM91" s="15" t="n"/>
      <c r="LIN91" s="248" t="n"/>
      <c r="LIO91" s="248" t="n"/>
      <c r="LIP91" s="240" t="n"/>
      <c r="LIQ91" s="240" t="n"/>
      <c r="LIS91" s="15" t="n"/>
      <c r="LIT91" s="15" t="n"/>
      <c r="LIU91" s="248" t="n"/>
      <c r="LIV91" s="248" t="n"/>
      <c r="LIW91" s="240" t="n"/>
      <c r="LIX91" s="240" t="n"/>
      <c r="LIZ91" s="15" t="n"/>
      <c r="LJA91" s="15" t="n"/>
      <c r="LJB91" s="248" t="n"/>
      <c r="LJC91" s="248" t="n"/>
      <c r="LJD91" s="240" t="n"/>
      <c r="LJE91" s="240" t="n"/>
      <c r="LJG91" s="15" t="n"/>
      <c r="LJH91" s="15" t="n"/>
      <c r="LJI91" s="248" t="n"/>
      <c r="LJJ91" s="248" t="n"/>
      <c r="LJK91" s="240" t="n"/>
      <c r="LJL91" s="240" t="n"/>
      <c r="LJN91" s="15" t="n"/>
      <c r="LJO91" s="15" t="n"/>
      <c r="LJP91" s="248" t="n"/>
      <c r="LJQ91" s="248" t="n"/>
      <c r="LJR91" s="240" t="n"/>
      <c r="LJS91" s="240" t="n"/>
      <c r="LJU91" s="15" t="n"/>
      <c r="LJV91" s="15" t="n"/>
      <c r="LJW91" s="248" t="n"/>
      <c r="LJX91" s="248" t="n"/>
      <c r="LJY91" s="240" t="n"/>
      <c r="LJZ91" s="240" t="n"/>
      <c r="LKB91" s="15" t="n"/>
      <c r="LKC91" s="15" t="n"/>
      <c r="LKD91" s="248" t="n"/>
      <c r="LKE91" s="248" t="n"/>
      <c r="LKF91" s="240" t="n"/>
      <c r="LKG91" s="240" t="n"/>
      <c r="LKI91" s="15" t="n"/>
      <c r="LKJ91" s="15" t="n"/>
      <c r="LKK91" s="248" t="n"/>
      <c r="LKL91" s="248" t="n"/>
      <c r="LKM91" s="240" t="n"/>
      <c r="LKN91" s="240" t="n"/>
      <c r="LKP91" s="15" t="n"/>
      <c r="LKQ91" s="15" t="n"/>
      <c r="LKR91" s="248" t="n"/>
      <c r="LKS91" s="248" t="n"/>
      <c r="LKT91" s="240" t="n"/>
      <c r="LKU91" s="240" t="n"/>
      <c r="LKW91" s="15" t="n"/>
      <c r="LKX91" s="15" t="n"/>
      <c r="LKY91" s="248" t="n"/>
      <c r="LKZ91" s="248" t="n"/>
      <c r="LLA91" s="240" t="n"/>
      <c r="LLB91" s="240" t="n"/>
      <c r="LLD91" s="15" t="n"/>
      <c r="LLE91" s="15" t="n"/>
      <c r="LLF91" s="248" t="n"/>
      <c r="LLG91" s="248" t="n"/>
      <c r="LLH91" s="240" t="n"/>
      <c r="LLI91" s="240" t="n"/>
      <c r="LLK91" s="15" t="n"/>
      <c r="LLL91" s="15" t="n"/>
      <c r="LLM91" s="248" t="n"/>
      <c r="LLN91" s="248" t="n"/>
      <c r="LLO91" s="240" t="n"/>
      <c r="LLP91" s="240" t="n"/>
      <c r="LLR91" s="15" t="n"/>
      <c r="LLS91" s="15" t="n"/>
      <c r="LLT91" s="248" t="n"/>
      <c r="LLU91" s="248" t="n"/>
      <c r="LLV91" s="240" t="n"/>
      <c r="LLW91" s="240" t="n"/>
      <c r="LLY91" s="15" t="n"/>
      <c r="LLZ91" s="15" t="n"/>
      <c r="LMA91" s="248" t="n"/>
      <c r="LMB91" s="248" t="n"/>
      <c r="LMC91" s="240" t="n"/>
      <c r="LMD91" s="240" t="n"/>
      <c r="LMF91" s="15" t="n"/>
      <c r="LMG91" s="15" t="n"/>
      <c r="LMH91" s="248" t="n"/>
      <c r="LMI91" s="248" t="n"/>
      <c r="LMJ91" s="240" t="n"/>
      <c r="LMK91" s="240" t="n"/>
      <c r="LMM91" s="15" t="n"/>
      <c r="LMN91" s="15" t="n"/>
      <c r="LMO91" s="248" t="n"/>
      <c r="LMP91" s="248" t="n"/>
      <c r="LMQ91" s="240" t="n"/>
      <c r="LMR91" s="240" t="n"/>
      <c r="LMT91" s="15" t="n"/>
      <c r="LMU91" s="15" t="n"/>
      <c r="LMV91" s="248" t="n"/>
      <c r="LMW91" s="248" t="n"/>
      <c r="LMX91" s="240" t="n"/>
      <c r="LMY91" s="240" t="n"/>
      <c r="LNA91" s="15" t="n"/>
      <c r="LNB91" s="15" t="n"/>
      <c r="LNC91" s="248" t="n"/>
      <c r="LND91" s="248" t="n"/>
      <c r="LNE91" s="240" t="n"/>
      <c r="LNF91" s="240" t="n"/>
      <c r="LNH91" s="15" t="n"/>
      <c r="LNI91" s="15" t="n"/>
      <c r="LNJ91" s="248" t="n"/>
      <c r="LNK91" s="248" t="n"/>
      <c r="LNL91" s="240" t="n"/>
      <c r="LNM91" s="240" t="n"/>
      <c r="LNO91" s="15" t="n"/>
      <c r="LNP91" s="15" t="n"/>
      <c r="LNQ91" s="248" t="n"/>
      <c r="LNR91" s="248" t="n"/>
      <c r="LNS91" s="240" t="n"/>
      <c r="LNT91" s="240" t="n"/>
      <c r="LNV91" s="15" t="n"/>
      <c r="LNW91" s="15" t="n"/>
      <c r="LNX91" s="248" t="n"/>
      <c r="LNY91" s="248" t="n"/>
      <c r="LNZ91" s="240" t="n"/>
      <c r="LOA91" s="240" t="n"/>
      <c r="LOC91" s="15" t="n"/>
      <c r="LOD91" s="15" t="n"/>
      <c r="LOE91" s="248" t="n"/>
      <c r="LOF91" s="248" t="n"/>
      <c r="LOG91" s="240" t="n"/>
      <c r="LOH91" s="240" t="n"/>
      <c r="LOJ91" s="15" t="n"/>
      <c r="LOK91" s="15" t="n"/>
      <c r="LOL91" s="248" t="n"/>
      <c r="LOM91" s="248" t="n"/>
      <c r="LON91" s="240" t="n"/>
      <c r="LOO91" s="240" t="n"/>
      <c r="LOQ91" s="15" t="n"/>
      <c r="LOR91" s="15" t="n"/>
      <c r="LOS91" s="248" t="n"/>
      <c r="LOT91" s="248" t="n"/>
      <c r="LOU91" s="240" t="n"/>
      <c r="LOV91" s="240" t="n"/>
      <c r="LOX91" s="15" t="n"/>
      <c r="LOY91" s="15" t="n"/>
      <c r="LOZ91" s="248" t="n"/>
      <c r="LPA91" s="248" t="n"/>
      <c r="LPB91" s="240" t="n"/>
      <c r="LPC91" s="240" t="n"/>
      <c r="LPE91" s="15" t="n"/>
      <c r="LPF91" s="15" t="n"/>
      <c r="LPG91" s="248" t="n"/>
      <c r="LPH91" s="248" t="n"/>
      <c r="LPI91" s="240" t="n"/>
      <c r="LPJ91" s="240" t="n"/>
      <c r="LPL91" s="15" t="n"/>
      <c r="LPM91" s="15" t="n"/>
      <c r="LPN91" s="248" t="n"/>
      <c r="LPO91" s="248" t="n"/>
      <c r="LPP91" s="240" t="n"/>
      <c r="LPQ91" s="240" t="n"/>
      <c r="LPS91" s="15" t="n"/>
      <c r="LPT91" s="15" t="n"/>
      <c r="LPU91" s="248" t="n"/>
      <c r="LPV91" s="248" t="n"/>
      <c r="LPW91" s="240" t="n"/>
      <c r="LPX91" s="240" t="n"/>
      <c r="LPZ91" s="15" t="n"/>
      <c r="LQA91" s="15" t="n"/>
      <c r="LQB91" s="248" t="n"/>
      <c r="LQC91" s="248" t="n"/>
      <c r="LQD91" s="240" t="n"/>
      <c r="LQE91" s="240" t="n"/>
      <c r="LQG91" s="15" t="n"/>
      <c r="LQH91" s="15" t="n"/>
      <c r="LQI91" s="248" t="n"/>
      <c r="LQJ91" s="248" t="n"/>
      <c r="LQK91" s="240" t="n"/>
      <c r="LQL91" s="240" t="n"/>
      <c r="LQN91" s="15" t="n"/>
      <c r="LQO91" s="15" t="n"/>
      <c r="LQP91" s="248" t="n"/>
      <c r="LQQ91" s="248" t="n"/>
      <c r="LQR91" s="240" t="n"/>
      <c r="LQS91" s="240" t="n"/>
      <c r="LQU91" s="15" t="n"/>
      <c r="LQV91" s="15" t="n"/>
      <c r="LQW91" s="248" t="n"/>
      <c r="LQX91" s="248" t="n"/>
      <c r="LQY91" s="240" t="n"/>
      <c r="LQZ91" s="240" t="n"/>
      <c r="LRB91" s="15" t="n"/>
      <c r="LRC91" s="15" t="n"/>
      <c r="LRD91" s="248" t="n"/>
      <c r="LRE91" s="248" t="n"/>
      <c r="LRF91" s="240" t="n"/>
      <c r="LRG91" s="240" t="n"/>
      <c r="LRI91" s="15" t="n"/>
      <c r="LRJ91" s="15" t="n"/>
      <c r="LRK91" s="248" t="n"/>
      <c r="LRL91" s="248" t="n"/>
      <c r="LRM91" s="240" t="n"/>
      <c r="LRN91" s="240" t="n"/>
      <c r="LRP91" s="15" t="n"/>
      <c r="LRQ91" s="15" t="n"/>
      <c r="LRR91" s="248" t="n"/>
      <c r="LRS91" s="248" t="n"/>
      <c r="LRT91" s="240" t="n"/>
      <c r="LRU91" s="240" t="n"/>
      <c r="LRW91" s="15" t="n"/>
      <c r="LRX91" s="15" t="n"/>
      <c r="LRY91" s="248" t="n"/>
      <c r="LRZ91" s="248" t="n"/>
      <c r="LSA91" s="240" t="n"/>
      <c r="LSB91" s="240" t="n"/>
      <c r="LSD91" s="15" t="n"/>
      <c r="LSE91" s="15" t="n"/>
      <c r="LSF91" s="248" t="n"/>
      <c r="LSG91" s="248" t="n"/>
      <c r="LSH91" s="240" t="n"/>
      <c r="LSI91" s="240" t="n"/>
      <c r="LSK91" s="15" t="n"/>
      <c r="LSL91" s="15" t="n"/>
      <c r="LSM91" s="248" t="n"/>
      <c r="LSN91" s="248" t="n"/>
      <c r="LSO91" s="240" t="n"/>
      <c r="LSP91" s="240" t="n"/>
      <c r="LSR91" s="15" t="n"/>
      <c r="LSS91" s="15" t="n"/>
      <c r="LST91" s="248" t="n"/>
      <c r="LSU91" s="248" t="n"/>
      <c r="LSV91" s="240" t="n"/>
      <c r="LSW91" s="240" t="n"/>
      <c r="LSY91" s="15" t="n"/>
      <c r="LSZ91" s="15" t="n"/>
      <c r="LTA91" s="248" t="n"/>
      <c r="LTB91" s="248" t="n"/>
      <c r="LTC91" s="240" t="n"/>
      <c r="LTD91" s="240" t="n"/>
      <c r="LTF91" s="15" t="n"/>
      <c r="LTG91" s="15" t="n"/>
      <c r="LTH91" s="248" t="n"/>
      <c r="LTI91" s="248" t="n"/>
      <c r="LTJ91" s="240" t="n"/>
      <c r="LTK91" s="240" t="n"/>
      <c r="LTM91" s="15" t="n"/>
      <c r="LTN91" s="15" t="n"/>
      <c r="LTO91" s="248" t="n"/>
      <c r="LTP91" s="248" t="n"/>
      <c r="LTQ91" s="240" t="n"/>
      <c r="LTR91" s="240" t="n"/>
      <c r="LTT91" s="15" t="n"/>
      <c r="LTU91" s="15" t="n"/>
      <c r="LTV91" s="248" t="n"/>
      <c r="LTW91" s="248" t="n"/>
      <c r="LTX91" s="240" t="n"/>
      <c r="LTY91" s="240" t="n"/>
      <c r="LUA91" s="15" t="n"/>
      <c r="LUB91" s="15" t="n"/>
      <c r="LUC91" s="248" t="n"/>
      <c r="LUD91" s="248" t="n"/>
      <c r="LUE91" s="240" t="n"/>
      <c r="LUF91" s="240" t="n"/>
      <c r="LUH91" s="15" t="n"/>
      <c r="LUI91" s="15" t="n"/>
      <c r="LUJ91" s="248" t="n"/>
      <c r="LUK91" s="248" t="n"/>
      <c r="LUL91" s="240" t="n"/>
      <c r="LUM91" s="240" t="n"/>
      <c r="LUO91" s="15" t="n"/>
      <c r="LUP91" s="15" t="n"/>
      <c r="LUQ91" s="248" t="n"/>
      <c r="LUR91" s="248" t="n"/>
      <c r="LUS91" s="240" t="n"/>
      <c r="LUT91" s="240" t="n"/>
      <c r="LUV91" s="15" t="n"/>
      <c r="LUW91" s="15" t="n"/>
      <c r="LUX91" s="248" t="n"/>
      <c r="LUY91" s="248" t="n"/>
      <c r="LUZ91" s="240" t="n"/>
      <c r="LVA91" s="240" t="n"/>
      <c r="LVC91" s="15" t="n"/>
      <c r="LVD91" s="15" t="n"/>
      <c r="LVE91" s="248" t="n"/>
      <c r="LVF91" s="248" t="n"/>
      <c r="LVG91" s="240" t="n"/>
      <c r="LVH91" s="240" t="n"/>
      <c r="LVJ91" s="15" t="n"/>
      <c r="LVK91" s="15" t="n"/>
      <c r="LVL91" s="248" t="n"/>
      <c r="LVM91" s="248" t="n"/>
      <c r="LVN91" s="240" t="n"/>
      <c r="LVO91" s="240" t="n"/>
      <c r="LVQ91" s="15" t="n"/>
      <c r="LVR91" s="15" t="n"/>
      <c r="LVS91" s="248" t="n"/>
      <c r="LVT91" s="248" t="n"/>
      <c r="LVU91" s="240" t="n"/>
      <c r="LVV91" s="240" t="n"/>
      <c r="LVX91" s="15" t="n"/>
      <c r="LVY91" s="15" t="n"/>
      <c r="LVZ91" s="248" t="n"/>
      <c r="LWA91" s="248" t="n"/>
      <c r="LWB91" s="240" t="n"/>
      <c r="LWC91" s="240" t="n"/>
      <c r="LWE91" s="15" t="n"/>
      <c r="LWF91" s="15" t="n"/>
      <c r="LWG91" s="248" t="n"/>
      <c r="LWH91" s="248" t="n"/>
      <c r="LWI91" s="240" t="n"/>
      <c r="LWJ91" s="240" t="n"/>
      <c r="LWL91" s="15" t="n"/>
      <c r="LWM91" s="15" t="n"/>
      <c r="LWN91" s="248" t="n"/>
      <c r="LWO91" s="248" t="n"/>
      <c r="LWP91" s="240" t="n"/>
      <c r="LWQ91" s="240" t="n"/>
      <c r="LWS91" s="15" t="n"/>
      <c r="LWT91" s="15" t="n"/>
      <c r="LWU91" s="248" t="n"/>
      <c r="LWV91" s="248" t="n"/>
      <c r="LWW91" s="240" t="n"/>
      <c r="LWX91" s="240" t="n"/>
      <c r="LWZ91" s="15" t="n"/>
      <c r="LXA91" s="15" t="n"/>
      <c r="LXB91" s="248" t="n"/>
      <c r="LXC91" s="248" t="n"/>
      <c r="LXD91" s="240" t="n"/>
      <c r="LXE91" s="240" t="n"/>
      <c r="LXG91" s="15" t="n"/>
      <c r="LXH91" s="15" t="n"/>
      <c r="LXI91" s="248" t="n"/>
      <c r="LXJ91" s="248" t="n"/>
      <c r="LXK91" s="240" t="n"/>
      <c r="LXL91" s="240" t="n"/>
      <c r="LXN91" s="15" t="n"/>
      <c r="LXO91" s="15" t="n"/>
      <c r="LXP91" s="248" t="n"/>
      <c r="LXQ91" s="248" t="n"/>
      <c r="LXR91" s="240" t="n"/>
      <c r="LXS91" s="240" t="n"/>
      <c r="LXU91" s="15" t="n"/>
      <c r="LXV91" s="15" t="n"/>
      <c r="LXW91" s="248" t="n"/>
      <c r="LXX91" s="248" t="n"/>
      <c r="LXY91" s="240" t="n"/>
      <c r="LXZ91" s="240" t="n"/>
      <c r="LYB91" s="15" t="n"/>
      <c r="LYC91" s="15" t="n"/>
      <c r="LYD91" s="248" t="n"/>
      <c r="LYE91" s="248" t="n"/>
      <c r="LYF91" s="240" t="n"/>
      <c r="LYG91" s="240" t="n"/>
      <c r="LYI91" s="15" t="n"/>
      <c r="LYJ91" s="15" t="n"/>
      <c r="LYK91" s="248" t="n"/>
      <c r="LYL91" s="248" t="n"/>
      <c r="LYM91" s="240" t="n"/>
      <c r="LYN91" s="240" t="n"/>
      <c r="LYP91" s="15" t="n"/>
      <c r="LYQ91" s="15" t="n"/>
      <c r="LYR91" s="248" t="n"/>
      <c r="LYS91" s="248" t="n"/>
      <c r="LYT91" s="240" t="n"/>
      <c r="LYU91" s="240" t="n"/>
      <c r="LYW91" s="15" t="n"/>
      <c r="LYX91" s="15" t="n"/>
      <c r="LYY91" s="248" t="n"/>
      <c r="LYZ91" s="248" t="n"/>
      <c r="LZA91" s="240" t="n"/>
      <c r="LZB91" s="240" t="n"/>
      <c r="LZD91" s="15" t="n"/>
      <c r="LZE91" s="15" t="n"/>
      <c r="LZF91" s="248" t="n"/>
      <c r="LZG91" s="248" t="n"/>
      <c r="LZH91" s="240" t="n"/>
      <c r="LZI91" s="240" t="n"/>
      <c r="LZK91" s="15" t="n"/>
      <c r="LZL91" s="15" t="n"/>
      <c r="LZM91" s="248" t="n"/>
      <c r="LZN91" s="248" t="n"/>
      <c r="LZO91" s="240" t="n"/>
      <c r="LZP91" s="240" t="n"/>
      <c r="LZR91" s="15" t="n"/>
      <c r="LZS91" s="15" t="n"/>
      <c r="LZT91" s="248" t="n"/>
      <c r="LZU91" s="248" t="n"/>
      <c r="LZV91" s="240" t="n"/>
      <c r="LZW91" s="240" t="n"/>
      <c r="LZY91" s="15" t="n"/>
      <c r="LZZ91" s="15" t="n"/>
      <c r="MAA91" s="248" t="n"/>
      <c r="MAB91" s="248" t="n"/>
      <c r="MAC91" s="240" t="n"/>
      <c r="MAD91" s="240" t="n"/>
      <c r="MAF91" s="15" t="n"/>
      <c r="MAG91" s="15" t="n"/>
      <c r="MAH91" s="248" t="n"/>
      <c r="MAI91" s="248" t="n"/>
      <c r="MAJ91" s="240" t="n"/>
      <c r="MAK91" s="240" t="n"/>
      <c r="MAM91" s="15" t="n"/>
      <c r="MAN91" s="15" t="n"/>
      <c r="MAO91" s="248" t="n"/>
      <c r="MAP91" s="248" t="n"/>
      <c r="MAQ91" s="240" t="n"/>
      <c r="MAR91" s="240" t="n"/>
      <c r="MAT91" s="15" t="n"/>
      <c r="MAU91" s="15" t="n"/>
      <c r="MAV91" s="248" t="n"/>
      <c r="MAW91" s="248" t="n"/>
      <c r="MAX91" s="240" t="n"/>
      <c r="MAY91" s="240" t="n"/>
      <c r="MBA91" s="15" t="n"/>
      <c r="MBB91" s="15" t="n"/>
      <c r="MBC91" s="248" t="n"/>
      <c r="MBD91" s="248" t="n"/>
      <c r="MBE91" s="240" t="n"/>
      <c r="MBF91" s="240" t="n"/>
      <c r="MBH91" s="15" t="n"/>
      <c r="MBI91" s="15" t="n"/>
      <c r="MBJ91" s="248" t="n"/>
      <c r="MBK91" s="248" t="n"/>
      <c r="MBL91" s="240" t="n"/>
      <c r="MBM91" s="240" t="n"/>
      <c r="MBO91" s="15" t="n"/>
      <c r="MBP91" s="15" t="n"/>
      <c r="MBQ91" s="248" t="n"/>
      <c r="MBR91" s="248" t="n"/>
      <c r="MBS91" s="240" t="n"/>
      <c r="MBT91" s="240" t="n"/>
      <c r="MBV91" s="15" t="n"/>
      <c r="MBW91" s="15" t="n"/>
      <c r="MBX91" s="248" t="n"/>
      <c r="MBY91" s="248" t="n"/>
      <c r="MBZ91" s="240" t="n"/>
      <c r="MCA91" s="240" t="n"/>
      <c r="MCC91" s="15" t="n"/>
      <c r="MCD91" s="15" t="n"/>
      <c r="MCE91" s="248" t="n"/>
      <c r="MCF91" s="248" t="n"/>
      <c r="MCG91" s="240" t="n"/>
      <c r="MCH91" s="240" t="n"/>
      <c r="MCJ91" s="15" t="n"/>
      <c r="MCK91" s="15" t="n"/>
      <c r="MCL91" s="248" t="n"/>
      <c r="MCM91" s="248" t="n"/>
      <c r="MCN91" s="240" t="n"/>
      <c r="MCO91" s="240" t="n"/>
      <c r="MCQ91" s="15" t="n"/>
      <c r="MCR91" s="15" t="n"/>
      <c r="MCS91" s="248" t="n"/>
      <c r="MCT91" s="248" t="n"/>
      <c r="MCU91" s="240" t="n"/>
      <c r="MCV91" s="240" t="n"/>
      <c r="MCX91" s="15" t="n"/>
      <c r="MCY91" s="15" t="n"/>
      <c r="MCZ91" s="248" t="n"/>
      <c r="MDA91" s="248" t="n"/>
      <c r="MDB91" s="240" t="n"/>
      <c r="MDC91" s="240" t="n"/>
      <c r="MDE91" s="15" t="n"/>
      <c r="MDF91" s="15" t="n"/>
      <c r="MDG91" s="248" t="n"/>
      <c r="MDH91" s="248" t="n"/>
      <c r="MDI91" s="240" t="n"/>
      <c r="MDJ91" s="240" t="n"/>
      <c r="MDL91" s="15" t="n"/>
      <c r="MDM91" s="15" t="n"/>
      <c r="MDN91" s="248" t="n"/>
      <c r="MDO91" s="248" t="n"/>
      <c r="MDP91" s="240" t="n"/>
      <c r="MDQ91" s="240" t="n"/>
      <c r="MDS91" s="15" t="n"/>
      <c r="MDT91" s="15" t="n"/>
      <c r="MDU91" s="248" t="n"/>
      <c r="MDV91" s="248" t="n"/>
      <c r="MDW91" s="240" t="n"/>
      <c r="MDX91" s="240" t="n"/>
      <c r="MDZ91" s="15" t="n"/>
      <c r="MEA91" s="15" t="n"/>
      <c r="MEB91" s="248" t="n"/>
      <c r="MEC91" s="248" t="n"/>
      <c r="MED91" s="240" t="n"/>
      <c r="MEE91" s="240" t="n"/>
      <c r="MEG91" s="15" t="n"/>
      <c r="MEH91" s="15" t="n"/>
      <c r="MEI91" s="248" t="n"/>
      <c r="MEJ91" s="248" t="n"/>
      <c r="MEK91" s="240" t="n"/>
      <c r="MEL91" s="240" t="n"/>
      <c r="MEN91" s="15" t="n"/>
      <c r="MEO91" s="15" t="n"/>
      <c r="MEP91" s="248" t="n"/>
      <c r="MEQ91" s="248" t="n"/>
      <c r="MER91" s="240" t="n"/>
      <c r="MES91" s="240" t="n"/>
      <c r="MEU91" s="15" t="n"/>
      <c r="MEV91" s="15" t="n"/>
      <c r="MEW91" s="248" t="n"/>
      <c r="MEX91" s="248" t="n"/>
      <c r="MEY91" s="240" t="n"/>
      <c r="MEZ91" s="240" t="n"/>
      <c r="MFB91" s="15" t="n"/>
      <c r="MFC91" s="15" t="n"/>
      <c r="MFD91" s="248" t="n"/>
      <c r="MFE91" s="248" t="n"/>
      <c r="MFF91" s="240" t="n"/>
      <c r="MFG91" s="240" t="n"/>
      <c r="MFI91" s="15" t="n"/>
      <c r="MFJ91" s="15" t="n"/>
      <c r="MFK91" s="248" t="n"/>
      <c r="MFL91" s="248" t="n"/>
      <c r="MFM91" s="240" t="n"/>
      <c r="MFN91" s="240" t="n"/>
      <c r="MFP91" s="15" t="n"/>
      <c r="MFQ91" s="15" t="n"/>
      <c r="MFR91" s="248" t="n"/>
      <c r="MFS91" s="248" t="n"/>
      <c r="MFT91" s="240" t="n"/>
      <c r="MFU91" s="240" t="n"/>
      <c r="MFW91" s="15" t="n"/>
      <c r="MFX91" s="15" t="n"/>
      <c r="MFY91" s="248" t="n"/>
      <c r="MFZ91" s="248" t="n"/>
      <c r="MGA91" s="240" t="n"/>
      <c r="MGB91" s="240" t="n"/>
      <c r="MGD91" s="15" t="n"/>
      <c r="MGE91" s="15" t="n"/>
      <c r="MGF91" s="248" t="n"/>
      <c r="MGG91" s="248" t="n"/>
      <c r="MGH91" s="240" t="n"/>
      <c r="MGI91" s="240" t="n"/>
      <c r="MGK91" s="15" t="n"/>
      <c r="MGL91" s="15" t="n"/>
      <c r="MGM91" s="248" t="n"/>
      <c r="MGN91" s="248" t="n"/>
      <c r="MGO91" s="240" t="n"/>
      <c r="MGP91" s="240" t="n"/>
      <c r="MGR91" s="15" t="n"/>
      <c r="MGS91" s="15" t="n"/>
      <c r="MGT91" s="248" t="n"/>
      <c r="MGU91" s="248" t="n"/>
      <c r="MGV91" s="240" t="n"/>
      <c r="MGW91" s="240" t="n"/>
      <c r="MGY91" s="15" t="n"/>
      <c r="MGZ91" s="15" t="n"/>
      <c r="MHA91" s="248" t="n"/>
      <c r="MHB91" s="248" t="n"/>
      <c r="MHC91" s="240" t="n"/>
      <c r="MHD91" s="240" t="n"/>
      <c r="MHF91" s="15" t="n"/>
      <c r="MHG91" s="15" t="n"/>
      <c r="MHH91" s="248" t="n"/>
      <c r="MHI91" s="248" t="n"/>
      <c r="MHJ91" s="240" t="n"/>
      <c r="MHK91" s="240" t="n"/>
      <c r="MHM91" s="15" t="n"/>
      <c r="MHN91" s="15" t="n"/>
      <c r="MHO91" s="248" t="n"/>
      <c r="MHP91" s="248" t="n"/>
      <c r="MHQ91" s="240" t="n"/>
      <c r="MHR91" s="240" t="n"/>
      <c r="MHT91" s="15" t="n"/>
      <c r="MHU91" s="15" t="n"/>
      <c r="MHV91" s="248" t="n"/>
      <c r="MHW91" s="248" t="n"/>
      <c r="MHX91" s="240" t="n"/>
      <c r="MHY91" s="240" t="n"/>
      <c r="MIA91" s="15" t="n"/>
      <c r="MIB91" s="15" t="n"/>
      <c r="MIC91" s="248" t="n"/>
      <c r="MID91" s="248" t="n"/>
      <c r="MIE91" s="240" t="n"/>
      <c r="MIF91" s="240" t="n"/>
      <c r="MIH91" s="15" t="n"/>
      <c r="MII91" s="15" t="n"/>
      <c r="MIJ91" s="248" t="n"/>
      <c r="MIK91" s="248" t="n"/>
      <c r="MIL91" s="240" t="n"/>
      <c r="MIM91" s="240" t="n"/>
      <c r="MIO91" s="15" t="n"/>
      <c r="MIP91" s="15" t="n"/>
      <c r="MIQ91" s="248" t="n"/>
      <c r="MIR91" s="248" t="n"/>
      <c r="MIS91" s="240" t="n"/>
      <c r="MIT91" s="240" t="n"/>
      <c r="MIV91" s="15" t="n"/>
      <c r="MIW91" s="15" t="n"/>
      <c r="MIX91" s="248" t="n"/>
      <c r="MIY91" s="248" t="n"/>
      <c r="MIZ91" s="240" t="n"/>
      <c r="MJA91" s="240" t="n"/>
      <c r="MJC91" s="15" t="n"/>
      <c r="MJD91" s="15" t="n"/>
      <c r="MJE91" s="248" t="n"/>
      <c r="MJF91" s="248" t="n"/>
      <c r="MJG91" s="240" t="n"/>
      <c r="MJH91" s="240" t="n"/>
      <c r="MJJ91" s="15" t="n"/>
      <c r="MJK91" s="15" t="n"/>
      <c r="MJL91" s="248" t="n"/>
      <c r="MJM91" s="248" t="n"/>
      <c r="MJN91" s="240" t="n"/>
      <c r="MJO91" s="240" t="n"/>
      <c r="MJQ91" s="15" t="n"/>
      <c r="MJR91" s="15" t="n"/>
      <c r="MJS91" s="248" t="n"/>
      <c r="MJT91" s="248" t="n"/>
      <c r="MJU91" s="240" t="n"/>
      <c r="MJV91" s="240" t="n"/>
      <c r="MJX91" s="15" t="n"/>
      <c r="MJY91" s="15" t="n"/>
      <c r="MJZ91" s="248" t="n"/>
      <c r="MKA91" s="248" t="n"/>
      <c r="MKB91" s="240" t="n"/>
      <c r="MKC91" s="240" t="n"/>
      <c r="MKE91" s="15" t="n"/>
      <c r="MKF91" s="15" t="n"/>
      <c r="MKG91" s="248" t="n"/>
      <c r="MKH91" s="248" t="n"/>
      <c r="MKI91" s="240" t="n"/>
      <c r="MKJ91" s="240" t="n"/>
      <c r="MKL91" s="15" t="n"/>
      <c r="MKM91" s="15" t="n"/>
      <c r="MKN91" s="248" t="n"/>
      <c r="MKO91" s="248" t="n"/>
      <c r="MKP91" s="240" t="n"/>
      <c r="MKQ91" s="240" t="n"/>
      <c r="MKS91" s="15" t="n"/>
      <c r="MKT91" s="15" t="n"/>
      <c r="MKU91" s="248" t="n"/>
      <c r="MKV91" s="248" t="n"/>
      <c r="MKW91" s="240" t="n"/>
      <c r="MKX91" s="240" t="n"/>
      <c r="MKZ91" s="15" t="n"/>
      <c r="MLA91" s="15" t="n"/>
      <c r="MLB91" s="248" t="n"/>
      <c r="MLC91" s="248" t="n"/>
      <c r="MLD91" s="240" t="n"/>
      <c r="MLE91" s="240" t="n"/>
      <c r="MLG91" s="15" t="n"/>
      <c r="MLH91" s="15" t="n"/>
      <c r="MLI91" s="248" t="n"/>
      <c r="MLJ91" s="248" t="n"/>
      <c r="MLK91" s="240" t="n"/>
      <c r="MLL91" s="240" t="n"/>
      <c r="MLN91" s="15" t="n"/>
      <c r="MLO91" s="15" t="n"/>
      <c r="MLP91" s="248" t="n"/>
      <c r="MLQ91" s="248" t="n"/>
      <c r="MLR91" s="240" t="n"/>
      <c r="MLS91" s="240" t="n"/>
      <c r="MLU91" s="15" t="n"/>
      <c r="MLV91" s="15" t="n"/>
      <c r="MLW91" s="248" t="n"/>
      <c r="MLX91" s="248" t="n"/>
      <c r="MLY91" s="240" t="n"/>
      <c r="MLZ91" s="240" t="n"/>
      <c r="MMB91" s="15" t="n"/>
      <c r="MMC91" s="15" t="n"/>
      <c r="MMD91" s="248" t="n"/>
      <c r="MME91" s="248" t="n"/>
      <c r="MMF91" s="240" t="n"/>
      <c r="MMG91" s="240" t="n"/>
      <c r="MMI91" s="15" t="n"/>
      <c r="MMJ91" s="15" t="n"/>
      <c r="MMK91" s="248" t="n"/>
      <c r="MML91" s="248" t="n"/>
      <c r="MMM91" s="240" t="n"/>
      <c r="MMN91" s="240" t="n"/>
      <c r="MMP91" s="15" t="n"/>
      <c r="MMQ91" s="15" t="n"/>
      <c r="MMR91" s="248" t="n"/>
      <c r="MMS91" s="248" t="n"/>
      <c r="MMT91" s="240" t="n"/>
      <c r="MMU91" s="240" t="n"/>
      <c r="MMW91" s="15" t="n"/>
      <c r="MMX91" s="15" t="n"/>
      <c r="MMY91" s="248" t="n"/>
      <c r="MMZ91" s="248" t="n"/>
      <c r="MNA91" s="240" t="n"/>
      <c r="MNB91" s="240" t="n"/>
      <c r="MND91" s="15" t="n"/>
      <c r="MNE91" s="15" t="n"/>
      <c r="MNF91" s="248" t="n"/>
      <c r="MNG91" s="248" t="n"/>
      <c r="MNH91" s="240" t="n"/>
      <c r="MNI91" s="240" t="n"/>
      <c r="MNK91" s="15" t="n"/>
      <c r="MNL91" s="15" t="n"/>
      <c r="MNM91" s="248" t="n"/>
      <c r="MNN91" s="248" t="n"/>
      <c r="MNO91" s="240" t="n"/>
      <c r="MNP91" s="240" t="n"/>
      <c r="MNR91" s="15" t="n"/>
      <c r="MNS91" s="15" t="n"/>
      <c r="MNT91" s="248" t="n"/>
      <c r="MNU91" s="248" t="n"/>
      <c r="MNV91" s="240" t="n"/>
      <c r="MNW91" s="240" t="n"/>
      <c r="MNY91" s="15" t="n"/>
      <c r="MNZ91" s="15" t="n"/>
      <c r="MOA91" s="248" t="n"/>
      <c r="MOB91" s="248" t="n"/>
      <c r="MOC91" s="240" t="n"/>
      <c r="MOD91" s="240" t="n"/>
      <c r="MOF91" s="15" t="n"/>
      <c r="MOG91" s="15" t="n"/>
      <c r="MOH91" s="248" t="n"/>
      <c r="MOI91" s="248" t="n"/>
      <c r="MOJ91" s="240" t="n"/>
      <c r="MOK91" s="240" t="n"/>
      <c r="MOM91" s="15" t="n"/>
      <c r="MON91" s="15" t="n"/>
      <c r="MOO91" s="248" t="n"/>
      <c r="MOP91" s="248" t="n"/>
      <c r="MOQ91" s="240" t="n"/>
      <c r="MOR91" s="240" t="n"/>
      <c r="MOT91" s="15" t="n"/>
      <c r="MOU91" s="15" t="n"/>
      <c r="MOV91" s="248" t="n"/>
      <c r="MOW91" s="248" t="n"/>
      <c r="MOX91" s="240" t="n"/>
      <c r="MOY91" s="240" t="n"/>
      <c r="MPA91" s="15" t="n"/>
      <c r="MPB91" s="15" t="n"/>
      <c r="MPC91" s="248" t="n"/>
      <c r="MPD91" s="248" t="n"/>
      <c r="MPE91" s="240" t="n"/>
      <c r="MPF91" s="240" t="n"/>
      <c r="MPH91" s="15" t="n"/>
      <c r="MPI91" s="15" t="n"/>
      <c r="MPJ91" s="248" t="n"/>
      <c r="MPK91" s="248" t="n"/>
      <c r="MPL91" s="240" t="n"/>
      <c r="MPM91" s="240" t="n"/>
      <c r="MPO91" s="15" t="n"/>
      <c r="MPP91" s="15" t="n"/>
      <c r="MPQ91" s="248" t="n"/>
      <c r="MPR91" s="248" t="n"/>
      <c r="MPS91" s="240" t="n"/>
      <c r="MPT91" s="240" t="n"/>
      <c r="MPV91" s="15" t="n"/>
      <c r="MPW91" s="15" t="n"/>
      <c r="MPX91" s="248" t="n"/>
      <c r="MPY91" s="248" t="n"/>
      <c r="MPZ91" s="240" t="n"/>
      <c r="MQA91" s="240" t="n"/>
      <c r="MQC91" s="15" t="n"/>
      <c r="MQD91" s="15" t="n"/>
      <c r="MQE91" s="248" t="n"/>
      <c r="MQF91" s="248" t="n"/>
      <c r="MQG91" s="240" t="n"/>
      <c r="MQH91" s="240" t="n"/>
      <c r="MQJ91" s="15" t="n"/>
      <c r="MQK91" s="15" t="n"/>
      <c r="MQL91" s="248" t="n"/>
      <c r="MQM91" s="248" t="n"/>
      <c r="MQN91" s="240" t="n"/>
      <c r="MQO91" s="240" t="n"/>
      <c r="MQQ91" s="15" t="n"/>
      <c r="MQR91" s="15" t="n"/>
      <c r="MQS91" s="248" t="n"/>
      <c r="MQT91" s="248" t="n"/>
      <c r="MQU91" s="240" t="n"/>
      <c r="MQV91" s="240" t="n"/>
      <c r="MQX91" s="15" t="n"/>
      <c r="MQY91" s="15" t="n"/>
      <c r="MQZ91" s="248" t="n"/>
      <c r="MRA91" s="248" t="n"/>
      <c r="MRB91" s="240" t="n"/>
      <c r="MRC91" s="240" t="n"/>
      <c r="MRE91" s="15" t="n"/>
      <c r="MRF91" s="15" t="n"/>
      <c r="MRG91" s="248" t="n"/>
      <c r="MRH91" s="248" t="n"/>
      <c r="MRI91" s="240" t="n"/>
      <c r="MRJ91" s="240" t="n"/>
      <c r="MRL91" s="15" t="n"/>
      <c r="MRM91" s="15" t="n"/>
      <c r="MRN91" s="248" t="n"/>
      <c r="MRO91" s="248" t="n"/>
      <c r="MRP91" s="240" t="n"/>
      <c r="MRQ91" s="240" t="n"/>
      <c r="MRS91" s="15" t="n"/>
      <c r="MRT91" s="15" t="n"/>
      <c r="MRU91" s="248" t="n"/>
      <c r="MRV91" s="248" t="n"/>
      <c r="MRW91" s="240" t="n"/>
      <c r="MRX91" s="240" t="n"/>
      <c r="MRZ91" s="15" t="n"/>
      <c r="MSA91" s="15" t="n"/>
      <c r="MSB91" s="248" t="n"/>
      <c r="MSC91" s="248" t="n"/>
      <c r="MSD91" s="240" t="n"/>
      <c r="MSE91" s="240" t="n"/>
      <c r="MSG91" s="15" t="n"/>
      <c r="MSH91" s="15" t="n"/>
      <c r="MSI91" s="248" t="n"/>
      <c r="MSJ91" s="248" t="n"/>
      <c r="MSK91" s="240" t="n"/>
      <c r="MSL91" s="240" t="n"/>
      <c r="MSN91" s="15" t="n"/>
      <c r="MSO91" s="15" t="n"/>
      <c r="MSP91" s="248" t="n"/>
      <c r="MSQ91" s="248" t="n"/>
      <c r="MSR91" s="240" t="n"/>
      <c r="MSS91" s="240" t="n"/>
      <c r="MSU91" s="15" t="n"/>
      <c r="MSV91" s="15" t="n"/>
      <c r="MSW91" s="248" t="n"/>
      <c r="MSX91" s="248" t="n"/>
      <c r="MSY91" s="240" t="n"/>
      <c r="MSZ91" s="240" t="n"/>
      <c r="MTB91" s="15" t="n"/>
      <c r="MTC91" s="15" t="n"/>
      <c r="MTD91" s="248" t="n"/>
      <c r="MTE91" s="248" t="n"/>
      <c r="MTF91" s="240" t="n"/>
      <c r="MTG91" s="240" t="n"/>
      <c r="MTI91" s="15" t="n"/>
      <c r="MTJ91" s="15" t="n"/>
      <c r="MTK91" s="248" t="n"/>
      <c r="MTL91" s="248" t="n"/>
      <c r="MTM91" s="240" t="n"/>
      <c r="MTN91" s="240" t="n"/>
      <c r="MTP91" s="15" t="n"/>
      <c r="MTQ91" s="15" t="n"/>
      <c r="MTR91" s="248" t="n"/>
      <c r="MTS91" s="248" t="n"/>
      <c r="MTT91" s="240" t="n"/>
      <c r="MTU91" s="240" t="n"/>
      <c r="MTW91" s="15" t="n"/>
      <c r="MTX91" s="15" t="n"/>
      <c r="MTY91" s="248" t="n"/>
      <c r="MTZ91" s="248" t="n"/>
      <c r="MUA91" s="240" t="n"/>
      <c r="MUB91" s="240" t="n"/>
      <c r="MUD91" s="15" t="n"/>
      <c r="MUE91" s="15" t="n"/>
      <c r="MUF91" s="248" t="n"/>
      <c r="MUG91" s="248" t="n"/>
      <c r="MUH91" s="240" t="n"/>
      <c r="MUI91" s="240" t="n"/>
      <c r="MUK91" s="15" t="n"/>
      <c r="MUL91" s="15" t="n"/>
      <c r="MUM91" s="248" t="n"/>
      <c r="MUN91" s="248" t="n"/>
      <c r="MUO91" s="240" t="n"/>
      <c r="MUP91" s="240" t="n"/>
      <c r="MUR91" s="15" t="n"/>
      <c r="MUS91" s="15" t="n"/>
      <c r="MUT91" s="248" t="n"/>
      <c r="MUU91" s="248" t="n"/>
      <c r="MUV91" s="240" t="n"/>
      <c r="MUW91" s="240" t="n"/>
      <c r="MUY91" s="15" t="n"/>
      <c r="MUZ91" s="15" t="n"/>
      <c r="MVA91" s="248" t="n"/>
      <c r="MVB91" s="248" t="n"/>
      <c r="MVC91" s="240" t="n"/>
      <c r="MVD91" s="240" t="n"/>
      <c r="MVF91" s="15" t="n"/>
      <c r="MVG91" s="15" t="n"/>
      <c r="MVH91" s="248" t="n"/>
      <c r="MVI91" s="248" t="n"/>
      <c r="MVJ91" s="240" t="n"/>
      <c r="MVK91" s="240" t="n"/>
      <c r="MVM91" s="15" t="n"/>
      <c r="MVN91" s="15" t="n"/>
      <c r="MVO91" s="248" t="n"/>
      <c r="MVP91" s="248" t="n"/>
      <c r="MVQ91" s="240" t="n"/>
      <c r="MVR91" s="240" t="n"/>
      <c r="MVT91" s="15" t="n"/>
      <c r="MVU91" s="15" t="n"/>
      <c r="MVV91" s="248" t="n"/>
      <c r="MVW91" s="248" t="n"/>
      <c r="MVX91" s="240" t="n"/>
      <c r="MVY91" s="240" t="n"/>
      <c r="MWA91" s="15" t="n"/>
      <c r="MWB91" s="15" t="n"/>
      <c r="MWC91" s="248" t="n"/>
      <c r="MWD91" s="248" t="n"/>
      <c r="MWE91" s="240" t="n"/>
      <c r="MWF91" s="240" t="n"/>
      <c r="MWH91" s="15" t="n"/>
      <c r="MWI91" s="15" t="n"/>
      <c r="MWJ91" s="248" t="n"/>
      <c r="MWK91" s="248" t="n"/>
      <c r="MWL91" s="240" t="n"/>
      <c r="MWM91" s="240" t="n"/>
      <c r="MWO91" s="15" t="n"/>
      <c r="MWP91" s="15" t="n"/>
      <c r="MWQ91" s="248" t="n"/>
      <c r="MWR91" s="248" t="n"/>
      <c r="MWS91" s="240" t="n"/>
      <c r="MWT91" s="240" t="n"/>
      <c r="MWV91" s="15" t="n"/>
      <c r="MWW91" s="15" t="n"/>
      <c r="MWX91" s="248" t="n"/>
      <c r="MWY91" s="248" t="n"/>
      <c r="MWZ91" s="240" t="n"/>
      <c r="MXA91" s="240" t="n"/>
      <c r="MXC91" s="15" t="n"/>
      <c r="MXD91" s="15" t="n"/>
      <c r="MXE91" s="248" t="n"/>
      <c r="MXF91" s="248" t="n"/>
      <c r="MXG91" s="240" t="n"/>
      <c r="MXH91" s="240" t="n"/>
      <c r="MXJ91" s="15" t="n"/>
      <c r="MXK91" s="15" t="n"/>
      <c r="MXL91" s="248" t="n"/>
      <c r="MXM91" s="248" t="n"/>
      <c r="MXN91" s="240" t="n"/>
      <c r="MXO91" s="240" t="n"/>
      <c r="MXQ91" s="15" t="n"/>
      <c r="MXR91" s="15" t="n"/>
      <c r="MXS91" s="248" t="n"/>
      <c r="MXT91" s="248" t="n"/>
      <c r="MXU91" s="240" t="n"/>
      <c r="MXV91" s="240" t="n"/>
      <c r="MXX91" s="15" t="n"/>
      <c r="MXY91" s="15" t="n"/>
      <c r="MXZ91" s="248" t="n"/>
      <c r="MYA91" s="248" t="n"/>
      <c r="MYB91" s="240" t="n"/>
      <c r="MYC91" s="240" t="n"/>
      <c r="MYE91" s="15" t="n"/>
      <c r="MYF91" s="15" t="n"/>
      <c r="MYG91" s="248" t="n"/>
      <c r="MYH91" s="248" t="n"/>
      <c r="MYI91" s="240" t="n"/>
      <c r="MYJ91" s="240" t="n"/>
      <c r="MYL91" s="15" t="n"/>
      <c r="MYM91" s="15" t="n"/>
      <c r="MYN91" s="248" t="n"/>
      <c r="MYO91" s="248" t="n"/>
      <c r="MYP91" s="240" t="n"/>
      <c r="MYQ91" s="240" t="n"/>
      <c r="MYS91" s="15" t="n"/>
      <c r="MYT91" s="15" t="n"/>
      <c r="MYU91" s="248" t="n"/>
      <c r="MYV91" s="248" t="n"/>
      <c r="MYW91" s="240" t="n"/>
      <c r="MYX91" s="240" t="n"/>
      <c r="MYZ91" s="15" t="n"/>
      <c r="MZA91" s="15" t="n"/>
      <c r="MZB91" s="248" t="n"/>
      <c r="MZC91" s="248" t="n"/>
      <c r="MZD91" s="240" t="n"/>
      <c r="MZE91" s="240" t="n"/>
      <c r="MZG91" s="15" t="n"/>
      <c r="MZH91" s="15" t="n"/>
      <c r="MZI91" s="248" t="n"/>
      <c r="MZJ91" s="248" t="n"/>
      <c r="MZK91" s="240" t="n"/>
      <c r="MZL91" s="240" t="n"/>
      <c r="MZN91" s="15" t="n"/>
      <c r="MZO91" s="15" t="n"/>
      <c r="MZP91" s="248" t="n"/>
      <c r="MZQ91" s="248" t="n"/>
      <c r="MZR91" s="240" t="n"/>
      <c r="MZS91" s="240" t="n"/>
      <c r="MZU91" s="15" t="n"/>
      <c r="MZV91" s="15" t="n"/>
      <c r="MZW91" s="248" t="n"/>
      <c r="MZX91" s="248" t="n"/>
      <c r="MZY91" s="240" t="n"/>
      <c r="MZZ91" s="240" t="n"/>
      <c r="NAB91" s="15" t="n"/>
      <c r="NAC91" s="15" t="n"/>
      <c r="NAD91" s="248" t="n"/>
      <c r="NAE91" s="248" t="n"/>
      <c r="NAF91" s="240" t="n"/>
      <c r="NAG91" s="240" t="n"/>
      <c r="NAI91" s="15" t="n"/>
      <c r="NAJ91" s="15" t="n"/>
      <c r="NAK91" s="248" t="n"/>
      <c r="NAL91" s="248" t="n"/>
      <c r="NAM91" s="240" t="n"/>
      <c r="NAN91" s="240" t="n"/>
      <c r="NAP91" s="15" t="n"/>
      <c r="NAQ91" s="15" t="n"/>
      <c r="NAR91" s="248" t="n"/>
      <c r="NAS91" s="248" t="n"/>
      <c r="NAT91" s="240" t="n"/>
      <c r="NAU91" s="240" t="n"/>
      <c r="NAW91" s="15" t="n"/>
      <c r="NAX91" s="15" t="n"/>
      <c r="NAY91" s="248" t="n"/>
      <c r="NAZ91" s="248" t="n"/>
      <c r="NBA91" s="240" t="n"/>
      <c r="NBB91" s="240" t="n"/>
      <c r="NBD91" s="15" t="n"/>
      <c r="NBE91" s="15" t="n"/>
      <c r="NBF91" s="248" t="n"/>
      <c r="NBG91" s="248" t="n"/>
      <c r="NBH91" s="240" t="n"/>
      <c r="NBI91" s="240" t="n"/>
      <c r="NBK91" s="15" t="n"/>
      <c r="NBL91" s="15" t="n"/>
      <c r="NBM91" s="248" t="n"/>
      <c r="NBN91" s="248" t="n"/>
      <c r="NBO91" s="240" t="n"/>
      <c r="NBP91" s="240" t="n"/>
      <c r="NBR91" s="15" t="n"/>
      <c r="NBS91" s="15" t="n"/>
      <c r="NBT91" s="248" t="n"/>
      <c r="NBU91" s="248" t="n"/>
      <c r="NBV91" s="240" t="n"/>
      <c r="NBW91" s="240" t="n"/>
      <c r="NBY91" s="15" t="n"/>
      <c r="NBZ91" s="15" t="n"/>
      <c r="NCA91" s="248" t="n"/>
      <c r="NCB91" s="248" t="n"/>
      <c r="NCC91" s="240" t="n"/>
      <c r="NCD91" s="240" t="n"/>
      <c r="NCF91" s="15" t="n"/>
      <c r="NCG91" s="15" t="n"/>
      <c r="NCH91" s="248" t="n"/>
      <c r="NCI91" s="248" t="n"/>
      <c r="NCJ91" s="240" t="n"/>
      <c r="NCK91" s="240" t="n"/>
      <c r="NCM91" s="15" t="n"/>
      <c r="NCN91" s="15" t="n"/>
      <c r="NCO91" s="248" t="n"/>
      <c r="NCP91" s="248" t="n"/>
      <c r="NCQ91" s="240" t="n"/>
      <c r="NCR91" s="240" t="n"/>
      <c r="NCT91" s="15" t="n"/>
      <c r="NCU91" s="15" t="n"/>
      <c r="NCV91" s="248" t="n"/>
      <c r="NCW91" s="248" t="n"/>
      <c r="NCX91" s="240" t="n"/>
      <c r="NCY91" s="240" t="n"/>
      <c r="NDA91" s="15" t="n"/>
      <c r="NDB91" s="15" t="n"/>
      <c r="NDC91" s="248" t="n"/>
      <c r="NDD91" s="248" t="n"/>
      <c r="NDE91" s="240" t="n"/>
      <c r="NDF91" s="240" t="n"/>
      <c r="NDH91" s="15" t="n"/>
      <c r="NDI91" s="15" t="n"/>
      <c r="NDJ91" s="248" t="n"/>
      <c r="NDK91" s="248" t="n"/>
      <c r="NDL91" s="240" t="n"/>
      <c r="NDM91" s="240" t="n"/>
      <c r="NDO91" s="15" t="n"/>
      <c r="NDP91" s="15" t="n"/>
      <c r="NDQ91" s="248" t="n"/>
      <c r="NDR91" s="248" t="n"/>
      <c r="NDS91" s="240" t="n"/>
      <c r="NDT91" s="240" t="n"/>
      <c r="NDV91" s="15" t="n"/>
      <c r="NDW91" s="15" t="n"/>
      <c r="NDX91" s="248" t="n"/>
      <c r="NDY91" s="248" t="n"/>
      <c r="NDZ91" s="240" t="n"/>
      <c r="NEA91" s="240" t="n"/>
      <c r="NEC91" s="15" t="n"/>
      <c r="NED91" s="15" t="n"/>
      <c r="NEE91" s="248" t="n"/>
      <c r="NEF91" s="248" t="n"/>
      <c r="NEG91" s="240" t="n"/>
      <c r="NEH91" s="240" t="n"/>
      <c r="NEJ91" s="15" t="n"/>
      <c r="NEK91" s="15" t="n"/>
      <c r="NEL91" s="248" t="n"/>
      <c r="NEM91" s="248" t="n"/>
      <c r="NEN91" s="240" t="n"/>
      <c r="NEO91" s="240" t="n"/>
      <c r="NEQ91" s="15" t="n"/>
      <c r="NER91" s="15" t="n"/>
      <c r="NES91" s="248" t="n"/>
      <c r="NET91" s="248" t="n"/>
      <c r="NEU91" s="240" t="n"/>
      <c r="NEV91" s="240" t="n"/>
      <c r="NEX91" s="15" t="n"/>
      <c r="NEY91" s="15" t="n"/>
      <c r="NEZ91" s="248" t="n"/>
      <c r="NFA91" s="248" t="n"/>
      <c r="NFB91" s="240" t="n"/>
      <c r="NFC91" s="240" t="n"/>
      <c r="NFE91" s="15" t="n"/>
      <c r="NFF91" s="15" t="n"/>
      <c r="NFG91" s="248" t="n"/>
      <c r="NFH91" s="248" t="n"/>
      <c r="NFI91" s="240" t="n"/>
      <c r="NFJ91" s="240" t="n"/>
      <c r="NFL91" s="15" t="n"/>
      <c r="NFM91" s="15" t="n"/>
      <c r="NFN91" s="248" t="n"/>
      <c r="NFO91" s="248" t="n"/>
      <c r="NFP91" s="240" t="n"/>
      <c r="NFQ91" s="240" t="n"/>
      <c r="NFS91" s="15" t="n"/>
      <c r="NFT91" s="15" t="n"/>
      <c r="NFU91" s="248" t="n"/>
      <c r="NFV91" s="248" t="n"/>
      <c r="NFW91" s="240" t="n"/>
      <c r="NFX91" s="240" t="n"/>
      <c r="NFZ91" s="15" t="n"/>
      <c r="NGA91" s="15" t="n"/>
      <c r="NGB91" s="248" t="n"/>
      <c r="NGC91" s="248" t="n"/>
      <c r="NGD91" s="240" t="n"/>
      <c r="NGE91" s="240" t="n"/>
      <c r="NGG91" s="15" t="n"/>
      <c r="NGH91" s="15" t="n"/>
      <c r="NGI91" s="248" t="n"/>
      <c r="NGJ91" s="248" t="n"/>
      <c r="NGK91" s="240" t="n"/>
      <c r="NGL91" s="240" t="n"/>
      <c r="NGN91" s="15" t="n"/>
      <c r="NGO91" s="15" t="n"/>
      <c r="NGP91" s="248" t="n"/>
      <c r="NGQ91" s="248" t="n"/>
      <c r="NGR91" s="240" t="n"/>
      <c r="NGS91" s="240" t="n"/>
      <c r="NGU91" s="15" t="n"/>
      <c r="NGV91" s="15" t="n"/>
      <c r="NGW91" s="248" t="n"/>
      <c r="NGX91" s="248" t="n"/>
      <c r="NGY91" s="240" t="n"/>
      <c r="NGZ91" s="240" t="n"/>
      <c r="NHB91" s="15" t="n"/>
      <c r="NHC91" s="15" t="n"/>
      <c r="NHD91" s="248" t="n"/>
      <c r="NHE91" s="248" t="n"/>
      <c r="NHF91" s="240" t="n"/>
      <c r="NHG91" s="240" t="n"/>
      <c r="NHI91" s="15" t="n"/>
      <c r="NHJ91" s="15" t="n"/>
      <c r="NHK91" s="248" t="n"/>
      <c r="NHL91" s="248" t="n"/>
      <c r="NHM91" s="240" t="n"/>
      <c r="NHN91" s="240" t="n"/>
      <c r="NHP91" s="15" t="n"/>
      <c r="NHQ91" s="15" t="n"/>
      <c r="NHR91" s="248" t="n"/>
      <c r="NHS91" s="248" t="n"/>
      <c r="NHT91" s="240" t="n"/>
      <c r="NHU91" s="240" t="n"/>
      <c r="NHW91" s="15" t="n"/>
      <c r="NHX91" s="15" t="n"/>
      <c r="NHY91" s="248" t="n"/>
      <c r="NHZ91" s="248" t="n"/>
      <c r="NIA91" s="240" t="n"/>
      <c r="NIB91" s="240" t="n"/>
      <c r="NID91" s="15" t="n"/>
      <c r="NIE91" s="15" t="n"/>
      <c r="NIF91" s="248" t="n"/>
      <c r="NIG91" s="248" t="n"/>
      <c r="NIH91" s="240" t="n"/>
      <c r="NII91" s="240" t="n"/>
      <c r="NIK91" s="15" t="n"/>
      <c r="NIL91" s="15" t="n"/>
      <c r="NIM91" s="248" t="n"/>
      <c r="NIN91" s="248" t="n"/>
      <c r="NIO91" s="240" t="n"/>
      <c r="NIP91" s="240" t="n"/>
      <c r="NIR91" s="15" t="n"/>
      <c r="NIS91" s="15" t="n"/>
      <c r="NIT91" s="248" t="n"/>
      <c r="NIU91" s="248" t="n"/>
      <c r="NIV91" s="240" t="n"/>
      <c r="NIW91" s="240" t="n"/>
      <c r="NIY91" s="15" t="n"/>
      <c r="NIZ91" s="15" t="n"/>
      <c r="NJA91" s="248" t="n"/>
      <c r="NJB91" s="248" t="n"/>
      <c r="NJC91" s="240" t="n"/>
      <c r="NJD91" s="240" t="n"/>
      <c r="NJF91" s="15" t="n"/>
      <c r="NJG91" s="15" t="n"/>
      <c r="NJH91" s="248" t="n"/>
      <c r="NJI91" s="248" t="n"/>
      <c r="NJJ91" s="240" t="n"/>
      <c r="NJK91" s="240" t="n"/>
      <c r="NJM91" s="15" t="n"/>
      <c r="NJN91" s="15" t="n"/>
      <c r="NJO91" s="248" t="n"/>
      <c r="NJP91" s="248" t="n"/>
      <c r="NJQ91" s="240" t="n"/>
      <c r="NJR91" s="240" t="n"/>
      <c r="NJT91" s="15" t="n"/>
      <c r="NJU91" s="15" t="n"/>
      <c r="NJV91" s="248" t="n"/>
      <c r="NJW91" s="248" t="n"/>
      <c r="NJX91" s="240" t="n"/>
      <c r="NJY91" s="240" t="n"/>
      <c r="NKA91" s="15" t="n"/>
      <c r="NKB91" s="15" t="n"/>
      <c r="NKC91" s="248" t="n"/>
      <c r="NKD91" s="248" t="n"/>
      <c r="NKE91" s="240" t="n"/>
      <c r="NKF91" s="240" t="n"/>
      <c r="NKH91" s="15" t="n"/>
      <c r="NKI91" s="15" t="n"/>
      <c r="NKJ91" s="248" t="n"/>
      <c r="NKK91" s="248" t="n"/>
      <c r="NKL91" s="240" t="n"/>
      <c r="NKM91" s="240" t="n"/>
      <c r="NKO91" s="15" t="n"/>
      <c r="NKP91" s="15" t="n"/>
      <c r="NKQ91" s="248" t="n"/>
      <c r="NKR91" s="248" t="n"/>
      <c r="NKS91" s="240" t="n"/>
      <c r="NKT91" s="240" t="n"/>
      <c r="NKV91" s="15" t="n"/>
      <c r="NKW91" s="15" t="n"/>
      <c r="NKX91" s="248" t="n"/>
      <c r="NKY91" s="248" t="n"/>
      <c r="NKZ91" s="240" t="n"/>
      <c r="NLA91" s="240" t="n"/>
      <c r="NLC91" s="15" t="n"/>
      <c r="NLD91" s="15" t="n"/>
      <c r="NLE91" s="248" t="n"/>
      <c r="NLF91" s="248" t="n"/>
      <c r="NLG91" s="240" t="n"/>
      <c r="NLH91" s="240" t="n"/>
      <c r="NLJ91" s="15" t="n"/>
      <c r="NLK91" s="15" t="n"/>
      <c r="NLL91" s="248" t="n"/>
      <c r="NLM91" s="248" t="n"/>
      <c r="NLN91" s="240" t="n"/>
      <c r="NLO91" s="240" t="n"/>
      <c r="NLQ91" s="15" t="n"/>
      <c r="NLR91" s="15" t="n"/>
      <c r="NLS91" s="248" t="n"/>
      <c r="NLT91" s="248" t="n"/>
      <c r="NLU91" s="240" t="n"/>
      <c r="NLV91" s="240" t="n"/>
      <c r="NLX91" s="15" t="n"/>
      <c r="NLY91" s="15" t="n"/>
      <c r="NLZ91" s="248" t="n"/>
      <c r="NMA91" s="248" t="n"/>
      <c r="NMB91" s="240" t="n"/>
      <c r="NMC91" s="240" t="n"/>
      <c r="NME91" s="15" t="n"/>
      <c r="NMF91" s="15" t="n"/>
      <c r="NMG91" s="248" t="n"/>
      <c r="NMH91" s="248" t="n"/>
      <c r="NMI91" s="240" t="n"/>
      <c r="NMJ91" s="240" t="n"/>
      <c r="NML91" s="15" t="n"/>
      <c r="NMM91" s="15" t="n"/>
      <c r="NMN91" s="248" t="n"/>
      <c r="NMO91" s="248" t="n"/>
      <c r="NMP91" s="240" t="n"/>
      <c r="NMQ91" s="240" t="n"/>
      <c r="NMS91" s="15" t="n"/>
      <c r="NMT91" s="15" t="n"/>
      <c r="NMU91" s="248" t="n"/>
      <c r="NMV91" s="248" t="n"/>
      <c r="NMW91" s="240" t="n"/>
      <c r="NMX91" s="240" t="n"/>
      <c r="NMZ91" s="15" t="n"/>
      <c r="NNA91" s="15" t="n"/>
      <c r="NNB91" s="248" t="n"/>
      <c r="NNC91" s="248" t="n"/>
      <c r="NND91" s="240" t="n"/>
      <c r="NNE91" s="240" t="n"/>
      <c r="NNG91" s="15" t="n"/>
      <c r="NNH91" s="15" t="n"/>
      <c r="NNI91" s="248" t="n"/>
      <c r="NNJ91" s="248" t="n"/>
      <c r="NNK91" s="240" t="n"/>
      <c r="NNL91" s="240" t="n"/>
      <c r="NNN91" s="15" t="n"/>
      <c r="NNO91" s="15" t="n"/>
      <c r="NNP91" s="248" t="n"/>
      <c r="NNQ91" s="248" t="n"/>
      <c r="NNR91" s="240" t="n"/>
      <c r="NNS91" s="240" t="n"/>
      <c r="NNU91" s="15" t="n"/>
      <c r="NNV91" s="15" t="n"/>
      <c r="NNW91" s="248" t="n"/>
      <c r="NNX91" s="248" t="n"/>
      <c r="NNY91" s="240" t="n"/>
      <c r="NNZ91" s="240" t="n"/>
      <c r="NOB91" s="15" t="n"/>
      <c r="NOC91" s="15" t="n"/>
      <c r="NOD91" s="248" t="n"/>
      <c r="NOE91" s="248" t="n"/>
      <c r="NOF91" s="240" t="n"/>
      <c r="NOG91" s="240" t="n"/>
      <c r="NOI91" s="15" t="n"/>
      <c r="NOJ91" s="15" t="n"/>
      <c r="NOK91" s="248" t="n"/>
      <c r="NOL91" s="248" t="n"/>
      <c r="NOM91" s="240" t="n"/>
      <c r="NON91" s="240" t="n"/>
      <c r="NOP91" s="15" t="n"/>
      <c r="NOQ91" s="15" t="n"/>
      <c r="NOR91" s="248" t="n"/>
      <c r="NOS91" s="248" t="n"/>
      <c r="NOT91" s="240" t="n"/>
      <c r="NOU91" s="240" t="n"/>
      <c r="NOW91" s="15" t="n"/>
      <c r="NOX91" s="15" t="n"/>
      <c r="NOY91" s="248" t="n"/>
      <c r="NOZ91" s="248" t="n"/>
      <c r="NPA91" s="240" t="n"/>
      <c r="NPB91" s="240" t="n"/>
      <c r="NPD91" s="15" t="n"/>
      <c r="NPE91" s="15" t="n"/>
      <c r="NPF91" s="248" t="n"/>
      <c r="NPG91" s="248" t="n"/>
      <c r="NPH91" s="240" t="n"/>
      <c r="NPI91" s="240" t="n"/>
      <c r="NPK91" s="15" t="n"/>
      <c r="NPL91" s="15" t="n"/>
      <c r="NPM91" s="248" t="n"/>
      <c r="NPN91" s="248" t="n"/>
      <c r="NPO91" s="240" t="n"/>
      <c r="NPP91" s="240" t="n"/>
      <c r="NPR91" s="15" t="n"/>
      <c r="NPS91" s="15" t="n"/>
      <c r="NPT91" s="248" t="n"/>
      <c r="NPU91" s="248" t="n"/>
      <c r="NPV91" s="240" t="n"/>
      <c r="NPW91" s="240" t="n"/>
      <c r="NPY91" s="15" t="n"/>
      <c r="NPZ91" s="15" t="n"/>
      <c r="NQA91" s="248" t="n"/>
      <c r="NQB91" s="248" t="n"/>
      <c r="NQC91" s="240" t="n"/>
      <c r="NQD91" s="240" t="n"/>
      <c r="NQF91" s="15" t="n"/>
      <c r="NQG91" s="15" t="n"/>
      <c r="NQH91" s="248" t="n"/>
      <c r="NQI91" s="248" t="n"/>
      <c r="NQJ91" s="240" t="n"/>
      <c r="NQK91" s="240" t="n"/>
      <c r="NQM91" s="15" t="n"/>
      <c r="NQN91" s="15" t="n"/>
      <c r="NQO91" s="248" t="n"/>
      <c r="NQP91" s="248" t="n"/>
      <c r="NQQ91" s="240" t="n"/>
      <c r="NQR91" s="240" t="n"/>
      <c r="NQT91" s="15" t="n"/>
      <c r="NQU91" s="15" t="n"/>
      <c r="NQV91" s="248" t="n"/>
      <c r="NQW91" s="248" t="n"/>
      <c r="NQX91" s="240" t="n"/>
      <c r="NQY91" s="240" t="n"/>
      <c r="NRA91" s="15" t="n"/>
      <c r="NRB91" s="15" t="n"/>
      <c r="NRC91" s="248" t="n"/>
      <c r="NRD91" s="248" t="n"/>
      <c r="NRE91" s="240" t="n"/>
      <c r="NRF91" s="240" t="n"/>
      <c r="NRH91" s="15" t="n"/>
      <c r="NRI91" s="15" t="n"/>
      <c r="NRJ91" s="248" t="n"/>
      <c r="NRK91" s="248" t="n"/>
      <c r="NRL91" s="240" t="n"/>
      <c r="NRM91" s="240" t="n"/>
      <c r="NRO91" s="15" t="n"/>
      <c r="NRP91" s="15" t="n"/>
      <c r="NRQ91" s="248" t="n"/>
      <c r="NRR91" s="248" t="n"/>
      <c r="NRS91" s="240" t="n"/>
      <c r="NRT91" s="240" t="n"/>
      <c r="NRV91" s="15" t="n"/>
      <c r="NRW91" s="15" t="n"/>
      <c r="NRX91" s="248" t="n"/>
      <c r="NRY91" s="248" t="n"/>
      <c r="NRZ91" s="240" t="n"/>
      <c r="NSA91" s="240" t="n"/>
      <c r="NSC91" s="15" t="n"/>
      <c r="NSD91" s="15" t="n"/>
      <c r="NSE91" s="248" t="n"/>
      <c r="NSF91" s="248" t="n"/>
      <c r="NSG91" s="240" t="n"/>
      <c r="NSH91" s="240" t="n"/>
      <c r="NSJ91" s="15" t="n"/>
      <c r="NSK91" s="15" t="n"/>
      <c r="NSL91" s="248" t="n"/>
      <c r="NSM91" s="248" t="n"/>
      <c r="NSN91" s="240" t="n"/>
      <c r="NSO91" s="240" t="n"/>
      <c r="NSQ91" s="15" t="n"/>
      <c r="NSR91" s="15" t="n"/>
      <c r="NSS91" s="248" t="n"/>
      <c r="NST91" s="248" t="n"/>
      <c r="NSU91" s="240" t="n"/>
      <c r="NSV91" s="240" t="n"/>
      <c r="NSX91" s="15" t="n"/>
      <c r="NSY91" s="15" t="n"/>
      <c r="NSZ91" s="248" t="n"/>
      <c r="NTA91" s="248" t="n"/>
      <c r="NTB91" s="240" t="n"/>
      <c r="NTC91" s="240" t="n"/>
      <c r="NTE91" s="15" t="n"/>
      <c r="NTF91" s="15" t="n"/>
      <c r="NTG91" s="248" t="n"/>
      <c r="NTH91" s="248" t="n"/>
      <c r="NTI91" s="240" t="n"/>
      <c r="NTJ91" s="240" t="n"/>
      <c r="NTL91" s="15" t="n"/>
      <c r="NTM91" s="15" t="n"/>
      <c r="NTN91" s="248" t="n"/>
      <c r="NTO91" s="248" t="n"/>
      <c r="NTP91" s="240" t="n"/>
      <c r="NTQ91" s="240" t="n"/>
      <c r="NTS91" s="15" t="n"/>
      <c r="NTT91" s="15" t="n"/>
      <c r="NTU91" s="248" t="n"/>
      <c r="NTV91" s="248" t="n"/>
      <c r="NTW91" s="240" t="n"/>
      <c r="NTX91" s="240" t="n"/>
      <c r="NTZ91" s="15" t="n"/>
      <c r="NUA91" s="15" t="n"/>
      <c r="NUB91" s="248" t="n"/>
      <c r="NUC91" s="248" t="n"/>
      <c r="NUD91" s="240" t="n"/>
      <c r="NUE91" s="240" t="n"/>
      <c r="NUG91" s="15" t="n"/>
      <c r="NUH91" s="15" t="n"/>
      <c r="NUI91" s="248" t="n"/>
      <c r="NUJ91" s="248" t="n"/>
      <c r="NUK91" s="240" t="n"/>
      <c r="NUL91" s="240" t="n"/>
      <c r="NUN91" s="15" t="n"/>
      <c r="NUO91" s="15" t="n"/>
      <c r="NUP91" s="248" t="n"/>
      <c r="NUQ91" s="248" t="n"/>
      <c r="NUR91" s="240" t="n"/>
      <c r="NUS91" s="240" t="n"/>
      <c r="NUU91" s="15" t="n"/>
      <c r="NUV91" s="15" t="n"/>
      <c r="NUW91" s="248" t="n"/>
      <c r="NUX91" s="248" t="n"/>
      <c r="NUY91" s="240" t="n"/>
      <c r="NUZ91" s="240" t="n"/>
      <c r="NVB91" s="15" t="n"/>
      <c r="NVC91" s="15" t="n"/>
      <c r="NVD91" s="248" t="n"/>
      <c r="NVE91" s="248" t="n"/>
      <c r="NVF91" s="240" t="n"/>
      <c r="NVG91" s="240" t="n"/>
      <c r="NVI91" s="15" t="n"/>
      <c r="NVJ91" s="15" t="n"/>
      <c r="NVK91" s="248" t="n"/>
      <c r="NVL91" s="248" t="n"/>
      <c r="NVM91" s="240" t="n"/>
      <c r="NVN91" s="240" t="n"/>
      <c r="NVP91" s="15" t="n"/>
      <c r="NVQ91" s="15" t="n"/>
      <c r="NVR91" s="248" t="n"/>
      <c r="NVS91" s="248" t="n"/>
      <c r="NVT91" s="240" t="n"/>
      <c r="NVU91" s="240" t="n"/>
      <c r="NVW91" s="15" t="n"/>
      <c r="NVX91" s="15" t="n"/>
      <c r="NVY91" s="248" t="n"/>
      <c r="NVZ91" s="248" t="n"/>
      <c r="NWA91" s="240" t="n"/>
      <c r="NWB91" s="240" t="n"/>
      <c r="NWD91" s="15" t="n"/>
      <c r="NWE91" s="15" t="n"/>
      <c r="NWF91" s="248" t="n"/>
      <c r="NWG91" s="248" t="n"/>
      <c r="NWH91" s="240" t="n"/>
      <c r="NWI91" s="240" t="n"/>
      <c r="NWK91" s="15" t="n"/>
      <c r="NWL91" s="15" t="n"/>
      <c r="NWM91" s="248" t="n"/>
      <c r="NWN91" s="248" t="n"/>
      <c r="NWO91" s="240" t="n"/>
      <c r="NWP91" s="240" t="n"/>
      <c r="NWR91" s="15" t="n"/>
      <c r="NWS91" s="15" t="n"/>
      <c r="NWT91" s="248" t="n"/>
      <c r="NWU91" s="248" t="n"/>
      <c r="NWV91" s="240" t="n"/>
      <c r="NWW91" s="240" t="n"/>
      <c r="NWY91" s="15" t="n"/>
      <c r="NWZ91" s="15" t="n"/>
      <c r="NXA91" s="248" t="n"/>
      <c r="NXB91" s="248" t="n"/>
      <c r="NXC91" s="240" t="n"/>
      <c r="NXD91" s="240" t="n"/>
      <c r="NXF91" s="15" t="n"/>
      <c r="NXG91" s="15" t="n"/>
      <c r="NXH91" s="248" t="n"/>
      <c r="NXI91" s="248" t="n"/>
      <c r="NXJ91" s="240" t="n"/>
      <c r="NXK91" s="240" t="n"/>
      <c r="NXM91" s="15" t="n"/>
      <c r="NXN91" s="15" t="n"/>
      <c r="NXO91" s="248" t="n"/>
      <c r="NXP91" s="248" t="n"/>
      <c r="NXQ91" s="240" t="n"/>
      <c r="NXR91" s="240" t="n"/>
      <c r="NXT91" s="15" t="n"/>
      <c r="NXU91" s="15" t="n"/>
      <c r="NXV91" s="248" t="n"/>
      <c r="NXW91" s="248" t="n"/>
      <c r="NXX91" s="240" t="n"/>
      <c r="NXY91" s="240" t="n"/>
      <c r="NYA91" s="15" t="n"/>
      <c r="NYB91" s="15" t="n"/>
      <c r="NYC91" s="248" t="n"/>
      <c r="NYD91" s="248" t="n"/>
      <c r="NYE91" s="240" t="n"/>
      <c r="NYF91" s="240" t="n"/>
      <c r="NYH91" s="15" t="n"/>
      <c r="NYI91" s="15" t="n"/>
      <c r="NYJ91" s="248" t="n"/>
      <c r="NYK91" s="248" t="n"/>
      <c r="NYL91" s="240" t="n"/>
      <c r="NYM91" s="240" t="n"/>
      <c r="NYO91" s="15" t="n"/>
      <c r="NYP91" s="15" t="n"/>
      <c r="NYQ91" s="248" t="n"/>
      <c r="NYR91" s="248" t="n"/>
      <c r="NYS91" s="240" t="n"/>
      <c r="NYT91" s="240" t="n"/>
      <c r="NYV91" s="15" t="n"/>
      <c r="NYW91" s="15" t="n"/>
      <c r="NYX91" s="248" t="n"/>
      <c r="NYY91" s="248" t="n"/>
      <c r="NYZ91" s="240" t="n"/>
      <c r="NZA91" s="240" t="n"/>
      <c r="NZC91" s="15" t="n"/>
      <c r="NZD91" s="15" t="n"/>
      <c r="NZE91" s="248" t="n"/>
      <c r="NZF91" s="248" t="n"/>
      <c r="NZG91" s="240" t="n"/>
      <c r="NZH91" s="240" t="n"/>
      <c r="NZJ91" s="15" t="n"/>
      <c r="NZK91" s="15" t="n"/>
      <c r="NZL91" s="248" t="n"/>
      <c r="NZM91" s="248" t="n"/>
      <c r="NZN91" s="240" t="n"/>
      <c r="NZO91" s="240" t="n"/>
      <c r="NZQ91" s="15" t="n"/>
      <c r="NZR91" s="15" t="n"/>
      <c r="NZS91" s="248" t="n"/>
      <c r="NZT91" s="248" t="n"/>
      <c r="NZU91" s="240" t="n"/>
      <c r="NZV91" s="240" t="n"/>
      <c r="NZX91" s="15" t="n"/>
      <c r="NZY91" s="15" t="n"/>
      <c r="NZZ91" s="248" t="n"/>
      <c r="OAA91" s="248" t="n"/>
      <c r="OAB91" s="240" t="n"/>
      <c r="OAC91" s="240" t="n"/>
      <c r="OAE91" s="15" t="n"/>
      <c r="OAF91" s="15" t="n"/>
      <c r="OAG91" s="248" t="n"/>
      <c r="OAH91" s="248" t="n"/>
      <c r="OAI91" s="240" t="n"/>
      <c r="OAJ91" s="240" t="n"/>
      <c r="OAL91" s="15" t="n"/>
      <c r="OAM91" s="15" t="n"/>
      <c r="OAN91" s="248" t="n"/>
      <c r="OAO91" s="248" t="n"/>
      <c r="OAP91" s="240" t="n"/>
      <c r="OAQ91" s="240" t="n"/>
      <c r="OAS91" s="15" t="n"/>
      <c r="OAT91" s="15" t="n"/>
      <c r="OAU91" s="248" t="n"/>
      <c r="OAV91" s="248" t="n"/>
      <c r="OAW91" s="240" t="n"/>
      <c r="OAX91" s="240" t="n"/>
      <c r="OAZ91" s="15" t="n"/>
      <c r="OBA91" s="15" t="n"/>
      <c r="OBB91" s="248" t="n"/>
      <c r="OBC91" s="248" t="n"/>
      <c r="OBD91" s="240" t="n"/>
      <c r="OBE91" s="240" t="n"/>
      <c r="OBG91" s="15" t="n"/>
      <c r="OBH91" s="15" t="n"/>
      <c r="OBI91" s="248" t="n"/>
      <c r="OBJ91" s="248" t="n"/>
      <c r="OBK91" s="240" t="n"/>
      <c r="OBL91" s="240" t="n"/>
      <c r="OBN91" s="15" t="n"/>
      <c r="OBO91" s="15" t="n"/>
      <c r="OBP91" s="248" t="n"/>
      <c r="OBQ91" s="248" t="n"/>
      <c r="OBR91" s="240" t="n"/>
      <c r="OBS91" s="240" t="n"/>
      <c r="OBU91" s="15" t="n"/>
      <c r="OBV91" s="15" t="n"/>
      <c r="OBW91" s="248" t="n"/>
      <c r="OBX91" s="248" t="n"/>
      <c r="OBY91" s="240" t="n"/>
      <c r="OBZ91" s="240" t="n"/>
      <c r="OCB91" s="15" t="n"/>
      <c r="OCC91" s="15" t="n"/>
      <c r="OCD91" s="248" t="n"/>
      <c r="OCE91" s="248" t="n"/>
      <c r="OCF91" s="240" t="n"/>
      <c r="OCG91" s="240" t="n"/>
      <c r="OCI91" s="15" t="n"/>
      <c r="OCJ91" s="15" t="n"/>
      <c r="OCK91" s="248" t="n"/>
      <c r="OCL91" s="248" t="n"/>
      <c r="OCM91" s="240" t="n"/>
      <c r="OCN91" s="240" t="n"/>
      <c r="OCP91" s="15" t="n"/>
      <c r="OCQ91" s="15" t="n"/>
      <c r="OCR91" s="248" t="n"/>
      <c r="OCS91" s="248" t="n"/>
      <c r="OCT91" s="240" t="n"/>
      <c r="OCU91" s="240" t="n"/>
      <c r="OCW91" s="15" t="n"/>
      <c r="OCX91" s="15" t="n"/>
      <c r="OCY91" s="248" t="n"/>
      <c r="OCZ91" s="248" t="n"/>
      <c r="ODA91" s="240" t="n"/>
      <c r="ODB91" s="240" t="n"/>
      <c r="ODD91" s="15" t="n"/>
      <c r="ODE91" s="15" t="n"/>
      <c r="ODF91" s="248" t="n"/>
      <c r="ODG91" s="248" t="n"/>
      <c r="ODH91" s="240" t="n"/>
      <c r="ODI91" s="240" t="n"/>
      <c r="ODK91" s="15" t="n"/>
      <c r="ODL91" s="15" t="n"/>
      <c r="ODM91" s="248" t="n"/>
      <c r="ODN91" s="248" t="n"/>
      <c r="ODO91" s="240" t="n"/>
      <c r="ODP91" s="240" t="n"/>
      <c r="ODR91" s="15" t="n"/>
      <c r="ODS91" s="15" t="n"/>
      <c r="ODT91" s="248" t="n"/>
      <c r="ODU91" s="248" t="n"/>
      <c r="ODV91" s="240" t="n"/>
      <c r="ODW91" s="240" t="n"/>
      <c r="ODY91" s="15" t="n"/>
      <c r="ODZ91" s="15" t="n"/>
      <c r="OEA91" s="248" t="n"/>
      <c r="OEB91" s="248" t="n"/>
      <c r="OEC91" s="240" t="n"/>
      <c r="OED91" s="240" t="n"/>
      <c r="OEF91" s="15" t="n"/>
      <c r="OEG91" s="15" t="n"/>
      <c r="OEH91" s="248" t="n"/>
      <c r="OEI91" s="248" t="n"/>
      <c r="OEJ91" s="240" t="n"/>
      <c r="OEK91" s="240" t="n"/>
      <c r="OEM91" s="15" t="n"/>
      <c r="OEN91" s="15" t="n"/>
      <c r="OEO91" s="248" t="n"/>
      <c r="OEP91" s="248" t="n"/>
      <c r="OEQ91" s="240" t="n"/>
      <c r="OER91" s="240" t="n"/>
      <c r="OET91" s="15" t="n"/>
      <c r="OEU91" s="15" t="n"/>
      <c r="OEV91" s="248" t="n"/>
      <c r="OEW91" s="248" t="n"/>
      <c r="OEX91" s="240" t="n"/>
      <c r="OEY91" s="240" t="n"/>
      <c r="OFA91" s="15" t="n"/>
      <c r="OFB91" s="15" t="n"/>
      <c r="OFC91" s="248" t="n"/>
      <c r="OFD91" s="248" t="n"/>
      <c r="OFE91" s="240" t="n"/>
      <c r="OFF91" s="240" t="n"/>
      <c r="OFH91" s="15" t="n"/>
      <c r="OFI91" s="15" t="n"/>
      <c r="OFJ91" s="248" t="n"/>
      <c r="OFK91" s="248" t="n"/>
      <c r="OFL91" s="240" t="n"/>
      <c r="OFM91" s="240" t="n"/>
      <c r="OFO91" s="15" t="n"/>
      <c r="OFP91" s="15" t="n"/>
      <c r="OFQ91" s="248" t="n"/>
      <c r="OFR91" s="248" t="n"/>
      <c r="OFS91" s="240" t="n"/>
      <c r="OFT91" s="240" t="n"/>
      <c r="OFV91" s="15" t="n"/>
      <c r="OFW91" s="15" t="n"/>
      <c r="OFX91" s="248" t="n"/>
      <c r="OFY91" s="248" t="n"/>
      <c r="OFZ91" s="240" t="n"/>
      <c r="OGA91" s="240" t="n"/>
      <c r="OGC91" s="15" t="n"/>
      <c r="OGD91" s="15" t="n"/>
      <c r="OGE91" s="248" t="n"/>
      <c r="OGF91" s="248" t="n"/>
      <c r="OGG91" s="240" t="n"/>
      <c r="OGH91" s="240" t="n"/>
      <c r="OGJ91" s="15" t="n"/>
      <c r="OGK91" s="15" t="n"/>
      <c r="OGL91" s="248" t="n"/>
      <c r="OGM91" s="248" t="n"/>
      <c r="OGN91" s="240" t="n"/>
      <c r="OGO91" s="240" t="n"/>
      <c r="OGQ91" s="15" t="n"/>
      <c r="OGR91" s="15" t="n"/>
      <c r="OGS91" s="248" t="n"/>
      <c r="OGT91" s="248" t="n"/>
      <c r="OGU91" s="240" t="n"/>
      <c r="OGV91" s="240" t="n"/>
      <c r="OGX91" s="15" t="n"/>
      <c r="OGY91" s="15" t="n"/>
      <c r="OGZ91" s="248" t="n"/>
      <c r="OHA91" s="248" t="n"/>
      <c r="OHB91" s="240" t="n"/>
      <c r="OHC91" s="240" t="n"/>
      <c r="OHE91" s="15" t="n"/>
      <c r="OHF91" s="15" t="n"/>
      <c r="OHG91" s="248" t="n"/>
      <c r="OHH91" s="248" t="n"/>
      <c r="OHI91" s="240" t="n"/>
      <c r="OHJ91" s="240" t="n"/>
      <c r="OHL91" s="15" t="n"/>
      <c r="OHM91" s="15" t="n"/>
      <c r="OHN91" s="248" t="n"/>
      <c r="OHO91" s="248" t="n"/>
      <c r="OHP91" s="240" t="n"/>
      <c r="OHQ91" s="240" t="n"/>
      <c r="OHS91" s="15" t="n"/>
      <c r="OHT91" s="15" t="n"/>
      <c r="OHU91" s="248" t="n"/>
      <c r="OHV91" s="248" t="n"/>
      <c r="OHW91" s="240" t="n"/>
      <c r="OHX91" s="240" t="n"/>
      <c r="OHZ91" s="15" t="n"/>
      <c r="OIA91" s="15" t="n"/>
      <c r="OIB91" s="248" t="n"/>
      <c r="OIC91" s="248" t="n"/>
      <c r="OID91" s="240" t="n"/>
      <c r="OIE91" s="240" t="n"/>
      <c r="OIG91" s="15" t="n"/>
      <c r="OIH91" s="15" t="n"/>
      <c r="OII91" s="248" t="n"/>
      <c r="OIJ91" s="248" t="n"/>
      <c r="OIK91" s="240" t="n"/>
      <c r="OIL91" s="240" t="n"/>
      <c r="OIN91" s="15" t="n"/>
      <c r="OIO91" s="15" t="n"/>
      <c r="OIP91" s="248" t="n"/>
      <c r="OIQ91" s="248" t="n"/>
      <c r="OIR91" s="240" t="n"/>
      <c r="OIS91" s="240" t="n"/>
      <c r="OIU91" s="15" t="n"/>
      <c r="OIV91" s="15" t="n"/>
      <c r="OIW91" s="248" t="n"/>
      <c r="OIX91" s="248" t="n"/>
      <c r="OIY91" s="240" t="n"/>
      <c r="OIZ91" s="240" t="n"/>
      <c r="OJB91" s="15" t="n"/>
      <c r="OJC91" s="15" t="n"/>
      <c r="OJD91" s="248" t="n"/>
      <c r="OJE91" s="248" t="n"/>
      <c r="OJF91" s="240" t="n"/>
      <c r="OJG91" s="240" t="n"/>
      <c r="OJI91" s="15" t="n"/>
      <c r="OJJ91" s="15" t="n"/>
      <c r="OJK91" s="248" t="n"/>
      <c r="OJL91" s="248" t="n"/>
      <c r="OJM91" s="240" t="n"/>
      <c r="OJN91" s="240" t="n"/>
      <c r="OJP91" s="15" t="n"/>
      <c r="OJQ91" s="15" t="n"/>
      <c r="OJR91" s="248" t="n"/>
      <c r="OJS91" s="248" t="n"/>
      <c r="OJT91" s="240" t="n"/>
      <c r="OJU91" s="240" t="n"/>
      <c r="OJW91" s="15" t="n"/>
      <c r="OJX91" s="15" t="n"/>
      <c r="OJY91" s="248" t="n"/>
      <c r="OJZ91" s="248" t="n"/>
      <c r="OKA91" s="240" t="n"/>
      <c r="OKB91" s="240" t="n"/>
      <c r="OKD91" s="15" t="n"/>
      <c r="OKE91" s="15" t="n"/>
      <c r="OKF91" s="248" t="n"/>
      <c r="OKG91" s="248" t="n"/>
      <c r="OKH91" s="240" t="n"/>
      <c r="OKI91" s="240" t="n"/>
      <c r="OKK91" s="15" t="n"/>
      <c r="OKL91" s="15" t="n"/>
      <c r="OKM91" s="248" t="n"/>
      <c r="OKN91" s="248" t="n"/>
      <c r="OKO91" s="240" t="n"/>
      <c r="OKP91" s="240" t="n"/>
      <c r="OKR91" s="15" t="n"/>
      <c r="OKS91" s="15" t="n"/>
      <c r="OKT91" s="248" t="n"/>
      <c r="OKU91" s="248" t="n"/>
      <c r="OKV91" s="240" t="n"/>
      <c r="OKW91" s="240" t="n"/>
      <c r="OKY91" s="15" t="n"/>
      <c r="OKZ91" s="15" t="n"/>
      <c r="OLA91" s="248" t="n"/>
      <c r="OLB91" s="248" t="n"/>
      <c r="OLC91" s="240" t="n"/>
      <c r="OLD91" s="240" t="n"/>
      <c r="OLF91" s="15" t="n"/>
      <c r="OLG91" s="15" t="n"/>
      <c r="OLH91" s="248" t="n"/>
      <c r="OLI91" s="248" t="n"/>
      <c r="OLJ91" s="240" t="n"/>
      <c r="OLK91" s="240" t="n"/>
      <c r="OLM91" s="15" t="n"/>
      <c r="OLN91" s="15" t="n"/>
      <c r="OLO91" s="248" t="n"/>
      <c r="OLP91" s="248" t="n"/>
      <c r="OLQ91" s="240" t="n"/>
      <c r="OLR91" s="240" t="n"/>
      <c r="OLT91" s="15" t="n"/>
      <c r="OLU91" s="15" t="n"/>
      <c r="OLV91" s="248" t="n"/>
      <c r="OLW91" s="248" t="n"/>
      <c r="OLX91" s="240" t="n"/>
      <c r="OLY91" s="240" t="n"/>
      <c r="OMA91" s="15" t="n"/>
      <c r="OMB91" s="15" t="n"/>
      <c r="OMC91" s="248" t="n"/>
      <c r="OMD91" s="248" t="n"/>
      <c r="OME91" s="240" t="n"/>
      <c r="OMF91" s="240" t="n"/>
      <c r="OMH91" s="15" t="n"/>
      <c r="OMI91" s="15" t="n"/>
      <c r="OMJ91" s="248" t="n"/>
      <c r="OMK91" s="248" t="n"/>
      <c r="OML91" s="240" t="n"/>
      <c r="OMM91" s="240" t="n"/>
      <c r="OMO91" s="15" t="n"/>
      <c r="OMP91" s="15" t="n"/>
      <c r="OMQ91" s="248" t="n"/>
      <c r="OMR91" s="248" t="n"/>
      <c r="OMS91" s="240" t="n"/>
      <c r="OMT91" s="240" t="n"/>
      <c r="OMV91" s="15" t="n"/>
      <c r="OMW91" s="15" t="n"/>
      <c r="OMX91" s="248" t="n"/>
      <c r="OMY91" s="248" t="n"/>
      <c r="OMZ91" s="240" t="n"/>
      <c r="ONA91" s="240" t="n"/>
      <c r="ONC91" s="15" t="n"/>
      <c r="OND91" s="15" t="n"/>
      <c r="ONE91" s="248" t="n"/>
      <c r="ONF91" s="248" t="n"/>
      <c r="ONG91" s="240" t="n"/>
      <c r="ONH91" s="240" t="n"/>
      <c r="ONJ91" s="15" t="n"/>
      <c r="ONK91" s="15" t="n"/>
      <c r="ONL91" s="248" t="n"/>
      <c r="ONM91" s="248" t="n"/>
      <c r="ONN91" s="240" t="n"/>
      <c r="ONO91" s="240" t="n"/>
      <c r="ONQ91" s="15" t="n"/>
      <c r="ONR91" s="15" t="n"/>
      <c r="ONS91" s="248" t="n"/>
      <c r="ONT91" s="248" t="n"/>
      <c r="ONU91" s="240" t="n"/>
      <c r="ONV91" s="240" t="n"/>
      <c r="ONX91" s="15" t="n"/>
      <c r="ONY91" s="15" t="n"/>
      <c r="ONZ91" s="248" t="n"/>
      <c r="OOA91" s="248" t="n"/>
      <c r="OOB91" s="240" t="n"/>
      <c r="OOC91" s="240" t="n"/>
      <c r="OOE91" s="15" t="n"/>
      <c r="OOF91" s="15" t="n"/>
      <c r="OOG91" s="248" t="n"/>
      <c r="OOH91" s="248" t="n"/>
      <c r="OOI91" s="240" t="n"/>
      <c r="OOJ91" s="240" t="n"/>
      <c r="OOL91" s="15" t="n"/>
      <c r="OOM91" s="15" t="n"/>
      <c r="OON91" s="248" t="n"/>
      <c r="OOO91" s="248" t="n"/>
      <c r="OOP91" s="240" t="n"/>
      <c r="OOQ91" s="240" t="n"/>
      <c r="OOS91" s="15" t="n"/>
      <c r="OOT91" s="15" t="n"/>
      <c r="OOU91" s="248" t="n"/>
      <c r="OOV91" s="248" t="n"/>
      <c r="OOW91" s="240" t="n"/>
      <c r="OOX91" s="240" t="n"/>
      <c r="OOZ91" s="15" t="n"/>
      <c r="OPA91" s="15" t="n"/>
      <c r="OPB91" s="248" t="n"/>
      <c r="OPC91" s="248" t="n"/>
      <c r="OPD91" s="240" t="n"/>
      <c r="OPE91" s="240" t="n"/>
      <c r="OPG91" s="15" t="n"/>
      <c r="OPH91" s="15" t="n"/>
      <c r="OPI91" s="248" t="n"/>
      <c r="OPJ91" s="248" t="n"/>
      <c r="OPK91" s="240" t="n"/>
      <c r="OPL91" s="240" t="n"/>
      <c r="OPN91" s="15" t="n"/>
      <c r="OPO91" s="15" t="n"/>
      <c r="OPP91" s="248" t="n"/>
      <c r="OPQ91" s="248" t="n"/>
      <c r="OPR91" s="240" t="n"/>
      <c r="OPS91" s="240" t="n"/>
      <c r="OPU91" s="15" t="n"/>
      <c r="OPV91" s="15" t="n"/>
      <c r="OPW91" s="248" t="n"/>
      <c r="OPX91" s="248" t="n"/>
      <c r="OPY91" s="240" t="n"/>
      <c r="OPZ91" s="240" t="n"/>
      <c r="OQB91" s="15" t="n"/>
      <c r="OQC91" s="15" t="n"/>
      <c r="OQD91" s="248" t="n"/>
      <c r="OQE91" s="248" t="n"/>
      <c r="OQF91" s="240" t="n"/>
      <c r="OQG91" s="240" t="n"/>
      <c r="OQI91" s="15" t="n"/>
      <c r="OQJ91" s="15" t="n"/>
      <c r="OQK91" s="248" t="n"/>
      <c r="OQL91" s="248" t="n"/>
      <c r="OQM91" s="240" t="n"/>
      <c r="OQN91" s="240" t="n"/>
      <c r="OQP91" s="15" t="n"/>
      <c r="OQQ91" s="15" t="n"/>
      <c r="OQR91" s="248" t="n"/>
      <c r="OQS91" s="248" t="n"/>
      <c r="OQT91" s="240" t="n"/>
      <c r="OQU91" s="240" t="n"/>
      <c r="OQW91" s="15" t="n"/>
      <c r="OQX91" s="15" t="n"/>
      <c r="OQY91" s="248" t="n"/>
      <c r="OQZ91" s="248" t="n"/>
      <c r="ORA91" s="240" t="n"/>
      <c r="ORB91" s="240" t="n"/>
      <c r="ORD91" s="15" t="n"/>
      <c r="ORE91" s="15" t="n"/>
      <c r="ORF91" s="248" t="n"/>
      <c r="ORG91" s="248" t="n"/>
      <c r="ORH91" s="240" t="n"/>
      <c r="ORI91" s="240" t="n"/>
      <c r="ORK91" s="15" t="n"/>
      <c r="ORL91" s="15" t="n"/>
      <c r="ORM91" s="248" t="n"/>
      <c r="ORN91" s="248" t="n"/>
      <c r="ORO91" s="240" t="n"/>
      <c r="ORP91" s="240" t="n"/>
      <c r="ORR91" s="15" t="n"/>
      <c r="ORS91" s="15" t="n"/>
      <c r="ORT91" s="248" t="n"/>
      <c r="ORU91" s="248" t="n"/>
      <c r="ORV91" s="240" t="n"/>
      <c r="ORW91" s="240" t="n"/>
      <c r="ORY91" s="15" t="n"/>
      <c r="ORZ91" s="15" t="n"/>
      <c r="OSA91" s="248" t="n"/>
      <c r="OSB91" s="248" t="n"/>
      <c r="OSC91" s="240" t="n"/>
      <c r="OSD91" s="240" t="n"/>
      <c r="OSF91" s="15" t="n"/>
      <c r="OSG91" s="15" t="n"/>
      <c r="OSH91" s="248" t="n"/>
      <c r="OSI91" s="248" t="n"/>
      <c r="OSJ91" s="240" t="n"/>
      <c r="OSK91" s="240" t="n"/>
      <c r="OSM91" s="15" t="n"/>
      <c r="OSN91" s="15" t="n"/>
      <c r="OSO91" s="248" t="n"/>
      <c r="OSP91" s="248" t="n"/>
      <c r="OSQ91" s="240" t="n"/>
      <c r="OSR91" s="240" t="n"/>
      <c r="OST91" s="15" t="n"/>
      <c r="OSU91" s="15" t="n"/>
      <c r="OSV91" s="248" t="n"/>
      <c r="OSW91" s="248" t="n"/>
      <c r="OSX91" s="240" t="n"/>
      <c r="OSY91" s="240" t="n"/>
      <c r="OTA91" s="15" t="n"/>
      <c r="OTB91" s="15" t="n"/>
      <c r="OTC91" s="248" t="n"/>
      <c r="OTD91" s="248" t="n"/>
      <c r="OTE91" s="240" t="n"/>
      <c r="OTF91" s="240" t="n"/>
      <c r="OTH91" s="15" t="n"/>
      <c r="OTI91" s="15" t="n"/>
      <c r="OTJ91" s="248" t="n"/>
      <c r="OTK91" s="248" t="n"/>
      <c r="OTL91" s="240" t="n"/>
      <c r="OTM91" s="240" t="n"/>
      <c r="OTO91" s="15" t="n"/>
      <c r="OTP91" s="15" t="n"/>
      <c r="OTQ91" s="248" t="n"/>
      <c r="OTR91" s="248" t="n"/>
      <c r="OTS91" s="240" t="n"/>
      <c r="OTT91" s="240" t="n"/>
      <c r="OTV91" s="15" t="n"/>
      <c r="OTW91" s="15" t="n"/>
      <c r="OTX91" s="248" t="n"/>
      <c r="OTY91" s="248" t="n"/>
      <c r="OTZ91" s="240" t="n"/>
      <c r="OUA91" s="240" t="n"/>
      <c r="OUC91" s="15" t="n"/>
      <c r="OUD91" s="15" t="n"/>
      <c r="OUE91" s="248" t="n"/>
      <c r="OUF91" s="248" t="n"/>
      <c r="OUG91" s="240" t="n"/>
      <c r="OUH91" s="240" t="n"/>
      <c r="OUJ91" s="15" t="n"/>
      <c r="OUK91" s="15" t="n"/>
      <c r="OUL91" s="248" t="n"/>
      <c r="OUM91" s="248" t="n"/>
      <c r="OUN91" s="240" t="n"/>
      <c r="OUO91" s="240" t="n"/>
      <c r="OUQ91" s="15" t="n"/>
      <c r="OUR91" s="15" t="n"/>
      <c r="OUS91" s="248" t="n"/>
      <c r="OUT91" s="248" t="n"/>
      <c r="OUU91" s="240" t="n"/>
      <c r="OUV91" s="240" t="n"/>
      <c r="OUX91" s="15" t="n"/>
      <c r="OUY91" s="15" t="n"/>
      <c r="OUZ91" s="248" t="n"/>
      <c r="OVA91" s="248" t="n"/>
      <c r="OVB91" s="240" t="n"/>
      <c r="OVC91" s="240" t="n"/>
      <c r="OVE91" s="15" t="n"/>
      <c r="OVF91" s="15" t="n"/>
      <c r="OVG91" s="248" t="n"/>
      <c r="OVH91" s="248" t="n"/>
      <c r="OVI91" s="240" t="n"/>
      <c r="OVJ91" s="240" t="n"/>
      <c r="OVL91" s="15" t="n"/>
      <c r="OVM91" s="15" t="n"/>
      <c r="OVN91" s="248" t="n"/>
      <c r="OVO91" s="248" t="n"/>
      <c r="OVP91" s="240" t="n"/>
      <c r="OVQ91" s="240" t="n"/>
      <c r="OVS91" s="15" t="n"/>
      <c r="OVT91" s="15" t="n"/>
      <c r="OVU91" s="248" t="n"/>
      <c r="OVV91" s="248" t="n"/>
      <c r="OVW91" s="240" t="n"/>
      <c r="OVX91" s="240" t="n"/>
      <c r="OVZ91" s="15" t="n"/>
      <c r="OWA91" s="15" t="n"/>
      <c r="OWB91" s="248" t="n"/>
      <c r="OWC91" s="248" t="n"/>
      <c r="OWD91" s="240" t="n"/>
      <c r="OWE91" s="240" t="n"/>
      <c r="OWG91" s="15" t="n"/>
      <c r="OWH91" s="15" t="n"/>
      <c r="OWI91" s="248" t="n"/>
      <c r="OWJ91" s="248" t="n"/>
      <c r="OWK91" s="240" t="n"/>
      <c r="OWL91" s="240" t="n"/>
      <c r="OWN91" s="15" t="n"/>
      <c r="OWO91" s="15" t="n"/>
      <c r="OWP91" s="248" t="n"/>
      <c r="OWQ91" s="248" t="n"/>
      <c r="OWR91" s="240" t="n"/>
      <c r="OWS91" s="240" t="n"/>
      <c r="OWU91" s="15" t="n"/>
      <c r="OWV91" s="15" t="n"/>
      <c r="OWW91" s="248" t="n"/>
      <c r="OWX91" s="248" t="n"/>
      <c r="OWY91" s="240" t="n"/>
      <c r="OWZ91" s="240" t="n"/>
      <c r="OXB91" s="15" t="n"/>
      <c r="OXC91" s="15" t="n"/>
      <c r="OXD91" s="248" t="n"/>
      <c r="OXE91" s="248" t="n"/>
      <c r="OXF91" s="240" t="n"/>
      <c r="OXG91" s="240" t="n"/>
      <c r="OXI91" s="15" t="n"/>
      <c r="OXJ91" s="15" t="n"/>
      <c r="OXK91" s="248" t="n"/>
      <c r="OXL91" s="248" t="n"/>
      <c r="OXM91" s="240" t="n"/>
      <c r="OXN91" s="240" t="n"/>
      <c r="OXP91" s="15" t="n"/>
      <c r="OXQ91" s="15" t="n"/>
      <c r="OXR91" s="248" t="n"/>
      <c r="OXS91" s="248" t="n"/>
      <c r="OXT91" s="240" t="n"/>
      <c r="OXU91" s="240" t="n"/>
      <c r="OXW91" s="15" t="n"/>
      <c r="OXX91" s="15" t="n"/>
      <c r="OXY91" s="248" t="n"/>
      <c r="OXZ91" s="248" t="n"/>
      <c r="OYA91" s="240" t="n"/>
      <c r="OYB91" s="240" t="n"/>
      <c r="OYD91" s="15" t="n"/>
      <c r="OYE91" s="15" t="n"/>
      <c r="OYF91" s="248" t="n"/>
      <c r="OYG91" s="248" t="n"/>
      <c r="OYH91" s="240" t="n"/>
      <c r="OYI91" s="240" t="n"/>
      <c r="OYK91" s="15" t="n"/>
      <c r="OYL91" s="15" t="n"/>
      <c r="OYM91" s="248" t="n"/>
      <c r="OYN91" s="248" t="n"/>
      <c r="OYO91" s="240" t="n"/>
      <c r="OYP91" s="240" t="n"/>
      <c r="OYR91" s="15" t="n"/>
      <c r="OYS91" s="15" t="n"/>
      <c r="OYT91" s="248" t="n"/>
      <c r="OYU91" s="248" t="n"/>
      <c r="OYV91" s="240" t="n"/>
      <c r="OYW91" s="240" t="n"/>
      <c r="OYY91" s="15" t="n"/>
      <c r="OYZ91" s="15" t="n"/>
      <c r="OZA91" s="248" t="n"/>
      <c r="OZB91" s="248" t="n"/>
      <c r="OZC91" s="240" t="n"/>
      <c r="OZD91" s="240" t="n"/>
      <c r="OZF91" s="15" t="n"/>
      <c r="OZG91" s="15" t="n"/>
      <c r="OZH91" s="248" t="n"/>
      <c r="OZI91" s="248" t="n"/>
      <c r="OZJ91" s="240" t="n"/>
      <c r="OZK91" s="240" t="n"/>
      <c r="OZM91" s="15" t="n"/>
      <c r="OZN91" s="15" t="n"/>
      <c r="OZO91" s="248" t="n"/>
      <c r="OZP91" s="248" t="n"/>
      <c r="OZQ91" s="240" t="n"/>
      <c r="OZR91" s="240" t="n"/>
      <c r="OZT91" s="15" t="n"/>
      <c r="OZU91" s="15" t="n"/>
      <c r="OZV91" s="248" t="n"/>
      <c r="OZW91" s="248" t="n"/>
      <c r="OZX91" s="240" t="n"/>
      <c r="OZY91" s="240" t="n"/>
      <c r="PAA91" s="15" t="n"/>
      <c r="PAB91" s="15" t="n"/>
      <c r="PAC91" s="248" t="n"/>
      <c r="PAD91" s="248" t="n"/>
      <c r="PAE91" s="240" t="n"/>
      <c r="PAF91" s="240" t="n"/>
      <c r="PAH91" s="15" t="n"/>
      <c r="PAI91" s="15" t="n"/>
      <c r="PAJ91" s="248" t="n"/>
      <c r="PAK91" s="248" t="n"/>
      <c r="PAL91" s="240" t="n"/>
      <c r="PAM91" s="240" t="n"/>
      <c r="PAO91" s="15" t="n"/>
      <c r="PAP91" s="15" t="n"/>
      <c r="PAQ91" s="248" t="n"/>
      <c r="PAR91" s="248" t="n"/>
      <c r="PAS91" s="240" t="n"/>
      <c r="PAT91" s="240" t="n"/>
      <c r="PAV91" s="15" t="n"/>
      <c r="PAW91" s="15" t="n"/>
      <c r="PAX91" s="248" t="n"/>
      <c r="PAY91" s="248" t="n"/>
      <c r="PAZ91" s="240" t="n"/>
      <c r="PBA91" s="240" t="n"/>
      <c r="PBC91" s="15" t="n"/>
      <c r="PBD91" s="15" t="n"/>
      <c r="PBE91" s="248" t="n"/>
      <c r="PBF91" s="248" t="n"/>
      <c r="PBG91" s="240" t="n"/>
      <c r="PBH91" s="240" t="n"/>
      <c r="PBJ91" s="15" t="n"/>
      <c r="PBK91" s="15" t="n"/>
      <c r="PBL91" s="248" t="n"/>
      <c r="PBM91" s="248" t="n"/>
      <c r="PBN91" s="240" t="n"/>
      <c r="PBO91" s="240" t="n"/>
      <c r="PBQ91" s="15" t="n"/>
      <c r="PBR91" s="15" t="n"/>
      <c r="PBS91" s="248" t="n"/>
      <c r="PBT91" s="248" t="n"/>
      <c r="PBU91" s="240" t="n"/>
      <c r="PBV91" s="240" t="n"/>
      <c r="PBX91" s="15" t="n"/>
      <c r="PBY91" s="15" t="n"/>
      <c r="PBZ91" s="248" t="n"/>
      <c r="PCA91" s="248" t="n"/>
      <c r="PCB91" s="240" t="n"/>
      <c r="PCC91" s="240" t="n"/>
      <c r="PCE91" s="15" t="n"/>
      <c r="PCF91" s="15" t="n"/>
      <c r="PCG91" s="248" t="n"/>
      <c r="PCH91" s="248" t="n"/>
      <c r="PCI91" s="240" t="n"/>
      <c r="PCJ91" s="240" t="n"/>
      <c r="PCL91" s="15" t="n"/>
      <c r="PCM91" s="15" t="n"/>
      <c r="PCN91" s="248" t="n"/>
      <c r="PCO91" s="248" t="n"/>
      <c r="PCP91" s="240" t="n"/>
      <c r="PCQ91" s="240" t="n"/>
      <c r="PCS91" s="15" t="n"/>
      <c r="PCT91" s="15" t="n"/>
      <c r="PCU91" s="248" t="n"/>
      <c r="PCV91" s="248" t="n"/>
      <c r="PCW91" s="240" t="n"/>
      <c r="PCX91" s="240" t="n"/>
      <c r="PCZ91" s="15" t="n"/>
      <c r="PDA91" s="15" t="n"/>
      <c r="PDB91" s="248" t="n"/>
      <c r="PDC91" s="248" t="n"/>
      <c r="PDD91" s="240" t="n"/>
      <c r="PDE91" s="240" t="n"/>
      <c r="PDG91" s="15" t="n"/>
      <c r="PDH91" s="15" t="n"/>
      <c r="PDI91" s="248" t="n"/>
      <c r="PDJ91" s="248" t="n"/>
      <c r="PDK91" s="240" t="n"/>
      <c r="PDL91" s="240" t="n"/>
      <c r="PDN91" s="15" t="n"/>
      <c r="PDO91" s="15" t="n"/>
      <c r="PDP91" s="248" t="n"/>
      <c r="PDQ91" s="248" t="n"/>
      <c r="PDR91" s="240" t="n"/>
      <c r="PDS91" s="240" t="n"/>
      <c r="PDU91" s="15" t="n"/>
      <c r="PDV91" s="15" t="n"/>
      <c r="PDW91" s="248" t="n"/>
      <c r="PDX91" s="248" t="n"/>
      <c r="PDY91" s="240" t="n"/>
      <c r="PDZ91" s="240" t="n"/>
      <c r="PEB91" s="15" t="n"/>
      <c r="PEC91" s="15" t="n"/>
      <c r="PED91" s="248" t="n"/>
      <c r="PEE91" s="248" t="n"/>
      <c r="PEF91" s="240" t="n"/>
      <c r="PEG91" s="240" t="n"/>
      <c r="PEI91" s="15" t="n"/>
      <c r="PEJ91" s="15" t="n"/>
      <c r="PEK91" s="248" t="n"/>
      <c r="PEL91" s="248" t="n"/>
      <c r="PEM91" s="240" t="n"/>
      <c r="PEN91" s="240" t="n"/>
      <c r="PEP91" s="15" t="n"/>
      <c r="PEQ91" s="15" t="n"/>
      <c r="PER91" s="248" t="n"/>
      <c r="PES91" s="248" t="n"/>
      <c r="PET91" s="240" t="n"/>
      <c r="PEU91" s="240" t="n"/>
      <c r="PEW91" s="15" t="n"/>
      <c r="PEX91" s="15" t="n"/>
      <c r="PEY91" s="248" t="n"/>
      <c r="PEZ91" s="248" t="n"/>
      <c r="PFA91" s="240" t="n"/>
      <c r="PFB91" s="240" t="n"/>
      <c r="PFD91" s="15" t="n"/>
      <c r="PFE91" s="15" t="n"/>
      <c r="PFF91" s="248" t="n"/>
      <c r="PFG91" s="248" t="n"/>
      <c r="PFH91" s="240" t="n"/>
      <c r="PFI91" s="240" t="n"/>
      <c r="PFK91" s="15" t="n"/>
      <c r="PFL91" s="15" t="n"/>
      <c r="PFM91" s="248" t="n"/>
      <c r="PFN91" s="248" t="n"/>
      <c r="PFO91" s="240" t="n"/>
      <c r="PFP91" s="240" t="n"/>
      <c r="PFR91" s="15" t="n"/>
      <c r="PFS91" s="15" t="n"/>
      <c r="PFT91" s="248" t="n"/>
      <c r="PFU91" s="248" t="n"/>
      <c r="PFV91" s="240" t="n"/>
      <c r="PFW91" s="240" t="n"/>
      <c r="PFY91" s="15" t="n"/>
      <c r="PFZ91" s="15" t="n"/>
      <c r="PGA91" s="248" t="n"/>
      <c r="PGB91" s="248" t="n"/>
      <c r="PGC91" s="240" t="n"/>
      <c r="PGD91" s="240" t="n"/>
      <c r="PGF91" s="15" t="n"/>
      <c r="PGG91" s="15" t="n"/>
      <c r="PGH91" s="248" t="n"/>
      <c r="PGI91" s="248" t="n"/>
      <c r="PGJ91" s="240" t="n"/>
      <c r="PGK91" s="240" t="n"/>
      <c r="PGM91" s="15" t="n"/>
      <c r="PGN91" s="15" t="n"/>
      <c r="PGO91" s="248" t="n"/>
      <c r="PGP91" s="248" t="n"/>
      <c r="PGQ91" s="240" t="n"/>
      <c r="PGR91" s="240" t="n"/>
      <c r="PGT91" s="15" t="n"/>
      <c r="PGU91" s="15" t="n"/>
      <c r="PGV91" s="248" t="n"/>
      <c r="PGW91" s="248" t="n"/>
      <c r="PGX91" s="240" t="n"/>
      <c r="PGY91" s="240" t="n"/>
      <c r="PHA91" s="15" t="n"/>
      <c r="PHB91" s="15" t="n"/>
      <c r="PHC91" s="248" t="n"/>
      <c r="PHD91" s="248" t="n"/>
      <c r="PHE91" s="240" t="n"/>
      <c r="PHF91" s="240" t="n"/>
      <c r="PHH91" s="15" t="n"/>
      <c r="PHI91" s="15" t="n"/>
      <c r="PHJ91" s="248" t="n"/>
      <c r="PHK91" s="248" t="n"/>
      <c r="PHL91" s="240" t="n"/>
      <c r="PHM91" s="240" t="n"/>
      <c r="PHO91" s="15" t="n"/>
      <c r="PHP91" s="15" t="n"/>
      <c r="PHQ91" s="248" t="n"/>
      <c r="PHR91" s="248" t="n"/>
      <c r="PHS91" s="240" t="n"/>
      <c r="PHT91" s="240" t="n"/>
      <c r="PHV91" s="15" t="n"/>
      <c r="PHW91" s="15" t="n"/>
      <c r="PHX91" s="248" t="n"/>
      <c r="PHY91" s="248" t="n"/>
      <c r="PHZ91" s="240" t="n"/>
      <c r="PIA91" s="240" t="n"/>
      <c r="PIC91" s="15" t="n"/>
      <c r="PID91" s="15" t="n"/>
      <c r="PIE91" s="248" t="n"/>
      <c r="PIF91" s="248" t="n"/>
      <c r="PIG91" s="240" t="n"/>
      <c r="PIH91" s="240" t="n"/>
      <c r="PIJ91" s="15" t="n"/>
      <c r="PIK91" s="15" t="n"/>
      <c r="PIL91" s="248" t="n"/>
      <c r="PIM91" s="248" t="n"/>
      <c r="PIN91" s="240" t="n"/>
      <c r="PIO91" s="240" t="n"/>
      <c r="PIQ91" s="15" t="n"/>
      <c r="PIR91" s="15" t="n"/>
      <c r="PIS91" s="248" t="n"/>
      <c r="PIT91" s="248" t="n"/>
      <c r="PIU91" s="240" t="n"/>
      <c r="PIV91" s="240" t="n"/>
      <c r="PIX91" s="15" t="n"/>
      <c r="PIY91" s="15" t="n"/>
      <c r="PIZ91" s="248" t="n"/>
      <c r="PJA91" s="248" t="n"/>
      <c r="PJB91" s="240" t="n"/>
      <c r="PJC91" s="240" t="n"/>
      <c r="PJE91" s="15" t="n"/>
      <c r="PJF91" s="15" t="n"/>
      <c r="PJG91" s="248" t="n"/>
      <c r="PJH91" s="248" t="n"/>
      <c r="PJI91" s="240" t="n"/>
      <c r="PJJ91" s="240" t="n"/>
      <c r="PJL91" s="15" t="n"/>
      <c r="PJM91" s="15" t="n"/>
      <c r="PJN91" s="248" t="n"/>
      <c r="PJO91" s="248" t="n"/>
      <c r="PJP91" s="240" t="n"/>
      <c r="PJQ91" s="240" t="n"/>
      <c r="PJS91" s="15" t="n"/>
      <c r="PJT91" s="15" t="n"/>
      <c r="PJU91" s="248" t="n"/>
      <c r="PJV91" s="248" t="n"/>
      <c r="PJW91" s="240" t="n"/>
      <c r="PJX91" s="240" t="n"/>
      <c r="PJZ91" s="15" t="n"/>
      <c r="PKA91" s="15" t="n"/>
      <c r="PKB91" s="248" t="n"/>
      <c r="PKC91" s="248" t="n"/>
      <c r="PKD91" s="240" t="n"/>
      <c r="PKE91" s="240" t="n"/>
      <c r="PKG91" s="15" t="n"/>
      <c r="PKH91" s="15" t="n"/>
      <c r="PKI91" s="248" t="n"/>
      <c r="PKJ91" s="248" t="n"/>
      <c r="PKK91" s="240" t="n"/>
      <c r="PKL91" s="240" t="n"/>
      <c r="PKN91" s="15" t="n"/>
      <c r="PKO91" s="15" t="n"/>
      <c r="PKP91" s="248" t="n"/>
      <c r="PKQ91" s="248" t="n"/>
      <c r="PKR91" s="240" t="n"/>
      <c r="PKS91" s="240" t="n"/>
      <c r="PKU91" s="15" t="n"/>
      <c r="PKV91" s="15" t="n"/>
      <c r="PKW91" s="248" t="n"/>
      <c r="PKX91" s="248" t="n"/>
      <c r="PKY91" s="240" t="n"/>
      <c r="PKZ91" s="240" t="n"/>
      <c r="PLB91" s="15" t="n"/>
      <c r="PLC91" s="15" t="n"/>
      <c r="PLD91" s="248" t="n"/>
      <c r="PLE91" s="248" t="n"/>
      <c r="PLF91" s="240" t="n"/>
      <c r="PLG91" s="240" t="n"/>
      <c r="PLI91" s="15" t="n"/>
      <c r="PLJ91" s="15" t="n"/>
      <c r="PLK91" s="248" t="n"/>
      <c r="PLL91" s="248" t="n"/>
      <c r="PLM91" s="240" t="n"/>
      <c r="PLN91" s="240" t="n"/>
      <c r="PLP91" s="15" t="n"/>
      <c r="PLQ91" s="15" t="n"/>
      <c r="PLR91" s="248" t="n"/>
      <c r="PLS91" s="248" t="n"/>
      <c r="PLT91" s="240" t="n"/>
      <c r="PLU91" s="240" t="n"/>
      <c r="PLW91" s="15" t="n"/>
      <c r="PLX91" s="15" t="n"/>
      <c r="PLY91" s="248" t="n"/>
      <c r="PLZ91" s="248" t="n"/>
      <c r="PMA91" s="240" t="n"/>
      <c r="PMB91" s="240" t="n"/>
      <c r="PMD91" s="15" t="n"/>
      <c r="PME91" s="15" t="n"/>
      <c r="PMF91" s="248" t="n"/>
      <c r="PMG91" s="248" t="n"/>
      <c r="PMH91" s="240" t="n"/>
      <c r="PMI91" s="240" t="n"/>
      <c r="PMK91" s="15" t="n"/>
      <c r="PML91" s="15" t="n"/>
      <c r="PMM91" s="248" t="n"/>
      <c r="PMN91" s="248" t="n"/>
      <c r="PMO91" s="240" t="n"/>
      <c r="PMP91" s="240" t="n"/>
      <c r="PMR91" s="15" t="n"/>
      <c r="PMS91" s="15" t="n"/>
      <c r="PMT91" s="248" t="n"/>
      <c r="PMU91" s="248" t="n"/>
      <c r="PMV91" s="240" t="n"/>
      <c r="PMW91" s="240" t="n"/>
      <c r="PMY91" s="15" t="n"/>
      <c r="PMZ91" s="15" t="n"/>
      <c r="PNA91" s="248" t="n"/>
      <c r="PNB91" s="248" t="n"/>
      <c r="PNC91" s="240" t="n"/>
      <c r="PND91" s="240" t="n"/>
      <c r="PNF91" s="15" t="n"/>
      <c r="PNG91" s="15" t="n"/>
      <c r="PNH91" s="248" t="n"/>
      <c r="PNI91" s="248" t="n"/>
      <c r="PNJ91" s="240" t="n"/>
      <c r="PNK91" s="240" t="n"/>
      <c r="PNM91" s="15" t="n"/>
      <c r="PNN91" s="15" t="n"/>
      <c r="PNO91" s="248" t="n"/>
      <c r="PNP91" s="248" t="n"/>
      <c r="PNQ91" s="240" t="n"/>
      <c r="PNR91" s="240" t="n"/>
      <c r="PNT91" s="15" t="n"/>
      <c r="PNU91" s="15" t="n"/>
      <c r="PNV91" s="248" t="n"/>
      <c r="PNW91" s="248" t="n"/>
      <c r="PNX91" s="240" t="n"/>
      <c r="PNY91" s="240" t="n"/>
      <c r="POA91" s="15" t="n"/>
      <c r="POB91" s="15" t="n"/>
      <c r="POC91" s="248" t="n"/>
      <c r="POD91" s="248" t="n"/>
      <c r="POE91" s="240" t="n"/>
      <c r="POF91" s="240" t="n"/>
      <c r="POH91" s="15" t="n"/>
      <c r="POI91" s="15" t="n"/>
      <c r="POJ91" s="248" t="n"/>
      <c r="POK91" s="248" t="n"/>
      <c r="POL91" s="240" t="n"/>
      <c r="POM91" s="240" t="n"/>
      <c r="POO91" s="15" t="n"/>
      <c r="POP91" s="15" t="n"/>
      <c r="POQ91" s="248" t="n"/>
      <c r="POR91" s="248" t="n"/>
      <c r="POS91" s="240" t="n"/>
      <c r="POT91" s="240" t="n"/>
      <c r="POV91" s="15" t="n"/>
      <c r="POW91" s="15" t="n"/>
      <c r="POX91" s="248" t="n"/>
      <c r="POY91" s="248" t="n"/>
      <c r="POZ91" s="240" t="n"/>
      <c r="PPA91" s="240" t="n"/>
      <c r="PPC91" s="15" t="n"/>
      <c r="PPD91" s="15" t="n"/>
      <c r="PPE91" s="248" t="n"/>
      <c r="PPF91" s="248" t="n"/>
      <c r="PPG91" s="240" t="n"/>
      <c r="PPH91" s="240" t="n"/>
      <c r="PPJ91" s="15" t="n"/>
      <c r="PPK91" s="15" t="n"/>
      <c r="PPL91" s="248" t="n"/>
      <c r="PPM91" s="248" t="n"/>
      <c r="PPN91" s="240" t="n"/>
      <c r="PPO91" s="240" t="n"/>
      <c r="PPQ91" s="15" t="n"/>
      <c r="PPR91" s="15" t="n"/>
      <c r="PPS91" s="248" t="n"/>
      <c r="PPT91" s="248" t="n"/>
      <c r="PPU91" s="240" t="n"/>
      <c r="PPV91" s="240" t="n"/>
      <c r="PPX91" s="15" t="n"/>
      <c r="PPY91" s="15" t="n"/>
      <c r="PPZ91" s="248" t="n"/>
      <c r="PQA91" s="248" t="n"/>
      <c r="PQB91" s="240" t="n"/>
      <c r="PQC91" s="240" t="n"/>
      <c r="PQE91" s="15" t="n"/>
      <c r="PQF91" s="15" t="n"/>
      <c r="PQG91" s="248" t="n"/>
      <c r="PQH91" s="248" t="n"/>
      <c r="PQI91" s="240" t="n"/>
      <c r="PQJ91" s="240" t="n"/>
      <c r="PQL91" s="15" t="n"/>
      <c r="PQM91" s="15" t="n"/>
      <c r="PQN91" s="248" t="n"/>
      <c r="PQO91" s="248" t="n"/>
      <c r="PQP91" s="240" t="n"/>
      <c r="PQQ91" s="240" t="n"/>
      <c r="PQS91" s="15" t="n"/>
      <c r="PQT91" s="15" t="n"/>
      <c r="PQU91" s="248" t="n"/>
      <c r="PQV91" s="248" t="n"/>
      <c r="PQW91" s="240" t="n"/>
      <c r="PQX91" s="240" t="n"/>
      <c r="PQZ91" s="15" t="n"/>
      <c r="PRA91" s="15" t="n"/>
      <c r="PRB91" s="248" t="n"/>
      <c r="PRC91" s="248" t="n"/>
      <c r="PRD91" s="240" t="n"/>
      <c r="PRE91" s="240" t="n"/>
      <c r="PRG91" s="15" t="n"/>
      <c r="PRH91" s="15" t="n"/>
      <c r="PRI91" s="248" t="n"/>
      <c r="PRJ91" s="248" t="n"/>
      <c r="PRK91" s="240" t="n"/>
      <c r="PRL91" s="240" t="n"/>
      <c r="PRN91" s="15" t="n"/>
      <c r="PRO91" s="15" t="n"/>
      <c r="PRP91" s="248" t="n"/>
      <c r="PRQ91" s="248" t="n"/>
      <c r="PRR91" s="240" t="n"/>
      <c r="PRS91" s="240" t="n"/>
      <c r="PRU91" s="15" t="n"/>
      <c r="PRV91" s="15" t="n"/>
      <c r="PRW91" s="248" t="n"/>
      <c r="PRX91" s="248" t="n"/>
      <c r="PRY91" s="240" t="n"/>
      <c r="PRZ91" s="240" t="n"/>
      <c r="PSB91" s="15" t="n"/>
      <c r="PSC91" s="15" t="n"/>
      <c r="PSD91" s="248" t="n"/>
      <c r="PSE91" s="248" t="n"/>
      <c r="PSF91" s="240" t="n"/>
      <c r="PSG91" s="240" t="n"/>
      <c r="PSI91" s="15" t="n"/>
      <c r="PSJ91" s="15" t="n"/>
      <c r="PSK91" s="248" t="n"/>
      <c r="PSL91" s="248" t="n"/>
      <c r="PSM91" s="240" t="n"/>
      <c r="PSN91" s="240" t="n"/>
      <c r="PSP91" s="15" t="n"/>
      <c r="PSQ91" s="15" t="n"/>
      <c r="PSR91" s="248" t="n"/>
      <c r="PSS91" s="248" t="n"/>
      <c r="PST91" s="240" t="n"/>
      <c r="PSU91" s="240" t="n"/>
      <c r="PSW91" s="15" t="n"/>
      <c r="PSX91" s="15" t="n"/>
      <c r="PSY91" s="248" t="n"/>
      <c r="PSZ91" s="248" t="n"/>
      <c r="PTA91" s="240" t="n"/>
      <c r="PTB91" s="240" t="n"/>
      <c r="PTD91" s="15" t="n"/>
      <c r="PTE91" s="15" t="n"/>
      <c r="PTF91" s="248" t="n"/>
      <c r="PTG91" s="248" t="n"/>
      <c r="PTH91" s="240" t="n"/>
      <c r="PTI91" s="240" t="n"/>
      <c r="PTK91" s="15" t="n"/>
      <c r="PTL91" s="15" t="n"/>
      <c r="PTM91" s="248" t="n"/>
      <c r="PTN91" s="248" t="n"/>
      <c r="PTO91" s="240" t="n"/>
      <c r="PTP91" s="240" t="n"/>
      <c r="PTR91" s="15" t="n"/>
      <c r="PTS91" s="15" t="n"/>
      <c r="PTT91" s="248" t="n"/>
      <c r="PTU91" s="248" t="n"/>
      <c r="PTV91" s="240" t="n"/>
      <c r="PTW91" s="240" t="n"/>
      <c r="PTY91" s="15" t="n"/>
      <c r="PTZ91" s="15" t="n"/>
      <c r="PUA91" s="248" t="n"/>
      <c r="PUB91" s="248" t="n"/>
      <c r="PUC91" s="240" t="n"/>
      <c r="PUD91" s="240" t="n"/>
      <c r="PUF91" s="15" t="n"/>
      <c r="PUG91" s="15" t="n"/>
      <c r="PUH91" s="248" t="n"/>
      <c r="PUI91" s="248" t="n"/>
      <c r="PUJ91" s="240" t="n"/>
      <c r="PUK91" s="240" t="n"/>
      <c r="PUM91" s="15" t="n"/>
      <c r="PUN91" s="15" t="n"/>
      <c r="PUO91" s="248" t="n"/>
      <c r="PUP91" s="248" t="n"/>
      <c r="PUQ91" s="240" t="n"/>
      <c r="PUR91" s="240" t="n"/>
      <c r="PUT91" s="15" t="n"/>
      <c r="PUU91" s="15" t="n"/>
      <c r="PUV91" s="248" t="n"/>
      <c r="PUW91" s="248" t="n"/>
      <c r="PUX91" s="240" t="n"/>
      <c r="PUY91" s="240" t="n"/>
      <c r="PVA91" s="15" t="n"/>
      <c r="PVB91" s="15" t="n"/>
      <c r="PVC91" s="248" t="n"/>
      <c r="PVD91" s="248" t="n"/>
      <c r="PVE91" s="240" t="n"/>
      <c r="PVF91" s="240" t="n"/>
      <c r="PVH91" s="15" t="n"/>
      <c r="PVI91" s="15" t="n"/>
      <c r="PVJ91" s="248" t="n"/>
      <c r="PVK91" s="248" t="n"/>
      <c r="PVL91" s="240" t="n"/>
      <c r="PVM91" s="240" t="n"/>
      <c r="PVO91" s="15" t="n"/>
      <c r="PVP91" s="15" t="n"/>
      <c r="PVQ91" s="248" t="n"/>
      <c r="PVR91" s="248" t="n"/>
      <c r="PVS91" s="240" t="n"/>
      <c r="PVT91" s="240" t="n"/>
      <c r="PVV91" s="15" t="n"/>
      <c r="PVW91" s="15" t="n"/>
      <c r="PVX91" s="248" t="n"/>
      <c r="PVY91" s="248" t="n"/>
      <c r="PVZ91" s="240" t="n"/>
      <c r="PWA91" s="240" t="n"/>
      <c r="PWC91" s="15" t="n"/>
      <c r="PWD91" s="15" t="n"/>
      <c r="PWE91" s="248" t="n"/>
      <c r="PWF91" s="248" t="n"/>
      <c r="PWG91" s="240" t="n"/>
      <c r="PWH91" s="240" t="n"/>
      <c r="PWJ91" s="15" t="n"/>
      <c r="PWK91" s="15" t="n"/>
      <c r="PWL91" s="248" t="n"/>
      <c r="PWM91" s="248" t="n"/>
      <c r="PWN91" s="240" t="n"/>
      <c r="PWO91" s="240" t="n"/>
      <c r="PWQ91" s="15" t="n"/>
      <c r="PWR91" s="15" t="n"/>
      <c r="PWS91" s="248" t="n"/>
      <c r="PWT91" s="248" t="n"/>
      <c r="PWU91" s="240" t="n"/>
      <c r="PWV91" s="240" t="n"/>
      <c r="PWX91" s="15" t="n"/>
      <c r="PWY91" s="15" t="n"/>
      <c r="PWZ91" s="248" t="n"/>
      <c r="PXA91" s="248" t="n"/>
      <c r="PXB91" s="240" t="n"/>
      <c r="PXC91" s="240" t="n"/>
      <c r="PXE91" s="15" t="n"/>
      <c r="PXF91" s="15" t="n"/>
      <c r="PXG91" s="248" t="n"/>
      <c r="PXH91" s="248" t="n"/>
      <c r="PXI91" s="240" t="n"/>
      <c r="PXJ91" s="240" t="n"/>
      <c r="PXL91" s="15" t="n"/>
      <c r="PXM91" s="15" t="n"/>
      <c r="PXN91" s="248" t="n"/>
      <c r="PXO91" s="248" t="n"/>
      <c r="PXP91" s="240" t="n"/>
      <c r="PXQ91" s="240" t="n"/>
      <c r="PXS91" s="15" t="n"/>
      <c r="PXT91" s="15" t="n"/>
      <c r="PXU91" s="248" t="n"/>
      <c r="PXV91" s="248" t="n"/>
      <c r="PXW91" s="240" t="n"/>
      <c r="PXX91" s="240" t="n"/>
      <c r="PXZ91" s="15" t="n"/>
      <c r="PYA91" s="15" t="n"/>
      <c r="PYB91" s="248" t="n"/>
      <c r="PYC91" s="248" t="n"/>
      <c r="PYD91" s="240" t="n"/>
      <c r="PYE91" s="240" t="n"/>
      <c r="PYG91" s="15" t="n"/>
      <c r="PYH91" s="15" t="n"/>
      <c r="PYI91" s="248" t="n"/>
      <c r="PYJ91" s="248" t="n"/>
      <c r="PYK91" s="240" t="n"/>
      <c r="PYL91" s="240" t="n"/>
      <c r="PYN91" s="15" t="n"/>
      <c r="PYO91" s="15" t="n"/>
      <c r="PYP91" s="248" t="n"/>
      <c r="PYQ91" s="248" t="n"/>
      <c r="PYR91" s="240" t="n"/>
      <c r="PYS91" s="240" t="n"/>
      <c r="PYU91" s="15" t="n"/>
      <c r="PYV91" s="15" t="n"/>
      <c r="PYW91" s="248" t="n"/>
      <c r="PYX91" s="248" t="n"/>
      <c r="PYY91" s="240" t="n"/>
      <c r="PYZ91" s="240" t="n"/>
      <c r="PZB91" s="15" t="n"/>
      <c r="PZC91" s="15" t="n"/>
      <c r="PZD91" s="248" t="n"/>
      <c r="PZE91" s="248" t="n"/>
      <c r="PZF91" s="240" t="n"/>
      <c r="PZG91" s="240" t="n"/>
      <c r="PZI91" s="15" t="n"/>
      <c r="PZJ91" s="15" t="n"/>
      <c r="PZK91" s="248" t="n"/>
      <c r="PZL91" s="248" t="n"/>
      <c r="PZM91" s="240" t="n"/>
      <c r="PZN91" s="240" t="n"/>
      <c r="PZP91" s="15" t="n"/>
      <c r="PZQ91" s="15" t="n"/>
      <c r="PZR91" s="248" t="n"/>
      <c r="PZS91" s="248" t="n"/>
      <c r="PZT91" s="240" t="n"/>
      <c r="PZU91" s="240" t="n"/>
      <c r="PZW91" s="15" t="n"/>
      <c r="PZX91" s="15" t="n"/>
      <c r="PZY91" s="248" t="n"/>
      <c r="PZZ91" s="248" t="n"/>
      <c r="QAA91" s="240" t="n"/>
      <c r="QAB91" s="240" t="n"/>
      <c r="QAD91" s="15" t="n"/>
      <c r="QAE91" s="15" t="n"/>
      <c r="QAF91" s="248" t="n"/>
      <c r="QAG91" s="248" t="n"/>
      <c r="QAH91" s="240" t="n"/>
      <c r="QAI91" s="240" t="n"/>
      <c r="QAK91" s="15" t="n"/>
      <c r="QAL91" s="15" t="n"/>
      <c r="QAM91" s="248" t="n"/>
      <c r="QAN91" s="248" t="n"/>
      <c r="QAO91" s="240" t="n"/>
      <c r="QAP91" s="240" t="n"/>
      <c r="QAR91" s="15" t="n"/>
      <c r="QAS91" s="15" t="n"/>
      <c r="QAT91" s="248" t="n"/>
      <c r="QAU91" s="248" t="n"/>
      <c r="QAV91" s="240" t="n"/>
      <c r="QAW91" s="240" t="n"/>
      <c r="QAY91" s="15" t="n"/>
      <c r="QAZ91" s="15" t="n"/>
      <c r="QBA91" s="248" t="n"/>
      <c r="QBB91" s="248" t="n"/>
      <c r="QBC91" s="240" t="n"/>
      <c r="QBD91" s="240" t="n"/>
      <c r="QBF91" s="15" t="n"/>
      <c r="QBG91" s="15" t="n"/>
      <c r="QBH91" s="248" t="n"/>
      <c r="QBI91" s="248" t="n"/>
      <c r="QBJ91" s="240" t="n"/>
      <c r="QBK91" s="240" t="n"/>
      <c r="QBM91" s="15" t="n"/>
      <c r="QBN91" s="15" t="n"/>
      <c r="QBO91" s="248" t="n"/>
      <c r="QBP91" s="248" t="n"/>
      <c r="QBQ91" s="240" t="n"/>
      <c r="QBR91" s="240" t="n"/>
      <c r="QBT91" s="15" t="n"/>
      <c r="QBU91" s="15" t="n"/>
      <c r="QBV91" s="248" t="n"/>
      <c r="QBW91" s="248" t="n"/>
      <c r="QBX91" s="240" t="n"/>
      <c r="QBY91" s="240" t="n"/>
      <c r="QCA91" s="15" t="n"/>
      <c r="QCB91" s="15" t="n"/>
      <c r="QCC91" s="248" t="n"/>
      <c r="QCD91" s="248" t="n"/>
      <c r="QCE91" s="240" t="n"/>
      <c r="QCF91" s="240" t="n"/>
      <c r="QCH91" s="15" t="n"/>
      <c r="QCI91" s="15" t="n"/>
      <c r="QCJ91" s="248" t="n"/>
      <c r="QCK91" s="248" t="n"/>
      <c r="QCL91" s="240" t="n"/>
      <c r="QCM91" s="240" t="n"/>
      <c r="QCO91" s="15" t="n"/>
      <c r="QCP91" s="15" t="n"/>
      <c r="QCQ91" s="248" t="n"/>
      <c r="QCR91" s="248" t="n"/>
      <c r="QCS91" s="240" t="n"/>
      <c r="QCT91" s="240" t="n"/>
      <c r="QCV91" s="15" t="n"/>
      <c r="QCW91" s="15" t="n"/>
      <c r="QCX91" s="248" t="n"/>
      <c r="QCY91" s="248" t="n"/>
      <c r="QCZ91" s="240" t="n"/>
      <c r="QDA91" s="240" t="n"/>
      <c r="QDC91" s="15" t="n"/>
      <c r="QDD91" s="15" t="n"/>
      <c r="QDE91" s="248" t="n"/>
      <c r="QDF91" s="248" t="n"/>
      <c r="QDG91" s="240" t="n"/>
      <c r="QDH91" s="240" t="n"/>
      <c r="QDJ91" s="15" t="n"/>
      <c r="QDK91" s="15" t="n"/>
      <c r="QDL91" s="248" t="n"/>
      <c r="QDM91" s="248" t="n"/>
      <c r="QDN91" s="240" t="n"/>
      <c r="QDO91" s="240" t="n"/>
      <c r="QDQ91" s="15" t="n"/>
      <c r="QDR91" s="15" t="n"/>
      <c r="QDS91" s="248" t="n"/>
      <c r="QDT91" s="248" t="n"/>
      <c r="QDU91" s="240" t="n"/>
      <c r="QDV91" s="240" t="n"/>
      <c r="QDX91" s="15" t="n"/>
      <c r="QDY91" s="15" t="n"/>
      <c r="QDZ91" s="248" t="n"/>
      <c r="QEA91" s="248" t="n"/>
      <c r="QEB91" s="240" t="n"/>
      <c r="QEC91" s="240" t="n"/>
      <c r="QEE91" s="15" t="n"/>
      <c r="QEF91" s="15" t="n"/>
      <c r="QEG91" s="248" t="n"/>
      <c r="QEH91" s="248" t="n"/>
      <c r="QEI91" s="240" t="n"/>
      <c r="QEJ91" s="240" t="n"/>
      <c r="QEL91" s="15" t="n"/>
      <c r="QEM91" s="15" t="n"/>
      <c r="QEN91" s="248" t="n"/>
      <c r="QEO91" s="248" t="n"/>
      <c r="QEP91" s="240" t="n"/>
      <c r="QEQ91" s="240" t="n"/>
      <c r="QES91" s="15" t="n"/>
      <c r="QET91" s="15" t="n"/>
      <c r="QEU91" s="248" t="n"/>
      <c r="QEV91" s="248" t="n"/>
      <c r="QEW91" s="240" t="n"/>
      <c r="QEX91" s="240" t="n"/>
      <c r="QEZ91" s="15" t="n"/>
      <c r="QFA91" s="15" t="n"/>
      <c r="QFB91" s="248" t="n"/>
      <c r="QFC91" s="248" t="n"/>
      <c r="QFD91" s="240" t="n"/>
      <c r="QFE91" s="240" t="n"/>
      <c r="QFG91" s="15" t="n"/>
      <c r="QFH91" s="15" t="n"/>
      <c r="QFI91" s="248" t="n"/>
      <c r="QFJ91" s="248" t="n"/>
      <c r="QFK91" s="240" t="n"/>
      <c r="QFL91" s="240" t="n"/>
      <c r="QFN91" s="15" t="n"/>
      <c r="QFO91" s="15" t="n"/>
      <c r="QFP91" s="248" t="n"/>
      <c r="QFQ91" s="248" t="n"/>
      <c r="QFR91" s="240" t="n"/>
      <c r="QFS91" s="240" t="n"/>
      <c r="QFU91" s="15" t="n"/>
      <c r="QFV91" s="15" t="n"/>
      <c r="QFW91" s="248" t="n"/>
      <c r="QFX91" s="248" t="n"/>
      <c r="QFY91" s="240" t="n"/>
      <c r="QFZ91" s="240" t="n"/>
      <c r="QGB91" s="15" t="n"/>
      <c r="QGC91" s="15" t="n"/>
      <c r="QGD91" s="248" t="n"/>
      <c r="QGE91" s="248" t="n"/>
      <c r="QGF91" s="240" t="n"/>
      <c r="QGG91" s="240" t="n"/>
      <c r="QGI91" s="15" t="n"/>
      <c r="QGJ91" s="15" t="n"/>
      <c r="QGK91" s="248" t="n"/>
      <c r="QGL91" s="248" t="n"/>
      <c r="QGM91" s="240" t="n"/>
      <c r="QGN91" s="240" t="n"/>
      <c r="QGP91" s="15" t="n"/>
      <c r="QGQ91" s="15" t="n"/>
      <c r="QGR91" s="248" t="n"/>
      <c r="QGS91" s="248" t="n"/>
      <c r="QGT91" s="240" t="n"/>
      <c r="QGU91" s="240" t="n"/>
      <c r="QGW91" s="15" t="n"/>
      <c r="QGX91" s="15" t="n"/>
      <c r="QGY91" s="248" t="n"/>
      <c r="QGZ91" s="248" t="n"/>
      <c r="QHA91" s="240" t="n"/>
      <c r="QHB91" s="240" t="n"/>
      <c r="QHD91" s="15" t="n"/>
      <c r="QHE91" s="15" t="n"/>
      <c r="QHF91" s="248" t="n"/>
      <c r="QHG91" s="248" t="n"/>
      <c r="QHH91" s="240" t="n"/>
      <c r="QHI91" s="240" t="n"/>
      <c r="QHK91" s="15" t="n"/>
      <c r="QHL91" s="15" t="n"/>
      <c r="QHM91" s="248" t="n"/>
      <c r="QHN91" s="248" t="n"/>
      <c r="QHO91" s="240" t="n"/>
      <c r="QHP91" s="240" t="n"/>
      <c r="QHR91" s="15" t="n"/>
      <c r="QHS91" s="15" t="n"/>
      <c r="QHT91" s="248" t="n"/>
      <c r="QHU91" s="248" t="n"/>
      <c r="QHV91" s="240" t="n"/>
      <c r="QHW91" s="240" t="n"/>
      <c r="QHY91" s="15" t="n"/>
      <c r="QHZ91" s="15" t="n"/>
      <c r="QIA91" s="248" t="n"/>
      <c r="QIB91" s="248" t="n"/>
      <c r="QIC91" s="240" t="n"/>
      <c r="QID91" s="240" t="n"/>
      <c r="QIF91" s="15" t="n"/>
      <c r="QIG91" s="15" t="n"/>
      <c r="QIH91" s="248" t="n"/>
      <c r="QII91" s="248" t="n"/>
      <c r="QIJ91" s="240" t="n"/>
      <c r="QIK91" s="240" t="n"/>
      <c r="QIM91" s="15" t="n"/>
      <c r="QIN91" s="15" t="n"/>
      <c r="QIO91" s="248" t="n"/>
      <c r="QIP91" s="248" t="n"/>
      <c r="QIQ91" s="240" t="n"/>
      <c r="QIR91" s="240" t="n"/>
      <c r="QIT91" s="15" t="n"/>
      <c r="QIU91" s="15" t="n"/>
      <c r="QIV91" s="248" t="n"/>
      <c r="QIW91" s="248" t="n"/>
      <c r="QIX91" s="240" t="n"/>
      <c r="QIY91" s="240" t="n"/>
      <c r="QJA91" s="15" t="n"/>
      <c r="QJB91" s="15" t="n"/>
      <c r="QJC91" s="248" t="n"/>
      <c r="QJD91" s="248" t="n"/>
      <c r="QJE91" s="240" t="n"/>
      <c r="QJF91" s="240" t="n"/>
      <c r="QJH91" s="15" t="n"/>
      <c r="QJI91" s="15" t="n"/>
      <c r="QJJ91" s="248" t="n"/>
      <c r="QJK91" s="248" t="n"/>
      <c r="QJL91" s="240" t="n"/>
      <c r="QJM91" s="240" t="n"/>
      <c r="QJO91" s="15" t="n"/>
      <c r="QJP91" s="15" t="n"/>
      <c r="QJQ91" s="248" t="n"/>
      <c r="QJR91" s="248" t="n"/>
      <c r="QJS91" s="240" t="n"/>
      <c r="QJT91" s="240" t="n"/>
      <c r="QJV91" s="15" t="n"/>
      <c r="QJW91" s="15" t="n"/>
      <c r="QJX91" s="248" t="n"/>
      <c r="QJY91" s="248" t="n"/>
      <c r="QJZ91" s="240" t="n"/>
      <c r="QKA91" s="240" t="n"/>
      <c r="QKC91" s="15" t="n"/>
      <c r="QKD91" s="15" t="n"/>
      <c r="QKE91" s="248" t="n"/>
      <c r="QKF91" s="248" t="n"/>
      <c r="QKG91" s="240" t="n"/>
      <c r="QKH91" s="240" t="n"/>
      <c r="QKJ91" s="15" t="n"/>
      <c r="QKK91" s="15" t="n"/>
      <c r="QKL91" s="248" t="n"/>
      <c r="QKM91" s="248" t="n"/>
      <c r="QKN91" s="240" t="n"/>
      <c r="QKO91" s="240" t="n"/>
      <c r="QKQ91" s="15" t="n"/>
      <c r="QKR91" s="15" t="n"/>
      <c r="QKS91" s="248" t="n"/>
      <c r="QKT91" s="248" t="n"/>
      <c r="QKU91" s="240" t="n"/>
      <c r="QKV91" s="240" t="n"/>
      <c r="QKX91" s="15" t="n"/>
      <c r="QKY91" s="15" t="n"/>
      <c r="QKZ91" s="248" t="n"/>
      <c r="QLA91" s="248" t="n"/>
      <c r="QLB91" s="240" t="n"/>
      <c r="QLC91" s="240" t="n"/>
      <c r="QLE91" s="15" t="n"/>
      <c r="QLF91" s="15" t="n"/>
      <c r="QLG91" s="248" t="n"/>
      <c r="QLH91" s="248" t="n"/>
      <c r="QLI91" s="240" t="n"/>
      <c r="QLJ91" s="240" t="n"/>
      <c r="QLL91" s="15" t="n"/>
      <c r="QLM91" s="15" t="n"/>
      <c r="QLN91" s="248" t="n"/>
      <c r="QLO91" s="248" t="n"/>
      <c r="QLP91" s="240" t="n"/>
      <c r="QLQ91" s="240" t="n"/>
      <c r="QLS91" s="15" t="n"/>
      <c r="QLT91" s="15" t="n"/>
      <c r="QLU91" s="248" t="n"/>
      <c r="QLV91" s="248" t="n"/>
      <c r="QLW91" s="240" t="n"/>
      <c r="QLX91" s="240" t="n"/>
      <c r="QLZ91" s="15" t="n"/>
      <c r="QMA91" s="15" t="n"/>
      <c r="QMB91" s="248" t="n"/>
      <c r="QMC91" s="248" t="n"/>
      <c r="QMD91" s="240" t="n"/>
      <c r="QME91" s="240" t="n"/>
      <c r="QMG91" s="15" t="n"/>
      <c r="QMH91" s="15" t="n"/>
      <c r="QMI91" s="248" t="n"/>
      <c r="QMJ91" s="248" t="n"/>
      <c r="QMK91" s="240" t="n"/>
      <c r="QML91" s="240" t="n"/>
      <c r="QMN91" s="15" t="n"/>
      <c r="QMO91" s="15" t="n"/>
      <c r="QMP91" s="248" t="n"/>
      <c r="QMQ91" s="248" t="n"/>
      <c r="QMR91" s="240" t="n"/>
      <c r="QMS91" s="240" t="n"/>
      <c r="QMU91" s="15" t="n"/>
      <c r="QMV91" s="15" t="n"/>
      <c r="QMW91" s="248" t="n"/>
      <c r="QMX91" s="248" t="n"/>
      <c r="QMY91" s="240" t="n"/>
      <c r="QMZ91" s="240" t="n"/>
      <c r="QNB91" s="15" t="n"/>
      <c r="QNC91" s="15" t="n"/>
      <c r="QND91" s="248" t="n"/>
      <c r="QNE91" s="248" t="n"/>
      <c r="QNF91" s="240" t="n"/>
      <c r="QNG91" s="240" t="n"/>
      <c r="QNI91" s="15" t="n"/>
      <c r="QNJ91" s="15" t="n"/>
      <c r="QNK91" s="248" t="n"/>
      <c r="QNL91" s="248" t="n"/>
      <c r="QNM91" s="240" t="n"/>
      <c r="QNN91" s="240" t="n"/>
      <c r="QNP91" s="15" t="n"/>
      <c r="QNQ91" s="15" t="n"/>
      <c r="QNR91" s="248" t="n"/>
      <c r="QNS91" s="248" t="n"/>
      <c r="QNT91" s="240" t="n"/>
      <c r="QNU91" s="240" t="n"/>
      <c r="QNW91" s="15" t="n"/>
      <c r="QNX91" s="15" t="n"/>
      <c r="QNY91" s="248" t="n"/>
      <c r="QNZ91" s="248" t="n"/>
      <c r="QOA91" s="240" t="n"/>
      <c r="QOB91" s="240" t="n"/>
      <c r="QOD91" s="15" t="n"/>
      <c r="QOE91" s="15" t="n"/>
      <c r="QOF91" s="248" t="n"/>
      <c r="QOG91" s="248" t="n"/>
      <c r="QOH91" s="240" t="n"/>
      <c r="QOI91" s="240" t="n"/>
      <c r="QOK91" s="15" t="n"/>
      <c r="QOL91" s="15" t="n"/>
      <c r="QOM91" s="248" t="n"/>
      <c r="QON91" s="248" t="n"/>
      <c r="QOO91" s="240" t="n"/>
      <c r="QOP91" s="240" t="n"/>
      <c r="QOR91" s="15" t="n"/>
      <c r="QOS91" s="15" t="n"/>
      <c r="QOT91" s="248" t="n"/>
      <c r="QOU91" s="248" t="n"/>
      <c r="QOV91" s="240" t="n"/>
      <c r="QOW91" s="240" t="n"/>
      <c r="QOY91" s="15" t="n"/>
      <c r="QOZ91" s="15" t="n"/>
      <c r="QPA91" s="248" t="n"/>
      <c r="QPB91" s="248" t="n"/>
      <c r="QPC91" s="240" t="n"/>
      <c r="QPD91" s="240" t="n"/>
      <c r="QPF91" s="15" t="n"/>
      <c r="QPG91" s="15" t="n"/>
      <c r="QPH91" s="248" t="n"/>
      <c r="QPI91" s="248" t="n"/>
      <c r="QPJ91" s="240" t="n"/>
      <c r="QPK91" s="240" t="n"/>
      <c r="QPM91" s="15" t="n"/>
      <c r="QPN91" s="15" t="n"/>
      <c r="QPO91" s="248" t="n"/>
      <c r="QPP91" s="248" t="n"/>
      <c r="QPQ91" s="240" t="n"/>
      <c r="QPR91" s="240" t="n"/>
      <c r="QPT91" s="15" t="n"/>
      <c r="QPU91" s="15" t="n"/>
      <c r="QPV91" s="248" t="n"/>
      <c r="QPW91" s="248" t="n"/>
      <c r="QPX91" s="240" t="n"/>
      <c r="QPY91" s="240" t="n"/>
      <c r="QQA91" s="15" t="n"/>
      <c r="QQB91" s="15" t="n"/>
      <c r="QQC91" s="248" t="n"/>
      <c r="QQD91" s="248" t="n"/>
      <c r="QQE91" s="240" t="n"/>
      <c r="QQF91" s="240" t="n"/>
      <c r="QQH91" s="15" t="n"/>
      <c r="QQI91" s="15" t="n"/>
      <c r="QQJ91" s="248" t="n"/>
      <c r="QQK91" s="248" t="n"/>
      <c r="QQL91" s="240" t="n"/>
      <c r="QQM91" s="240" t="n"/>
      <c r="QQO91" s="15" t="n"/>
      <c r="QQP91" s="15" t="n"/>
      <c r="QQQ91" s="248" t="n"/>
      <c r="QQR91" s="248" t="n"/>
      <c r="QQS91" s="240" t="n"/>
      <c r="QQT91" s="240" t="n"/>
      <c r="QQV91" s="15" t="n"/>
      <c r="QQW91" s="15" t="n"/>
      <c r="QQX91" s="248" t="n"/>
      <c r="QQY91" s="248" t="n"/>
      <c r="QQZ91" s="240" t="n"/>
      <c r="QRA91" s="240" t="n"/>
      <c r="QRC91" s="15" t="n"/>
      <c r="QRD91" s="15" t="n"/>
      <c r="QRE91" s="248" t="n"/>
      <c r="QRF91" s="248" t="n"/>
      <c r="QRG91" s="240" t="n"/>
      <c r="QRH91" s="240" t="n"/>
      <c r="QRJ91" s="15" t="n"/>
      <c r="QRK91" s="15" t="n"/>
      <c r="QRL91" s="248" t="n"/>
      <c r="QRM91" s="248" t="n"/>
      <c r="QRN91" s="240" t="n"/>
      <c r="QRO91" s="240" t="n"/>
      <c r="QRQ91" s="15" t="n"/>
      <c r="QRR91" s="15" t="n"/>
      <c r="QRS91" s="248" t="n"/>
      <c r="QRT91" s="248" t="n"/>
      <c r="QRU91" s="240" t="n"/>
      <c r="QRV91" s="240" t="n"/>
      <c r="QRX91" s="15" t="n"/>
      <c r="QRY91" s="15" t="n"/>
      <c r="QRZ91" s="248" t="n"/>
      <c r="QSA91" s="248" t="n"/>
      <c r="QSB91" s="240" t="n"/>
      <c r="QSC91" s="240" t="n"/>
      <c r="QSE91" s="15" t="n"/>
      <c r="QSF91" s="15" t="n"/>
      <c r="QSG91" s="248" t="n"/>
      <c r="QSH91" s="248" t="n"/>
      <c r="QSI91" s="240" t="n"/>
      <c r="QSJ91" s="240" t="n"/>
      <c r="QSL91" s="15" t="n"/>
      <c r="QSM91" s="15" t="n"/>
      <c r="QSN91" s="248" t="n"/>
      <c r="QSO91" s="248" t="n"/>
      <c r="QSP91" s="240" t="n"/>
      <c r="QSQ91" s="240" t="n"/>
      <c r="QSS91" s="15" t="n"/>
      <c r="QST91" s="15" t="n"/>
      <c r="QSU91" s="248" t="n"/>
      <c r="QSV91" s="248" t="n"/>
      <c r="QSW91" s="240" t="n"/>
      <c r="QSX91" s="240" t="n"/>
      <c r="QSZ91" s="15" t="n"/>
      <c r="QTA91" s="15" t="n"/>
      <c r="QTB91" s="248" t="n"/>
      <c r="QTC91" s="248" t="n"/>
      <c r="QTD91" s="240" t="n"/>
      <c r="QTE91" s="240" t="n"/>
      <c r="QTG91" s="15" t="n"/>
      <c r="QTH91" s="15" t="n"/>
      <c r="QTI91" s="248" t="n"/>
      <c r="QTJ91" s="248" t="n"/>
      <c r="QTK91" s="240" t="n"/>
      <c r="QTL91" s="240" t="n"/>
      <c r="QTN91" s="15" t="n"/>
      <c r="QTO91" s="15" t="n"/>
      <c r="QTP91" s="248" t="n"/>
      <c r="QTQ91" s="248" t="n"/>
      <c r="QTR91" s="240" t="n"/>
      <c r="QTS91" s="240" t="n"/>
      <c r="QTU91" s="15" t="n"/>
      <c r="QTV91" s="15" t="n"/>
      <c r="QTW91" s="248" t="n"/>
      <c r="QTX91" s="248" t="n"/>
      <c r="QTY91" s="240" t="n"/>
      <c r="QTZ91" s="240" t="n"/>
      <c r="QUB91" s="15" t="n"/>
      <c r="QUC91" s="15" t="n"/>
      <c r="QUD91" s="248" t="n"/>
      <c r="QUE91" s="248" t="n"/>
      <c r="QUF91" s="240" t="n"/>
      <c r="QUG91" s="240" t="n"/>
      <c r="QUI91" s="15" t="n"/>
      <c r="QUJ91" s="15" t="n"/>
      <c r="QUK91" s="248" t="n"/>
      <c r="QUL91" s="248" t="n"/>
      <c r="QUM91" s="240" t="n"/>
      <c r="QUN91" s="240" t="n"/>
      <c r="QUP91" s="15" t="n"/>
      <c r="QUQ91" s="15" t="n"/>
      <c r="QUR91" s="248" t="n"/>
      <c r="QUS91" s="248" t="n"/>
      <c r="QUT91" s="240" t="n"/>
      <c r="QUU91" s="240" t="n"/>
      <c r="QUW91" s="15" t="n"/>
      <c r="QUX91" s="15" t="n"/>
      <c r="QUY91" s="248" t="n"/>
      <c r="QUZ91" s="248" t="n"/>
      <c r="QVA91" s="240" t="n"/>
      <c r="QVB91" s="240" t="n"/>
      <c r="QVD91" s="15" t="n"/>
      <c r="QVE91" s="15" t="n"/>
      <c r="QVF91" s="248" t="n"/>
      <c r="QVG91" s="248" t="n"/>
      <c r="QVH91" s="240" t="n"/>
      <c r="QVI91" s="240" t="n"/>
      <c r="QVK91" s="15" t="n"/>
      <c r="QVL91" s="15" t="n"/>
      <c r="QVM91" s="248" t="n"/>
      <c r="QVN91" s="248" t="n"/>
      <c r="QVO91" s="240" t="n"/>
      <c r="QVP91" s="240" t="n"/>
      <c r="QVR91" s="15" t="n"/>
      <c r="QVS91" s="15" t="n"/>
      <c r="QVT91" s="248" t="n"/>
      <c r="QVU91" s="248" t="n"/>
      <c r="QVV91" s="240" t="n"/>
      <c r="QVW91" s="240" t="n"/>
      <c r="QVY91" s="15" t="n"/>
      <c r="QVZ91" s="15" t="n"/>
      <c r="QWA91" s="248" t="n"/>
      <c r="QWB91" s="248" t="n"/>
      <c r="QWC91" s="240" t="n"/>
      <c r="QWD91" s="240" t="n"/>
      <c r="QWF91" s="15" t="n"/>
      <c r="QWG91" s="15" t="n"/>
      <c r="QWH91" s="248" t="n"/>
      <c r="QWI91" s="248" t="n"/>
      <c r="QWJ91" s="240" t="n"/>
      <c r="QWK91" s="240" t="n"/>
      <c r="QWM91" s="15" t="n"/>
      <c r="QWN91" s="15" t="n"/>
      <c r="QWO91" s="248" t="n"/>
      <c r="QWP91" s="248" t="n"/>
      <c r="QWQ91" s="240" t="n"/>
      <c r="QWR91" s="240" t="n"/>
      <c r="QWT91" s="15" t="n"/>
      <c r="QWU91" s="15" t="n"/>
      <c r="QWV91" s="248" t="n"/>
      <c r="QWW91" s="248" t="n"/>
      <c r="QWX91" s="240" t="n"/>
      <c r="QWY91" s="240" t="n"/>
      <c r="QXA91" s="15" t="n"/>
      <c r="QXB91" s="15" t="n"/>
      <c r="QXC91" s="248" t="n"/>
      <c r="QXD91" s="248" t="n"/>
      <c r="QXE91" s="240" t="n"/>
      <c r="QXF91" s="240" t="n"/>
      <c r="QXH91" s="15" t="n"/>
      <c r="QXI91" s="15" t="n"/>
      <c r="QXJ91" s="248" t="n"/>
      <c r="QXK91" s="248" t="n"/>
      <c r="QXL91" s="240" t="n"/>
      <c r="QXM91" s="240" t="n"/>
      <c r="QXO91" s="15" t="n"/>
      <c r="QXP91" s="15" t="n"/>
      <c r="QXQ91" s="248" t="n"/>
      <c r="QXR91" s="248" t="n"/>
      <c r="QXS91" s="240" t="n"/>
      <c r="QXT91" s="240" t="n"/>
      <c r="QXV91" s="15" t="n"/>
      <c r="QXW91" s="15" t="n"/>
      <c r="QXX91" s="248" t="n"/>
      <c r="QXY91" s="248" t="n"/>
      <c r="QXZ91" s="240" t="n"/>
      <c r="QYA91" s="240" t="n"/>
      <c r="QYC91" s="15" t="n"/>
      <c r="QYD91" s="15" t="n"/>
      <c r="QYE91" s="248" t="n"/>
      <c r="QYF91" s="248" t="n"/>
      <c r="QYG91" s="240" t="n"/>
      <c r="QYH91" s="240" t="n"/>
      <c r="QYJ91" s="15" t="n"/>
      <c r="QYK91" s="15" t="n"/>
      <c r="QYL91" s="248" t="n"/>
      <c r="QYM91" s="248" t="n"/>
      <c r="QYN91" s="240" t="n"/>
      <c r="QYO91" s="240" t="n"/>
      <c r="QYQ91" s="15" t="n"/>
      <c r="QYR91" s="15" t="n"/>
      <c r="QYS91" s="248" t="n"/>
      <c r="QYT91" s="248" t="n"/>
      <c r="QYU91" s="240" t="n"/>
      <c r="QYV91" s="240" t="n"/>
      <c r="QYX91" s="15" t="n"/>
      <c r="QYY91" s="15" t="n"/>
      <c r="QYZ91" s="248" t="n"/>
      <c r="QZA91" s="248" t="n"/>
      <c r="QZB91" s="240" t="n"/>
      <c r="QZC91" s="240" t="n"/>
      <c r="QZE91" s="15" t="n"/>
      <c r="QZF91" s="15" t="n"/>
      <c r="QZG91" s="248" t="n"/>
      <c r="QZH91" s="248" t="n"/>
      <c r="QZI91" s="240" t="n"/>
      <c r="QZJ91" s="240" t="n"/>
      <c r="QZL91" s="15" t="n"/>
      <c r="QZM91" s="15" t="n"/>
      <c r="QZN91" s="248" t="n"/>
      <c r="QZO91" s="248" t="n"/>
      <c r="QZP91" s="240" t="n"/>
      <c r="QZQ91" s="240" t="n"/>
      <c r="QZS91" s="15" t="n"/>
      <c r="QZT91" s="15" t="n"/>
      <c r="QZU91" s="248" t="n"/>
      <c r="QZV91" s="248" t="n"/>
      <c r="QZW91" s="240" t="n"/>
      <c r="QZX91" s="240" t="n"/>
      <c r="QZZ91" s="15" t="n"/>
      <c r="RAA91" s="15" t="n"/>
      <c r="RAB91" s="248" t="n"/>
      <c r="RAC91" s="248" t="n"/>
      <c r="RAD91" s="240" t="n"/>
      <c r="RAE91" s="240" t="n"/>
      <c r="RAG91" s="15" t="n"/>
      <c r="RAH91" s="15" t="n"/>
      <c r="RAI91" s="248" t="n"/>
      <c r="RAJ91" s="248" t="n"/>
      <c r="RAK91" s="240" t="n"/>
      <c r="RAL91" s="240" t="n"/>
      <c r="RAN91" s="15" t="n"/>
      <c r="RAO91" s="15" t="n"/>
      <c r="RAP91" s="248" t="n"/>
      <c r="RAQ91" s="248" t="n"/>
      <c r="RAR91" s="240" t="n"/>
      <c r="RAS91" s="240" t="n"/>
      <c r="RAU91" s="15" t="n"/>
      <c r="RAV91" s="15" t="n"/>
      <c r="RAW91" s="248" t="n"/>
      <c r="RAX91" s="248" t="n"/>
      <c r="RAY91" s="240" t="n"/>
      <c r="RAZ91" s="240" t="n"/>
      <c r="RBB91" s="15" t="n"/>
      <c r="RBC91" s="15" t="n"/>
      <c r="RBD91" s="248" t="n"/>
      <c r="RBE91" s="248" t="n"/>
      <c r="RBF91" s="240" t="n"/>
      <c r="RBG91" s="240" t="n"/>
      <c r="RBI91" s="15" t="n"/>
      <c r="RBJ91" s="15" t="n"/>
      <c r="RBK91" s="248" t="n"/>
      <c r="RBL91" s="248" t="n"/>
      <c r="RBM91" s="240" t="n"/>
      <c r="RBN91" s="240" t="n"/>
      <c r="RBP91" s="15" t="n"/>
      <c r="RBQ91" s="15" t="n"/>
      <c r="RBR91" s="248" t="n"/>
      <c r="RBS91" s="248" t="n"/>
      <c r="RBT91" s="240" t="n"/>
      <c r="RBU91" s="240" t="n"/>
      <c r="RBW91" s="15" t="n"/>
      <c r="RBX91" s="15" t="n"/>
      <c r="RBY91" s="248" t="n"/>
      <c r="RBZ91" s="248" t="n"/>
      <c r="RCA91" s="240" t="n"/>
      <c r="RCB91" s="240" t="n"/>
      <c r="RCD91" s="15" t="n"/>
      <c r="RCE91" s="15" t="n"/>
      <c r="RCF91" s="248" t="n"/>
      <c r="RCG91" s="248" t="n"/>
      <c r="RCH91" s="240" t="n"/>
      <c r="RCI91" s="240" t="n"/>
      <c r="RCK91" s="15" t="n"/>
      <c r="RCL91" s="15" t="n"/>
      <c r="RCM91" s="248" t="n"/>
      <c r="RCN91" s="248" t="n"/>
      <c r="RCO91" s="240" t="n"/>
      <c r="RCP91" s="240" t="n"/>
      <c r="RCR91" s="15" t="n"/>
      <c r="RCS91" s="15" t="n"/>
      <c r="RCT91" s="248" t="n"/>
      <c r="RCU91" s="248" t="n"/>
      <c r="RCV91" s="240" t="n"/>
      <c r="RCW91" s="240" t="n"/>
      <c r="RCY91" s="15" t="n"/>
      <c r="RCZ91" s="15" t="n"/>
      <c r="RDA91" s="248" t="n"/>
      <c r="RDB91" s="248" t="n"/>
      <c r="RDC91" s="240" t="n"/>
      <c r="RDD91" s="240" t="n"/>
      <c r="RDF91" s="15" t="n"/>
      <c r="RDG91" s="15" t="n"/>
      <c r="RDH91" s="248" t="n"/>
      <c r="RDI91" s="248" t="n"/>
      <c r="RDJ91" s="240" t="n"/>
      <c r="RDK91" s="240" t="n"/>
      <c r="RDM91" s="15" t="n"/>
      <c r="RDN91" s="15" t="n"/>
      <c r="RDO91" s="248" t="n"/>
      <c r="RDP91" s="248" t="n"/>
      <c r="RDQ91" s="240" t="n"/>
      <c r="RDR91" s="240" t="n"/>
      <c r="RDT91" s="15" t="n"/>
      <c r="RDU91" s="15" t="n"/>
      <c r="RDV91" s="248" t="n"/>
      <c r="RDW91" s="248" t="n"/>
      <c r="RDX91" s="240" t="n"/>
      <c r="RDY91" s="240" t="n"/>
      <c r="REA91" s="15" t="n"/>
      <c r="REB91" s="15" t="n"/>
      <c r="REC91" s="248" t="n"/>
      <c r="RED91" s="248" t="n"/>
      <c r="REE91" s="240" t="n"/>
      <c r="REF91" s="240" t="n"/>
      <c r="REH91" s="15" t="n"/>
      <c r="REI91" s="15" t="n"/>
      <c r="REJ91" s="248" t="n"/>
      <c r="REK91" s="248" t="n"/>
      <c r="REL91" s="240" t="n"/>
      <c r="REM91" s="240" t="n"/>
      <c r="REO91" s="15" t="n"/>
      <c r="REP91" s="15" t="n"/>
      <c r="REQ91" s="248" t="n"/>
      <c r="RER91" s="248" t="n"/>
      <c r="RES91" s="240" t="n"/>
      <c r="RET91" s="240" t="n"/>
      <c r="REV91" s="15" t="n"/>
      <c r="REW91" s="15" t="n"/>
      <c r="REX91" s="248" t="n"/>
      <c r="REY91" s="248" t="n"/>
      <c r="REZ91" s="240" t="n"/>
      <c r="RFA91" s="240" t="n"/>
      <c r="RFC91" s="15" t="n"/>
      <c r="RFD91" s="15" t="n"/>
      <c r="RFE91" s="248" t="n"/>
      <c r="RFF91" s="248" t="n"/>
      <c r="RFG91" s="240" t="n"/>
      <c r="RFH91" s="240" t="n"/>
      <c r="RFJ91" s="15" t="n"/>
      <c r="RFK91" s="15" t="n"/>
      <c r="RFL91" s="248" t="n"/>
      <c r="RFM91" s="248" t="n"/>
      <c r="RFN91" s="240" t="n"/>
      <c r="RFO91" s="240" t="n"/>
      <c r="RFQ91" s="15" t="n"/>
      <c r="RFR91" s="15" t="n"/>
      <c r="RFS91" s="248" t="n"/>
      <c r="RFT91" s="248" t="n"/>
      <c r="RFU91" s="240" t="n"/>
      <c r="RFV91" s="240" t="n"/>
      <c r="RFX91" s="15" t="n"/>
      <c r="RFY91" s="15" t="n"/>
      <c r="RFZ91" s="248" t="n"/>
      <c r="RGA91" s="248" t="n"/>
      <c r="RGB91" s="240" t="n"/>
      <c r="RGC91" s="240" t="n"/>
      <c r="RGE91" s="15" t="n"/>
      <c r="RGF91" s="15" t="n"/>
      <c r="RGG91" s="248" t="n"/>
      <c r="RGH91" s="248" t="n"/>
      <c r="RGI91" s="240" t="n"/>
      <c r="RGJ91" s="240" t="n"/>
      <c r="RGL91" s="15" t="n"/>
      <c r="RGM91" s="15" t="n"/>
      <c r="RGN91" s="248" t="n"/>
      <c r="RGO91" s="248" t="n"/>
      <c r="RGP91" s="240" t="n"/>
      <c r="RGQ91" s="240" t="n"/>
      <c r="RGS91" s="15" t="n"/>
      <c r="RGT91" s="15" t="n"/>
      <c r="RGU91" s="248" t="n"/>
      <c r="RGV91" s="248" t="n"/>
      <c r="RGW91" s="240" t="n"/>
      <c r="RGX91" s="240" t="n"/>
      <c r="RGZ91" s="15" t="n"/>
      <c r="RHA91" s="15" t="n"/>
      <c r="RHB91" s="248" t="n"/>
      <c r="RHC91" s="248" t="n"/>
      <c r="RHD91" s="240" t="n"/>
      <c r="RHE91" s="240" t="n"/>
      <c r="RHG91" s="15" t="n"/>
      <c r="RHH91" s="15" t="n"/>
      <c r="RHI91" s="248" t="n"/>
      <c r="RHJ91" s="248" t="n"/>
      <c r="RHK91" s="240" t="n"/>
      <c r="RHL91" s="240" t="n"/>
      <c r="RHN91" s="15" t="n"/>
      <c r="RHO91" s="15" t="n"/>
      <c r="RHP91" s="248" t="n"/>
      <c r="RHQ91" s="248" t="n"/>
      <c r="RHR91" s="240" t="n"/>
      <c r="RHS91" s="240" t="n"/>
      <c r="RHU91" s="15" t="n"/>
      <c r="RHV91" s="15" t="n"/>
      <c r="RHW91" s="248" t="n"/>
      <c r="RHX91" s="248" t="n"/>
      <c r="RHY91" s="240" t="n"/>
      <c r="RHZ91" s="240" t="n"/>
      <c r="RIB91" s="15" t="n"/>
      <c r="RIC91" s="15" t="n"/>
      <c r="RID91" s="248" t="n"/>
      <c r="RIE91" s="248" t="n"/>
      <c r="RIF91" s="240" t="n"/>
      <c r="RIG91" s="240" t="n"/>
      <c r="RII91" s="15" t="n"/>
      <c r="RIJ91" s="15" t="n"/>
      <c r="RIK91" s="248" t="n"/>
      <c r="RIL91" s="248" t="n"/>
      <c r="RIM91" s="240" t="n"/>
      <c r="RIN91" s="240" t="n"/>
      <c r="RIP91" s="15" t="n"/>
      <c r="RIQ91" s="15" t="n"/>
      <c r="RIR91" s="248" t="n"/>
      <c r="RIS91" s="248" t="n"/>
      <c r="RIT91" s="240" t="n"/>
      <c r="RIU91" s="240" t="n"/>
      <c r="RIW91" s="15" t="n"/>
      <c r="RIX91" s="15" t="n"/>
      <c r="RIY91" s="248" t="n"/>
      <c r="RIZ91" s="248" t="n"/>
      <c r="RJA91" s="240" t="n"/>
      <c r="RJB91" s="240" t="n"/>
      <c r="RJD91" s="15" t="n"/>
      <c r="RJE91" s="15" t="n"/>
      <c r="RJF91" s="248" t="n"/>
      <c r="RJG91" s="248" t="n"/>
      <c r="RJH91" s="240" t="n"/>
      <c r="RJI91" s="240" t="n"/>
      <c r="RJK91" s="15" t="n"/>
      <c r="RJL91" s="15" t="n"/>
      <c r="RJM91" s="248" t="n"/>
      <c r="RJN91" s="248" t="n"/>
      <c r="RJO91" s="240" t="n"/>
      <c r="RJP91" s="240" t="n"/>
      <c r="RJR91" s="15" t="n"/>
      <c r="RJS91" s="15" t="n"/>
      <c r="RJT91" s="248" t="n"/>
      <c r="RJU91" s="248" t="n"/>
      <c r="RJV91" s="240" t="n"/>
      <c r="RJW91" s="240" t="n"/>
      <c r="RJY91" s="15" t="n"/>
      <c r="RJZ91" s="15" t="n"/>
      <c r="RKA91" s="248" t="n"/>
      <c r="RKB91" s="248" t="n"/>
      <c r="RKC91" s="240" t="n"/>
      <c r="RKD91" s="240" t="n"/>
      <c r="RKF91" s="15" t="n"/>
      <c r="RKG91" s="15" t="n"/>
      <c r="RKH91" s="248" t="n"/>
      <c r="RKI91" s="248" t="n"/>
      <c r="RKJ91" s="240" t="n"/>
      <c r="RKK91" s="240" t="n"/>
      <c r="RKM91" s="15" t="n"/>
      <c r="RKN91" s="15" t="n"/>
      <c r="RKO91" s="248" t="n"/>
      <c r="RKP91" s="248" t="n"/>
      <c r="RKQ91" s="240" t="n"/>
      <c r="RKR91" s="240" t="n"/>
      <c r="RKT91" s="15" t="n"/>
      <c r="RKU91" s="15" t="n"/>
      <c r="RKV91" s="248" t="n"/>
      <c r="RKW91" s="248" t="n"/>
      <c r="RKX91" s="240" t="n"/>
      <c r="RKY91" s="240" t="n"/>
      <c r="RLA91" s="15" t="n"/>
      <c r="RLB91" s="15" t="n"/>
      <c r="RLC91" s="248" t="n"/>
      <c r="RLD91" s="248" t="n"/>
      <c r="RLE91" s="240" t="n"/>
      <c r="RLF91" s="240" t="n"/>
      <c r="RLH91" s="15" t="n"/>
      <c r="RLI91" s="15" t="n"/>
      <c r="RLJ91" s="248" t="n"/>
      <c r="RLK91" s="248" t="n"/>
      <c r="RLL91" s="240" t="n"/>
      <c r="RLM91" s="240" t="n"/>
      <c r="RLO91" s="15" t="n"/>
      <c r="RLP91" s="15" t="n"/>
      <c r="RLQ91" s="248" t="n"/>
      <c r="RLR91" s="248" t="n"/>
      <c r="RLS91" s="240" t="n"/>
      <c r="RLT91" s="240" t="n"/>
      <c r="RLV91" s="15" t="n"/>
      <c r="RLW91" s="15" t="n"/>
      <c r="RLX91" s="248" t="n"/>
      <c r="RLY91" s="248" t="n"/>
      <c r="RLZ91" s="240" t="n"/>
      <c r="RMA91" s="240" t="n"/>
      <c r="RMC91" s="15" t="n"/>
      <c r="RMD91" s="15" t="n"/>
      <c r="RME91" s="248" t="n"/>
      <c r="RMF91" s="248" t="n"/>
      <c r="RMG91" s="240" t="n"/>
      <c r="RMH91" s="240" t="n"/>
      <c r="RMJ91" s="15" t="n"/>
      <c r="RMK91" s="15" t="n"/>
      <c r="RML91" s="248" t="n"/>
      <c r="RMM91" s="248" t="n"/>
      <c r="RMN91" s="240" t="n"/>
      <c r="RMO91" s="240" t="n"/>
      <c r="RMQ91" s="15" t="n"/>
      <c r="RMR91" s="15" t="n"/>
      <c r="RMS91" s="248" t="n"/>
      <c r="RMT91" s="248" t="n"/>
      <c r="RMU91" s="240" t="n"/>
      <c r="RMV91" s="240" t="n"/>
      <c r="RMX91" s="15" t="n"/>
      <c r="RMY91" s="15" t="n"/>
      <c r="RMZ91" s="248" t="n"/>
      <c r="RNA91" s="248" t="n"/>
      <c r="RNB91" s="240" t="n"/>
      <c r="RNC91" s="240" t="n"/>
      <c r="RNE91" s="15" t="n"/>
      <c r="RNF91" s="15" t="n"/>
      <c r="RNG91" s="248" t="n"/>
      <c r="RNH91" s="248" t="n"/>
      <c r="RNI91" s="240" t="n"/>
      <c r="RNJ91" s="240" t="n"/>
      <c r="RNL91" s="15" t="n"/>
      <c r="RNM91" s="15" t="n"/>
      <c r="RNN91" s="248" t="n"/>
      <c r="RNO91" s="248" t="n"/>
      <c r="RNP91" s="240" t="n"/>
      <c r="RNQ91" s="240" t="n"/>
      <c r="RNS91" s="15" t="n"/>
      <c r="RNT91" s="15" t="n"/>
      <c r="RNU91" s="248" t="n"/>
      <c r="RNV91" s="248" t="n"/>
      <c r="RNW91" s="240" t="n"/>
      <c r="RNX91" s="240" t="n"/>
      <c r="RNZ91" s="15" t="n"/>
      <c r="ROA91" s="15" t="n"/>
      <c r="ROB91" s="248" t="n"/>
      <c r="ROC91" s="248" t="n"/>
      <c r="ROD91" s="240" t="n"/>
      <c r="ROE91" s="240" t="n"/>
      <c r="ROG91" s="15" t="n"/>
      <c r="ROH91" s="15" t="n"/>
      <c r="ROI91" s="248" t="n"/>
      <c r="ROJ91" s="248" t="n"/>
      <c r="ROK91" s="240" t="n"/>
      <c r="ROL91" s="240" t="n"/>
      <c r="RON91" s="15" t="n"/>
      <c r="ROO91" s="15" t="n"/>
      <c r="ROP91" s="248" t="n"/>
      <c r="ROQ91" s="248" t="n"/>
      <c r="ROR91" s="240" t="n"/>
      <c r="ROS91" s="240" t="n"/>
      <c r="ROU91" s="15" t="n"/>
      <c r="ROV91" s="15" t="n"/>
      <c r="ROW91" s="248" t="n"/>
      <c r="ROX91" s="248" t="n"/>
      <c r="ROY91" s="240" t="n"/>
      <c r="ROZ91" s="240" t="n"/>
      <c r="RPB91" s="15" t="n"/>
      <c r="RPC91" s="15" t="n"/>
      <c r="RPD91" s="248" t="n"/>
      <c r="RPE91" s="248" t="n"/>
      <c r="RPF91" s="240" t="n"/>
      <c r="RPG91" s="240" t="n"/>
      <c r="RPI91" s="15" t="n"/>
      <c r="RPJ91" s="15" t="n"/>
      <c r="RPK91" s="248" t="n"/>
      <c r="RPL91" s="248" t="n"/>
      <c r="RPM91" s="240" t="n"/>
      <c r="RPN91" s="240" t="n"/>
      <c r="RPP91" s="15" t="n"/>
      <c r="RPQ91" s="15" t="n"/>
      <c r="RPR91" s="248" t="n"/>
      <c r="RPS91" s="248" t="n"/>
      <c r="RPT91" s="240" t="n"/>
      <c r="RPU91" s="240" t="n"/>
      <c r="RPW91" s="15" t="n"/>
      <c r="RPX91" s="15" t="n"/>
      <c r="RPY91" s="248" t="n"/>
      <c r="RPZ91" s="248" t="n"/>
      <c r="RQA91" s="240" t="n"/>
      <c r="RQB91" s="240" t="n"/>
      <c r="RQD91" s="15" t="n"/>
      <c r="RQE91" s="15" t="n"/>
      <c r="RQF91" s="248" t="n"/>
      <c r="RQG91" s="248" t="n"/>
      <c r="RQH91" s="240" t="n"/>
      <c r="RQI91" s="240" t="n"/>
      <c r="RQK91" s="15" t="n"/>
      <c r="RQL91" s="15" t="n"/>
      <c r="RQM91" s="248" t="n"/>
      <c r="RQN91" s="248" t="n"/>
      <c r="RQO91" s="240" t="n"/>
      <c r="RQP91" s="240" t="n"/>
      <c r="RQR91" s="15" t="n"/>
      <c r="RQS91" s="15" t="n"/>
      <c r="RQT91" s="248" t="n"/>
      <c r="RQU91" s="248" t="n"/>
      <c r="RQV91" s="240" t="n"/>
      <c r="RQW91" s="240" t="n"/>
      <c r="RQY91" s="15" t="n"/>
      <c r="RQZ91" s="15" t="n"/>
      <c r="RRA91" s="248" t="n"/>
      <c r="RRB91" s="248" t="n"/>
      <c r="RRC91" s="240" t="n"/>
      <c r="RRD91" s="240" t="n"/>
      <c r="RRF91" s="15" t="n"/>
      <c r="RRG91" s="15" t="n"/>
      <c r="RRH91" s="248" t="n"/>
      <c r="RRI91" s="248" t="n"/>
      <c r="RRJ91" s="240" t="n"/>
      <c r="RRK91" s="240" t="n"/>
      <c r="RRM91" s="15" t="n"/>
      <c r="RRN91" s="15" t="n"/>
      <c r="RRO91" s="248" t="n"/>
      <c r="RRP91" s="248" t="n"/>
      <c r="RRQ91" s="240" t="n"/>
      <c r="RRR91" s="240" t="n"/>
      <c r="RRT91" s="15" t="n"/>
      <c r="RRU91" s="15" t="n"/>
      <c r="RRV91" s="248" t="n"/>
      <c r="RRW91" s="248" t="n"/>
      <c r="RRX91" s="240" t="n"/>
      <c r="RRY91" s="240" t="n"/>
      <c r="RSA91" s="15" t="n"/>
      <c r="RSB91" s="15" t="n"/>
      <c r="RSC91" s="248" t="n"/>
      <c r="RSD91" s="248" t="n"/>
      <c r="RSE91" s="240" t="n"/>
      <c r="RSF91" s="240" t="n"/>
      <c r="RSH91" s="15" t="n"/>
      <c r="RSI91" s="15" t="n"/>
      <c r="RSJ91" s="248" t="n"/>
      <c r="RSK91" s="248" t="n"/>
      <c r="RSL91" s="240" t="n"/>
      <c r="RSM91" s="240" t="n"/>
      <c r="RSO91" s="15" t="n"/>
      <c r="RSP91" s="15" t="n"/>
      <c r="RSQ91" s="248" t="n"/>
      <c r="RSR91" s="248" t="n"/>
      <c r="RSS91" s="240" t="n"/>
      <c r="RST91" s="240" t="n"/>
      <c r="RSV91" s="15" t="n"/>
      <c r="RSW91" s="15" t="n"/>
      <c r="RSX91" s="248" t="n"/>
      <c r="RSY91" s="248" t="n"/>
      <c r="RSZ91" s="240" t="n"/>
      <c r="RTA91" s="240" t="n"/>
      <c r="RTC91" s="15" t="n"/>
      <c r="RTD91" s="15" t="n"/>
      <c r="RTE91" s="248" t="n"/>
      <c r="RTF91" s="248" t="n"/>
      <c r="RTG91" s="240" t="n"/>
      <c r="RTH91" s="240" t="n"/>
      <c r="RTJ91" s="15" t="n"/>
      <c r="RTK91" s="15" t="n"/>
      <c r="RTL91" s="248" t="n"/>
      <c r="RTM91" s="248" t="n"/>
      <c r="RTN91" s="240" t="n"/>
      <c r="RTO91" s="240" t="n"/>
      <c r="RTQ91" s="15" t="n"/>
      <c r="RTR91" s="15" t="n"/>
      <c r="RTS91" s="248" t="n"/>
      <c r="RTT91" s="248" t="n"/>
      <c r="RTU91" s="240" t="n"/>
      <c r="RTV91" s="240" t="n"/>
      <c r="RTX91" s="15" t="n"/>
      <c r="RTY91" s="15" t="n"/>
      <c r="RTZ91" s="248" t="n"/>
      <c r="RUA91" s="248" t="n"/>
      <c r="RUB91" s="240" t="n"/>
      <c r="RUC91" s="240" t="n"/>
      <c r="RUE91" s="15" t="n"/>
      <c r="RUF91" s="15" t="n"/>
      <c r="RUG91" s="248" t="n"/>
      <c r="RUH91" s="248" t="n"/>
      <c r="RUI91" s="240" t="n"/>
      <c r="RUJ91" s="240" t="n"/>
      <c r="RUL91" s="15" t="n"/>
      <c r="RUM91" s="15" t="n"/>
      <c r="RUN91" s="248" t="n"/>
      <c r="RUO91" s="248" t="n"/>
      <c r="RUP91" s="240" t="n"/>
      <c r="RUQ91" s="240" t="n"/>
      <c r="RUS91" s="15" t="n"/>
      <c r="RUT91" s="15" t="n"/>
      <c r="RUU91" s="248" t="n"/>
      <c r="RUV91" s="248" t="n"/>
      <c r="RUW91" s="240" t="n"/>
      <c r="RUX91" s="240" t="n"/>
      <c r="RUZ91" s="15" t="n"/>
      <c r="RVA91" s="15" t="n"/>
      <c r="RVB91" s="248" t="n"/>
      <c r="RVC91" s="248" t="n"/>
      <c r="RVD91" s="240" t="n"/>
      <c r="RVE91" s="240" t="n"/>
      <c r="RVG91" s="15" t="n"/>
      <c r="RVH91" s="15" t="n"/>
      <c r="RVI91" s="248" t="n"/>
      <c r="RVJ91" s="248" t="n"/>
      <c r="RVK91" s="240" t="n"/>
      <c r="RVL91" s="240" t="n"/>
      <c r="RVN91" s="15" t="n"/>
      <c r="RVO91" s="15" t="n"/>
      <c r="RVP91" s="248" t="n"/>
      <c r="RVQ91" s="248" t="n"/>
      <c r="RVR91" s="240" t="n"/>
      <c r="RVS91" s="240" t="n"/>
      <c r="RVU91" s="15" t="n"/>
      <c r="RVV91" s="15" t="n"/>
      <c r="RVW91" s="248" t="n"/>
      <c r="RVX91" s="248" t="n"/>
      <c r="RVY91" s="240" t="n"/>
      <c r="RVZ91" s="240" t="n"/>
      <c r="RWB91" s="15" t="n"/>
      <c r="RWC91" s="15" t="n"/>
      <c r="RWD91" s="248" t="n"/>
      <c r="RWE91" s="248" t="n"/>
      <c r="RWF91" s="240" t="n"/>
      <c r="RWG91" s="240" t="n"/>
      <c r="RWI91" s="15" t="n"/>
      <c r="RWJ91" s="15" t="n"/>
      <c r="RWK91" s="248" t="n"/>
      <c r="RWL91" s="248" t="n"/>
      <c r="RWM91" s="240" t="n"/>
      <c r="RWN91" s="240" t="n"/>
      <c r="RWP91" s="15" t="n"/>
      <c r="RWQ91" s="15" t="n"/>
      <c r="RWR91" s="248" t="n"/>
      <c r="RWS91" s="248" t="n"/>
      <c r="RWT91" s="240" t="n"/>
      <c r="RWU91" s="240" t="n"/>
      <c r="RWW91" s="15" t="n"/>
      <c r="RWX91" s="15" t="n"/>
      <c r="RWY91" s="248" t="n"/>
      <c r="RWZ91" s="248" t="n"/>
      <c r="RXA91" s="240" t="n"/>
      <c r="RXB91" s="240" t="n"/>
      <c r="RXD91" s="15" t="n"/>
      <c r="RXE91" s="15" t="n"/>
      <c r="RXF91" s="248" t="n"/>
      <c r="RXG91" s="248" t="n"/>
      <c r="RXH91" s="240" t="n"/>
      <c r="RXI91" s="240" t="n"/>
      <c r="RXK91" s="15" t="n"/>
      <c r="RXL91" s="15" t="n"/>
      <c r="RXM91" s="248" t="n"/>
      <c r="RXN91" s="248" t="n"/>
      <c r="RXO91" s="240" t="n"/>
      <c r="RXP91" s="240" t="n"/>
      <c r="RXR91" s="15" t="n"/>
      <c r="RXS91" s="15" t="n"/>
      <c r="RXT91" s="248" t="n"/>
      <c r="RXU91" s="248" t="n"/>
      <c r="RXV91" s="240" t="n"/>
      <c r="RXW91" s="240" t="n"/>
      <c r="RXY91" s="15" t="n"/>
      <c r="RXZ91" s="15" t="n"/>
      <c r="RYA91" s="248" t="n"/>
      <c r="RYB91" s="248" t="n"/>
      <c r="RYC91" s="240" t="n"/>
      <c r="RYD91" s="240" t="n"/>
      <c r="RYF91" s="15" t="n"/>
      <c r="RYG91" s="15" t="n"/>
      <c r="RYH91" s="248" t="n"/>
      <c r="RYI91" s="248" t="n"/>
      <c r="RYJ91" s="240" t="n"/>
      <c r="RYK91" s="240" t="n"/>
      <c r="RYM91" s="15" t="n"/>
      <c r="RYN91" s="15" t="n"/>
      <c r="RYO91" s="248" t="n"/>
      <c r="RYP91" s="248" t="n"/>
      <c r="RYQ91" s="240" t="n"/>
      <c r="RYR91" s="240" t="n"/>
      <c r="RYT91" s="15" t="n"/>
      <c r="RYU91" s="15" t="n"/>
      <c r="RYV91" s="248" t="n"/>
      <c r="RYW91" s="248" t="n"/>
      <c r="RYX91" s="240" t="n"/>
      <c r="RYY91" s="240" t="n"/>
      <c r="RZA91" s="15" t="n"/>
      <c r="RZB91" s="15" t="n"/>
      <c r="RZC91" s="248" t="n"/>
      <c r="RZD91" s="248" t="n"/>
      <c r="RZE91" s="240" t="n"/>
      <c r="RZF91" s="240" t="n"/>
      <c r="RZH91" s="15" t="n"/>
      <c r="RZI91" s="15" t="n"/>
      <c r="RZJ91" s="248" t="n"/>
      <c r="RZK91" s="248" t="n"/>
      <c r="RZL91" s="240" t="n"/>
      <c r="RZM91" s="240" t="n"/>
      <c r="RZO91" s="15" t="n"/>
      <c r="RZP91" s="15" t="n"/>
      <c r="RZQ91" s="248" t="n"/>
      <c r="RZR91" s="248" t="n"/>
      <c r="RZS91" s="240" t="n"/>
      <c r="RZT91" s="240" t="n"/>
      <c r="RZV91" s="15" t="n"/>
      <c r="RZW91" s="15" t="n"/>
      <c r="RZX91" s="248" t="n"/>
      <c r="RZY91" s="248" t="n"/>
      <c r="RZZ91" s="240" t="n"/>
      <c r="SAA91" s="240" t="n"/>
      <c r="SAC91" s="15" t="n"/>
      <c r="SAD91" s="15" t="n"/>
      <c r="SAE91" s="248" t="n"/>
      <c r="SAF91" s="248" t="n"/>
      <c r="SAG91" s="240" t="n"/>
      <c r="SAH91" s="240" t="n"/>
      <c r="SAJ91" s="15" t="n"/>
      <c r="SAK91" s="15" t="n"/>
      <c r="SAL91" s="248" t="n"/>
      <c r="SAM91" s="248" t="n"/>
      <c r="SAN91" s="240" t="n"/>
      <c r="SAO91" s="240" t="n"/>
      <c r="SAQ91" s="15" t="n"/>
      <c r="SAR91" s="15" t="n"/>
      <c r="SAS91" s="248" t="n"/>
      <c r="SAT91" s="248" t="n"/>
      <c r="SAU91" s="240" t="n"/>
      <c r="SAV91" s="240" t="n"/>
      <c r="SAX91" s="15" t="n"/>
      <c r="SAY91" s="15" t="n"/>
      <c r="SAZ91" s="248" t="n"/>
      <c r="SBA91" s="248" t="n"/>
      <c r="SBB91" s="240" t="n"/>
      <c r="SBC91" s="240" t="n"/>
      <c r="SBE91" s="15" t="n"/>
      <c r="SBF91" s="15" t="n"/>
      <c r="SBG91" s="248" t="n"/>
      <c r="SBH91" s="248" t="n"/>
      <c r="SBI91" s="240" t="n"/>
      <c r="SBJ91" s="240" t="n"/>
      <c r="SBL91" s="15" t="n"/>
      <c r="SBM91" s="15" t="n"/>
      <c r="SBN91" s="248" t="n"/>
      <c r="SBO91" s="248" t="n"/>
      <c r="SBP91" s="240" t="n"/>
      <c r="SBQ91" s="240" t="n"/>
      <c r="SBS91" s="15" t="n"/>
      <c r="SBT91" s="15" t="n"/>
      <c r="SBU91" s="248" t="n"/>
      <c r="SBV91" s="248" t="n"/>
      <c r="SBW91" s="240" t="n"/>
      <c r="SBX91" s="240" t="n"/>
      <c r="SBZ91" s="15" t="n"/>
      <c r="SCA91" s="15" t="n"/>
      <c r="SCB91" s="248" t="n"/>
      <c r="SCC91" s="248" t="n"/>
      <c r="SCD91" s="240" t="n"/>
      <c r="SCE91" s="240" t="n"/>
      <c r="SCG91" s="15" t="n"/>
      <c r="SCH91" s="15" t="n"/>
      <c r="SCI91" s="248" t="n"/>
      <c r="SCJ91" s="248" t="n"/>
      <c r="SCK91" s="240" t="n"/>
      <c r="SCL91" s="240" t="n"/>
      <c r="SCN91" s="15" t="n"/>
      <c r="SCO91" s="15" t="n"/>
      <c r="SCP91" s="248" t="n"/>
      <c r="SCQ91" s="248" t="n"/>
      <c r="SCR91" s="240" t="n"/>
      <c r="SCS91" s="240" t="n"/>
      <c r="SCU91" s="15" t="n"/>
      <c r="SCV91" s="15" t="n"/>
      <c r="SCW91" s="248" t="n"/>
      <c r="SCX91" s="248" t="n"/>
      <c r="SCY91" s="240" t="n"/>
      <c r="SCZ91" s="240" t="n"/>
      <c r="SDB91" s="15" t="n"/>
      <c r="SDC91" s="15" t="n"/>
      <c r="SDD91" s="248" t="n"/>
      <c r="SDE91" s="248" t="n"/>
      <c r="SDF91" s="240" t="n"/>
      <c r="SDG91" s="240" t="n"/>
      <c r="SDI91" s="15" t="n"/>
      <c r="SDJ91" s="15" t="n"/>
      <c r="SDK91" s="248" t="n"/>
      <c r="SDL91" s="248" t="n"/>
      <c r="SDM91" s="240" t="n"/>
      <c r="SDN91" s="240" t="n"/>
      <c r="SDP91" s="15" t="n"/>
      <c r="SDQ91" s="15" t="n"/>
      <c r="SDR91" s="248" t="n"/>
      <c r="SDS91" s="248" t="n"/>
      <c r="SDT91" s="240" t="n"/>
      <c r="SDU91" s="240" t="n"/>
      <c r="SDW91" s="15" t="n"/>
      <c r="SDX91" s="15" t="n"/>
      <c r="SDY91" s="248" t="n"/>
      <c r="SDZ91" s="248" t="n"/>
      <c r="SEA91" s="240" t="n"/>
      <c r="SEB91" s="240" t="n"/>
      <c r="SED91" s="15" t="n"/>
      <c r="SEE91" s="15" t="n"/>
      <c r="SEF91" s="248" t="n"/>
      <c r="SEG91" s="248" t="n"/>
      <c r="SEH91" s="240" t="n"/>
      <c r="SEI91" s="240" t="n"/>
      <c r="SEK91" s="15" t="n"/>
      <c r="SEL91" s="15" t="n"/>
      <c r="SEM91" s="248" t="n"/>
      <c r="SEN91" s="248" t="n"/>
      <c r="SEO91" s="240" t="n"/>
      <c r="SEP91" s="240" t="n"/>
      <c r="SER91" s="15" t="n"/>
      <c r="SES91" s="15" t="n"/>
      <c r="SET91" s="248" t="n"/>
      <c r="SEU91" s="248" t="n"/>
      <c r="SEV91" s="240" t="n"/>
      <c r="SEW91" s="240" t="n"/>
      <c r="SEY91" s="15" t="n"/>
      <c r="SEZ91" s="15" t="n"/>
      <c r="SFA91" s="248" t="n"/>
      <c r="SFB91" s="248" t="n"/>
      <c r="SFC91" s="240" t="n"/>
      <c r="SFD91" s="240" t="n"/>
      <c r="SFF91" s="15" t="n"/>
      <c r="SFG91" s="15" t="n"/>
      <c r="SFH91" s="248" t="n"/>
      <c r="SFI91" s="248" t="n"/>
      <c r="SFJ91" s="240" t="n"/>
      <c r="SFK91" s="240" t="n"/>
      <c r="SFM91" s="15" t="n"/>
      <c r="SFN91" s="15" t="n"/>
      <c r="SFO91" s="248" t="n"/>
      <c r="SFP91" s="248" t="n"/>
      <c r="SFQ91" s="240" t="n"/>
      <c r="SFR91" s="240" t="n"/>
      <c r="SFT91" s="15" t="n"/>
      <c r="SFU91" s="15" t="n"/>
      <c r="SFV91" s="248" t="n"/>
      <c r="SFW91" s="248" t="n"/>
      <c r="SFX91" s="240" t="n"/>
      <c r="SFY91" s="240" t="n"/>
      <c r="SGA91" s="15" t="n"/>
      <c r="SGB91" s="15" t="n"/>
      <c r="SGC91" s="248" t="n"/>
      <c r="SGD91" s="248" t="n"/>
      <c r="SGE91" s="240" t="n"/>
      <c r="SGF91" s="240" t="n"/>
      <c r="SGH91" s="15" t="n"/>
      <c r="SGI91" s="15" t="n"/>
      <c r="SGJ91" s="248" t="n"/>
      <c r="SGK91" s="248" t="n"/>
      <c r="SGL91" s="240" t="n"/>
      <c r="SGM91" s="240" t="n"/>
      <c r="SGO91" s="15" t="n"/>
      <c r="SGP91" s="15" t="n"/>
      <c r="SGQ91" s="248" t="n"/>
      <c r="SGR91" s="248" t="n"/>
      <c r="SGS91" s="240" t="n"/>
      <c r="SGT91" s="240" t="n"/>
      <c r="SGV91" s="15" t="n"/>
      <c r="SGW91" s="15" t="n"/>
      <c r="SGX91" s="248" t="n"/>
      <c r="SGY91" s="248" t="n"/>
      <c r="SGZ91" s="240" t="n"/>
      <c r="SHA91" s="240" t="n"/>
      <c r="SHC91" s="15" t="n"/>
      <c r="SHD91" s="15" t="n"/>
      <c r="SHE91" s="248" t="n"/>
      <c r="SHF91" s="248" t="n"/>
      <c r="SHG91" s="240" t="n"/>
      <c r="SHH91" s="240" t="n"/>
      <c r="SHJ91" s="15" t="n"/>
      <c r="SHK91" s="15" t="n"/>
      <c r="SHL91" s="248" t="n"/>
      <c r="SHM91" s="248" t="n"/>
      <c r="SHN91" s="240" t="n"/>
      <c r="SHO91" s="240" t="n"/>
      <c r="SHQ91" s="15" t="n"/>
      <c r="SHR91" s="15" t="n"/>
      <c r="SHS91" s="248" t="n"/>
      <c r="SHT91" s="248" t="n"/>
      <c r="SHU91" s="240" t="n"/>
      <c r="SHV91" s="240" t="n"/>
      <c r="SHX91" s="15" t="n"/>
      <c r="SHY91" s="15" t="n"/>
      <c r="SHZ91" s="248" t="n"/>
      <c r="SIA91" s="248" t="n"/>
      <c r="SIB91" s="240" t="n"/>
      <c r="SIC91" s="240" t="n"/>
      <c r="SIE91" s="15" t="n"/>
      <c r="SIF91" s="15" t="n"/>
      <c r="SIG91" s="248" t="n"/>
      <c r="SIH91" s="248" t="n"/>
      <c r="SII91" s="240" t="n"/>
      <c r="SIJ91" s="240" t="n"/>
      <c r="SIL91" s="15" t="n"/>
      <c r="SIM91" s="15" t="n"/>
      <c r="SIN91" s="248" t="n"/>
      <c r="SIO91" s="248" t="n"/>
      <c r="SIP91" s="240" t="n"/>
      <c r="SIQ91" s="240" t="n"/>
      <c r="SIS91" s="15" t="n"/>
      <c r="SIT91" s="15" t="n"/>
      <c r="SIU91" s="248" t="n"/>
      <c r="SIV91" s="248" t="n"/>
      <c r="SIW91" s="240" t="n"/>
      <c r="SIX91" s="240" t="n"/>
      <c r="SIZ91" s="15" t="n"/>
      <c r="SJA91" s="15" t="n"/>
      <c r="SJB91" s="248" t="n"/>
      <c r="SJC91" s="248" t="n"/>
      <c r="SJD91" s="240" t="n"/>
      <c r="SJE91" s="240" t="n"/>
      <c r="SJG91" s="15" t="n"/>
      <c r="SJH91" s="15" t="n"/>
      <c r="SJI91" s="248" t="n"/>
      <c r="SJJ91" s="248" t="n"/>
      <c r="SJK91" s="240" t="n"/>
      <c r="SJL91" s="240" t="n"/>
      <c r="SJN91" s="15" t="n"/>
      <c r="SJO91" s="15" t="n"/>
      <c r="SJP91" s="248" t="n"/>
      <c r="SJQ91" s="248" t="n"/>
      <c r="SJR91" s="240" t="n"/>
      <c r="SJS91" s="240" t="n"/>
      <c r="SJU91" s="15" t="n"/>
      <c r="SJV91" s="15" t="n"/>
      <c r="SJW91" s="248" t="n"/>
      <c r="SJX91" s="248" t="n"/>
      <c r="SJY91" s="240" t="n"/>
      <c r="SJZ91" s="240" t="n"/>
      <c r="SKB91" s="15" t="n"/>
      <c r="SKC91" s="15" t="n"/>
      <c r="SKD91" s="248" t="n"/>
      <c r="SKE91" s="248" t="n"/>
      <c r="SKF91" s="240" t="n"/>
      <c r="SKG91" s="240" t="n"/>
      <c r="SKI91" s="15" t="n"/>
      <c r="SKJ91" s="15" t="n"/>
      <c r="SKK91" s="248" t="n"/>
      <c r="SKL91" s="248" t="n"/>
      <c r="SKM91" s="240" t="n"/>
      <c r="SKN91" s="240" t="n"/>
      <c r="SKP91" s="15" t="n"/>
      <c r="SKQ91" s="15" t="n"/>
      <c r="SKR91" s="248" t="n"/>
      <c r="SKS91" s="248" t="n"/>
      <c r="SKT91" s="240" t="n"/>
      <c r="SKU91" s="240" t="n"/>
      <c r="SKW91" s="15" t="n"/>
      <c r="SKX91" s="15" t="n"/>
      <c r="SKY91" s="248" t="n"/>
      <c r="SKZ91" s="248" t="n"/>
      <c r="SLA91" s="240" t="n"/>
      <c r="SLB91" s="240" t="n"/>
      <c r="SLD91" s="15" t="n"/>
      <c r="SLE91" s="15" t="n"/>
      <c r="SLF91" s="248" t="n"/>
      <c r="SLG91" s="248" t="n"/>
      <c r="SLH91" s="240" t="n"/>
      <c r="SLI91" s="240" t="n"/>
      <c r="SLK91" s="15" t="n"/>
      <c r="SLL91" s="15" t="n"/>
      <c r="SLM91" s="248" t="n"/>
      <c r="SLN91" s="248" t="n"/>
      <c r="SLO91" s="240" t="n"/>
      <c r="SLP91" s="240" t="n"/>
      <c r="SLR91" s="15" t="n"/>
      <c r="SLS91" s="15" t="n"/>
      <c r="SLT91" s="248" t="n"/>
      <c r="SLU91" s="248" t="n"/>
      <c r="SLV91" s="240" t="n"/>
      <c r="SLW91" s="240" t="n"/>
      <c r="SLY91" s="15" t="n"/>
      <c r="SLZ91" s="15" t="n"/>
      <c r="SMA91" s="248" t="n"/>
      <c r="SMB91" s="248" t="n"/>
      <c r="SMC91" s="240" t="n"/>
      <c r="SMD91" s="240" t="n"/>
      <c r="SMF91" s="15" t="n"/>
      <c r="SMG91" s="15" t="n"/>
      <c r="SMH91" s="248" t="n"/>
      <c r="SMI91" s="248" t="n"/>
      <c r="SMJ91" s="240" t="n"/>
      <c r="SMK91" s="240" t="n"/>
      <c r="SMM91" s="15" t="n"/>
      <c r="SMN91" s="15" t="n"/>
      <c r="SMO91" s="248" t="n"/>
      <c r="SMP91" s="248" t="n"/>
      <c r="SMQ91" s="240" t="n"/>
      <c r="SMR91" s="240" t="n"/>
      <c r="SMT91" s="15" t="n"/>
      <c r="SMU91" s="15" t="n"/>
      <c r="SMV91" s="248" t="n"/>
      <c r="SMW91" s="248" t="n"/>
      <c r="SMX91" s="240" t="n"/>
      <c r="SMY91" s="240" t="n"/>
      <c r="SNA91" s="15" t="n"/>
      <c r="SNB91" s="15" t="n"/>
      <c r="SNC91" s="248" t="n"/>
      <c r="SND91" s="248" t="n"/>
      <c r="SNE91" s="240" t="n"/>
      <c r="SNF91" s="240" t="n"/>
      <c r="SNH91" s="15" t="n"/>
      <c r="SNI91" s="15" t="n"/>
      <c r="SNJ91" s="248" t="n"/>
      <c r="SNK91" s="248" t="n"/>
      <c r="SNL91" s="240" t="n"/>
      <c r="SNM91" s="240" t="n"/>
      <c r="SNO91" s="15" t="n"/>
      <c r="SNP91" s="15" t="n"/>
      <c r="SNQ91" s="248" t="n"/>
      <c r="SNR91" s="248" t="n"/>
      <c r="SNS91" s="240" t="n"/>
      <c r="SNT91" s="240" t="n"/>
      <c r="SNV91" s="15" t="n"/>
      <c r="SNW91" s="15" t="n"/>
      <c r="SNX91" s="248" t="n"/>
      <c r="SNY91" s="248" t="n"/>
      <c r="SNZ91" s="240" t="n"/>
      <c r="SOA91" s="240" t="n"/>
      <c r="SOC91" s="15" t="n"/>
      <c r="SOD91" s="15" t="n"/>
      <c r="SOE91" s="248" t="n"/>
      <c r="SOF91" s="248" t="n"/>
      <c r="SOG91" s="240" t="n"/>
      <c r="SOH91" s="240" t="n"/>
      <c r="SOJ91" s="15" t="n"/>
      <c r="SOK91" s="15" t="n"/>
      <c r="SOL91" s="248" t="n"/>
      <c r="SOM91" s="248" t="n"/>
      <c r="SON91" s="240" t="n"/>
      <c r="SOO91" s="240" t="n"/>
      <c r="SOQ91" s="15" t="n"/>
      <c r="SOR91" s="15" t="n"/>
      <c r="SOS91" s="248" t="n"/>
      <c r="SOT91" s="248" t="n"/>
      <c r="SOU91" s="240" t="n"/>
      <c r="SOV91" s="240" t="n"/>
      <c r="SOX91" s="15" t="n"/>
      <c r="SOY91" s="15" t="n"/>
      <c r="SOZ91" s="248" t="n"/>
      <c r="SPA91" s="248" t="n"/>
      <c r="SPB91" s="240" t="n"/>
      <c r="SPC91" s="240" t="n"/>
      <c r="SPE91" s="15" t="n"/>
      <c r="SPF91" s="15" t="n"/>
      <c r="SPG91" s="248" t="n"/>
      <c r="SPH91" s="248" t="n"/>
      <c r="SPI91" s="240" t="n"/>
      <c r="SPJ91" s="240" t="n"/>
      <c r="SPL91" s="15" t="n"/>
      <c r="SPM91" s="15" t="n"/>
      <c r="SPN91" s="248" t="n"/>
      <c r="SPO91" s="248" t="n"/>
      <c r="SPP91" s="240" t="n"/>
      <c r="SPQ91" s="240" t="n"/>
      <c r="SPS91" s="15" t="n"/>
      <c r="SPT91" s="15" t="n"/>
      <c r="SPU91" s="248" t="n"/>
      <c r="SPV91" s="248" t="n"/>
      <c r="SPW91" s="240" t="n"/>
      <c r="SPX91" s="240" t="n"/>
      <c r="SPZ91" s="15" t="n"/>
      <c r="SQA91" s="15" t="n"/>
      <c r="SQB91" s="248" t="n"/>
      <c r="SQC91" s="248" t="n"/>
      <c r="SQD91" s="240" t="n"/>
      <c r="SQE91" s="240" t="n"/>
      <c r="SQG91" s="15" t="n"/>
      <c r="SQH91" s="15" t="n"/>
      <c r="SQI91" s="248" t="n"/>
      <c r="SQJ91" s="248" t="n"/>
      <c r="SQK91" s="240" t="n"/>
      <c r="SQL91" s="240" t="n"/>
      <c r="SQN91" s="15" t="n"/>
      <c r="SQO91" s="15" t="n"/>
      <c r="SQP91" s="248" t="n"/>
      <c r="SQQ91" s="248" t="n"/>
      <c r="SQR91" s="240" t="n"/>
      <c r="SQS91" s="240" t="n"/>
      <c r="SQU91" s="15" t="n"/>
      <c r="SQV91" s="15" t="n"/>
      <c r="SQW91" s="248" t="n"/>
      <c r="SQX91" s="248" t="n"/>
      <c r="SQY91" s="240" t="n"/>
      <c r="SQZ91" s="240" t="n"/>
      <c r="SRB91" s="15" t="n"/>
      <c r="SRC91" s="15" t="n"/>
      <c r="SRD91" s="248" t="n"/>
      <c r="SRE91" s="248" t="n"/>
      <c r="SRF91" s="240" t="n"/>
      <c r="SRG91" s="240" t="n"/>
      <c r="SRI91" s="15" t="n"/>
      <c r="SRJ91" s="15" t="n"/>
      <c r="SRK91" s="248" t="n"/>
      <c r="SRL91" s="248" t="n"/>
      <c r="SRM91" s="240" t="n"/>
      <c r="SRN91" s="240" t="n"/>
      <c r="SRP91" s="15" t="n"/>
      <c r="SRQ91" s="15" t="n"/>
      <c r="SRR91" s="248" t="n"/>
      <c r="SRS91" s="248" t="n"/>
      <c r="SRT91" s="240" t="n"/>
      <c r="SRU91" s="240" t="n"/>
      <c r="SRW91" s="15" t="n"/>
      <c r="SRX91" s="15" t="n"/>
      <c r="SRY91" s="248" t="n"/>
      <c r="SRZ91" s="248" t="n"/>
      <c r="SSA91" s="240" t="n"/>
      <c r="SSB91" s="240" t="n"/>
      <c r="SSD91" s="15" t="n"/>
      <c r="SSE91" s="15" t="n"/>
      <c r="SSF91" s="248" t="n"/>
      <c r="SSG91" s="248" t="n"/>
      <c r="SSH91" s="240" t="n"/>
      <c r="SSI91" s="240" t="n"/>
      <c r="SSK91" s="15" t="n"/>
      <c r="SSL91" s="15" t="n"/>
      <c r="SSM91" s="248" t="n"/>
      <c r="SSN91" s="248" t="n"/>
      <c r="SSO91" s="240" t="n"/>
      <c r="SSP91" s="240" t="n"/>
      <c r="SSR91" s="15" t="n"/>
      <c r="SSS91" s="15" t="n"/>
      <c r="SST91" s="248" t="n"/>
      <c r="SSU91" s="248" t="n"/>
      <c r="SSV91" s="240" t="n"/>
      <c r="SSW91" s="240" t="n"/>
      <c r="SSY91" s="15" t="n"/>
      <c r="SSZ91" s="15" t="n"/>
      <c r="STA91" s="248" t="n"/>
      <c r="STB91" s="248" t="n"/>
      <c r="STC91" s="240" t="n"/>
      <c r="STD91" s="240" t="n"/>
      <c r="STF91" s="15" t="n"/>
      <c r="STG91" s="15" t="n"/>
      <c r="STH91" s="248" t="n"/>
      <c r="STI91" s="248" t="n"/>
      <c r="STJ91" s="240" t="n"/>
      <c r="STK91" s="240" t="n"/>
      <c r="STM91" s="15" t="n"/>
      <c r="STN91" s="15" t="n"/>
      <c r="STO91" s="248" t="n"/>
      <c r="STP91" s="248" t="n"/>
      <c r="STQ91" s="240" t="n"/>
      <c r="STR91" s="240" t="n"/>
      <c r="STT91" s="15" t="n"/>
      <c r="STU91" s="15" t="n"/>
      <c r="STV91" s="248" t="n"/>
      <c r="STW91" s="248" t="n"/>
      <c r="STX91" s="240" t="n"/>
      <c r="STY91" s="240" t="n"/>
      <c r="SUA91" s="15" t="n"/>
      <c r="SUB91" s="15" t="n"/>
      <c r="SUC91" s="248" t="n"/>
      <c r="SUD91" s="248" t="n"/>
      <c r="SUE91" s="240" t="n"/>
      <c r="SUF91" s="240" t="n"/>
      <c r="SUH91" s="15" t="n"/>
      <c r="SUI91" s="15" t="n"/>
      <c r="SUJ91" s="248" t="n"/>
      <c r="SUK91" s="248" t="n"/>
      <c r="SUL91" s="240" t="n"/>
      <c r="SUM91" s="240" t="n"/>
      <c r="SUO91" s="15" t="n"/>
      <c r="SUP91" s="15" t="n"/>
      <c r="SUQ91" s="248" t="n"/>
      <c r="SUR91" s="248" t="n"/>
      <c r="SUS91" s="240" t="n"/>
      <c r="SUT91" s="240" t="n"/>
      <c r="SUV91" s="15" t="n"/>
      <c r="SUW91" s="15" t="n"/>
      <c r="SUX91" s="248" t="n"/>
      <c r="SUY91" s="248" t="n"/>
      <c r="SUZ91" s="240" t="n"/>
      <c r="SVA91" s="240" t="n"/>
      <c r="SVC91" s="15" t="n"/>
      <c r="SVD91" s="15" t="n"/>
      <c r="SVE91" s="248" t="n"/>
      <c r="SVF91" s="248" t="n"/>
      <c r="SVG91" s="240" t="n"/>
      <c r="SVH91" s="240" t="n"/>
      <c r="SVJ91" s="15" t="n"/>
      <c r="SVK91" s="15" t="n"/>
      <c r="SVL91" s="248" t="n"/>
      <c r="SVM91" s="248" t="n"/>
      <c r="SVN91" s="240" t="n"/>
      <c r="SVO91" s="240" t="n"/>
      <c r="SVQ91" s="15" t="n"/>
      <c r="SVR91" s="15" t="n"/>
      <c r="SVS91" s="248" t="n"/>
      <c r="SVT91" s="248" t="n"/>
      <c r="SVU91" s="240" t="n"/>
      <c r="SVV91" s="240" t="n"/>
      <c r="SVX91" s="15" t="n"/>
      <c r="SVY91" s="15" t="n"/>
      <c r="SVZ91" s="248" t="n"/>
      <c r="SWA91" s="248" t="n"/>
      <c r="SWB91" s="240" t="n"/>
      <c r="SWC91" s="240" t="n"/>
      <c r="SWE91" s="15" t="n"/>
      <c r="SWF91" s="15" t="n"/>
      <c r="SWG91" s="248" t="n"/>
      <c r="SWH91" s="248" t="n"/>
      <c r="SWI91" s="240" t="n"/>
      <c r="SWJ91" s="240" t="n"/>
      <c r="SWL91" s="15" t="n"/>
      <c r="SWM91" s="15" t="n"/>
      <c r="SWN91" s="248" t="n"/>
      <c r="SWO91" s="248" t="n"/>
      <c r="SWP91" s="240" t="n"/>
      <c r="SWQ91" s="240" t="n"/>
      <c r="SWS91" s="15" t="n"/>
      <c r="SWT91" s="15" t="n"/>
      <c r="SWU91" s="248" t="n"/>
      <c r="SWV91" s="248" t="n"/>
      <c r="SWW91" s="240" t="n"/>
      <c r="SWX91" s="240" t="n"/>
      <c r="SWZ91" s="15" t="n"/>
      <c r="SXA91" s="15" t="n"/>
      <c r="SXB91" s="248" t="n"/>
      <c r="SXC91" s="248" t="n"/>
      <c r="SXD91" s="240" t="n"/>
      <c r="SXE91" s="240" t="n"/>
      <c r="SXG91" s="15" t="n"/>
      <c r="SXH91" s="15" t="n"/>
      <c r="SXI91" s="248" t="n"/>
      <c r="SXJ91" s="248" t="n"/>
      <c r="SXK91" s="240" t="n"/>
      <c r="SXL91" s="240" t="n"/>
      <c r="SXN91" s="15" t="n"/>
      <c r="SXO91" s="15" t="n"/>
      <c r="SXP91" s="248" t="n"/>
      <c r="SXQ91" s="248" t="n"/>
      <c r="SXR91" s="240" t="n"/>
      <c r="SXS91" s="240" t="n"/>
      <c r="SXU91" s="15" t="n"/>
      <c r="SXV91" s="15" t="n"/>
      <c r="SXW91" s="248" t="n"/>
      <c r="SXX91" s="248" t="n"/>
      <c r="SXY91" s="240" t="n"/>
      <c r="SXZ91" s="240" t="n"/>
      <c r="SYB91" s="15" t="n"/>
      <c r="SYC91" s="15" t="n"/>
      <c r="SYD91" s="248" t="n"/>
      <c r="SYE91" s="248" t="n"/>
      <c r="SYF91" s="240" t="n"/>
      <c r="SYG91" s="240" t="n"/>
      <c r="SYI91" s="15" t="n"/>
      <c r="SYJ91" s="15" t="n"/>
      <c r="SYK91" s="248" t="n"/>
      <c r="SYL91" s="248" t="n"/>
      <c r="SYM91" s="240" t="n"/>
      <c r="SYN91" s="240" t="n"/>
      <c r="SYP91" s="15" t="n"/>
      <c r="SYQ91" s="15" t="n"/>
      <c r="SYR91" s="248" t="n"/>
      <c r="SYS91" s="248" t="n"/>
      <c r="SYT91" s="240" t="n"/>
      <c r="SYU91" s="240" t="n"/>
      <c r="SYW91" s="15" t="n"/>
      <c r="SYX91" s="15" t="n"/>
      <c r="SYY91" s="248" t="n"/>
      <c r="SYZ91" s="248" t="n"/>
      <c r="SZA91" s="240" t="n"/>
      <c r="SZB91" s="240" t="n"/>
      <c r="SZD91" s="15" t="n"/>
      <c r="SZE91" s="15" t="n"/>
      <c r="SZF91" s="248" t="n"/>
      <c r="SZG91" s="248" t="n"/>
      <c r="SZH91" s="240" t="n"/>
      <c r="SZI91" s="240" t="n"/>
      <c r="SZK91" s="15" t="n"/>
      <c r="SZL91" s="15" t="n"/>
      <c r="SZM91" s="248" t="n"/>
      <c r="SZN91" s="248" t="n"/>
      <c r="SZO91" s="240" t="n"/>
      <c r="SZP91" s="240" t="n"/>
      <c r="SZR91" s="15" t="n"/>
      <c r="SZS91" s="15" t="n"/>
      <c r="SZT91" s="248" t="n"/>
      <c r="SZU91" s="248" t="n"/>
      <c r="SZV91" s="240" t="n"/>
      <c r="SZW91" s="240" t="n"/>
      <c r="SZY91" s="15" t="n"/>
      <c r="SZZ91" s="15" t="n"/>
      <c r="TAA91" s="248" t="n"/>
      <c r="TAB91" s="248" t="n"/>
      <c r="TAC91" s="240" t="n"/>
      <c r="TAD91" s="240" t="n"/>
      <c r="TAF91" s="15" t="n"/>
      <c r="TAG91" s="15" t="n"/>
      <c r="TAH91" s="248" t="n"/>
      <c r="TAI91" s="248" t="n"/>
      <c r="TAJ91" s="240" t="n"/>
      <c r="TAK91" s="240" t="n"/>
      <c r="TAM91" s="15" t="n"/>
      <c r="TAN91" s="15" t="n"/>
      <c r="TAO91" s="248" t="n"/>
      <c r="TAP91" s="248" t="n"/>
      <c r="TAQ91" s="240" t="n"/>
      <c r="TAR91" s="240" t="n"/>
      <c r="TAT91" s="15" t="n"/>
      <c r="TAU91" s="15" t="n"/>
      <c r="TAV91" s="248" t="n"/>
      <c r="TAW91" s="248" t="n"/>
      <c r="TAX91" s="240" t="n"/>
      <c r="TAY91" s="240" t="n"/>
      <c r="TBA91" s="15" t="n"/>
      <c r="TBB91" s="15" t="n"/>
      <c r="TBC91" s="248" t="n"/>
      <c r="TBD91" s="248" t="n"/>
      <c r="TBE91" s="240" t="n"/>
      <c r="TBF91" s="240" t="n"/>
      <c r="TBH91" s="15" t="n"/>
      <c r="TBI91" s="15" t="n"/>
      <c r="TBJ91" s="248" t="n"/>
      <c r="TBK91" s="248" t="n"/>
      <c r="TBL91" s="240" t="n"/>
      <c r="TBM91" s="240" t="n"/>
      <c r="TBO91" s="15" t="n"/>
      <c r="TBP91" s="15" t="n"/>
      <c r="TBQ91" s="248" t="n"/>
      <c r="TBR91" s="248" t="n"/>
      <c r="TBS91" s="240" t="n"/>
      <c r="TBT91" s="240" t="n"/>
      <c r="TBV91" s="15" t="n"/>
      <c r="TBW91" s="15" t="n"/>
      <c r="TBX91" s="248" t="n"/>
      <c r="TBY91" s="248" t="n"/>
      <c r="TBZ91" s="240" t="n"/>
      <c r="TCA91" s="240" t="n"/>
      <c r="TCC91" s="15" t="n"/>
      <c r="TCD91" s="15" t="n"/>
      <c r="TCE91" s="248" t="n"/>
      <c r="TCF91" s="248" t="n"/>
      <c r="TCG91" s="240" t="n"/>
      <c r="TCH91" s="240" t="n"/>
      <c r="TCJ91" s="15" t="n"/>
      <c r="TCK91" s="15" t="n"/>
      <c r="TCL91" s="248" t="n"/>
      <c r="TCM91" s="248" t="n"/>
      <c r="TCN91" s="240" t="n"/>
      <c r="TCO91" s="240" t="n"/>
      <c r="TCQ91" s="15" t="n"/>
      <c r="TCR91" s="15" t="n"/>
      <c r="TCS91" s="248" t="n"/>
      <c r="TCT91" s="248" t="n"/>
      <c r="TCU91" s="240" t="n"/>
      <c r="TCV91" s="240" t="n"/>
      <c r="TCX91" s="15" t="n"/>
      <c r="TCY91" s="15" t="n"/>
      <c r="TCZ91" s="248" t="n"/>
      <c r="TDA91" s="248" t="n"/>
      <c r="TDB91" s="240" t="n"/>
      <c r="TDC91" s="240" t="n"/>
      <c r="TDE91" s="15" t="n"/>
      <c r="TDF91" s="15" t="n"/>
      <c r="TDG91" s="248" t="n"/>
      <c r="TDH91" s="248" t="n"/>
      <c r="TDI91" s="240" t="n"/>
      <c r="TDJ91" s="240" t="n"/>
      <c r="TDL91" s="15" t="n"/>
      <c r="TDM91" s="15" t="n"/>
      <c r="TDN91" s="248" t="n"/>
      <c r="TDO91" s="248" t="n"/>
      <c r="TDP91" s="240" t="n"/>
      <c r="TDQ91" s="240" t="n"/>
      <c r="TDS91" s="15" t="n"/>
      <c r="TDT91" s="15" t="n"/>
      <c r="TDU91" s="248" t="n"/>
      <c r="TDV91" s="248" t="n"/>
      <c r="TDW91" s="240" t="n"/>
      <c r="TDX91" s="240" t="n"/>
      <c r="TDZ91" s="15" t="n"/>
      <c r="TEA91" s="15" t="n"/>
      <c r="TEB91" s="248" t="n"/>
      <c r="TEC91" s="248" t="n"/>
      <c r="TED91" s="240" t="n"/>
      <c r="TEE91" s="240" t="n"/>
      <c r="TEG91" s="15" t="n"/>
      <c r="TEH91" s="15" t="n"/>
      <c r="TEI91" s="248" t="n"/>
      <c r="TEJ91" s="248" t="n"/>
      <c r="TEK91" s="240" t="n"/>
      <c r="TEL91" s="240" t="n"/>
      <c r="TEN91" s="15" t="n"/>
      <c r="TEO91" s="15" t="n"/>
      <c r="TEP91" s="248" t="n"/>
      <c r="TEQ91" s="248" t="n"/>
      <c r="TER91" s="240" t="n"/>
      <c r="TES91" s="240" t="n"/>
      <c r="TEU91" s="15" t="n"/>
      <c r="TEV91" s="15" t="n"/>
      <c r="TEW91" s="248" t="n"/>
      <c r="TEX91" s="248" t="n"/>
      <c r="TEY91" s="240" t="n"/>
      <c r="TEZ91" s="240" t="n"/>
      <c r="TFB91" s="15" t="n"/>
      <c r="TFC91" s="15" t="n"/>
      <c r="TFD91" s="248" t="n"/>
      <c r="TFE91" s="248" t="n"/>
      <c r="TFF91" s="240" t="n"/>
      <c r="TFG91" s="240" t="n"/>
      <c r="TFI91" s="15" t="n"/>
      <c r="TFJ91" s="15" t="n"/>
      <c r="TFK91" s="248" t="n"/>
      <c r="TFL91" s="248" t="n"/>
      <c r="TFM91" s="240" t="n"/>
      <c r="TFN91" s="240" t="n"/>
      <c r="TFP91" s="15" t="n"/>
      <c r="TFQ91" s="15" t="n"/>
      <c r="TFR91" s="248" t="n"/>
      <c r="TFS91" s="248" t="n"/>
      <c r="TFT91" s="240" t="n"/>
      <c r="TFU91" s="240" t="n"/>
      <c r="TFW91" s="15" t="n"/>
      <c r="TFX91" s="15" t="n"/>
      <c r="TFY91" s="248" t="n"/>
      <c r="TFZ91" s="248" t="n"/>
      <c r="TGA91" s="240" t="n"/>
      <c r="TGB91" s="240" t="n"/>
      <c r="TGD91" s="15" t="n"/>
      <c r="TGE91" s="15" t="n"/>
      <c r="TGF91" s="248" t="n"/>
      <c r="TGG91" s="248" t="n"/>
      <c r="TGH91" s="240" t="n"/>
      <c r="TGI91" s="240" t="n"/>
      <c r="TGK91" s="15" t="n"/>
      <c r="TGL91" s="15" t="n"/>
      <c r="TGM91" s="248" t="n"/>
      <c r="TGN91" s="248" t="n"/>
      <c r="TGO91" s="240" t="n"/>
      <c r="TGP91" s="240" t="n"/>
      <c r="TGR91" s="15" t="n"/>
      <c r="TGS91" s="15" t="n"/>
      <c r="TGT91" s="248" t="n"/>
      <c r="TGU91" s="248" t="n"/>
      <c r="TGV91" s="240" t="n"/>
      <c r="TGW91" s="240" t="n"/>
      <c r="TGY91" s="15" t="n"/>
      <c r="TGZ91" s="15" t="n"/>
      <c r="THA91" s="248" t="n"/>
      <c r="THB91" s="248" t="n"/>
      <c r="THC91" s="240" t="n"/>
      <c r="THD91" s="240" t="n"/>
      <c r="THF91" s="15" t="n"/>
      <c r="THG91" s="15" t="n"/>
      <c r="THH91" s="248" t="n"/>
      <c r="THI91" s="248" t="n"/>
      <c r="THJ91" s="240" t="n"/>
      <c r="THK91" s="240" t="n"/>
      <c r="THM91" s="15" t="n"/>
      <c r="THN91" s="15" t="n"/>
      <c r="THO91" s="248" t="n"/>
      <c r="THP91" s="248" t="n"/>
      <c r="THQ91" s="240" t="n"/>
      <c r="THR91" s="240" t="n"/>
      <c r="THT91" s="15" t="n"/>
      <c r="THU91" s="15" t="n"/>
      <c r="THV91" s="248" t="n"/>
      <c r="THW91" s="248" t="n"/>
      <c r="THX91" s="240" t="n"/>
      <c r="THY91" s="240" t="n"/>
      <c r="TIA91" s="15" t="n"/>
      <c r="TIB91" s="15" t="n"/>
      <c r="TIC91" s="248" t="n"/>
      <c r="TID91" s="248" t="n"/>
      <c r="TIE91" s="240" t="n"/>
      <c r="TIF91" s="240" t="n"/>
      <c r="TIH91" s="15" t="n"/>
      <c r="TII91" s="15" t="n"/>
      <c r="TIJ91" s="248" t="n"/>
      <c r="TIK91" s="248" t="n"/>
      <c r="TIL91" s="240" t="n"/>
      <c r="TIM91" s="240" t="n"/>
      <c r="TIO91" s="15" t="n"/>
      <c r="TIP91" s="15" t="n"/>
      <c r="TIQ91" s="248" t="n"/>
      <c r="TIR91" s="248" t="n"/>
      <c r="TIS91" s="240" t="n"/>
      <c r="TIT91" s="240" t="n"/>
      <c r="TIV91" s="15" t="n"/>
      <c r="TIW91" s="15" t="n"/>
      <c r="TIX91" s="248" t="n"/>
      <c r="TIY91" s="248" t="n"/>
      <c r="TIZ91" s="240" t="n"/>
      <c r="TJA91" s="240" t="n"/>
      <c r="TJC91" s="15" t="n"/>
      <c r="TJD91" s="15" t="n"/>
      <c r="TJE91" s="248" t="n"/>
      <c r="TJF91" s="248" t="n"/>
      <c r="TJG91" s="240" t="n"/>
      <c r="TJH91" s="240" t="n"/>
      <c r="TJJ91" s="15" t="n"/>
      <c r="TJK91" s="15" t="n"/>
      <c r="TJL91" s="248" t="n"/>
      <c r="TJM91" s="248" t="n"/>
      <c r="TJN91" s="240" t="n"/>
      <c r="TJO91" s="240" t="n"/>
      <c r="TJQ91" s="15" t="n"/>
      <c r="TJR91" s="15" t="n"/>
      <c r="TJS91" s="248" t="n"/>
      <c r="TJT91" s="248" t="n"/>
      <c r="TJU91" s="240" t="n"/>
      <c r="TJV91" s="240" t="n"/>
      <c r="TJX91" s="15" t="n"/>
      <c r="TJY91" s="15" t="n"/>
      <c r="TJZ91" s="248" t="n"/>
      <c r="TKA91" s="248" t="n"/>
      <c r="TKB91" s="240" t="n"/>
      <c r="TKC91" s="240" t="n"/>
      <c r="TKE91" s="15" t="n"/>
      <c r="TKF91" s="15" t="n"/>
      <c r="TKG91" s="248" t="n"/>
      <c r="TKH91" s="248" t="n"/>
      <c r="TKI91" s="240" t="n"/>
      <c r="TKJ91" s="240" t="n"/>
      <c r="TKL91" s="15" t="n"/>
      <c r="TKM91" s="15" t="n"/>
      <c r="TKN91" s="248" t="n"/>
      <c r="TKO91" s="248" t="n"/>
      <c r="TKP91" s="240" t="n"/>
      <c r="TKQ91" s="240" t="n"/>
      <c r="TKS91" s="15" t="n"/>
      <c r="TKT91" s="15" t="n"/>
      <c r="TKU91" s="248" t="n"/>
      <c r="TKV91" s="248" t="n"/>
      <c r="TKW91" s="240" t="n"/>
      <c r="TKX91" s="240" t="n"/>
      <c r="TKZ91" s="15" t="n"/>
      <c r="TLA91" s="15" t="n"/>
      <c r="TLB91" s="248" t="n"/>
      <c r="TLC91" s="248" t="n"/>
      <c r="TLD91" s="240" t="n"/>
      <c r="TLE91" s="240" t="n"/>
      <c r="TLG91" s="15" t="n"/>
      <c r="TLH91" s="15" t="n"/>
      <c r="TLI91" s="248" t="n"/>
      <c r="TLJ91" s="248" t="n"/>
      <c r="TLK91" s="240" t="n"/>
      <c r="TLL91" s="240" t="n"/>
      <c r="TLN91" s="15" t="n"/>
      <c r="TLO91" s="15" t="n"/>
      <c r="TLP91" s="248" t="n"/>
      <c r="TLQ91" s="248" t="n"/>
      <c r="TLR91" s="240" t="n"/>
      <c r="TLS91" s="240" t="n"/>
      <c r="TLU91" s="15" t="n"/>
      <c r="TLV91" s="15" t="n"/>
      <c r="TLW91" s="248" t="n"/>
      <c r="TLX91" s="248" t="n"/>
      <c r="TLY91" s="240" t="n"/>
      <c r="TLZ91" s="240" t="n"/>
      <c r="TMB91" s="15" t="n"/>
      <c r="TMC91" s="15" t="n"/>
      <c r="TMD91" s="248" t="n"/>
      <c r="TME91" s="248" t="n"/>
      <c r="TMF91" s="240" t="n"/>
      <c r="TMG91" s="240" t="n"/>
      <c r="TMI91" s="15" t="n"/>
      <c r="TMJ91" s="15" t="n"/>
      <c r="TMK91" s="248" t="n"/>
      <c r="TML91" s="248" t="n"/>
      <c r="TMM91" s="240" t="n"/>
      <c r="TMN91" s="240" t="n"/>
      <c r="TMP91" s="15" t="n"/>
      <c r="TMQ91" s="15" t="n"/>
      <c r="TMR91" s="248" t="n"/>
      <c r="TMS91" s="248" t="n"/>
      <c r="TMT91" s="240" t="n"/>
      <c r="TMU91" s="240" t="n"/>
      <c r="TMW91" s="15" t="n"/>
      <c r="TMX91" s="15" t="n"/>
      <c r="TMY91" s="248" t="n"/>
      <c r="TMZ91" s="248" t="n"/>
      <c r="TNA91" s="240" t="n"/>
      <c r="TNB91" s="240" t="n"/>
      <c r="TND91" s="15" t="n"/>
      <c r="TNE91" s="15" t="n"/>
      <c r="TNF91" s="248" t="n"/>
      <c r="TNG91" s="248" t="n"/>
      <c r="TNH91" s="240" t="n"/>
      <c r="TNI91" s="240" t="n"/>
      <c r="TNK91" s="15" t="n"/>
      <c r="TNL91" s="15" t="n"/>
      <c r="TNM91" s="248" t="n"/>
      <c r="TNN91" s="248" t="n"/>
      <c r="TNO91" s="240" t="n"/>
      <c r="TNP91" s="240" t="n"/>
      <c r="TNR91" s="15" t="n"/>
      <c r="TNS91" s="15" t="n"/>
      <c r="TNT91" s="248" t="n"/>
      <c r="TNU91" s="248" t="n"/>
      <c r="TNV91" s="240" t="n"/>
      <c r="TNW91" s="240" t="n"/>
      <c r="TNY91" s="15" t="n"/>
      <c r="TNZ91" s="15" t="n"/>
      <c r="TOA91" s="248" t="n"/>
      <c r="TOB91" s="248" t="n"/>
      <c r="TOC91" s="240" t="n"/>
      <c r="TOD91" s="240" t="n"/>
      <c r="TOF91" s="15" t="n"/>
      <c r="TOG91" s="15" t="n"/>
      <c r="TOH91" s="248" t="n"/>
      <c r="TOI91" s="248" t="n"/>
      <c r="TOJ91" s="240" t="n"/>
      <c r="TOK91" s="240" t="n"/>
      <c r="TOM91" s="15" t="n"/>
      <c r="TON91" s="15" t="n"/>
      <c r="TOO91" s="248" t="n"/>
      <c r="TOP91" s="248" t="n"/>
      <c r="TOQ91" s="240" t="n"/>
      <c r="TOR91" s="240" t="n"/>
      <c r="TOT91" s="15" t="n"/>
      <c r="TOU91" s="15" t="n"/>
      <c r="TOV91" s="248" t="n"/>
      <c r="TOW91" s="248" t="n"/>
      <c r="TOX91" s="240" t="n"/>
      <c r="TOY91" s="240" t="n"/>
      <c r="TPA91" s="15" t="n"/>
      <c r="TPB91" s="15" t="n"/>
      <c r="TPC91" s="248" t="n"/>
      <c r="TPD91" s="248" t="n"/>
      <c r="TPE91" s="240" t="n"/>
      <c r="TPF91" s="240" t="n"/>
      <c r="TPH91" s="15" t="n"/>
      <c r="TPI91" s="15" t="n"/>
      <c r="TPJ91" s="248" t="n"/>
      <c r="TPK91" s="248" t="n"/>
      <c r="TPL91" s="240" t="n"/>
      <c r="TPM91" s="240" t="n"/>
      <c r="TPO91" s="15" t="n"/>
      <c r="TPP91" s="15" t="n"/>
      <c r="TPQ91" s="248" t="n"/>
      <c r="TPR91" s="248" t="n"/>
      <c r="TPS91" s="240" t="n"/>
      <c r="TPT91" s="240" t="n"/>
      <c r="TPV91" s="15" t="n"/>
      <c r="TPW91" s="15" t="n"/>
      <c r="TPX91" s="248" t="n"/>
      <c r="TPY91" s="248" t="n"/>
      <c r="TPZ91" s="240" t="n"/>
      <c r="TQA91" s="240" t="n"/>
      <c r="TQC91" s="15" t="n"/>
      <c r="TQD91" s="15" t="n"/>
      <c r="TQE91" s="248" t="n"/>
      <c r="TQF91" s="248" t="n"/>
      <c r="TQG91" s="240" t="n"/>
      <c r="TQH91" s="240" t="n"/>
      <c r="TQJ91" s="15" t="n"/>
      <c r="TQK91" s="15" t="n"/>
      <c r="TQL91" s="248" t="n"/>
      <c r="TQM91" s="248" t="n"/>
      <c r="TQN91" s="240" t="n"/>
      <c r="TQO91" s="240" t="n"/>
      <c r="TQQ91" s="15" t="n"/>
      <c r="TQR91" s="15" t="n"/>
      <c r="TQS91" s="248" t="n"/>
      <c r="TQT91" s="248" t="n"/>
      <c r="TQU91" s="240" t="n"/>
      <c r="TQV91" s="240" t="n"/>
      <c r="TQX91" s="15" t="n"/>
      <c r="TQY91" s="15" t="n"/>
      <c r="TQZ91" s="248" t="n"/>
      <c r="TRA91" s="248" t="n"/>
      <c r="TRB91" s="240" t="n"/>
      <c r="TRC91" s="240" t="n"/>
      <c r="TRE91" s="15" t="n"/>
      <c r="TRF91" s="15" t="n"/>
      <c r="TRG91" s="248" t="n"/>
      <c r="TRH91" s="248" t="n"/>
      <c r="TRI91" s="240" t="n"/>
      <c r="TRJ91" s="240" t="n"/>
      <c r="TRL91" s="15" t="n"/>
      <c r="TRM91" s="15" t="n"/>
      <c r="TRN91" s="248" t="n"/>
      <c r="TRO91" s="248" t="n"/>
      <c r="TRP91" s="240" t="n"/>
      <c r="TRQ91" s="240" t="n"/>
      <c r="TRS91" s="15" t="n"/>
      <c r="TRT91" s="15" t="n"/>
      <c r="TRU91" s="248" t="n"/>
      <c r="TRV91" s="248" t="n"/>
      <c r="TRW91" s="240" t="n"/>
      <c r="TRX91" s="240" t="n"/>
      <c r="TRZ91" s="15" t="n"/>
      <c r="TSA91" s="15" t="n"/>
      <c r="TSB91" s="248" t="n"/>
      <c r="TSC91" s="248" t="n"/>
      <c r="TSD91" s="240" t="n"/>
      <c r="TSE91" s="240" t="n"/>
      <c r="TSG91" s="15" t="n"/>
      <c r="TSH91" s="15" t="n"/>
      <c r="TSI91" s="248" t="n"/>
      <c r="TSJ91" s="248" t="n"/>
      <c r="TSK91" s="240" t="n"/>
      <c r="TSL91" s="240" t="n"/>
      <c r="TSN91" s="15" t="n"/>
      <c r="TSO91" s="15" t="n"/>
      <c r="TSP91" s="248" t="n"/>
      <c r="TSQ91" s="248" t="n"/>
      <c r="TSR91" s="240" t="n"/>
      <c r="TSS91" s="240" t="n"/>
      <c r="TSU91" s="15" t="n"/>
      <c r="TSV91" s="15" t="n"/>
      <c r="TSW91" s="248" t="n"/>
      <c r="TSX91" s="248" t="n"/>
      <c r="TSY91" s="240" t="n"/>
      <c r="TSZ91" s="240" t="n"/>
      <c r="TTB91" s="15" t="n"/>
      <c r="TTC91" s="15" t="n"/>
      <c r="TTD91" s="248" t="n"/>
      <c r="TTE91" s="248" t="n"/>
      <c r="TTF91" s="240" t="n"/>
      <c r="TTG91" s="240" t="n"/>
      <c r="TTI91" s="15" t="n"/>
      <c r="TTJ91" s="15" t="n"/>
      <c r="TTK91" s="248" t="n"/>
      <c r="TTL91" s="248" t="n"/>
      <c r="TTM91" s="240" t="n"/>
      <c r="TTN91" s="240" t="n"/>
      <c r="TTP91" s="15" t="n"/>
      <c r="TTQ91" s="15" t="n"/>
      <c r="TTR91" s="248" t="n"/>
      <c r="TTS91" s="248" t="n"/>
      <c r="TTT91" s="240" t="n"/>
      <c r="TTU91" s="240" t="n"/>
      <c r="TTW91" s="15" t="n"/>
      <c r="TTX91" s="15" t="n"/>
      <c r="TTY91" s="248" t="n"/>
      <c r="TTZ91" s="248" t="n"/>
      <c r="TUA91" s="240" t="n"/>
      <c r="TUB91" s="240" t="n"/>
      <c r="TUD91" s="15" t="n"/>
      <c r="TUE91" s="15" t="n"/>
      <c r="TUF91" s="248" t="n"/>
      <c r="TUG91" s="248" t="n"/>
      <c r="TUH91" s="240" t="n"/>
      <c r="TUI91" s="240" t="n"/>
      <c r="TUK91" s="15" t="n"/>
      <c r="TUL91" s="15" t="n"/>
      <c r="TUM91" s="248" t="n"/>
      <c r="TUN91" s="248" t="n"/>
      <c r="TUO91" s="240" t="n"/>
      <c r="TUP91" s="240" t="n"/>
      <c r="TUR91" s="15" t="n"/>
      <c r="TUS91" s="15" t="n"/>
      <c r="TUT91" s="248" t="n"/>
      <c r="TUU91" s="248" t="n"/>
      <c r="TUV91" s="240" t="n"/>
      <c r="TUW91" s="240" t="n"/>
      <c r="TUY91" s="15" t="n"/>
      <c r="TUZ91" s="15" t="n"/>
      <c r="TVA91" s="248" t="n"/>
      <c r="TVB91" s="248" t="n"/>
      <c r="TVC91" s="240" t="n"/>
      <c r="TVD91" s="240" t="n"/>
      <c r="TVF91" s="15" t="n"/>
      <c r="TVG91" s="15" t="n"/>
      <c r="TVH91" s="248" t="n"/>
      <c r="TVI91" s="248" t="n"/>
      <c r="TVJ91" s="240" t="n"/>
      <c r="TVK91" s="240" t="n"/>
      <c r="TVM91" s="15" t="n"/>
      <c r="TVN91" s="15" t="n"/>
      <c r="TVO91" s="248" t="n"/>
      <c r="TVP91" s="248" t="n"/>
      <c r="TVQ91" s="240" t="n"/>
      <c r="TVR91" s="240" t="n"/>
      <c r="TVT91" s="15" t="n"/>
      <c r="TVU91" s="15" t="n"/>
      <c r="TVV91" s="248" t="n"/>
      <c r="TVW91" s="248" t="n"/>
      <c r="TVX91" s="240" t="n"/>
      <c r="TVY91" s="240" t="n"/>
      <c r="TWA91" s="15" t="n"/>
      <c r="TWB91" s="15" t="n"/>
      <c r="TWC91" s="248" t="n"/>
      <c r="TWD91" s="248" t="n"/>
      <c r="TWE91" s="240" t="n"/>
      <c r="TWF91" s="240" t="n"/>
      <c r="TWH91" s="15" t="n"/>
      <c r="TWI91" s="15" t="n"/>
      <c r="TWJ91" s="248" t="n"/>
      <c r="TWK91" s="248" t="n"/>
      <c r="TWL91" s="240" t="n"/>
      <c r="TWM91" s="240" t="n"/>
      <c r="TWO91" s="15" t="n"/>
      <c r="TWP91" s="15" t="n"/>
      <c r="TWQ91" s="248" t="n"/>
      <c r="TWR91" s="248" t="n"/>
      <c r="TWS91" s="240" t="n"/>
      <c r="TWT91" s="240" t="n"/>
      <c r="TWV91" s="15" t="n"/>
      <c r="TWW91" s="15" t="n"/>
      <c r="TWX91" s="248" t="n"/>
      <c r="TWY91" s="248" t="n"/>
      <c r="TWZ91" s="240" t="n"/>
      <c r="TXA91" s="240" t="n"/>
      <c r="TXC91" s="15" t="n"/>
      <c r="TXD91" s="15" t="n"/>
      <c r="TXE91" s="248" t="n"/>
      <c r="TXF91" s="248" t="n"/>
      <c r="TXG91" s="240" t="n"/>
      <c r="TXH91" s="240" t="n"/>
      <c r="TXJ91" s="15" t="n"/>
      <c r="TXK91" s="15" t="n"/>
      <c r="TXL91" s="248" t="n"/>
      <c r="TXM91" s="248" t="n"/>
      <c r="TXN91" s="240" t="n"/>
      <c r="TXO91" s="240" t="n"/>
      <c r="TXQ91" s="15" t="n"/>
      <c r="TXR91" s="15" t="n"/>
      <c r="TXS91" s="248" t="n"/>
      <c r="TXT91" s="248" t="n"/>
      <c r="TXU91" s="240" t="n"/>
      <c r="TXV91" s="240" t="n"/>
      <c r="TXX91" s="15" t="n"/>
      <c r="TXY91" s="15" t="n"/>
      <c r="TXZ91" s="248" t="n"/>
      <c r="TYA91" s="248" t="n"/>
      <c r="TYB91" s="240" t="n"/>
      <c r="TYC91" s="240" t="n"/>
      <c r="TYE91" s="15" t="n"/>
      <c r="TYF91" s="15" t="n"/>
      <c r="TYG91" s="248" t="n"/>
      <c r="TYH91" s="248" t="n"/>
      <c r="TYI91" s="240" t="n"/>
      <c r="TYJ91" s="240" t="n"/>
      <c r="TYL91" s="15" t="n"/>
      <c r="TYM91" s="15" t="n"/>
      <c r="TYN91" s="248" t="n"/>
      <c r="TYO91" s="248" t="n"/>
      <c r="TYP91" s="240" t="n"/>
      <c r="TYQ91" s="240" t="n"/>
      <c r="TYS91" s="15" t="n"/>
      <c r="TYT91" s="15" t="n"/>
      <c r="TYU91" s="248" t="n"/>
      <c r="TYV91" s="248" t="n"/>
      <c r="TYW91" s="240" t="n"/>
      <c r="TYX91" s="240" t="n"/>
      <c r="TYZ91" s="15" t="n"/>
      <c r="TZA91" s="15" t="n"/>
      <c r="TZB91" s="248" t="n"/>
      <c r="TZC91" s="248" t="n"/>
      <c r="TZD91" s="240" t="n"/>
      <c r="TZE91" s="240" t="n"/>
      <c r="TZG91" s="15" t="n"/>
      <c r="TZH91" s="15" t="n"/>
      <c r="TZI91" s="248" t="n"/>
      <c r="TZJ91" s="248" t="n"/>
      <c r="TZK91" s="240" t="n"/>
      <c r="TZL91" s="240" t="n"/>
      <c r="TZN91" s="15" t="n"/>
      <c r="TZO91" s="15" t="n"/>
      <c r="TZP91" s="248" t="n"/>
      <c r="TZQ91" s="248" t="n"/>
      <c r="TZR91" s="240" t="n"/>
      <c r="TZS91" s="240" t="n"/>
      <c r="TZU91" s="15" t="n"/>
      <c r="TZV91" s="15" t="n"/>
      <c r="TZW91" s="248" t="n"/>
      <c r="TZX91" s="248" t="n"/>
      <c r="TZY91" s="240" t="n"/>
      <c r="TZZ91" s="240" t="n"/>
      <c r="UAB91" s="15" t="n"/>
      <c r="UAC91" s="15" t="n"/>
      <c r="UAD91" s="248" t="n"/>
      <c r="UAE91" s="248" t="n"/>
      <c r="UAF91" s="240" t="n"/>
      <c r="UAG91" s="240" t="n"/>
      <c r="UAI91" s="15" t="n"/>
      <c r="UAJ91" s="15" t="n"/>
      <c r="UAK91" s="248" t="n"/>
      <c r="UAL91" s="248" t="n"/>
      <c r="UAM91" s="240" t="n"/>
      <c r="UAN91" s="240" t="n"/>
      <c r="UAP91" s="15" t="n"/>
      <c r="UAQ91" s="15" t="n"/>
      <c r="UAR91" s="248" t="n"/>
      <c r="UAS91" s="248" t="n"/>
      <c r="UAT91" s="240" t="n"/>
      <c r="UAU91" s="240" t="n"/>
      <c r="UAW91" s="15" t="n"/>
      <c r="UAX91" s="15" t="n"/>
      <c r="UAY91" s="248" t="n"/>
      <c r="UAZ91" s="248" t="n"/>
      <c r="UBA91" s="240" t="n"/>
      <c r="UBB91" s="240" t="n"/>
      <c r="UBD91" s="15" t="n"/>
      <c r="UBE91" s="15" t="n"/>
      <c r="UBF91" s="248" t="n"/>
      <c r="UBG91" s="248" t="n"/>
      <c r="UBH91" s="240" t="n"/>
      <c r="UBI91" s="240" t="n"/>
      <c r="UBK91" s="15" t="n"/>
      <c r="UBL91" s="15" t="n"/>
      <c r="UBM91" s="248" t="n"/>
      <c r="UBN91" s="248" t="n"/>
      <c r="UBO91" s="240" t="n"/>
      <c r="UBP91" s="240" t="n"/>
      <c r="UBR91" s="15" t="n"/>
      <c r="UBS91" s="15" t="n"/>
      <c r="UBT91" s="248" t="n"/>
      <c r="UBU91" s="248" t="n"/>
      <c r="UBV91" s="240" t="n"/>
      <c r="UBW91" s="240" t="n"/>
      <c r="UBY91" s="15" t="n"/>
      <c r="UBZ91" s="15" t="n"/>
      <c r="UCA91" s="248" t="n"/>
      <c r="UCB91" s="248" t="n"/>
      <c r="UCC91" s="240" t="n"/>
      <c r="UCD91" s="240" t="n"/>
      <c r="UCF91" s="15" t="n"/>
      <c r="UCG91" s="15" t="n"/>
      <c r="UCH91" s="248" t="n"/>
      <c r="UCI91" s="248" t="n"/>
      <c r="UCJ91" s="240" t="n"/>
      <c r="UCK91" s="240" t="n"/>
      <c r="UCM91" s="15" t="n"/>
      <c r="UCN91" s="15" t="n"/>
      <c r="UCO91" s="248" t="n"/>
      <c r="UCP91" s="248" t="n"/>
      <c r="UCQ91" s="240" t="n"/>
      <c r="UCR91" s="240" t="n"/>
      <c r="UCT91" s="15" t="n"/>
      <c r="UCU91" s="15" t="n"/>
      <c r="UCV91" s="248" t="n"/>
      <c r="UCW91" s="248" t="n"/>
      <c r="UCX91" s="240" t="n"/>
      <c r="UCY91" s="240" t="n"/>
      <c r="UDA91" s="15" t="n"/>
      <c r="UDB91" s="15" t="n"/>
      <c r="UDC91" s="248" t="n"/>
      <c r="UDD91" s="248" t="n"/>
      <c r="UDE91" s="240" t="n"/>
      <c r="UDF91" s="240" t="n"/>
      <c r="UDH91" s="15" t="n"/>
      <c r="UDI91" s="15" t="n"/>
      <c r="UDJ91" s="248" t="n"/>
      <c r="UDK91" s="248" t="n"/>
      <c r="UDL91" s="240" t="n"/>
      <c r="UDM91" s="240" t="n"/>
      <c r="UDO91" s="15" t="n"/>
      <c r="UDP91" s="15" t="n"/>
      <c r="UDQ91" s="248" t="n"/>
      <c r="UDR91" s="248" t="n"/>
      <c r="UDS91" s="240" t="n"/>
      <c r="UDT91" s="240" t="n"/>
      <c r="UDV91" s="15" t="n"/>
      <c r="UDW91" s="15" t="n"/>
      <c r="UDX91" s="248" t="n"/>
      <c r="UDY91" s="248" t="n"/>
      <c r="UDZ91" s="240" t="n"/>
      <c r="UEA91" s="240" t="n"/>
      <c r="UEC91" s="15" t="n"/>
      <c r="UED91" s="15" t="n"/>
      <c r="UEE91" s="248" t="n"/>
      <c r="UEF91" s="248" t="n"/>
      <c r="UEG91" s="240" t="n"/>
      <c r="UEH91" s="240" t="n"/>
      <c r="UEJ91" s="15" t="n"/>
      <c r="UEK91" s="15" t="n"/>
      <c r="UEL91" s="248" t="n"/>
      <c r="UEM91" s="248" t="n"/>
      <c r="UEN91" s="240" t="n"/>
      <c r="UEO91" s="240" t="n"/>
      <c r="UEQ91" s="15" t="n"/>
      <c r="UER91" s="15" t="n"/>
      <c r="UES91" s="248" t="n"/>
      <c r="UET91" s="248" t="n"/>
      <c r="UEU91" s="240" t="n"/>
      <c r="UEV91" s="240" t="n"/>
      <c r="UEX91" s="15" t="n"/>
      <c r="UEY91" s="15" t="n"/>
      <c r="UEZ91" s="248" t="n"/>
      <c r="UFA91" s="248" t="n"/>
      <c r="UFB91" s="240" t="n"/>
      <c r="UFC91" s="240" t="n"/>
      <c r="UFE91" s="15" t="n"/>
      <c r="UFF91" s="15" t="n"/>
      <c r="UFG91" s="248" t="n"/>
      <c r="UFH91" s="248" t="n"/>
      <c r="UFI91" s="240" t="n"/>
      <c r="UFJ91" s="240" t="n"/>
      <c r="UFL91" s="15" t="n"/>
      <c r="UFM91" s="15" t="n"/>
      <c r="UFN91" s="248" t="n"/>
      <c r="UFO91" s="248" t="n"/>
      <c r="UFP91" s="240" t="n"/>
      <c r="UFQ91" s="240" t="n"/>
      <c r="UFS91" s="15" t="n"/>
      <c r="UFT91" s="15" t="n"/>
      <c r="UFU91" s="248" t="n"/>
      <c r="UFV91" s="248" t="n"/>
      <c r="UFW91" s="240" t="n"/>
      <c r="UFX91" s="240" t="n"/>
      <c r="UFZ91" s="15" t="n"/>
      <c r="UGA91" s="15" t="n"/>
      <c r="UGB91" s="248" t="n"/>
      <c r="UGC91" s="248" t="n"/>
      <c r="UGD91" s="240" t="n"/>
      <c r="UGE91" s="240" t="n"/>
      <c r="UGG91" s="15" t="n"/>
      <c r="UGH91" s="15" t="n"/>
      <c r="UGI91" s="248" t="n"/>
      <c r="UGJ91" s="248" t="n"/>
      <c r="UGK91" s="240" t="n"/>
      <c r="UGL91" s="240" t="n"/>
      <c r="UGN91" s="15" t="n"/>
      <c r="UGO91" s="15" t="n"/>
      <c r="UGP91" s="248" t="n"/>
      <c r="UGQ91" s="248" t="n"/>
      <c r="UGR91" s="240" t="n"/>
      <c r="UGS91" s="240" t="n"/>
      <c r="UGU91" s="15" t="n"/>
      <c r="UGV91" s="15" t="n"/>
      <c r="UGW91" s="248" t="n"/>
      <c r="UGX91" s="248" t="n"/>
      <c r="UGY91" s="240" t="n"/>
      <c r="UGZ91" s="240" t="n"/>
      <c r="UHB91" s="15" t="n"/>
      <c r="UHC91" s="15" t="n"/>
      <c r="UHD91" s="248" t="n"/>
      <c r="UHE91" s="248" t="n"/>
      <c r="UHF91" s="240" t="n"/>
      <c r="UHG91" s="240" t="n"/>
      <c r="UHI91" s="15" t="n"/>
      <c r="UHJ91" s="15" t="n"/>
      <c r="UHK91" s="248" t="n"/>
      <c r="UHL91" s="248" t="n"/>
      <c r="UHM91" s="240" t="n"/>
      <c r="UHN91" s="240" t="n"/>
      <c r="UHP91" s="15" t="n"/>
      <c r="UHQ91" s="15" t="n"/>
      <c r="UHR91" s="248" t="n"/>
      <c r="UHS91" s="248" t="n"/>
      <c r="UHT91" s="240" t="n"/>
      <c r="UHU91" s="240" t="n"/>
      <c r="UHW91" s="15" t="n"/>
      <c r="UHX91" s="15" t="n"/>
      <c r="UHY91" s="248" t="n"/>
      <c r="UHZ91" s="248" t="n"/>
      <c r="UIA91" s="240" t="n"/>
      <c r="UIB91" s="240" t="n"/>
      <c r="UID91" s="15" t="n"/>
      <c r="UIE91" s="15" t="n"/>
      <c r="UIF91" s="248" t="n"/>
      <c r="UIG91" s="248" t="n"/>
      <c r="UIH91" s="240" t="n"/>
      <c r="UII91" s="240" t="n"/>
      <c r="UIK91" s="15" t="n"/>
      <c r="UIL91" s="15" t="n"/>
      <c r="UIM91" s="248" t="n"/>
      <c r="UIN91" s="248" t="n"/>
      <c r="UIO91" s="240" t="n"/>
      <c r="UIP91" s="240" t="n"/>
      <c r="UIR91" s="15" t="n"/>
      <c r="UIS91" s="15" t="n"/>
      <c r="UIT91" s="248" t="n"/>
      <c r="UIU91" s="248" t="n"/>
      <c r="UIV91" s="240" t="n"/>
      <c r="UIW91" s="240" t="n"/>
      <c r="UIY91" s="15" t="n"/>
      <c r="UIZ91" s="15" t="n"/>
      <c r="UJA91" s="248" t="n"/>
      <c r="UJB91" s="248" t="n"/>
      <c r="UJC91" s="240" t="n"/>
      <c r="UJD91" s="240" t="n"/>
      <c r="UJF91" s="15" t="n"/>
      <c r="UJG91" s="15" t="n"/>
      <c r="UJH91" s="248" t="n"/>
      <c r="UJI91" s="248" t="n"/>
      <c r="UJJ91" s="240" t="n"/>
      <c r="UJK91" s="240" t="n"/>
      <c r="UJM91" s="15" t="n"/>
      <c r="UJN91" s="15" t="n"/>
      <c r="UJO91" s="248" t="n"/>
      <c r="UJP91" s="248" t="n"/>
      <c r="UJQ91" s="240" t="n"/>
      <c r="UJR91" s="240" t="n"/>
      <c r="UJT91" s="15" t="n"/>
      <c r="UJU91" s="15" t="n"/>
      <c r="UJV91" s="248" t="n"/>
      <c r="UJW91" s="248" t="n"/>
      <c r="UJX91" s="240" t="n"/>
      <c r="UJY91" s="240" t="n"/>
      <c r="UKA91" s="15" t="n"/>
      <c r="UKB91" s="15" t="n"/>
      <c r="UKC91" s="248" t="n"/>
      <c r="UKD91" s="248" t="n"/>
      <c r="UKE91" s="240" t="n"/>
      <c r="UKF91" s="240" t="n"/>
      <c r="UKH91" s="15" t="n"/>
      <c r="UKI91" s="15" t="n"/>
      <c r="UKJ91" s="248" t="n"/>
      <c r="UKK91" s="248" t="n"/>
      <c r="UKL91" s="240" t="n"/>
      <c r="UKM91" s="240" t="n"/>
      <c r="UKO91" s="15" t="n"/>
      <c r="UKP91" s="15" t="n"/>
      <c r="UKQ91" s="248" t="n"/>
      <c r="UKR91" s="248" t="n"/>
      <c r="UKS91" s="240" t="n"/>
      <c r="UKT91" s="240" t="n"/>
      <c r="UKV91" s="15" t="n"/>
      <c r="UKW91" s="15" t="n"/>
      <c r="UKX91" s="248" t="n"/>
      <c r="UKY91" s="248" t="n"/>
      <c r="UKZ91" s="240" t="n"/>
      <c r="ULA91" s="240" t="n"/>
      <c r="ULC91" s="15" t="n"/>
      <c r="ULD91" s="15" t="n"/>
      <c r="ULE91" s="248" t="n"/>
      <c r="ULF91" s="248" t="n"/>
      <c r="ULG91" s="240" t="n"/>
      <c r="ULH91" s="240" t="n"/>
      <c r="ULJ91" s="15" t="n"/>
      <c r="ULK91" s="15" t="n"/>
      <c r="ULL91" s="248" t="n"/>
      <c r="ULM91" s="248" t="n"/>
      <c r="ULN91" s="240" t="n"/>
      <c r="ULO91" s="240" t="n"/>
      <c r="ULQ91" s="15" t="n"/>
      <c r="ULR91" s="15" t="n"/>
      <c r="ULS91" s="248" t="n"/>
      <c r="ULT91" s="248" t="n"/>
      <c r="ULU91" s="240" t="n"/>
      <c r="ULV91" s="240" t="n"/>
      <c r="ULX91" s="15" t="n"/>
      <c r="ULY91" s="15" t="n"/>
      <c r="ULZ91" s="248" t="n"/>
      <c r="UMA91" s="248" t="n"/>
      <c r="UMB91" s="240" t="n"/>
      <c r="UMC91" s="240" t="n"/>
      <c r="UME91" s="15" t="n"/>
      <c r="UMF91" s="15" t="n"/>
      <c r="UMG91" s="248" t="n"/>
      <c r="UMH91" s="248" t="n"/>
      <c r="UMI91" s="240" t="n"/>
      <c r="UMJ91" s="240" t="n"/>
      <c r="UML91" s="15" t="n"/>
      <c r="UMM91" s="15" t="n"/>
      <c r="UMN91" s="248" t="n"/>
      <c r="UMO91" s="248" t="n"/>
      <c r="UMP91" s="240" t="n"/>
      <c r="UMQ91" s="240" t="n"/>
      <c r="UMS91" s="15" t="n"/>
      <c r="UMT91" s="15" t="n"/>
      <c r="UMU91" s="248" t="n"/>
      <c r="UMV91" s="248" t="n"/>
      <c r="UMW91" s="240" t="n"/>
      <c r="UMX91" s="240" t="n"/>
      <c r="UMZ91" s="15" t="n"/>
      <c r="UNA91" s="15" t="n"/>
      <c r="UNB91" s="248" t="n"/>
      <c r="UNC91" s="248" t="n"/>
      <c r="UND91" s="240" t="n"/>
      <c r="UNE91" s="240" t="n"/>
      <c r="UNG91" s="15" t="n"/>
      <c r="UNH91" s="15" t="n"/>
      <c r="UNI91" s="248" t="n"/>
      <c r="UNJ91" s="248" t="n"/>
      <c r="UNK91" s="240" t="n"/>
      <c r="UNL91" s="240" t="n"/>
      <c r="UNN91" s="15" t="n"/>
      <c r="UNO91" s="15" t="n"/>
      <c r="UNP91" s="248" t="n"/>
      <c r="UNQ91" s="248" t="n"/>
      <c r="UNR91" s="240" t="n"/>
      <c r="UNS91" s="240" t="n"/>
      <c r="UNU91" s="15" t="n"/>
      <c r="UNV91" s="15" t="n"/>
      <c r="UNW91" s="248" t="n"/>
      <c r="UNX91" s="248" t="n"/>
      <c r="UNY91" s="240" t="n"/>
      <c r="UNZ91" s="240" t="n"/>
      <c r="UOB91" s="15" t="n"/>
      <c r="UOC91" s="15" t="n"/>
      <c r="UOD91" s="248" t="n"/>
      <c r="UOE91" s="248" t="n"/>
      <c r="UOF91" s="240" t="n"/>
      <c r="UOG91" s="240" t="n"/>
      <c r="UOI91" s="15" t="n"/>
      <c r="UOJ91" s="15" t="n"/>
      <c r="UOK91" s="248" t="n"/>
      <c r="UOL91" s="248" t="n"/>
      <c r="UOM91" s="240" t="n"/>
      <c r="UON91" s="240" t="n"/>
      <c r="UOP91" s="15" t="n"/>
      <c r="UOQ91" s="15" t="n"/>
      <c r="UOR91" s="248" t="n"/>
      <c r="UOS91" s="248" t="n"/>
      <c r="UOT91" s="240" t="n"/>
      <c r="UOU91" s="240" t="n"/>
      <c r="UOW91" s="15" t="n"/>
      <c r="UOX91" s="15" t="n"/>
      <c r="UOY91" s="248" t="n"/>
      <c r="UOZ91" s="248" t="n"/>
      <c r="UPA91" s="240" t="n"/>
      <c r="UPB91" s="240" t="n"/>
      <c r="UPD91" s="15" t="n"/>
      <c r="UPE91" s="15" t="n"/>
      <c r="UPF91" s="248" t="n"/>
      <c r="UPG91" s="248" t="n"/>
      <c r="UPH91" s="240" t="n"/>
      <c r="UPI91" s="240" t="n"/>
      <c r="UPK91" s="15" t="n"/>
      <c r="UPL91" s="15" t="n"/>
      <c r="UPM91" s="248" t="n"/>
      <c r="UPN91" s="248" t="n"/>
      <c r="UPO91" s="240" t="n"/>
      <c r="UPP91" s="240" t="n"/>
      <c r="UPR91" s="15" t="n"/>
      <c r="UPS91" s="15" t="n"/>
      <c r="UPT91" s="248" t="n"/>
      <c r="UPU91" s="248" t="n"/>
      <c r="UPV91" s="240" t="n"/>
      <c r="UPW91" s="240" t="n"/>
      <c r="UPY91" s="15" t="n"/>
      <c r="UPZ91" s="15" t="n"/>
      <c r="UQA91" s="248" t="n"/>
      <c r="UQB91" s="248" t="n"/>
      <c r="UQC91" s="240" t="n"/>
      <c r="UQD91" s="240" t="n"/>
      <c r="UQF91" s="15" t="n"/>
      <c r="UQG91" s="15" t="n"/>
      <c r="UQH91" s="248" t="n"/>
      <c r="UQI91" s="248" t="n"/>
      <c r="UQJ91" s="240" t="n"/>
      <c r="UQK91" s="240" t="n"/>
      <c r="UQM91" s="15" t="n"/>
      <c r="UQN91" s="15" t="n"/>
      <c r="UQO91" s="248" t="n"/>
      <c r="UQP91" s="248" t="n"/>
      <c r="UQQ91" s="240" t="n"/>
      <c r="UQR91" s="240" t="n"/>
      <c r="UQT91" s="15" t="n"/>
      <c r="UQU91" s="15" t="n"/>
      <c r="UQV91" s="248" t="n"/>
      <c r="UQW91" s="248" t="n"/>
      <c r="UQX91" s="240" t="n"/>
      <c r="UQY91" s="240" t="n"/>
      <c r="URA91" s="15" t="n"/>
      <c r="URB91" s="15" t="n"/>
      <c r="URC91" s="248" t="n"/>
      <c r="URD91" s="248" t="n"/>
      <c r="URE91" s="240" t="n"/>
      <c r="URF91" s="240" t="n"/>
      <c r="URH91" s="15" t="n"/>
      <c r="URI91" s="15" t="n"/>
      <c r="URJ91" s="248" t="n"/>
      <c r="URK91" s="248" t="n"/>
      <c r="URL91" s="240" t="n"/>
      <c r="URM91" s="240" t="n"/>
      <c r="URO91" s="15" t="n"/>
      <c r="URP91" s="15" t="n"/>
      <c r="URQ91" s="248" t="n"/>
      <c r="URR91" s="248" t="n"/>
      <c r="URS91" s="240" t="n"/>
      <c r="URT91" s="240" t="n"/>
      <c r="URV91" s="15" t="n"/>
      <c r="URW91" s="15" t="n"/>
      <c r="URX91" s="248" t="n"/>
      <c r="URY91" s="248" t="n"/>
      <c r="URZ91" s="240" t="n"/>
      <c r="USA91" s="240" t="n"/>
      <c r="USC91" s="15" t="n"/>
      <c r="USD91" s="15" t="n"/>
      <c r="USE91" s="248" t="n"/>
      <c r="USF91" s="248" t="n"/>
      <c r="USG91" s="240" t="n"/>
      <c r="USH91" s="240" t="n"/>
      <c r="USJ91" s="15" t="n"/>
      <c r="USK91" s="15" t="n"/>
      <c r="USL91" s="248" t="n"/>
      <c r="USM91" s="248" t="n"/>
      <c r="USN91" s="240" t="n"/>
      <c r="USO91" s="240" t="n"/>
      <c r="USQ91" s="15" t="n"/>
      <c r="USR91" s="15" t="n"/>
      <c r="USS91" s="248" t="n"/>
      <c r="UST91" s="248" t="n"/>
      <c r="USU91" s="240" t="n"/>
      <c r="USV91" s="240" t="n"/>
      <c r="USX91" s="15" t="n"/>
      <c r="USY91" s="15" t="n"/>
      <c r="USZ91" s="248" t="n"/>
      <c r="UTA91" s="248" t="n"/>
      <c r="UTB91" s="240" t="n"/>
      <c r="UTC91" s="240" t="n"/>
      <c r="UTE91" s="15" t="n"/>
      <c r="UTF91" s="15" t="n"/>
      <c r="UTG91" s="248" t="n"/>
      <c r="UTH91" s="248" t="n"/>
      <c r="UTI91" s="240" t="n"/>
      <c r="UTJ91" s="240" t="n"/>
      <c r="UTL91" s="15" t="n"/>
      <c r="UTM91" s="15" t="n"/>
      <c r="UTN91" s="248" t="n"/>
      <c r="UTO91" s="248" t="n"/>
      <c r="UTP91" s="240" t="n"/>
      <c r="UTQ91" s="240" t="n"/>
      <c r="UTS91" s="15" t="n"/>
      <c r="UTT91" s="15" t="n"/>
      <c r="UTU91" s="248" t="n"/>
      <c r="UTV91" s="248" t="n"/>
      <c r="UTW91" s="240" t="n"/>
      <c r="UTX91" s="240" t="n"/>
      <c r="UTZ91" s="15" t="n"/>
      <c r="UUA91" s="15" t="n"/>
      <c r="UUB91" s="248" t="n"/>
      <c r="UUC91" s="248" t="n"/>
      <c r="UUD91" s="240" t="n"/>
      <c r="UUE91" s="240" t="n"/>
      <c r="UUG91" s="15" t="n"/>
      <c r="UUH91" s="15" t="n"/>
      <c r="UUI91" s="248" t="n"/>
      <c r="UUJ91" s="248" t="n"/>
      <c r="UUK91" s="240" t="n"/>
      <c r="UUL91" s="240" t="n"/>
      <c r="UUN91" s="15" t="n"/>
      <c r="UUO91" s="15" t="n"/>
      <c r="UUP91" s="248" t="n"/>
      <c r="UUQ91" s="248" t="n"/>
      <c r="UUR91" s="240" t="n"/>
      <c r="UUS91" s="240" t="n"/>
      <c r="UUU91" s="15" t="n"/>
      <c r="UUV91" s="15" t="n"/>
      <c r="UUW91" s="248" t="n"/>
      <c r="UUX91" s="248" t="n"/>
      <c r="UUY91" s="240" t="n"/>
      <c r="UUZ91" s="240" t="n"/>
      <c r="UVB91" s="15" t="n"/>
      <c r="UVC91" s="15" t="n"/>
      <c r="UVD91" s="248" t="n"/>
      <c r="UVE91" s="248" t="n"/>
      <c r="UVF91" s="240" t="n"/>
      <c r="UVG91" s="240" t="n"/>
      <c r="UVI91" s="15" t="n"/>
      <c r="UVJ91" s="15" t="n"/>
      <c r="UVK91" s="248" t="n"/>
      <c r="UVL91" s="248" t="n"/>
      <c r="UVM91" s="240" t="n"/>
      <c r="UVN91" s="240" t="n"/>
      <c r="UVP91" s="15" t="n"/>
      <c r="UVQ91" s="15" t="n"/>
      <c r="UVR91" s="248" t="n"/>
      <c r="UVS91" s="248" t="n"/>
      <c r="UVT91" s="240" t="n"/>
      <c r="UVU91" s="240" t="n"/>
      <c r="UVW91" s="15" t="n"/>
      <c r="UVX91" s="15" t="n"/>
      <c r="UVY91" s="248" t="n"/>
      <c r="UVZ91" s="248" t="n"/>
      <c r="UWA91" s="240" t="n"/>
      <c r="UWB91" s="240" t="n"/>
      <c r="UWD91" s="15" t="n"/>
      <c r="UWE91" s="15" t="n"/>
      <c r="UWF91" s="248" t="n"/>
      <c r="UWG91" s="248" t="n"/>
      <c r="UWH91" s="240" t="n"/>
      <c r="UWI91" s="240" t="n"/>
      <c r="UWK91" s="15" t="n"/>
      <c r="UWL91" s="15" t="n"/>
      <c r="UWM91" s="248" t="n"/>
      <c r="UWN91" s="248" t="n"/>
      <c r="UWO91" s="240" t="n"/>
      <c r="UWP91" s="240" t="n"/>
      <c r="UWR91" s="15" t="n"/>
      <c r="UWS91" s="15" t="n"/>
      <c r="UWT91" s="248" t="n"/>
      <c r="UWU91" s="248" t="n"/>
      <c r="UWV91" s="240" t="n"/>
      <c r="UWW91" s="240" t="n"/>
      <c r="UWY91" s="15" t="n"/>
      <c r="UWZ91" s="15" t="n"/>
      <c r="UXA91" s="248" t="n"/>
      <c r="UXB91" s="248" t="n"/>
      <c r="UXC91" s="240" t="n"/>
      <c r="UXD91" s="240" t="n"/>
      <c r="UXF91" s="15" t="n"/>
      <c r="UXG91" s="15" t="n"/>
      <c r="UXH91" s="248" t="n"/>
      <c r="UXI91" s="248" t="n"/>
      <c r="UXJ91" s="240" t="n"/>
      <c r="UXK91" s="240" t="n"/>
      <c r="UXM91" s="15" t="n"/>
      <c r="UXN91" s="15" t="n"/>
      <c r="UXO91" s="248" t="n"/>
      <c r="UXP91" s="248" t="n"/>
      <c r="UXQ91" s="240" t="n"/>
      <c r="UXR91" s="240" t="n"/>
      <c r="UXT91" s="15" t="n"/>
      <c r="UXU91" s="15" t="n"/>
      <c r="UXV91" s="248" t="n"/>
      <c r="UXW91" s="248" t="n"/>
      <c r="UXX91" s="240" t="n"/>
      <c r="UXY91" s="240" t="n"/>
      <c r="UYA91" s="15" t="n"/>
      <c r="UYB91" s="15" t="n"/>
      <c r="UYC91" s="248" t="n"/>
      <c r="UYD91" s="248" t="n"/>
      <c r="UYE91" s="240" t="n"/>
      <c r="UYF91" s="240" t="n"/>
      <c r="UYH91" s="15" t="n"/>
      <c r="UYI91" s="15" t="n"/>
      <c r="UYJ91" s="248" t="n"/>
      <c r="UYK91" s="248" t="n"/>
      <c r="UYL91" s="240" t="n"/>
      <c r="UYM91" s="240" t="n"/>
      <c r="UYO91" s="15" t="n"/>
      <c r="UYP91" s="15" t="n"/>
      <c r="UYQ91" s="248" t="n"/>
      <c r="UYR91" s="248" t="n"/>
      <c r="UYS91" s="240" t="n"/>
      <c r="UYT91" s="240" t="n"/>
      <c r="UYV91" s="15" t="n"/>
      <c r="UYW91" s="15" t="n"/>
      <c r="UYX91" s="248" t="n"/>
      <c r="UYY91" s="248" t="n"/>
      <c r="UYZ91" s="240" t="n"/>
      <c r="UZA91" s="240" t="n"/>
      <c r="UZC91" s="15" t="n"/>
      <c r="UZD91" s="15" t="n"/>
      <c r="UZE91" s="248" t="n"/>
      <c r="UZF91" s="248" t="n"/>
      <c r="UZG91" s="240" t="n"/>
      <c r="UZH91" s="240" t="n"/>
      <c r="UZJ91" s="15" t="n"/>
      <c r="UZK91" s="15" t="n"/>
      <c r="UZL91" s="248" t="n"/>
      <c r="UZM91" s="248" t="n"/>
      <c r="UZN91" s="240" t="n"/>
      <c r="UZO91" s="240" t="n"/>
      <c r="UZQ91" s="15" t="n"/>
      <c r="UZR91" s="15" t="n"/>
      <c r="UZS91" s="248" t="n"/>
      <c r="UZT91" s="248" t="n"/>
      <c r="UZU91" s="240" t="n"/>
      <c r="UZV91" s="240" t="n"/>
      <c r="UZX91" s="15" t="n"/>
      <c r="UZY91" s="15" t="n"/>
      <c r="UZZ91" s="248" t="n"/>
      <c r="VAA91" s="248" t="n"/>
      <c r="VAB91" s="240" t="n"/>
      <c r="VAC91" s="240" t="n"/>
      <c r="VAE91" s="15" t="n"/>
      <c r="VAF91" s="15" t="n"/>
      <c r="VAG91" s="248" t="n"/>
      <c r="VAH91" s="248" t="n"/>
      <c r="VAI91" s="240" t="n"/>
      <c r="VAJ91" s="240" t="n"/>
      <c r="VAL91" s="15" t="n"/>
      <c r="VAM91" s="15" t="n"/>
      <c r="VAN91" s="248" t="n"/>
      <c r="VAO91" s="248" t="n"/>
      <c r="VAP91" s="240" t="n"/>
      <c r="VAQ91" s="240" t="n"/>
      <c r="VAS91" s="15" t="n"/>
      <c r="VAT91" s="15" t="n"/>
      <c r="VAU91" s="248" t="n"/>
      <c r="VAV91" s="248" t="n"/>
      <c r="VAW91" s="240" t="n"/>
      <c r="VAX91" s="240" t="n"/>
      <c r="VAZ91" s="15" t="n"/>
      <c r="VBA91" s="15" t="n"/>
      <c r="VBB91" s="248" t="n"/>
      <c r="VBC91" s="248" t="n"/>
      <c r="VBD91" s="240" t="n"/>
      <c r="VBE91" s="240" t="n"/>
      <c r="VBG91" s="15" t="n"/>
      <c r="VBH91" s="15" t="n"/>
      <c r="VBI91" s="248" t="n"/>
      <c r="VBJ91" s="248" t="n"/>
      <c r="VBK91" s="240" t="n"/>
      <c r="VBL91" s="240" t="n"/>
      <c r="VBN91" s="15" t="n"/>
      <c r="VBO91" s="15" t="n"/>
      <c r="VBP91" s="248" t="n"/>
      <c r="VBQ91" s="248" t="n"/>
      <c r="VBR91" s="240" t="n"/>
      <c r="VBS91" s="240" t="n"/>
      <c r="VBU91" s="15" t="n"/>
      <c r="VBV91" s="15" t="n"/>
      <c r="VBW91" s="248" t="n"/>
      <c r="VBX91" s="248" t="n"/>
      <c r="VBY91" s="240" t="n"/>
      <c r="VBZ91" s="240" t="n"/>
      <c r="VCB91" s="15" t="n"/>
      <c r="VCC91" s="15" t="n"/>
      <c r="VCD91" s="248" t="n"/>
      <c r="VCE91" s="248" t="n"/>
      <c r="VCF91" s="240" t="n"/>
      <c r="VCG91" s="240" t="n"/>
      <c r="VCI91" s="15" t="n"/>
      <c r="VCJ91" s="15" t="n"/>
      <c r="VCK91" s="248" t="n"/>
      <c r="VCL91" s="248" t="n"/>
      <c r="VCM91" s="240" t="n"/>
      <c r="VCN91" s="240" t="n"/>
      <c r="VCP91" s="15" t="n"/>
      <c r="VCQ91" s="15" t="n"/>
      <c r="VCR91" s="248" t="n"/>
      <c r="VCS91" s="248" t="n"/>
      <c r="VCT91" s="240" t="n"/>
      <c r="VCU91" s="240" t="n"/>
      <c r="VCW91" s="15" t="n"/>
      <c r="VCX91" s="15" t="n"/>
      <c r="VCY91" s="248" t="n"/>
      <c r="VCZ91" s="248" t="n"/>
      <c r="VDA91" s="240" t="n"/>
      <c r="VDB91" s="240" t="n"/>
      <c r="VDD91" s="15" t="n"/>
      <c r="VDE91" s="15" t="n"/>
      <c r="VDF91" s="248" t="n"/>
      <c r="VDG91" s="248" t="n"/>
      <c r="VDH91" s="240" t="n"/>
      <c r="VDI91" s="240" t="n"/>
      <c r="VDK91" s="15" t="n"/>
      <c r="VDL91" s="15" t="n"/>
      <c r="VDM91" s="248" t="n"/>
      <c r="VDN91" s="248" t="n"/>
      <c r="VDO91" s="240" t="n"/>
      <c r="VDP91" s="240" t="n"/>
      <c r="VDR91" s="15" t="n"/>
      <c r="VDS91" s="15" t="n"/>
      <c r="VDT91" s="248" t="n"/>
      <c r="VDU91" s="248" t="n"/>
      <c r="VDV91" s="240" t="n"/>
      <c r="VDW91" s="240" t="n"/>
      <c r="VDY91" s="15" t="n"/>
      <c r="VDZ91" s="15" t="n"/>
      <c r="VEA91" s="248" t="n"/>
      <c r="VEB91" s="248" t="n"/>
      <c r="VEC91" s="240" t="n"/>
      <c r="VED91" s="240" t="n"/>
      <c r="VEF91" s="15" t="n"/>
      <c r="VEG91" s="15" t="n"/>
      <c r="VEH91" s="248" t="n"/>
      <c r="VEI91" s="248" t="n"/>
      <c r="VEJ91" s="240" t="n"/>
      <c r="VEK91" s="240" t="n"/>
      <c r="VEM91" s="15" t="n"/>
      <c r="VEN91" s="15" t="n"/>
      <c r="VEO91" s="248" t="n"/>
      <c r="VEP91" s="248" t="n"/>
      <c r="VEQ91" s="240" t="n"/>
      <c r="VER91" s="240" t="n"/>
      <c r="VET91" s="15" t="n"/>
      <c r="VEU91" s="15" t="n"/>
      <c r="VEV91" s="248" t="n"/>
      <c r="VEW91" s="248" t="n"/>
      <c r="VEX91" s="240" t="n"/>
      <c r="VEY91" s="240" t="n"/>
      <c r="VFA91" s="15" t="n"/>
      <c r="VFB91" s="15" t="n"/>
      <c r="VFC91" s="248" t="n"/>
      <c r="VFD91" s="248" t="n"/>
      <c r="VFE91" s="240" t="n"/>
      <c r="VFF91" s="240" t="n"/>
      <c r="VFH91" s="15" t="n"/>
      <c r="VFI91" s="15" t="n"/>
      <c r="VFJ91" s="248" t="n"/>
      <c r="VFK91" s="248" t="n"/>
      <c r="VFL91" s="240" t="n"/>
      <c r="VFM91" s="240" t="n"/>
      <c r="VFO91" s="15" t="n"/>
      <c r="VFP91" s="15" t="n"/>
      <c r="VFQ91" s="248" t="n"/>
      <c r="VFR91" s="248" t="n"/>
      <c r="VFS91" s="240" t="n"/>
      <c r="VFT91" s="240" t="n"/>
      <c r="VFV91" s="15" t="n"/>
      <c r="VFW91" s="15" t="n"/>
      <c r="VFX91" s="248" t="n"/>
      <c r="VFY91" s="248" t="n"/>
      <c r="VFZ91" s="240" t="n"/>
      <c r="VGA91" s="240" t="n"/>
      <c r="VGC91" s="15" t="n"/>
      <c r="VGD91" s="15" t="n"/>
      <c r="VGE91" s="248" t="n"/>
      <c r="VGF91" s="248" t="n"/>
      <c r="VGG91" s="240" t="n"/>
      <c r="VGH91" s="240" t="n"/>
      <c r="VGJ91" s="15" t="n"/>
      <c r="VGK91" s="15" t="n"/>
      <c r="VGL91" s="248" t="n"/>
      <c r="VGM91" s="248" t="n"/>
      <c r="VGN91" s="240" t="n"/>
      <c r="VGO91" s="240" t="n"/>
      <c r="VGQ91" s="15" t="n"/>
      <c r="VGR91" s="15" t="n"/>
      <c r="VGS91" s="248" t="n"/>
      <c r="VGT91" s="248" t="n"/>
      <c r="VGU91" s="240" t="n"/>
      <c r="VGV91" s="240" t="n"/>
      <c r="VGX91" s="15" t="n"/>
      <c r="VGY91" s="15" t="n"/>
      <c r="VGZ91" s="248" t="n"/>
      <c r="VHA91" s="248" t="n"/>
      <c r="VHB91" s="240" t="n"/>
      <c r="VHC91" s="240" t="n"/>
      <c r="VHE91" s="15" t="n"/>
      <c r="VHF91" s="15" t="n"/>
      <c r="VHG91" s="248" t="n"/>
      <c r="VHH91" s="248" t="n"/>
      <c r="VHI91" s="240" t="n"/>
      <c r="VHJ91" s="240" t="n"/>
      <c r="VHL91" s="15" t="n"/>
      <c r="VHM91" s="15" t="n"/>
      <c r="VHN91" s="248" t="n"/>
      <c r="VHO91" s="248" t="n"/>
      <c r="VHP91" s="240" t="n"/>
      <c r="VHQ91" s="240" t="n"/>
      <c r="VHS91" s="15" t="n"/>
      <c r="VHT91" s="15" t="n"/>
      <c r="VHU91" s="248" t="n"/>
      <c r="VHV91" s="248" t="n"/>
      <c r="VHW91" s="240" t="n"/>
      <c r="VHX91" s="240" t="n"/>
      <c r="VHZ91" s="15" t="n"/>
      <c r="VIA91" s="15" t="n"/>
      <c r="VIB91" s="248" t="n"/>
      <c r="VIC91" s="248" t="n"/>
      <c r="VID91" s="240" t="n"/>
      <c r="VIE91" s="240" t="n"/>
      <c r="VIG91" s="15" t="n"/>
      <c r="VIH91" s="15" t="n"/>
      <c r="VII91" s="248" t="n"/>
      <c r="VIJ91" s="248" t="n"/>
      <c r="VIK91" s="240" t="n"/>
      <c r="VIL91" s="240" t="n"/>
      <c r="VIN91" s="15" t="n"/>
      <c r="VIO91" s="15" t="n"/>
      <c r="VIP91" s="248" t="n"/>
      <c r="VIQ91" s="248" t="n"/>
      <c r="VIR91" s="240" t="n"/>
      <c r="VIS91" s="240" t="n"/>
      <c r="VIU91" s="15" t="n"/>
      <c r="VIV91" s="15" t="n"/>
      <c r="VIW91" s="248" t="n"/>
      <c r="VIX91" s="248" t="n"/>
      <c r="VIY91" s="240" t="n"/>
      <c r="VIZ91" s="240" t="n"/>
      <c r="VJB91" s="15" t="n"/>
      <c r="VJC91" s="15" t="n"/>
      <c r="VJD91" s="248" t="n"/>
      <c r="VJE91" s="248" t="n"/>
      <c r="VJF91" s="240" t="n"/>
      <c r="VJG91" s="240" t="n"/>
      <c r="VJI91" s="15" t="n"/>
      <c r="VJJ91" s="15" t="n"/>
      <c r="VJK91" s="248" t="n"/>
      <c r="VJL91" s="248" t="n"/>
      <c r="VJM91" s="240" t="n"/>
      <c r="VJN91" s="240" t="n"/>
      <c r="VJP91" s="15" t="n"/>
      <c r="VJQ91" s="15" t="n"/>
      <c r="VJR91" s="248" t="n"/>
      <c r="VJS91" s="248" t="n"/>
      <c r="VJT91" s="240" t="n"/>
      <c r="VJU91" s="240" t="n"/>
      <c r="VJW91" s="15" t="n"/>
      <c r="VJX91" s="15" t="n"/>
      <c r="VJY91" s="248" t="n"/>
      <c r="VJZ91" s="248" t="n"/>
      <c r="VKA91" s="240" t="n"/>
      <c r="VKB91" s="240" t="n"/>
      <c r="VKD91" s="15" t="n"/>
      <c r="VKE91" s="15" t="n"/>
      <c r="VKF91" s="248" t="n"/>
      <c r="VKG91" s="248" t="n"/>
      <c r="VKH91" s="240" t="n"/>
      <c r="VKI91" s="240" t="n"/>
      <c r="VKK91" s="15" t="n"/>
      <c r="VKL91" s="15" t="n"/>
      <c r="VKM91" s="248" t="n"/>
      <c r="VKN91" s="248" t="n"/>
      <c r="VKO91" s="240" t="n"/>
      <c r="VKP91" s="240" t="n"/>
      <c r="VKR91" s="15" t="n"/>
      <c r="VKS91" s="15" t="n"/>
      <c r="VKT91" s="248" t="n"/>
      <c r="VKU91" s="248" t="n"/>
      <c r="VKV91" s="240" t="n"/>
      <c r="VKW91" s="240" t="n"/>
      <c r="VKY91" s="15" t="n"/>
      <c r="VKZ91" s="15" t="n"/>
      <c r="VLA91" s="248" t="n"/>
      <c r="VLB91" s="248" t="n"/>
      <c r="VLC91" s="240" t="n"/>
      <c r="VLD91" s="240" t="n"/>
      <c r="VLF91" s="15" t="n"/>
      <c r="VLG91" s="15" t="n"/>
      <c r="VLH91" s="248" t="n"/>
      <c r="VLI91" s="248" t="n"/>
      <c r="VLJ91" s="240" t="n"/>
      <c r="VLK91" s="240" t="n"/>
      <c r="VLM91" s="15" t="n"/>
      <c r="VLN91" s="15" t="n"/>
      <c r="VLO91" s="248" t="n"/>
      <c r="VLP91" s="248" t="n"/>
      <c r="VLQ91" s="240" t="n"/>
      <c r="VLR91" s="240" t="n"/>
      <c r="VLT91" s="15" t="n"/>
      <c r="VLU91" s="15" t="n"/>
      <c r="VLV91" s="248" t="n"/>
      <c r="VLW91" s="248" t="n"/>
      <c r="VLX91" s="240" t="n"/>
      <c r="VLY91" s="240" t="n"/>
      <c r="VMA91" s="15" t="n"/>
      <c r="VMB91" s="15" t="n"/>
      <c r="VMC91" s="248" t="n"/>
      <c r="VMD91" s="248" t="n"/>
      <c r="VME91" s="240" t="n"/>
      <c r="VMF91" s="240" t="n"/>
      <c r="VMH91" s="15" t="n"/>
      <c r="VMI91" s="15" t="n"/>
      <c r="VMJ91" s="248" t="n"/>
      <c r="VMK91" s="248" t="n"/>
      <c r="VML91" s="240" t="n"/>
      <c r="VMM91" s="240" t="n"/>
      <c r="VMO91" s="15" t="n"/>
      <c r="VMP91" s="15" t="n"/>
      <c r="VMQ91" s="248" t="n"/>
      <c r="VMR91" s="248" t="n"/>
      <c r="VMS91" s="240" t="n"/>
      <c r="VMT91" s="240" t="n"/>
      <c r="VMV91" s="15" t="n"/>
      <c r="VMW91" s="15" t="n"/>
      <c r="VMX91" s="248" t="n"/>
      <c r="VMY91" s="248" t="n"/>
      <c r="VMZ91" s="240" t="n"/>
      <c r="VNA91" s="240" t="n"/>
      <c r="VNC91" s="15" t="n"/>
      <c r="VND91" s="15" t="n"/>
      <c r="VNE91" s="248" t="n"/>
      <c r="VNF91" s="248" t="n"/>
      <c r="VNG91" s="240" t="n"/>
      <c r="VNH91" s="240" t="n"/>
      <c r="VNJ91" s="15" t="n"/>
      <c r="VNK91" s="15" t="n"/>
      <c r="VNL91" s="248" t="n"/>
      <c r="VNM91" s="248" t="n"/>
      <c r="VNN91" s="240" t="n"/>
      <c r="VNO91" s="240" t="n"/>
      <c r="VNQ91" s="15" t="n"/>
      <c r="VNR91" s="15" t="n"/>
      <c r="VNS91" s="248" t="n"/>
      <c r="VNT91" s="248" t="n"/>
      <c r="VNU91" s="240" t="n"/>
      <c r="VNV91" s="240" t="n"/>
      <c r="VNX91" s="15" t="n"/>
      <c r="VNY91" s="15" t="n"/>
      <c r="VNZ91" s="248" t="n"/>
      <c r="VOA91" s="248" t="n"/>
      <c r="VOB91" s="240" t="n"/>
      <c r="VOC91" s="240" t="n"/>
      <c r="VOE91" s="15" t="n"/>
      <c r="VOF91" s="15" t="n"/>
      <c r="VOG91" s="248" t="n"/>
      <c r="VOH91" s="248" t="n"/>
      <c r="VOI91" s="240" t="n"/>
      <c r="VOJ91" s="240" t="n"/>
      <c r="VOL91" s="15" t="n"/>
      <c r="VOM91" s="15" t="n"/>
      <c r="VON91" s="248" t="n"/>
      <c r="VOO91" s="248" t="n"/>
      <c r="VOP91" s="240" t="n"/>
      <c r="VOQ91" s="240" t="n"/>
      <c r="VOS91" s="15" t="n"/>
      <c r="VOT91" s="15" t="n"/>
      <c r="VOU91" s="248" t="n"/>
      <c r="VOV91" s="248" t="n"/>
      <c r="VOW91" s="240" t="n"/>
      <c r="VOX91" s="240" t="n"/>
      <c r="VOZ91" s="15" t="n"/>
      <c r="VPA91" s="15" t="n"/>
      <c r="VPB91" s="248" t="n"/>
      <c r="VPC91" s="248" t="n"/>
      <c r="VPD91" s="240" t="n"/>
      <c r="VPE91" s="240" t="n"/>
      <c r="VPG91" s="15" t="n"/>
      <c r="VPH91" s="15" t="n"/>
      <c r="VPI91" s="248" t="n"/>
      <c r="VPJ91" s="248" t="n"/>
      <c r="VPK91" s="240" t="n"/>
      <c r="VPL91" s="240" t="n"/>
      <c r="VPN91" s="15" t="n"/>
      <c r="VPO91" s="15" t="n"/>
      <c r="VPP91" s="248" t="n"/>
      <c r="VPQ91" s="248" t="n"/>
      <c r="VPR91" s="240" t="n"/>
      <c r="VPS91" s="240" t="n"/>
      <c r="VPU91" s="15" t="n"/>
      <c r="VPV91" s="15" t="n"/>
      <c r="VPW91" s="248" t="n"/>
      <c r="VPX91" s="248" t="n"/>
      <c r="VPY91" s="240" t="n"/>
      <c r="VPZ91" s="240" t="n"/>
      <c r="VQB91" s="15" t="n"/>
      <c r="VQC91" s="15" t="n"/>
      <c r="VQD91" s="248" t="n"/>
      <c r="VQE91" s="248" t="n"/>
      <c r="VQF91" s="240" t="n"/>
      <c r="VQG91" s="240" t="n"/>
      <c r="VQI91" s="15" t="n"/>
      <c r="VQJ91" s="15" t="n"/>
      <c r="VQK91" s="248" t="n"/>
      <c r="VQL91" s="248" t="n"/>
      <c r="VQM91" s="240" t="n"/>
      <c r="VQN91" s="240" t="n"/>
      <c r="VQP91" s="15" t="n"/>
      <c r="VQQ91" s="15" t="n"/>
      <c r="VQR91" s="248" t="n"/>
      <c r="VQS91" s="248" t="n"/>
      <c r="VQT91" s="240" t="n"/>
      <c r="VQU91" s="240" t="n"/>
      <c r="VQW91" s="15" t="n"/>
      <c r="VQX91" s="15" t="n"/>
      <c r="VQY91" s="248" t="n"/>
      <c r="VQZ91" s="248" t="n"/>
      <c r="VRA91" s="240" t="n"/>
      <c r="VRB91" s="240" t="n"/>
      <c r="VRD91" s="15" t="n"/>
      <c r="VRE91" s="15" t="n"/>
      <c r="VRF91" s="248" t="n"/>
      <c r="VRG91" s="248" t="n"/>
      <c r="VRH91" s="240" t="n"/>
      <c r="VRI91" s="240" t="n"/>
      <c r="VRK91" s="15" t="n"/>
      <c r="VRL91" s="15" t="n"/>
      <c r="VRM91" s="248" t="n"/>
      <c r="VRN91" s="248" t="n"/>
      <c r="VRO91" s="240" t="n"/>
      <c r="VRP91" s="240" t="n"/>
      <c r="VRR91" s="15" t="n"/>
      <c r="VRS91" s="15" t="n"/>
      <c r="VRT91" s="248" t="n"/>
      <c r="VRU91" s="248" t="n"/>
      <c r="VRV91" s="240" t="n"/>
      <c r="VRW91" s="240" t="n"/>
      <c r="VRY91" s="15" t="n"/>
      <c r="VRZ91" s="15" t="n"/>
      <c r="VSA91" s="248" t="n"/>
      <c r="VSB91" s="248" t="n"/>
      <c r="VSC91" s="240" t="n"/>
      <c r="VSD91" s="240" t="n"/>
      <c r="VSF91" s="15" t="n"/>
      <c r="VSG91" s="15" t="n"/>
      <c r="VSH91" s="248" t="n"/>
      <c r="VSI91" s="248" t="n"/>
      <c r="VSJ91" s="240" t="n"/>
      <c r="VSK91" s="240" t="n"/>
      <c r="VSM91" s="15" t="n"/>
      <c r="VSN91" s="15" t="n"/>
      <c r="VSO91" s="248" t="n"/>
      <c r="VSP91" s="248" t="n"/>
      <c r="VSQ91" s="240" t="n"/>
      <c r="VSR91" s="240" t="n"/>
      <c r="VST91" s="15" t="n"/>
      <c r="VSU91" s="15" t="n"/>
      <c r="VSV91" s="248" t="n"/>
      <c r="VSW91" s="248" t="n"/>
      <c r="VSX91" s="240" t="n"/>
      <c r="VSY91" s="240" t="n"/>
      <c r="VTA91" s="15" t="n"/>
      <c r="VTB91" s="15" t="n"/>
      <c r="VTC91" s="248" t="n"/>
      <c r="VTD91" s="248" t="n"/>
      <c r="VTE91" s="240" t="n"/>
      <c r="VTF91" s="240" t="n"/>
      <c r="VTH91" s="15" t="n"/>
      <c r="VTI91" s="15" t="n"/>
      <c r="VTJ91" s="248" t="n"/>
      <c r="VTK91" s="248" t="n"/>
      <c r="VTL91" s="240" t="n"/>
      <c r="VTM91" s="240" t="n"/>
      <c r="VTO91" s="15" t="n"/>
      <c r="VTP91" s="15" t="n"/>
      <c r="VTQ91" s="248" t="n"/>
      <c r="VTR91" s="248" t="n"/>
      <c r="VTS91" s="240" t="n"/>
      <c r="VTT91" s="240" t="n"/>
      <c r="VTV91" s="15" t="n"/>
      <c r="VTW91" s="15" t="n"/>
      <c r="VTX91" s="248" t="n"/>
      <c r="VTY91" s="248" t="n"/>
      <c r="VTZ91" s="240" t="n"/>
      <c r="VUA91" s="240" t="n"/>
      <c r="VUC91" s="15" t="n"/>
      <c r="VUD91" s="15" t="n"/>
      <c r="VUE91" s="248" t="n"/>
      <c r="VUF91" s="248" t="n"/>
      <c r="VUG91" s="240" t="n"/>
      <c r="VUH91" s="240" t="n"/>
      <c r="VUJ91" s="15" t="n"/>
      <c r="VUK91" s="15" t="n"/>
      <c r="VUL91" s="248" t="n"/>
      <c r="VUM91" s="248" t="n"/>
      <c r="VUN91" s="240" t="n"/>
      <c r="VUO91" s="240" t="n"/>
      <c r="VUQ91" s="15" t="n"/>
      <c r="VUR91" s="15" t="n"/>
      <c r="VUS91" s="248" t="n"/>
      <c r="VUT91" s="248" t="n"/>
      <c r="VUU91" s="240" t="n"/>
      <c r="VUV91" s="240" t="n"/>
      <c r="VUX91" s="15" t="n"/>
      <c r="VUY91" s="15" t="n"/>
      <c r="VUZ91" s="248" t="n"/>
      <c r="VVA91" s="248" t="n"/>
      <c r="VVB91" s="240" t="n"/>
      <c r="VVC91" s="240" t="n"/>
      <c r="VVE91" s="15" t="n"/>
      <c r="VVF91" s="15" t="n"/>
      <c r="VVG91" s="248" t="n"/>
      <c r="VVH91" s="248" t="n"/>
      <c r="VVI91" s="240" t="n"/>
      <c r="VVJ91" s="240" t="n"/>
      <c r="VVL91" s="15" t="n"/>
      <c r="VVM91" s="15" t="n"/>
      <c r="VVN91" s="248" t="n"/>
      <c r="VVO91" s="248" t="n"/>
      <c r="VVP91" s="240" t="n"/>
      <c r="VVQ91" s="240" t="n"/>
      <c r="VVS91" s="15" t="n"/>
      <c r="VVT91" s="15" t="n"/>
      <c r="VVU91" s="248" t="n"/>
      <c r="VVV91" s="248" t="n"/>
      <c r="VVW91" s="240" t="n"/>
      <c r="VVX91" s="240" t="n"/>
      <c r="VVZ91" s="15" t="n"/>
      <c r="VWA91" s="15" t="n"/>
      <c r="VWB91" s="248" t="n"/>
      <c r="VWC91" s="248" t="n"/>
      <c r="VWD91" s="240" t="n"/>
      <c r="VWE91" s="240" t="n"/>
      <c r="VWG91" s="15" t="n"/>
      <c r="VWH91" s="15" t="n"/>
      <c r="VWI91" s="248" t="n"/>
      <c r="VWJ91" s="248" t="n"/>
      <c r="VWK91" s="240" t="n"/>
      <c r="VWL91" s="240" t="n"/>
      <c r="VWN91" s="15" t="n"/>
      <c r="VWO91" s="15" t="n"/>
      <c r="VWP91" s="248" t="n"/>
      <c r="VWQ91" s="248" t="n"/>
      <c r="VWR91" s="240" t="n"/>
      <c r="VWS91" s="240" t="n"/>
      <c r="VWU91" s="15" t="n"/>
      <c r="VWV91" s="15" t="n"/>
      <c r="VWW91" s="248" t="n"/>
      <c r="VWX91" s="248" t="n"/>
      <c r="VWY91" s="240" t="n"/>
      <c r="VWZ91" s="240" t="n"/>
      <c r="VXB91" s="15" t="n"/>
      <c r="VXC91" s="15" t="n"/>
      <c r="VXD91" s="248" t="n"/>
      <c r="VXE91" s="248" t="n"/>
      <c r="VXF91" s="240" t="n"/>
      <c r="VXG91" s="240" t="n"/>
      <c r="VXI91" s="15" t="n"/>
      <c r="VXJ91" s="15" t="n"/>
      <c r="VXK91" s="248" t="n"/>
      <c r="VXL91" s="248" t="n"/>
      <c r="VXM91" s="240" t="n"/>
      <c r="VXN91" s="240" t="n"/>
      <c r="VXP91" s="15" t="n"/>
      <c r="VXQ91" s="15" t="n"/>
      <c r="VXR91" s="248" t="n"/>
      <c r="VXS91" s="248" t="n"/>
      <c r="VXT91" s="240" t="n"/>
      <c r="VXU91" s="240" t="n"/>
      <c r="VXW91" s="15" t="n"/>
      <c r="VXX91" s="15" t="n"/>
      <c r="VXY91" s="248" t="n"/>
      <c r="VXZ91" s="248" t="n"/>
      <c r="VYA91" s="240" t="n"/>
      <c r="VYB91" s="240" t="n"/>
      <c r="VYD91" s="15" t="n"/>
      <c r="VYE91" s="15" t="n"/>
      <c r="VYF91" s="248" t="n"/>
      <c r="VYG91" s="248" t="n"/>
      <c r="VYH91" s="240" t="n"/>
      <c r="VYI91" s="240" t="n"/>
      <c r="VYK91" s="15" t="n"/>
      <c r="VYL91" s="15" t="n"/>
      <c r="VYM91" s="248" t="n"/>
      <c r="VYN91" s="248" t="n"/>
      <c r="VYO91" s="240" t="n"/>
      <c r="VYP91" s="240" t="n"/>
      <c r="VYR91" s="15" t="n"/>
      <c r="VYS91" s="15" t="n"/>
      <c r="VYT91" s="248" t="n"/>
      <c r="VYU91" s="248" t="n"/>
      <c r="VYV91" s="240" t="n"/>
      <c r="VYW91" s="240" t="n"/>
      <c r="VYY91" s="15" t="n"/>
      <c r="VYZ91" s="15" t="n"/>
      <c r="VZA91" s="248" t="n"/>
      <c r="VZB91" s="248" t="n"/>
      <c r="VZC91" s="240" t="n"/>
      <c r="VZD91" s="240" t="n"/>
      <c r="VZF91" s="15" t="n"/>
      <c r="VZG91" s="15" t="n"/>
      <c r="VZH91" s="248" t="n"/>
      <c r="VZI91" s="248" t="n"/>
      <c r="VZJ91" s="240" t="n"/>
      <c r="VZK91" s="240" t="n"/>
      <c r="VZM91" s="15" t="n"/>
      <c r="VZN91" s="15" t="n"/>
      <c r="VZO91" s="248" t="n"/>
      <c r="VZP91" s="248" t="n"/>
      <c r="VZQ91" s="240" t="n"/>
      <c r="VZR91" s="240" t="n"/>
      <c r="VZT91" s="15" t="n"/>
      <c r="VZU91" s="15" t="n"/>
      <c r="VZV91" s="248" t="n"/>
      <c r="VZW91" s="248" t="n"/>
      <c r="VZX91" s="240" t="n"/>
      <c r="VZY91" s="240" t="n"/>
      <c r="WAA91" s="15" t="n"/>
      <c r="WAB91" s="15" t="n"/>
      <c r="WAC91" s="248" t="n"/>
      <c r="WAD91" s="248" t="n"/>
      <c r="WAE91" s="240" t="n"/>
      <c r="WAF91" s="240" t="n"/>
      <c r="WAH91" s="15" t="n"/>
      <c r="WAI91" s="15" t="n"/>
      <c r="WAJ91" s="248" t="n"/>
      <c r="WAK91" s="248" t="n"/>
      <c r="WAL91" s="240" t="n"/>
      <c r="WAM91" s="240" t="n"/>
      <c r="WAO91" s="15" t="n"/>
      <c r="WAP91" s="15" t="n"/>
      <c r="WAQ91" s="248" t="n"/>
      <c r="WAR91" s="248" t="n"/>
      <c r="WAS91" s="240" t="n"/>
      <c r="WAT91" s="240" t="n"/>
      <c r="WAV91" s="15" t="n"/>
      <c r="WAW91" s="15" t="n"/>
      <c r="WAX91" s="248" t="n"/>
      <c r="WAY91" s="248" t="n"/>
      <c r="WAZ91" s="240" t="n"/>
      <c r="WBA91" s="240" t="n"/>
      <c r="WBC91" s="15" t="n"/>
      <c r="WBD91" s="15" t="n"/>
      <c r="WBE91" s="248" t="n"/>
      <c r="WBF91" s="248" t="n"/>
      <c r="WBG91" s="240" t="n"/>
      <c r="WBH91" s="240" t="n"/>
      <c r="WBJ91" s="15" t="n"/>
      <c r="WBK91" s="15" t="n"/>
      <c r="WBL91" s="248" t="n"/>
      <c r="WBM91" s="248" t="n"/>
      <c r="WBN91" s="240" t="n"/>
      <c r="WBO91" s="240" t="n"/>
      <c r="WBQ91" s="15" t="n"/>
      <c r="WBR91" s="15" t="n"/>
      <c r="WBS91" s="248" t="n"/>
      <c r="WBT91" s="248" t="n"/>
      <c r="WBU91" s="240" t="n"/>
      <c r="WBV91" s="240" t="n"/>
      <c r="WBX91" s="15" t="n"/>
      <c r="WBY91" s="15" t="n"/>
      <c r="WBZ91" s="248" t="n"/>
      <c r="WCA91" s="248" t="n"/>
      <c r="WCB91" s="240" t="n"/>
      <c r="WCC91" s="240" t="n"/>
      <c r="WCE91" s="15" t="n"/>
      <c r="WCF91" s="15" t="n"/>
      <c r="WCG91" s="248" t="n"/>
      <c r="WCH91" s="248" t="n"/>
      <c r="WCI91" s="240" t="n"/>
      <c r="WCJ91" s="240" t="n"/>
      <c r="WCL91" s="15" t="n"/>
      <c r="WCM91" s="15" t="n"/>
      <c r="WCN91" s="248" t="n"/>
      <c r="WCO91" s="248" t="n"/>
      <c r="WCP91" s="240" t="n"/>
      <c r="WCQ91" s="240" t="n"/>
      <c r="WCS91" s="15" t="n"/>
      <c r="WCT91" s="15" t="n"/>
      <c r="WCU91" s="248" t="n"/>
      <c r="WCV91" s="248" t="n"/>
      <c r="WCW91" s="240" t="n"/>
      <c r="WCX91" s="240" t="n"/>
      <c r="WCZ91" s="15" t="n"/>
      <c r="WDA91" s="15" t="n"/>
      <c r="WDB91" s="248" t="n"/>
      <c r="WDC91" s="248" t="n"/>
      <c r="WDD91" s="240" t="n"/>
      <c r="WDE91" s="240" t="n"/>
      <c r="WDG91" s="15" t="n"/>
      <c r="WDH91" s="15" t="n"/>
      <c r="WDI91" s="248" t="n"/>
      <c r="WDJ91" s="248" t="n"/>
      <c r="WDK91" s="240" t="n"/>
      <c r="WDL91" s="240" t="n"/>
      <c r="WDN91" s="15" t="n"/>
      <c r="WDO91" s="15" t="n"/>
      <c r="WDP91" s="248" t="n"/>
      <c r="WDQ91" s="248" t="n"/>
      <c r="WDR91" s="240" t="n"/>
      <c r="WDS91" s="240" t="n"/>
      <c r="WDU91" s="15" t="n"/>
      <c r="WDV91" s="15" t="n"/>
      <c r="WDW91" s="248" t="n"/>
      <c r="WDX91" s="248" t="n"/>
      <c r="WDY91" s="240" t="n"/>
      <c r="WDZ91" s="240" t="n"/>
      <c r="WEB91" s="15" t="n"/>
      <c r="WEC91" s="15" t="n"/>
      <c r="WED91" s="248" t="n"/>
      <c r="WEE91" s="248" t="n"/>
      <c r="WEF91" s="240" t="n"/>
      <c r="WEG91" s="240" t="n"/>
      <c r="WEI91" s="15" t="n"/>
      <c r="WEJ91" s="15" t="n"/>
      <c r="WEK91" s="248" t="n"/>
      <c r="WEL91" s="248" t="n"/>
      <c r="WEM91" s="240" t="n"/>
      <c r="WEN91" s="240" t="n"/>
      <c r="WEP91" s="15" t="n"/>
      <c r="WEQ91" s="15" t="n"/>
      <c r="WER91" s="248" t="n"/>
      <c r="WES91" s="248" t="n"/>
      <c r="WET91" s="240" t="n"/>
      <c r="WEU91" s="240" t="n"/>
      <c r="WEW91" s="15" t="n"/>
      <c r="WEX91" s="15" t="n"/>
      <c r="WEY91" s="248" t="n"/>
      <c r="WEZ91" s="248" t="n"/>
      <c r="WFA91" s="240" t="n"/>
      <c r="WFB91" s="240" t="n"/>
      <c r="WFD91" s="15" t="n"/>
      <c r="WFE91" s="15" t="n"/>
      <c r="WFF91" s="248" t="n"/>
      <c r="WFG91" s="248" t="n"/>
      <c r="WFH91" s="240" t="n"/>
      <c r="WFI91" s="240" t="n"/>
      <c r="WFK91" s="15" t="n"/>
      <c r="WFL91" s="15" t="n"/>
      <c r="WFM91" s="248" t="n"/>
      <c r="WFN91" s="248" t="n"/>
      <c r="WFO91" s="240" t="n"/>
      <c r="WFP91" s="240" t="n"/>
      <c r="WFR91" s="15" t="n"/>
      <c r="WFS91" s="15" t="n"/>
      <c r="WFT91" s="248" t="n"/>
      <c r="WFU91" s="248" t="n"/>
      <c r="WFV91" s="240" t="n"/>
      <c r="WFW91" s="240" t="n"/>
      <c r="WFY91" s="15" t="n"/>
      <c r="WFZ91" s="15" t="n"/>
      <c r="WGA91" s="248" t="n"/>
      <c r="WGB91" s="248" t="n"/>
      <c r="WGC91" s="240" t="n"/>
      <c r="WGD91" s="240" t="n"/>
      <c r="WGF91" s="15" t="n"/>
      <c r="WGG91" s="15" t="n"/>
      <c r="WGH91" s="248" t="n"/>
      <c r="WGI91" s="248" t="n"/>
      <c r="WGJ91" s="240" t="n"/>
      <c r="WGK91" s="240" t="n"/>
      <c r="WGM91" s="15" t="n"/>
      <c r="WGN91" s="15" t="n"/>
      <c r="WGO91" s="248" t="n"/>
      <c r="WGP91" s="248" t="n"/>
      <c r="WGQ91" s="240" t="n"/>
      <c r="WGR91" s="240" t="n"/>
      <c r="WGT91" s="15" t="n"/>
      <c r="WGU91" s="15" t="n"/>
      <c r="WGV91" s="248" t="n"/>
      <c r="WGW91" s="248" t="n"/>
      <c r="WGX91" s="240" t="n"/>
      <c r="WGY91" s="240" t="n"/>
      <c r="WHA91" s="15" t="n"/>
      <c r="WHB91" s="15" t="n"/>
      <c r="WHC91" s="248" t="n"/>
      <c r="WHD91" s="248" t="n"/>
      <c r="WHE91" s="240" t="n"/>
      <c r="WHF91" s="240" t="n"/>
      <c r="WHH91" s="15" t="n"/>
      <c r="WHI91" s="15" t="n"/>
      <c r="WHJ91" s="248" t="n"/>
      <c r="WHK91" s="248" t="n"/>
      <c r="WHL91" s="240" t="n"/>
      <c r="WHM91" s="240" t="n"/>
      <c r="WHO91" s="15" t="n"/>
      <c r="WHP91" s="15" t="n"/>
      <c r="WHQ91" s="248" t="n"/>
      <c r="WHR91" s="248" t="n"/>
      <c r="WHS91" s="240" t="n"/>
      <c r="WHT91" s="240" t="n"/>
      <c r="WHV91" s="15" t="n"/>
      <c r="WHW91" s="15" t="n"/>
      <c r="WHX91" s="248" t="n"/>
      <c r="WHY91" s="248" t="n"/>
      <c r="WHZ91" s="240" t="n"/>
      <c r="WIA91" s="240" t="n"/>
      <c r="WIC91" s="15" t="n"/>
      <c r="WID91" s="15" t="n"/>
      <c r="WIE91" s="248" t="n"/>
      <c r="WIF91" s="248" t="n"/>
      <c r="WIG91" s="240" t="n"/>
      <c r="WIH91" s="240" t="n"/>
      <c r="WIJ91" s="15" t="n"/>
      <c r="WIK91" s="15" t="n"/>
      <c r="WIL91" s="248" t="n"/>
      <c r="WIM91" s="248" t="n"/>
      <c r="WIN91" s="240" t="n"/>
      <c r="WIO91" s="240" t="n"/>
      <c r="WIQ91" s="15" t="n"/>
      <c r="WIR91" s="15" t="n"/>
      <c r="WIS91" s="248" t="n"/>
      <c r="WIT91" s="248" t="n"/>
      <c r="WIU91" s="240" t="n"/>
      <c r="WIV91" s="240" t="n"/>
      <c r="WIX91" s="15" t="n"/>
      <c r="WIY91" s="15" t="n"/>
      <c r="WIZ91" s="248" t="n"/>
      <c r="WJA91" s="248" t="n"/>
      <c r="WJB91" s="240" t="n"/>
      <c r="WJC91" s="240" t="n"/>
      <c r="WJE91" s="15" t="n"/>
      <c r="WJF91" s="15" t="n"/>
      <c r="WJG91" s="248" t="n"/>
      <c r="WJH91" s="248" t="n"/>
      <c r="WJI91" s="240" t="n"/>
      <c r="WJJ91" s="240" t="n"/>
      <c r="WJL91" s="15" t="n"/>
      <c r="WJM91" s="15" t="n"/>
      <c r="WJN91" s="248" t="n"/>
      <c r="WJO91" s="248" t="n"/>
      <c r="WJP91" s="240" t="n"/>
      <c r="WJQ91" s="240" t="n"/>
      <c r="WJS91" s="15" t="n"/>
      <c r="WJT91" s="15" t="n"/>
      <c r="WJU91" s="248" t="n"/>
      <c r="WJV91" s="248" t="n"/>
      <c r="WJW91" s="240" t="n"/>
      <c r="WJX91" s="240" t="n"/>
      <c r="WJZ91" s="15" t="n"/>
      <c r="WKA91" s="15" t="n"/>
      <c r="WKB91" s="248" t="n"/>
      <c r="WKC91" s="248" t="n"/>
      <c r="WKD91" s="240" t="n"/>
      <c r="WKE91" s="240" t="n"/>
      <c r="WKG91" s="15" t="n"/>
      <c r="WKH91" s="15" t="n"/>
      <c r="WKI91" s="248" t="n"/>
      <c r="WKJ91" s="248" t="n"/>
      <c r="WKK91" s="240" t="n"/>
      <c r="WKL91" s="240" t="n"/>
      <c r="WKN91" s="15" t="n"/>
      <c r="WKO91" s="15" t="n"/>
      <c r="WKP91" s="248" t="n"/>
      <c r="WKQ91" s="248" t="n"/>
      <c r="WKR91" s="240" t="n"/>
      <c r="WKS91" s="240" t="n"/>
      <c r="WKU91" s="15" t="n"/>
      <c r="WKV91" s="15" t="n"/>
      <c r="WKW91" s="248" t="n"/>
      <c r="WKX91" s="248" t="n"/>
      <c r="WKY91" s="240" t="n"/>
      <c r="WKZ91" s="240" t="n"/>
      <c r="WLB91" s="15" t="n"/>
      <c r="WLC91" s="15" t="n"/>
      <c r="WLD91" s="248" t="n"/>
      <c r="WLE91" s="248" t="n"/>
      <c r="WLF91" s="240" t="n"/>
      <c r="WLG91" s="240" t="n"/>
      <c r="WLI91" s="15" t="n"/>
      <c r="WLJ91" s="15" t="n"/>
      <c r="WLK91" s="248" t="n"/>
      <c r="WLL91" s="248" t="n"/>
      <c r="WLM91" s="240" t="n"/>
      <c r="WLN91" s="240" t="n"/>
      <c r="WLP91" s="15" t="n"/>
      <c r="WLQ91" s="15" t="n"/>
      <c r="WLR91" s="248" t="n"/>
      <c r="WLS91" s="248" t="n"/>
      <c r="WLT91" s="240" t="n"/>
      <c r="WLU91" s="240" t="n"/>
      <c r="WLW91" s="15" t="n"/>
      <c r="WLX91" s="15" t="n"/>
      <c r="WLY91" s="248" t="n"/>
      <c r="WLZ91" s="248" t="n"/>
      <c r="WMA91" s="240" t="n"/>
      <c r="WMB91" s="240" t="n"/>
      <c r="WMD91" s="15" t="n"/>
      <c r="WME91" s="15" t="n"/>
      <c r="WMF91" s="248" t="n"/>
      <c r="WMG91" s="248" t="n"/>
      <c r="WMH91" s="240" t="n"/>
      <c r="WMI91" s="240" t="n"/>
      <c r="WMK91" s="15" t="n"/>
      <c r="WML91" s="15" t="n"/>
      <c r="WMM91" s="248" t="n"/>
      <c r="WMN91" s="248" t="n"/>
      <c r="WMO91" s="240" t="n"/>
      <c r="WMP91" s="240" t="n"/>
      <c r="WMR91" s="15" t="n"/>
      <c r="WMS91" s="15" t="n"/>
      <c r="WMT91" s="248" t="n"/>
      <c r="WMU91" s="248" t="n"/>
      <c r="WMV91" s="240" t="n"/>
      <c r="WMW91" s="240" t="n"/>
      <c r="WMY91" s="15" t="n"/>
      <c r="WMZ91" s="15" t="n"/>
      <c r="WNA91" s="248" t="n"/>
      <c r="WNB91" s="248" t="n"/>
      <c r="WNC91" s="240" t="n"/>
      <c r="WND91" s="240" t="n"/>
      <c r="WNF91" s="15" t="n"/>
      <c r="WNG91" s="15" t="n"/>
      <c r="WNH91" s="248" t="n"/>
      <c r="WNI91" s="248" t="n"/>
      <c r="WNJ91" s="240" t="n"/>
      <c r="WNK91" s="240" t="n"/>
      <c r="WNM91" s="15" t="n"/>
      <c r="WNN91" s="15" t="n"/>
      <c r="WNO91" s="248" t="n"/>
      <c r="WNP91" s="248" t="n"/>
      <c r="WNQ91" s="240" t="n"/>
      <c r="WNR91" s="240" t="n"/>
      <c r="WNT91" s="15" t="n"/>
      <c r="WNU91" s="15" t="n"/>
      <c r="WNV91" s="248" t="n"/>
      <c r="WNW91" s="248" t="n"/>
      <c r="WNX91" s="240" t="n"/>
      <c r="WNY91" s="240" t="n"/>
      <c r="WOA91" s="15" t="n"/>
      <c r="WOB91" s="15" t="n"/>
      <c r="WOC91" s="248" t="n"/>
      <c r="WOD91" s="248" t="n"/>
      <c r="WOE91" s="240" t="n"/>
      <c r="WOF91" s="240" t="n"/>
      <c r="WOH91" s="15" t="n"/>
      <c r="WOI91" s="15" t="n"/>
      <c r="WOJ91" s="248" t="n"/>
      <c r="WOK91" s="248" t="n"/>
      <c r="WOL91" s="240" t="n"/>
      <c r="WOM91" s="240" t="n"/>
      <c r="WOO91" s="15" t="n"/>
      <c r="WOP91" s="15" t="n"/>
      <c r="WOQ91" s="248" t="n"/>
      <c r="WOR91" s="248" t="n"/>
      <c r="WOS91" s="240" t="n"/>
      <c r="WOT91" s="240" t="n"/>
      <c r="WOV91" s="15" t="n"/>
      <c r="WOW91" s="15" t="n"/>
      <c r="WOX91" s="248" t="n"/>
      <c r="WOY91" s="248" t="n"/>
      <c r="WOZ91" s="240" t="n"/>
      <c r="WPA91" s="240" t="n"/>
      <c r="WPC91" s="15" t="n"/>
      <c r="WPD91" s="15" t="n"/>
      <c r="WPE91" s="248" t="n"/>
      <c r="WPF91" s="248" t="n"/>
      <c r="WPG91" s="240" t="n"/>
      <c r="WPH91" s="240" t="n"/>
      <c r="WPJ91" s="15" t="n"/>
      <c r="WPK91" s="15" t="n"/>
      <c r="WPL91" s="248" t="n"/>
      <c r="WPM91" s="248" t="n"/>
      <c r="WPN91" s="240" t="n"/>
      <c r="WPO91" s="240" t="n"/>
      <c r="WPQ91" s="15" t="n"/>
      <c r="WPR91" s="15" t="n"/>
      <c r="WPS91" s="248" t="n"/>
      <c r="WPT91" s="248" t="n"/>
      <c r="WPU91" s="240" t="n"/>
      <c r="WPV91" s="240" t="n"/>
      <c r="WPX91" s="15" t="n"/>
      <c r="WPY91" s="15" t="n"/>
      <c r="WPZ91" s="248" t="n"/>
      <c r="WQA91" s="248" t="n"/>
      <c r="WQB91" s="240" t="n"/>
      <c r="WQC91" s="240" t="n"/>
      <c r="WQE91" s="15" t="n"/>
      <c r="WQF91" s="15" t="n"/>
      <c r="WQG91" s="248" t="n"/>
      <c r="WQH91" s="248" t="n"/>
      <c r="WQI91" s="240" t="n"/>
      <c r="WQJ91" s="240" t="n"/>
      <c r="WQL91" s="15" t="n"/>
      <c r="WQM91" s="15" t="n"/>
      <c r="WQN91" s="248" t="n"/>
      <c r="WQO91" s="248" t="n"/>
      <c r="WQP91" s="240" t="n"/>
      <c r="WQQ91" s="240" t="n"/>
      <c r="WQS91" s="15" t="n"/>
      <c r="WQT91" s="15" t="n"/>
      <c r="WQU91" s="248" t="n"/>
      <c r="WQV91" s="248" t="n"/>
      <c r="WQW91" s="240" t="n"/>
      <c r="WQX91" s="240" t="n"/>
      <c r="WQZ91" s="15" t="n"/>
      <c r="WRA91" s="15" t="n"/>
      <c r="WRB91" s="248" t="n"/>
      <c r="WRC91" s="248" t="n"/>
      <c r="WRD91" s="240" t="n"/>
      <c r="WRE91" s="240" t="n"/>
      <c r="WRG91" s="15" t="n"/>
      <c r="WRH91" s="15" t="n"/>
      <c r="WRI91" s="248" t="n"/>
      <c r="WRJ91" s="248" t="n"/>
      <c r="WRK91" s="240" t="n"/>
      <c r="WRL91" s="240" t="n"/>
      <c r="WRN91" s="15" t="n"/>
      <c r="WRO91" s="15" t="n"/>
      <c r="WRP91" s="248" t="n"/>
      <c r="WRQ91" s="248" t="n"/>
      <c r="WRR91" s="240" t="n"/>
      <c r="WRS91" s="240" t="n"/>
      <c r="WRU91" s="15" t="n"/>
      <c r="WRV91" s="15" t="n"/>
      <c r="WRW91" s="248" t="n"/>
      <c r="WRX91" s="248" t="n"/>
      <c r="WRY91" s="240" t="n"/>
      <c r="WRZ91" s="240" t="n"/>
      <c r="WSB91" s="15" t="n"/>
      <c r="WSC91" s="15" t="n"/>
      <c r="WSD91" s="248" t="n"/>
      <c r="WSE91" s="248" t="n"/>
      <c r="WSF91" s="240" t="n"/>
      <c r="WSG91" s="240" t="n"/>
      <c r="WSI91" s="15" t="n"/>
      <c r="WSJ91" s="15" t="n"/>
      <c r="WSK91" s="248" t="n"/>
      <c r="WSL91" s="248" t="n"/>
      <c r="WSM91" s="240" t="n"/>
      <c r="WSN91" s="240" t="n"/>
      <c r="WSP91" s="15" t="n"/>
      <c r="WSQ91" s="15" t="n"/>
      <c r="WSR91" s="248" t="n"/>
      <c r="WSS91" s="248" t="n"/>
      <c r="WST91" s="240" t="n"/>
      <c r="WSU91" s="240" t="n"/>
      <c r="WSW91" s="15" t="n"/>
      <c r="WSX91" s="15" t="n"/>
      <c r="WSY91" s="248" t="n"/>
      <c r="WSZ91" s="248" t="n"/>
      <c r="WTA91" s="240" t="n"/>
      <c r="WTB91" s="240" t="n"/>
      <c r="WTD91" s="15" t="n"/>
      <c r="WTE91" s="15" t="n"/>
      <c r="WTF91" s="248" t="n"/>
      <c r="WTG91" s="248" t="n"/>
      <c r="WTH91" s="240" t="n"/>
      <c r="WTI91" s="240" t="n"/>
      <c r="WTK91" s="15" t="n"/>
      <c r="WTL91" s="15" t="n"/>
      <c r="WTM91" s="248" t="n"/>
      <c r="WTN91" s="248" t="n"/>
      <c r="WTO91" s="240" t="n"/>
      <c r="WTP91" s="240" t="n"/>
      <c r="WTR91" s="15" t="n"/>
      <c r="WTS91" s="15" t="n"/>
      <c r="WTT91" s="248" t="n"/>
      <c r="WTU91" s="248" t="n"/>
      <c r="WTV91" s="240" t="n"/>
      <c r="WTW91" s="240" t="n"/>
      <c r="WTY91" s="15" t="n"/>
      <c r="WTZ91" s="15" t="n"/>
      <c r="WUA91" s="248" t="n"/>
      <c r="WUB91" s="248" t="n"/>
      <c r="WUC91" s="240" t="n"/>
      <c r="WUD91" s="240" t="n"/>
      <c r="WUF91" s="15" t="n"/>
      <c r="WUG91" s="15" t="n"/>
      <c r="WUH91" s="248" t="n"/>
      <c r="WUI91" s="248" t="n"/>
      <c r="WUJ91" s="240" t="n"/>
      <c r="WUK91" s="240" t="n"/>
      <c r="WUM91" s="15" t="n"/>
      <c r="WUN91" s="15" t="n"/>
      <c r="WUO91" s="248" t="n"/>
      <c r="WUP91" s="248" t="n"/>
      <c r="WUQ91" s="240" t="n"/>
      <c r="WUR91" s="240" t="n"/>
      <c r="WUT91" s="15" t="n"/>
      <c r="WUU91" s="15" t="n"/>
      <c r="WUV91" s="248" t="n"/>
      <c r="WUW91" s="248" t="n"/>
      <c r="WUX91" s="240" t="n"/>
      <c r="WUY91" s="240" t="n"/>
      <c r="WVA91" s="15" t="n"/>
      <c r="WVB91" s="15" t="n"/>
      <c r="WVC91" s="248" t="n"/>
      <c r="WVD91" s="248" t="n"/>
      <c r="WVE91" s="240" t="n"/>
      <c r="WVF91" s="240" t="n"/>
      <c r="WVH91" s="15" t="n"/>
      <c r="WVI91" s="15" t="n"/>
      <c r="WVJ91" s="248" t="n"/>
      <c r="WVK91" s="248" t="n"/>
      <c r="WVL91" s="240" t="n"/>
      <c r="WVM91" s="240" t="n"/>
      <c r="WVO91" s="15" t="n"/>
      <c r="WVP91" s="15" t="n"/>
      <c r="WVQ91" s="248" t="n"/>
      <c r="WVR91" s="248" t="n"/>
      <c r="WVS91" s="240" t="n"/>
      <c r="WVT91" s="240" t="n"/>
      <c r="WVV91" s="15" t="n"/>
      <c r="WVW91" s="15" t="n"/>
      <c r="WVX91" s="248" t="n"/>
      <c r="WVY91" s="248" t="n"/>
      <c r="WVZ91" s="240" t="n"/>
      <c r="WWA91" s="240" t="n"/>
      <c r="WWC91" s="15" t="n"/>
      <c r="WWD91" s="15" t="n"/>
      <c r="WWE91" s="248" t="n"/>
      <c r="WWF91" s="248" t="n"/>
      <c r="WWG91" s="240" t="n"/>
      <c r="WWH91" s="240" t="n"/>
      <c r="WWJ91" s="15" t="n"/>
      <c r="WWK91" s="15" t="n"/>
      <c r="WWL91" s="248" t="n"/>
      <c r="WWM91" s="248" t="n"/>
      <c r="WWN91" s="240" t="n"/>
      <c r="WWO91" s="240" t="n"/>
      <c r="WWQ91" s="15" t="n"/>
      <c r="WWR91" s="15" t="n"/>
      <c r="WWS91" s="248" t="n"/>
      <c r="WWT91" s="248" t="n"/>
      <c r="WWU91" s="240" t="n"/>
      <c r="WWV91" s="240" t="n"/>
      <c r="WWX91" s="15" t="n"/>
      <c r="WWY91" s="15" t="n"/>
      <c r="WWZ91" s="248" t="n"/>
      <c r="WXA91" s="248" t="n"/>
      <c r="WXB91" s="240" t="n"/>
      <c r="WXC91" s="240" t="n"/>
      <c r="WXE91" s="15" t="n"/>
      <c r="WXF91" s="15" t="n"/>
      <c r="WXG91" s="248" t="n"/>
      <c r="WXH91" s="248" t="n"/>
      <c r="WXI91" s="240" t="n"/>
      <c r="WXJ91" s="240" t="n"/>
      <c r="WXL91" s="15" t="n"/>
      <c r="WXM91" s="15" t="n"/>
      <c r="WXN91" s="248" t="n"/>
      <c r="WXO91" s="248" t="n"/>
      <c r="WXP91" s="240" t="n"/>
      <c r="WXQ91" s="240" t="n"/>
      <c r="WXS91" s="15" t="n"/>
      <c r="WXT91" s="15" t="n"/>
      <c r="WXU91" s="248" t="n"/>
      <c r="WXV91" s="248" t="n"/>
      <c r="WXW91" s="240" t="n"/>
      <c r="WXX91" s="240" t="n"/>
      <c r="WXZ91" s="15" t="n"/>
      <c r="WYA91" s="15" t="n"/>
      <c r="WYB91" s="248" t="n"/>
      <c r="WYC91" s="248" t="n"/>
      <c r="WYD91" s="240" t="n"/>
      <c r="WYE91" s="240" t="n"/>
      <c r="WYG91" s="15" t="n"/>
      <c r="WYH91" s="15" t="n"/>
      <c r="WYI91" s="248" t="n"/>
      <c r="WYJ91" s="248" t="n"/>
      <c r="WYK91" s="240" t="n"/>
      <c r="WYL91" s="240" t="n"/>
      <c r="WYN91" s="15" t="n"/>
      <c r="WYO91" s="15" t="n"/>
      <c r="WYP91" s="248" t="n"/>
      <c r="WYQ91" s="248" t="n"/>
      <c r="WYR91" s="240" t="n"/>
      <c r="WYS91" s="240" t="n"/>
      <c r="WYU91" s="15" t="n"/>
      <c r="WYV91" s="15" t="n"/>
      <c r="WYW91" s="248" t="n"/>
      <c r="WYX91" s="248" t="n"/>
      <c r="WYY91" s="240" t="n"/>
      <c r="WYZ91" s="240" t="n"/>
      <c r="WZB91" s="15" t="n"/>
      <c r="WZC91" s="15" t="n"/>
      <c r="WZD91" s="248" t="n"/>
      <c r="WZE91" s="248" t="n"/>
      <c r="WZF91" s="240" t="n"/>
      <c r="WZG91" s="240" t="n"/>
      <c r="WZI91" s="15" t="n"/>
      <c r="WZJ91" s="15" t="n"/>
      <c r="WZK91" s="248" t="n"/>
      <c r="WZL91" s="248" t="n"/>
      <c r="WZM91" s="240" t="n"/>
      <c r="WZN91" s="240" t="n"/>
      <c r="WZP91" s="15" t="n"/>
      <c r="WZQ91" s="15" t="n"/>
      <c r="WZR91" s="248" t="n"/>
      <c r="WZS91" s="248" t="n"/>
      <c r="WZT91" s="240" t="n"/>
      <c r="WZU91" s="240" t="n"/>
      <c r="WZW91" s="15" t="n"/>
      <c r="WZX91" s="15" t="n"/>
      <c r="WZY91" s="248" t="n"/>
      <c r="WZZ91" s="248" t="n"/>
      <c r="XAA91" s="240" t="n"/>
      <c r="XAB91" s="240" t="n"/>
      <c r="XAD91" s="15" t="n"/>
      <c r="XAE91" s="15" t="n"/>
      <c r="XAF91" s="248" t="n"/>
      <c r="XAG91" s="248" t="n"/>
      <c r="XAH91" s="240" t="n"/>
      <c r="XAI91" s="240" t="n"/>
      <c r="XAK91" s="15" t="n"/>
      <c r="XAL91" s="15" t="n"/>
      <c r="XAM91" s="248" t="n"/>
      <c r="XAN91" s="248" t="n"/>
      <c r="XAO91" s="240" t="n"/>
      <c r="XAP91" s="240" t="n"/>
      <c r="XAR91" s="15" t="n"/>
      <c r="XAS91" s="15" t="n"/>
      <c r="XAT91" s="248" t="n"/>
      <c r="XAU91" s="248" t="n"/>
      <c r="XAV91" s="240" t="n"/>
      <c r="XAW91" s="240" t="n"/>
      <c r="XAY91" s="15" t="n"/>
      <c r="XAZ91" s="15" t="n"/>
      <c r="XBA91" s="248" t="n"/>
      <c r="XBB91" s="248" t="n"/>
      <c r="XBC91" s="240" t="n"/>
      <c r="XBD91" s="240" t="n"/>
      <c r="XBF91" s="15" t="n"/>
      <c r="XBG91" s="15" t="n"/>
      <c r="XBH91" s="248" t="n"/>
      <c r="XBI91" s="248" t="n"/>
      <c r="XBJ91" s="240" t="n"/>
      <c r="XBK91" s="240" t="n"/>
      <c r="XBM91" s="15" t="n"/>
      <c r="XBN91" s="15" t="n"/>
      <c r="XBO91" s="248" t="n"/>
      <c r="XBP91" s="248" t="n"/>
      <c r="XBQ91" s="240" t="n"/>
      <c r="XBR91" s="240" t="n"/>
      <c r="XBT91" s="15" t="n"/>
      <c r="XBU91" s="15" t="n"/>
      <c r="XBV91" s="248" t="n"/>
      <c r="XBW91" s="248" t="n"/>
      <c r="XBX91" s="240" t="n"/>
      <c r="XBY91" s="240" t="n"/>
      <c r="XCA91" s="15" t="n"/>
      <c r="XCB91" s="15" t="n"/>
      <c r="XCC91" s="248" t="n"/>
      <c r="XCD91" s="248" t="n"/>
      <c r="XCE91" s="240" t="n"/>
      <c r="XCF91" s="240" t="n"/>
      <c r="XCH91" s="15" t="n"/>
      <c r="XCI91" s="15" t="n"/>
      <c r="XCJ91" s="248" t="n"/>
      <c r="XCK91" s="248" t="n"/>
      <c r="XCL91" s="240" t="n"/>
      <c r="XCM91" s="240" t="n"/>
      <c r="XCO91" s="15" t="n"/>
      <c r="XCP91" s="15" t="n"/>
      <c r="XCQ91" s="248" t="n"/>
      <c r="XCR91" s="248" t="n"/>
      <c r="XCS91" s="240" t="n"/>
      <c r="XCT91" s="240" t="n"/>
      <c r="XCV91" s="15" t="n"/>
      <c r="XCW91" s="15" t="n"/>
      <c r="XCX91" s="248" t="n"/>
      <c r="XCY91" s="248" t="n"/>
      <c r="XCZ91" s="240" t="n"/>
      <c r="XDA91" s="240" t="n"/>
      <c r="XDC91" s="15" t="n"/>
      <c r="XDD91" s="15" t="n"/>
      <c r="XDE91" s="248" t="n"/>
      <c r="XDF91" s="248" t="n"/>
      <c r="XDG91" s="240" t="n"/>
      <c r="XDH91" s="240" t="n"/>
      <c r="XDJ91" s="15" t="n"/>
      <c r="XDK91" s="15" t="n"/>
      <c r="XDL91" s="248" t="n"/>
      <c r="XDM91" s="248" t="n"/>
      <c r="XDN91" s="240" t="n"/>
      <c r="XDO91" s="240" t="n"/>
      <c r="XDQ91" s="15" t="n"/>
      <c r="XDR91" s="15" t="n"/>
      <c r="XDS91" s="248" t="n"/>
      <c r="XDT91" s="248" t="n"/>
      <c r="XDU91" s="240" t="n"/>
      <c r="XDV91" s="240" t="n"/>
      <c r="XDX91" s="15" t="n"/>
      <c r="XDY91" s="15" t="n"/>
      <c r="XDZ91" s="248" t="n"/>
      <c r="XEA91" s="248" t="n"/>
      <c r="XEB91" s="240" t="n"/>
      <c r="XEC91" s="240" t="n"/>
      <c r="XEE91" s="15" t="n"/>
      <c r="XEF91" s="15" t="n"/>
      <c r="XEG91" s="248" t="n"/>
      <c r="XEH91" s="248" t="n"/>
      <c r="XEI91" s="240" t="n"/>
      <c r="XEJ91" s="240" t="n"/>
      <c r="XEL91" s="15" t="n"/>
      <c r="XEM91" s="15" t="n"/>
      <c r="XEN91" s="248" t="n"/>
      <c r="XEO91" s="248" t="n"/>
      <c r="XEP91" s="240" t="n"/>
      <c r="XEQ91" s="240" t="n"/>
      <c r="XES91" s="15" t="n"/>
      <c r="XET91" s="15" t="n"/>
      <c r="XEU91" s="248" t="n"/>
      <c r="XEV91" s="248" t="n"/>
      <c r="XEW91" s="240" t="n"/>
      <c r="XEX91" s="240" t="n"/>
      <c r="XEZ91" s="15" t="n"/>
      <c r="XFA91" s="15" t="n"/>
      <c r="XFB91" s="248" t="n"/>
      <c r="XFC91" s="248" t="n"/>
      <c r="XFD91" s="240" t="n"/>
    </row>
    <row r="92">
      <c r="A92" s="41" t="inlineStr">
        <is>
          <t>Coverage J</t>
        </is>
      </c>
      <c r="B92" s="42" t="inlineStr">
        <is>
          <t>Farm Employers Liability</t>
        </is>
      </c>
      <c r="C92" s="42" t="n"/>
      <c r="D92" s="42" t="n"/>
      <c r="E92" s="253" t="n">
        <v>500000</v>
      </c>
      <c r="F92" s="257" t="inlineStr">
        <is>
          <t>per occurrence, $1,000,000 in the annual aggregate</t>
        </is>
      </c>
      <c r="G92" s="253" t="n"/>
      <c r="H92" s="253" t="n"/>
      <c r="I92" s="253" t="n"/>
      <c r="J92" s="253" t="n"/>
      <c r="K92" s="154" t="n">
        <v>60</v>
      </c>
      <c r="L92" s="142" t="n">
        <v>0</v>
      </c>
      <c r="M92" s="254" t="n"/>
      <c r="N92" s="93" t="n"/>
      <c r="O92" s="15" t="n"/>
      <c r="P92" s="248" t="n"/>
      <c r="Q92" s="248" t="n"/>
      <c r="R92" s="240" t="n"/>
      <c r="S92" s="240" t="n"/>
      <c r="U92" s="15" t="n"/>
      <c r="V92" s="15" t="n"/>
      <c r="W92" s="248" t="n"/>
      <c r="X92" s="248" t="n"/>
      <c r="Y92" s="240" t="n"/>
      <c r="Z92" s="240" t="n"/>
      <c r="AB92" s="15" t="n"/>
      <c r="AC92" s="15" t="n"/>
      <c r="AD92" s="248" t="n"/>
      <c r="AE92" s="248" t="n"/>
      <c r="AF92" s="240" t="n"/>
      <c r="AG92" s="240" t="n"/>
      <c r="AI92" s="15" t="n"/>
      <c r="AJ92" s="15" t="n"/>
      <c r="AK92" s="248" t="n"/>
      <c r="AL92" s="248" t="n"/>
      <c r="AM92" s="240" t="n"/>
      <c r="AN92" s="240" t="n"/>
      <c r="AP92" s="15" t="n"/>
      <c r="AQ92" s="15" t="n"/>
      <c r="AR92" s="248" t="n"/>
      <c r="AS92" s="248" t="n"/>
      <c r="AT92" s="240" t="n"/>
      <c r="AU92" s="240" t="n"/>
      <c r="AW92" s="15" t="n"/>
      <c r="AX92" s="15" t="n"/>
      <c r="AY92" s="248" t="n"/>
      <c r="AZ92" s="248" t="n"/>
      <c r="BA92" s="240" t="n"/>
      <c r="BB92" s="240" t="n"/>
      <c r="BD92" s="15" t="n"/>
      <c r="BE92" s="15" t="n"/>
      <c r="BF92" s="248" t="n"/>
      <c r="BG92" s="248" t="n"/>
      <c r="BH92" s="240" t="n"/>
      <c r="BI92" s="240" t="n"/>
      <c r="BK92" s="15" t="n"/>
      <c r="BL92" s="15" t="n"/>
      <c r="BM92" s="248" t="n"/>
      <c r="BN92" s="248" t="n"/>
      <c r="BO92" s="240" t="n"/>
      <c r="BP92" s="240" t="n"/>
      <c r="BR92" s="15" t="n"/>
      <c r="BS92" s="15" t="n"/>
      <c r="BT92" s="248" t="n"/>
      <c r="BU92" s="248" t="n"/>
      <c r="BV92" s="240" t="n"/>
      <c r="BW92" s="240" t="n"/>
      <c r="BY92" s="15" t="n"/>
      <c r="BZ92" s="15" t="n"/>
      <c r="CA92" s="248" t="n"/>
      <c r="CB92" s="248" t="n"/>
      <c r="CC92" s="240" t="n"/>
      <c r="CD92" s="240" t="n"/>
      <c r="CF92" s="15" t="n"/>
      <c r="CG92" s="15" t="n"/>
      <c r="CH92" s="248" t="n"/>
      <c r="CI92" s="248" t="n"/>
      <c r="CJ92" s="240" t="n"/>
      <c r="CK92" s="240" t="n"/>
      <c r="CM92" s="15" t="n"/>
      <c r="CN92" s="15" t="n"/>
      <c r="CO92" s="248" t="n"/>
      <c r="CP92" s="248" t="n"/>
      <c r="CQ92" s="240" t="n"/>
      <c r="CR92" s="240" t="n"/>
      <c r="CT92" s="15" t="n"/>
      <c r="CU92" s="15" t="n"/>
      <c r="CV92" s="248" t="n"/>
      <c r="CW92" s="248" t="n"/>
      <c r="CX92" s="240" t="n"/>
      <c r="CY92" s="240" t="n"/>
      <c r="DA92" s="15" t="n"/>
      <c r="DB92" s="15" t="n"/>
      <c r="DC92" s="248" t="n"/>
      <c r="DD92" s="248" t="n"/>
      <c r="DE92" s="240" t="n"/>
      <c r="DF92" s="240" t="n"/>
      <c r="DH92" s="15" t="n"/>
      <c r="DI92" s="15" t="n"/>
      <c r="DJ92" s="248" t="n"/>
      <c r="DK92" s="248" t="n"/>
      <c r="DL92" s="240" t="n"/>
      <c r="DM92" s="240" t="n"/>
      <c r="DO92" s="15" t="n"/>
      <c r="DP92" s="15" t="n"/>
      <c r="DQ92" s="248" t="n"/>
      <c r="DR92" s="248" t="n"/>
      <c r="DS92" s="240" t="n"/>
      <c r="DT92" s="240" t="n"/>
      <c r="DV92" s="15" t="n"/>
      <c r="DW92" s="15" t="n"/>
      <c r="DX92" s="248" t="n"/>
      <c r="DY92" s="248" t="n"/>
      <c r="DZ92" s="240" t="n"/>
      <c r="EA92" s="240" t="n"/>
      <c r="EC92" s="15" t="n"/>
      <c r="ED92" s="15" t="n"/>
      <c r="EE92" s="248" t="n"/>
      <c r="EF92" s="248" t="n"/>
      <c r="EG92" s="240" t="n"/>
      <c r="EH92" s="240" t="n"/>
      <c r="EJ92" s="15" t="n"/>
      <c r="EK92" s="15" t="n"/>
      <c r="EL92" s="248" t="n"/>
      <c r="EM92" s="248" t="n"/>
      <c r="EN92" s="240" t="n"/>
      <c r="EO92" s="240" t="n"/>
      <c r="EQ92" s="15" t="n"/>
      <c r="ER92" s="15" t="n"/>
      <c r="ES92" s="248" t="n"/>
      <c r="ET92" s="248" t="n"/>
      <c r="EU92" s="240" t="n"/>
      <c r="EV92" s="240" t="n"/>
      <c r="EX92" s="15" t="n"/>
      <c r="EY92" s="15" t="n"/>
      <c r="EZ92" s="248" t="n"/>
      <c r="FA92" s="248" t="n"/>
      <c r="FB92" s="240" t="n"/>
      <c r="FC92" s="240" t="n"/>
      <c r="FE92" s="15" t="n"/>
      <c r="FF92" s="15" t="n"/>
      <c r="FG92" s="248" t="n"/>
      <c r="FH92" s="248" t="n"/>
      <c r="FI92" s="240" t="n"/>
      <c r="FJ92" s="240" t="n"/>
      <c r="FL92" s="15" t="n"/>
      <c r="FM92" s="15" t="n"/>
      <c r="FN92" s="248" t="n"/>
      <c r="FO92" s="248" t="n"/>
      <c r="FP92" s="240" t="n"/>
      <c r="FQ92" s="240" t="n"/>
      <c r="FS92" s="15" t="n"/>
      <c r="FT92" s="15" t="n"/>
      <c r="FU92" s="248" t="n"/>
      <c r="FV92" s="248" t="n"/>
      <c r="FW92" s="240" t="n"/>
      <c r="FX92" s="240" t="n"/>
      <c r="FZ92" s="15" t="n"/>
      <c r="GA92" s="15" t="n"/>
      <c r="GB92" s="248" t="n"/>
      <c r="GC92" s="248" t="n"/>
      <c r="GD92" s="240" t="n"/>
      <c r="GE92" s="240" t="n"/>
      <c r="GG92" s="15" t="n"/>
      <c r="GH92" s="15" t="n"/>
      <c r="GI92" s="248" t="n"/>
      <c r="GJ92" s="248" t="n"/>
      <c r="GK92" s="240" t="n"/>
      <c r="GL92" s="240" t="n"/>
      <c r="GN92" s="15" t="n"/>
      <c r="GO92" s="15" t="n"/>
      <c r="GP92" s="248" t="n"/>
      <c r="GQ92" s="248" t="n"/>
      <c r="GR92" s="240" t="n"/>
      <c r="GS92" s="240" t="n"/>
      <c r="GU92" s="15" t="n"/>
      <c r="GV92" s="15" t="n"/>
      <c r="GW92" s="248" t="n"/>
      <c r="GX92" s="248" t="n"/>
      <c r="GY92" s="240" t="n"/>
      <c r="GZ92" s="240" t="n"/>
      <c r="HB92" s="15" t="n"/>
      <c r="HC92" s="15" t="n"/>
      <c r="HD92" s="248" t="n"/>
      <c r="HE92" s="248" t="n"/>
      <c r="HF92" s="240" t="n"/>
      <c r="HG92" s="240" t="n"/>
      <c r="HI92" s="15" t="n"/>
      <c r="HJ92" s="15" t="n"/>
      <c r="HK92" s="248" t="n"/>
      <c r="HL92" s="248" t="n"/>
      <c r="HM92" s="240" t="n"/>
      <c r="HN92" s="240" t="n"/>
      <c r="HP92" s="15" t="n"/>
      <c r="HQ92" s="15" t="n"/>
      <c r="HR92" s="248" t="n"/>
      <c r="HS92" s="248" t="n"/>
      <c r="HT92" s="240" t="n"/>
      <c r="HU92" s="240" t="n"/>
      <c r="HW92" s="15" t="n"/>
      <c r="HX92" s="15" t="n"/>
      <c r="HY92" s="248" t="n"/>
      <c r="HZ92" s="248" t="n"/>
      <c r="IA92" s="240" t="n"/>
      <c r="IB92" s="240" t="n"/>
      <c r="ID92" s="15" t="n"/>
      <c r="IE92" s="15" t="n"/>
      <c r="IF92" s="248" t="n"/>
      <c r="IG92" s="248" t="n"/>
      <c r="IH92" s="240" t="n"/>
      <c r="II92" s="240" t="n"/>
      <c r="IK92" s="15" t="n"/>
      <c r="IL92" s="15" t="n"/>
      <c r="IM92" s="248" t="n"/>
      <c r="IN92" s="248" t="n"/>
      <c r="IO92" s="240" t="n"/>
      <c r="IP92" s="240" t="n"/>
      <c r="IR92" s="15" t="n"/>
      <c r="IS92" s="15" t="n"/>
      <c r="IT92" s="248" t="n"/>
      <c r="IU92" s="248" t="n"/>
      <c r="IV92" s="240" t="n"/>
      <c r="IW92" s="240" t="n"/>
      <c r="IY92" s="15" t="n"/>
      <c r="IZ92" s="15" t="n"/>
      <c r="JA92" s="248" t="n"/>
      <c r="JB92" s="248" t="n"/>
      <c r="JC92" s="240" t="n"/>
      <c r="JD92" s="240" t="n"/>
      <c r="JF92" s="15" t="n"/>
      <c r="JG92" s="15" t="n"/>
      <c r="JH92" s="248" t="n"/>
      <c r="JI92" s="248" t="n"/>
      <c r="JJ92" s="240" t="n"/>
      <c r="JK92" s="240" t="n"/>
      <c r="JM92" s="15" t="n"/>
      <c r="JN92" s="15" t="n"/>
      <c r="JO92" s="248" t="n"/>
      <c r="JP92" s="248" t="n"/>
      <c r="JQ92" s="240" t="n"/>
      <c r="JR92" s="240" t="n"/>
      <c r="JT92" s="15" t="n"/>
      <c r="JU92" s="15" t="n"/>
      <c r="JV92" s="248" t="n"/>
      <c r="JW92" s="248" t="n"/>
      <c r="JX92" s="240" t="n"/>
      <c r="JY92" s="240" t="n"/>
      <c r="KA92" s="15" t="n"/>
      <c r="KB92" s="15" t="n"/>
      <c r="KC92" s="248" t="n"/>
      <c r="KD92" s="248" t="n"/>
      <c r="KE92" s="240" t="n"/>
      <c r="KF92" s="240" t="n"/>
      <c r="KH92" s="15" t="n"/>
      <c r="KI92" s="15" t="n"/>
      <c r="KJ92" s="248" t="n"/>
      <c r="KK92" s="248" t="n"/>
      <c r="KL92" s="240" t="n"/>
      <c r="KM92" s="240" t="n"/>
      <c r="KO92" s="15" t="n"/>
      <c r="KP92" s="15" t="n"/>
      <c r="KQ92" s="248" t="n"/>
      <c r="KR92" s="248" t="n"/>
      <c r="KS92" s="240" t="n"/>
      <c r="KT92" s="240" t="n"/>
      <c r="KV92" s="15" t="n"/>
      <c r="KW92" s="15" t="n"/>
      <c r="KX92" s="248" t="n"/>
      <c r="KY92" s="248" t="n"/>
      <c r="KZ92" s="240" t="n"/>
      <c r="LA92" s="240" t="n"/>
      <c r="LC92" s="15" t="n"/>
      <c r="LD92" s="15" t="n"/>
      <c r="LE92" s="248" t="n"/>
      <c r="LF92" s="248" t="n"/>
      <c r="LG92" s="240" t="n"/>
      <c r="LH92" s="240" t="n"/>
      <c r="LJ92" s="15" t="n"/>
      <c r="LK92" s="15" t="n"/>
      <c r="LL92" s="248" t="n"/>
      <c r="LM92" s="248" t="n"/>
      <c r="LN92" s="240" t="n"/>
      <c r="LO92" s="240" t="n"/>
      <c r="LQ92" s="15" t="n"/>
      <c r="LR92" s="15" t="n"/>
      <c r="LS92" s="248" t="n"/>
      <c r="LT92" s="248" t="n"/>
      <c r="LU92" s="240" t="n"/>
      <c r="LV92" s="240" t="n"/>
      <c r="LX92" s="15" t="n"/>
      <c r="LY92" s="15" t="n"/>
      <c r="LZ92" s="248" t="n"/>
      <c r="MA92" s="248" t="n"/>
      <c r="MB92" s="240" t="n"/>
      <c r="MC92" s="240" t="n"/>
      <c r="ME92" s="15" t="n"/>
      <c r="MF92" s="15" t="n"/>
      <c r="MG92" s="248" t="n"/>
      <c r="MH92" s="248" t="n"/>
      <c r="MI92" s="240" t="n"/>
      <c r="MJ92" s="240" t="n"/>
      <c r="ML92" s="15" t="n"/>
      <c r="MM92" s="15" t="n"/>
      <c r="MN92" s="248" t="n"/>
      <c r="MO92" s="248" t="n"/>
      <c r="MP92" s="240" t="n"/>
      <c r="MQ92" s="240" t="n"/>
      <c r="MS92" s="15" t="n"/>
      <c r="MT92" s="15" t="n"/>
      <c r="MU92" s="248" t="n"/>
      <c r="MV92" s="248" t="n"/>
      <c r="MW92" s="240" t="n"/>
      <c r="MX92" s="240" t="n"/>
      <c r="MZ92" s="15" t="n"/>
      <c r="NA92" s="15" t="n"/>
      <c r="NB92" s="248" t="n"/>
      <c r="NC92" s="248" t="n"/>
      <c r="ND92" s="240" t="n"/>
      <c r="NE92" s="240" t="n"/>
      <c r="NG92" s="15" t="n"/>
      <c r="NH92" s="15" t="n"/>
      <c r="NI92" s="248" t="n"/>
      <c r="NJ92" s="248" t="n"/>
      <c r="NK92" s="240" t="n"/>
      <c r="NL92" s="240" t="n"/>
      <c r="NN92" s="15" t="n"/>
      <c r="NO92" s="15" t="n"/>
      <c r="NP92" s="248" t="n"/>
      <c r="NQ92" s="248" t="n"/>
      <c r="NR92" s="240" t="n"/>
      <c r="NS92" s="240" t="n"/>
      <c r="NU92" s="15" t="n"/>
      <c r="NV92" s="15" t="n"/>
      <c r="NW92" s="248" t="n"/>
      <c r="NX92" s="248" t="n"/>
      <c r="NY92" s="240" t="n"/>
      <c r="NZ92" s="240" t="n"/>
      <c r="OB92" s="15" t="n"/>
      <c r="OC92" s="15" t="n"/>
      <c r="OD92" s="248" t="n"/>
      <c r="OE92" s="248" t="n"/>
      <c r="OF92" s="240" t="n"/>
      <c r="OG92" s="240" t="n"/>
      <c r="OI92" s="15" t="n"/>
      <c r="OJ92" s="15" t="n"/>
      <c r="OK92" s="248" t="n"/>
      <c r="OL92" s="248" t="n"/>
      <c r="OM92" s="240" t="n"/>
      <c r="ON92" s="240" t="n"/>
      <c r="OP92" s="15" t="n"/>
      <c r="OQ92" s="15" t="n"/>
      <c r="OR92" s="248" t="n"/>
      <c r="OS92" s="248" t="n"/>
      <c r="OT92" s="240" t="n"/>
      <c r="OU92" s="240" t="n"/>
      <c r="OW92" s="15" t="n"/>
      <c r="OX92" s="15" t="n"/>
      <c r="OY92" s="248" t="n"/>
      <c r="OZ92" s="248" t="n"/>
      <c r="PA92" s="240" t="n"/>
      <c r="PB92" s="240" t="n"/>
      <c r="PD92" s="15" t="n"/>
      <c r="PE92" s="15" t="n"/>
      <c r="PF92" s="248" t="n"/>
      <c r="PG92" s="248" t="n"/>
      <c r="PH92" s="240" t="n"/>
      <c r="PI92" s="240" t="n"/>
      <c r="PK92" s="15" t="n"/>
      <c r="PL92" s="15" t="n"/>
      <c r="PM92" s="248" t="n"/>
      <c r="PN92" s="248" t="n"/>
      <c r="PO92" s="240" t="n"/>
      <c r="PP92" s="240" t="n"/>
      <c r="PR92" s="15" t="n"/>
      <c r="PS92" s="15" t="n"/>
      <c r="PT92" s="248" t="n"/>
      <c r="PU92" s="248" t="n"/>
      <c r="PV92" s="240" t="n"/>
      <c r="PW92" s="240" t="n"/>
      <c r="PY92" s="15" t="n"/>
      <c r="PZ92" s="15" t="n"/>
      <c r="QA92" s="248" t="n"/>
      <c r="QB92" s="248" t="n"/>
      <c r="QC92" s="240" t="n"/>
      <c r="QD92" s="240" t="n"/>
      <c r="QF92" s="15" t="n"/>
      <c r="QG92" s="15" t="n"/>
      <c r="QH92" s="248" t="n"/>
      <c r="QI92" s="248" t="n"/>
      <c r="QJ92" s="240" t="n"/>
      <c r="QK92" s="240" t="n"/>
      <c r="QM92" s="15" t="n"/>
      <c r="QN92" s="15" t="n"/>
      <c r="QO92" s="248" t="n"/>
      <c r="QP92" s="248" t="n"/>
      <c r="QQ92" s="240" t="n"/>
      <c r="QR92" s="240" t="n"/>
      <c r="QT92" s="15" t="n"/>
      <c r="QU92" s="15" t="n"/>
      <c r="QV92" s="248" t="n"/>
      <c r="QW92" s="248" t="n"/>
      <c r="QX92" s="240" t="n"/>
      <c r="QY92" s="240" t="n"/>
      <c r="RA92" s="15" t="n"/>
      <c r="RB92" s="15" t="n"/>
      <c r="RC92" s="248" t="n"/>
      <c r="RD92" s="248" t="n"/>
      <c r="RE92" s="240" t="n"/>
      <c r="RF92" s="240" t="n"/>
      <c r="RH92" s="15" t="n"/>
      <c r="RI92" s="15" t="n"/>
      <c r="RJ92" s="248" t="n"/>
      <c r="RK92" s="248" t="n"/>
      <c r="RL92" s="240" t="n"/>
      <c r="RM92" s="240" t="n"/>
      <c r="RO92" s="15" t="n"/>
      <c r="RP92" s="15" t="n"/>
      <c r="RQ92" s="248" t="n"/>
      <c r="RR92" s="248" t="n"/>
      <c r="RS92" s="240" t="n"/>
      <c r="RT92" s="240" t="n"/>
      <c r="RV92" s="15" t="n"/>
      <c r="RW92" s="15" t="n"/>
      <c r="RX92" s="248" t="n"/>
      <c r="RY92" s="248" t="n"/>
      <c r="RZ92" s="240" t="n"/>
      <c r="SA92" s="240" t="n"/>
      <c r="SC92" s="15" t="n"/>
      <c r="SD92" s="15" t="n"/>
      <c r="SE92" s="248" t="n"/>
      <c r="SF92" s="248" t="n"/>
      <c r="SG92" s="240" t="n"/>
      <c r="SH92" s="240" t="n"/>
      <c r="SJ92" s="15" t="n"/>
      <c r="SK92" s="15" t="n"/>
      <c r="SL92" s="248" t="n"/>
      <c r="SM92" s="248" t="n"/>
      <c r="SN92" s="240" t="n"/>
      <c r="SO92" s="240" t="n"/>
      <c r="SQ92" s="15" t="n"/>
      <c r="SR92" s="15" t="n"/>
      <c r="SS92" s="248" t="n"/>
      <c r="ST92" s="248" t="n"/>
      <c r="SU92" s="240" t="n"/>
      <c r="SV92" s="240" t="n"/>
      <c r="SX92" s="15" t="n"/>
      <c r="SY92" s="15" t="n"/>
      <c r="SZ92" s="248" t="n"/>
      <c r="TA92" s="248" t="n"/>
      <c r="TB92" s="240" t="n"/>
      <c r="TC92" s="240" t="n"/>
      <c r="TE92" s="15" t="n"/>
      <c r="TF92" s="15" t="n"/>
      <c r="TG92" s="248" t="n"/>
      <c r="TH92" s="248" t="n"/>
      <c r="TI92" s="240" t="n"/>
      <c r="TJ92" s="240" t="n"/>
      <c r="TL92" s="15" t="n"/>
      <c r="TM92" s="15" t="n"/>
      <c r="TN92" s="248" t="n"/>
      <c r="TO92" s="248" t="n"/>
      <c r="TP92" s="240" t="n"/>
      <c r="TQ92" s="240" t="n"/>
      <c r="TS92" s="15" t="n"/>
      <c r="TT92" s="15" t="n"/>
      <c r="TU92" s="248" t="n"/>
      <c r="TV92" s="248" t="n"/>
      <c r="TW92" s="240" t="n"/>
      <c r="TX92" s="240" t="n"/>
      <c r="TZ92" s="15" t="n"/>
      <c r="UA92" s="15" t="n"/>
      <c r="UB92" s="248" t="n"/>
      <c r="UC92" s="248" t="n"/>
      <c r="UD92" s="240" t="n"/>
      <c r="UE92" s="240" t="n"/>
      <c r="UG92" s="15" t="n"/>
      <c r="UH92" s="15" t="n"/>
      <c r="UI92" s="248" t="n"/>
      <c r="UJ92" s="248" t="n"/>
      <c r="UK92" s="240" t="n"/>
      <c r="UL92" s="240" t="n"/>
      <c r="UN92" s="15" t="n"/>
      <c r="UO92" s="15" t="n"/>
      <c r="UP92" s="248" t="n"/>
      <c r="UQ92" s="248" t="n"/>
      <c r="UR92" s="240" t="n"/>
      <c r="US92" s="240" t="n"/>
      <c r="UU92" s="15" t="n"/>
      <c r="UV92" s="15" t="n"/>
      <c r="UW92" s="248" t="n"/>
      <c r="UX92" s="248" t="n"/>
      <c r="UY92" s="240" t="n"/>
      <c r="UZ92" s="240" t="n"/>
      <c r="VB92" s="15" t="n"/>
      <c r="VC92" s="15" t="n"/>
      <c r="VD92" s="248" t="n"/>
      <c r="VE92" s="248" t="n"/>
      <c r="VF92" s="240" t="n"/>
      <c r="VG92" s="240" t="n"/>
      <c r="VI92" s="15" t="n"/>
      <c r="VJ92" s="15" t="n"/>
      <c r="VK92" s="248" t="n"/>
      <c r="VL92" s="248" t="n"/>
      <c r="VM92" s="240" t="n"/>
      <c r="VN92" s="240" t="n"/>
      <c r="VP92" s="15" t="n"/>
      <c r="VQ92" s="15" t="n"/>
      <c r="VR92" s="248" t="n"/>
      <c r="VS92" s="248" t="n"/>
      <c r="VT92" s="240" t="n"/>
      <c r="VU92" s="240" t="n"/>
      <c r="VW92" s="15" t="n"/>
      <c r="VX92" s="15" t="n"/>
      <c r="VY92" s="248" t="n"/>
      <c r="VZ92" s="248" t="n"/>
      <c r="WA92" s="240" t="n"/>
      <c r="WB92" s="240" t="n"/>
      <c r="WD92" s="15" t="n"/>
      <c r="WE92" s="15" t="n"/>
      <c r="WF92" s="248" t="n"/>
      <c r="WG92" s="248" t="n"/>
      <c r="WH92" s="240" t="n"/>
      <c r="WI92" s="240" t="n"/>
      <c r="WK92" s="15" t="n"/>
      <c r="WL92" s="15" t="n"/>
      <c r="WM92" s="248" t="n"/>
      <c r="WN92" s="248" t="n"/>
      <c r="WO92" s="240" t="n"/>
      <c r="WP92" s="240" t="n"/>
      <c r="WR92" s="15" t="n"/>
      <c r="WS92" s="15" t="n"/>
      <c r="WT92" s="248" t="n"/>
      <c r="WU92" s="248" t="n"/>
      <c r="WV92" s="240" t="n"/>
      <c r="WW92" s="240" t="n"/>
      <c r="WY92" s="15" t="n"/>
      <c r="WZ92" s="15" t="n"/>
      <c r="XA92" s="248" t="n"/>
      <c r="XB92" s="248" t="n"/>
      <c r="XC92" s="240" t="n"/>
      <c r="XD92" s="240" t="n"/>
      <c r="XF92" s="15" t="n"/>
      <c r="XG92" s="15" t="n"/>
      <c r="XH92" s="248" t="n"/>
      <c r="XI92" s="248" t="n"/>
      <c r="XJ92" s="240" t="n"/>
      <c r="XK92" s="240" t="n"/>
      <c r="XM92" s="15" t="n"/>
      <c r="XN92" s="15" t="n"/>
      <c r="XO92" s="248" t="n"/>
      <c r="XP92" s="248" t="n"/>
      <c r="XQ92" s="240" t="n"/>
      <c r="XR92" s="240" t="n"/>
      <c r="XT92" s="15" t="n"/>
      <c r="XU92" s="15" t="n"/>
      <c r="XV92" s="248" t="n"/>
      <c r="XW92" s="248" t="n"/>
      <c r="XX92" s="240" t="n"/>
      <c r="XY92" s="240" t="n"/>
      <c r="YA92" s="15" t="n"/>
      <c r="YB92" s="15" t="n"/>
      <c r="YC92" s="248" t="n"/>
      <c r="YD92" s="248" t="n"/>
      <c r="YE92" s="240" t="n"/>
      <c r="YF92" s="240" t="n"/>
      <c r="YH92" s="15" t="n"/>
      <c r="YI92" s="15" t="n"/>
      <c r="YJ92" s="248" t="n"/>
      <c r="YK92" s="248" t="n"/>
      <c r="YL92" s="240" t="n"/>
      <c r="YM92" s="240" t="n"/>
      <c r="YO92" s="15" t="n"/>
      <c r="YP92" s="15" t="n"/>
      <c r="YQ92" s="248" t="n"/>
      <c r="YR92" s="248" t="n"/>
      <c r="YS92" s="240" t="n"/>
      <c r="YT92" s="240" t="n"/>
      <c r="YV92" s="15" t="n"/>
      <c r="YW92" s="15" t="n"/>
      <c r="YX92" s="248" t="n"/>
      <c r="YY92" s="248" t="n"/>
      <c r="YZ92" s="240" t="n"/>
      <c r="ZA92" s="240" t="n"/>
      <c r="ZC92" s="15" t="n"/>
      <c r="ZD92" s="15" t="n"/>
      <c r="ZE92" s="248" t="n"/>
      <c r="ZF92" s="248" t="n"/>
      <c r="ZG92" s="240" t="n"/>
      <c r="ZH92" s="240" t="n"/>
      <c r="ZJ92" s="15" t="n"/>
      <c r="ZK92" s="15" t="n"/>
      <c r="ZL92" s="248" t="n"/>
      <c r="ZM92" s="248" t="n"/>
      <c r="ZN92" s="240" t="n"/>
      <c r="ZO92" s="240" t="n"/>
      <c r="ZQ92" s="15" t="n"/>
      <c r="ZR92" s="15" t="n"/>
      <c r="ZS92" s="248" t="n"/>
      <c r="ZT92" s="248" t="n"/>
      <c r="ZU92" s="240" t="n"/>
      <c r="ZV92" s="240" t="n"/>
      <c r="ZX92" s="15" t="n"/>
      <c r="ZY92" s="15" t="n"/>
      <c r="ZZ92" s="248" t="n"/>
      <c r="AAA92" s="248" t="n"/>
      <c r="AAB92" s="240" t="n"/>
      <c r="AAC92" s="240" t="n"/>
      <c r="AAE92" s="15" t="n"/>
      <c r="AAF92" s="15" t="n"/>
      <c r="AAG92" s="248" t="n"/>
      <c r="AAH92" s="248" t="n"/>
      <c r="AAI92" s="240" t="n"/>
      <c r="AAJ92" s="240" t="n"/>
      <c r="AAL92" s="15" t="n"/>
      <c r="AAM92" s="15" t="n"/>
      <c r="AAN92" s="248" t="n"/>
      <c r="AAO92" s="248" t="n"/>
      <c r="AAP92" s="240" t="n"/>
      <c r="AAQ92" s="240" t="n"/>
      <c r="AAS92" s="15" t="n"/>
      <c r="AAT92" s="15" t="n"/>
      <c r="AAU92" s="248" t="n"/>
      <c r="AAV92" s="248" t="n"/>
      <c r="AAW92" s="240" t="n"/>
      <c r="AAX92" s="240" t="n"/>
      <c r="AAZ92" s="15" t="n"/>
      <c r="ABA92" s="15" t="n"/>
      <c r="ABB92" s="248" t="n"/>
      <c r="ABC92" s="248" t="n"/>
      <c r="ABD92" s="240" t="n"/>
      <c r="ABE92" s="240" t="n"/>
      <c r="ABG92" s="15" t="n"/>
      <c r="ABH92" s="15" t="n"/>
      <c r="ABI92" s="248" t="n"/>
      <c r="ABJ92" s="248" t="n"/>
      <c r="ABK92" s="240" t="n"/>
      <c r="ABL92" s="240" t="n"/>
      <c r="ABN92" s="15" t="n"/>
      <c r="ABO92" s="15" t="n"/>
      <c r="ABP92" s="248" t="n"/>
      <c r="ABQ92" s="248" t="n"/>
      <c r="ABR92" s="240" t="n"/>
      <c r="ABS92" s="240" t="n"/>
      <c r="ABU92" s="15" t="n"/>
      <c r="ABV92" s="15" t="n"/>
      <c r="ABW92" s="248" t="n"/>
      <c r="ABX92" s="248" t="n"/>
      <c r="ABY92" s="240" t="n"/>
      <c r="ABZ92" s="240" t="n"/>
      <c r="ACB92" s="15" t="n"/>
      <c r="ACC92" s="15" t="n"/>
      <c r="ACD92" s="248" t="n"/>
      <c r="ACE92" s="248" t="n"/>
      <c r="ACF92" s="240" t="n"/>
      <c r="ACG92" s="240" t="n"/>
      <c r="ACI92" s="15" t="n"/>
      <c r="ACJ92" s="15" t="n"/>
      <c r="ACK92" s="248" t="n"/>
      <c r="ACL92" s="248" t="n"/>
      <c r="ACM92" s="240" t="n"/>
      <c r="ACN92" s="240" t="n"/>
      <c r="ACP92" s="15" t="n"/>
      <c r="ACQ92" s="15" t="n"/>
      <c r="ACR92" s="248" t="n"/>
      <c r="ACS92" s="248" t="n"/>
      <c r="ACT92" s="240" t="n"/>
      <c r="ACU92" s="240" t="n"/>
      <c r="ACW92" s="15" t="n"/>
      <c r="ACX92" s="15" t="n"/>
      <c r="ACY92" s="248" t="n"/>
      <c r="ACZ92" s="248" t="n"/>
      <c r="ADA92" s="240" t="n"/>
      <c r="ADB92" s="240" t="n"/>
      <c r="ADD92" s="15" t="n"/>
      <c r="ADE92" s="15" t="n"/>
      <c r="ADF92" s="248" t="n"/>
      <c r="ADG92" s="248" t="n"/>
      <c r="ADH92" s="240" t="n"/>
      <c r="ADI92" s="240" t="n"/>
      <c r="ADK92" s="15" t="n"/>
      <c r="ADL92" s="15" t="n"/>
      <c r="ADM92" s="248" t="n"/>
      <c r="ADN92" s="248" t="n"/>
      <c r="ADO92" s="240" t="n"/>
      <c r="ADP92" s="240" t="n"/>
      <c r="ADR92" s="15" t="n"/>
      <c r="ADS92" s="15" t="n"/>
      <c r="ADT92" s="248" t="n"/>
      <c r="ADU92" s="248" t="n"/>
      <c r="ADV92" s="240" t="n"/>
      <c r="ADW92" s="240" t="n"/>
      <c r="ADY92" s="15" t="n"/>
      <c r="ADZ92" s="15" t="n"/>
      <c r="AEA92" s="248" t="n"/>
      <c r="AEB92" s="248" t="n"/>
      <c r="AEC92" s="240" t="n"/>
      <c r="AED92" s="240" t="n"/>
      <c r="AEF92" s="15" t="n"/>
      <c r="AEG92" s="15" t="n"/>
      <c r="AEH92" s="248" t="n"/>
      <c r="AEI92" s="248" t="n"/>
      <c r="AEJ92" s="240" t="n"/>
      <c r="AEK92" s="240" t="n"/>
      <c r="AEM92" s="15" t="n"/>
      <c r="AEN92" s="15" t="n"/>
      <c r="AEO92" s="248" t="n"/>
      <c r="AEP92" s="248" t="n"/>
      <c r="AEQ92" s="240" t="n"/>
      <c r="AER92" s="240" t="n"/>
      <c r="AET92" s="15" t="n"/>
      <c r="AEU92" s="15" t="n"/>
      <c r="AEV92" s="248" t="n"/>
      <c r="AEW92" s="248" t="n"/>
      <c r="AEX92" s="240" t="n"/>
      <c r="AEY92" s="240" t="n"/>
      <c r="AFA92" s="15" t="n"/>
      <c r="AFB92" s="15" t="n"/>
      <c r="AFC92" s="248" t="n"/>
      <c r="AFD92" s="248" t="n"/>
      <c r="AFE92" s="240" t="n"/>
      <c r="AFF92" s="240" t="n"/>
      <c r="AFH92" s="15" t="n"/>
      <c r="AFI92" s="15" t="n"/>
      <c r="AFJ92" s="248" t="n"/>
      <c r="AFK92" s="248" t="n"/>
      <c r="AFL92" s="240" t="n"/>
      <c r="AFM92" s="240" t="n"/>
      <c r="AFO92" s="15" t="n"/>
      <c r="AFP92" s="15" t="n"/>
      <c r="AFQ92" s="248" t="n"/>
      <c r="AFR92" s="248" t="n"/>
      <c r="AFS92" s="240" t="n"/>
      <c r="AFT92" s="240" t="n"/>
      <c r="AFV92" s="15" t="n"/>
      <c r="AFW92" s="15" t="n"/>
      <c r="AFX92" s="248" t="n"/>
      <c r="AFY92" s="248" t="n"/>
      <c r="AFZ92" s="240" t="n"/>
      <c r="AGA92" s="240" t="n"/>
      <c r="AGC92" s="15" t="n"/>
      <c r="AGD92" s="15" t="n"/>
      <c r="AGE92" s="248" t="n"/>
      <c r="AGF92" s="248" t="n"/>
      <c r="AGG92" s="240" t="n"/>
      <c r="AGH92" s="240" t="n"/>
      <c r="AGJ92" s="15" t="n"/>
      <c r="AGK92" s="15" t="n"/>
      <c r="AGL92" s="248" t="n"/>
      <c r="AGM92" s="248" t="n"/>
      <c r="AGN92" s="240" t="n"/>
      <c r="AGO92" s="240" t="n"/>
      <c r="AGQ92" s="15" t="n"/>
      <c r="AGR92" s="15" t="n"/>
      <c r="AGS92" s="248" t="n"/>
      <c r="AGT92" s="248" t="n"/>
      <c r="AGU92" s="240" t="n"/>
      <c r="AGV92" s="240" t="n"/>
      <c r="AGX92" s="15" t="n"/>
      <c r="AGY92" s="15" t="n"/>
      <c r="AGZ92" s="248" t="n"/>
      <c r="AHA92" s="248" t="n"/>
      <c r="AHB92" s="240" t="n"/>
      <c r="AHC92" s="240" t="n"/>
      <c r="AHE92" s="15" t="n"/>
      <c r="AHF92" s="15" t="n"/>
      <c r="AHG92" s="248" t="n"/>
      <c r="AHH92" s="248" t="n"/>
      <c r="AHI92" s="240" t="n"/>
      <c r="AHJ92" s="240" t="n"/>
      <c r="AHL92" s="15" t="n"/>
      <c r="AHM92" s="15" t="n"/>
      <c r="AHN92" s="248" t="n"/>
      <c r="AHO92" s="248" t="n"/>
      <c r="AHP92" s="240" t="n"/>
      <c r="AHQ92" s="240" t="n"/>
      <c r="AHS92" s="15" t="n"/>
      <c r="AHT92" s="15" t="n"/>
      <c r="AHU92" s="248" t="n"/>
      <c r="AHV92" s="248" t="n"/>
      <c r="AHW92" s="240" t="n"/>
      <c r="AHX92" s="240" t="n"/>
      <c r="AHZ92" s="15" t="n"/>
      <c r="AIA92" s="15" t="n"/>
      <c r="AIB92" s="248" t="n"/>
      <c r="AIC92" s="248" t="n"/>
      <c r="AID92" s="240" t="n"/>
      <c r="AIE92" s="240" t="n"/>
      <c r="AIG92" s="15" t="n"/>
      <c r="AIH92" s="15" t="n"/>
      <c r="AII92" s="248" t="n"/>
      <c r="AIJ92" s="248" t="n"/>
      <c r="AIK92" s="240" t="n"/>
      <c r="AIL92" s="240" t="n"/>
      <c r="AIN92" s="15" t="n"/>
      <c r="AIO92" s="15" t="n"/>
      <c r="AIP92" s="248" t="n"/>
      <c r="AIQ92" s="248" t="n"/>
      <c r="AIR92" s="240" t="n"/>
      <c r="AIS92" s="240" t="n"/>
      <c r="AIU92" s="15" t="n"/>
      <c r="AIV92" s="15" t="n"/>
      <c r="AIW92" s="248" t="n"/>
      <c r="AIX92" s="248" t="n"/>
      <c r="AIY92" s="240" t="n"/>
      <c r="AIZ92" s="240" t="n"/>
      <c r="AJB92" s="15" t="n"/>
      <c r="AJC92" s="15" t="n"/>
      <c r="AJD92" s="248" t="n"/>
      <c r="AJE92" s="248" t="n"/>
      <c r="AJF92" s="240" t="n"/>
      <c r="AJG92" s="240" t="n"/>
      <c r="AJI92" s="15" t="n"/>
      <c r="AJJ92" s="15" t="n"/>
      <c r="AJK92" s="248" t="n"/>
      <c r="AJL92" s="248" t="n"/>
      <c r="AJM92" s="240" t="n"/>
      <c r="AJN92" s="240" t="n"/>
      <c r="AJP92" s="15" t="n"/>
      <c r="AJQ92" s="15" t="n"/>
      <c r="AJR92" s="248" t="n"/>
      <c r="AJS92" s="248" t="n"/>
      <c r="AJT92" s="240" t="n"/>
      <c r="AJU92" s="240" t="n"/>
      <c r="AJW92" s="15" t="n"/>
      <c r="AJX92" s="15" t="n"/>
      <c r="AJY92" s="248" t="n"/>
      <c r="AJZ92" s="248" t="n"/>
      <c r="AKA92" s="240" t="n"/>
      <c r="AKB92" s="240" t="n"/>
      <c r="AKD92" s="15" t="n"/>
      <c r="AKE92" s="15" t="n"/>
      <c r="AKF92" s="248" t="n"/>
      <c r="AKG92" s="248" t="n"/>
      <c r="AKH92" s="240" t="n"/>
      <c r="AKI92" s="240" t="n"/>
      <c r="AKK92" s="15" t="n"/>
      <c r="AKL92" s="15" t="n"/>
      <c r="AKM92" s="248" t="n"/>
      <c r="AKN92" s="248" t="n"/>
      <c r="AKO92" s="240" t="n"/>
      <c r="AKP92" s="240" t="n"/>
      <c r="AKR92" s="15" t="n"/>
      <c r="AKS92" s="15" t="n"/>
      <c r="AKT92" s="248" t="n"/>
      <c r="AKU92" s="248" t="n"/>
      <c r="AKV92" s="240" t="n"/>
      <c r="AKW92" s="240" t="n"/>
      <c r="AKY92" s="15" t="n"/>
      <c r="AKZ92" s="15" t="n"/>
      <c r="ALA92" s="248" t="n"/>
      <c r="ALB92" s="248" t="n"/>
      <c r="ALC92" s="240" t="n"/>
      <c r="ALD92" s="240" t="n"/>
      <c r="ALF92" s="15" t="n"/>
      <c r="ALG92" s="15" t="n"/>
      <c r="ALH92" s="248" t="n"/>
      <c r="ALI92" s="248" t="n"/>
      <c r="ALJ92" s="240" t="n"/>
      <c r="ALK92" s="240" t="n"/>
      <c r="ALM92" s="15" t="n"/>
      <c r="ALN92" s="15" t="n"/>
      <c r="ALO92" s="248" t="n"/>
      <c r="ALP92" s="248" t="n"/>
      <c r="ALQ92" s="240" t="n"/>
      <c r="ALR92" s="240" t="n"/>
      <c r="ALT92" s="15" t="n"/>
      <c r="ALU92" s="15" t="n"/>
      <c r="ALV92" s="248" t="n"/>
      <c r="ALW92" s="248" t="n"/>
      <c r="ALX92" s="240" t="n"/>
      <c r="ALY92" s="240" t="n"/>
      <c r="AMA92" s="15" t="n"/>
      <c r="AMB92" s="15" t="n"/>
      <c r="AMC92" s="248" t="n"/>
      <c r="AMD92" s="248" t="n"/>
      <c r="AME92" s="240" t="n"/>
      <c r="AMF92" s="240" t="n"/>
      <c r="AMH92" s="15" t="n"/>
      <c r="AMI92" s="15" t="n"/>
      <c r="AMJ92" s="248" t="n"/>
      <c r="AMK92" s="248" t="n"/>
      <c r="AML92" s="240" t="n"/>
      <c r="AMM92" s="240" t="n"/>
      <c r="AMO92" s="15" t="n"/>
      <c r="AMP92" s="15" t="n"/>
      <c r="AMQ92" s="248" t="n"/>
      <c r="AMR92" s="248" t="n"/>
      <c r="AMS92" s="240" t="n"/>
      <c r="AMT92" s="240" t="n"/>
      <c r="AMV92" s="15" t="n"/>
      <c r="AMW92" s="15" t="n"/>
      <c r="AMX92" s="248" t="n"/>
      <c r="AMY92" s="248" t="n"/>
      <c r="AMZ92" s="240" t="n"/>
      <c r="ANA92" s="240" t="n"/>
      <c r="ANC92" s="15" t="n"/>
      <c r="AND92" s="15" t="n"/>
      <c r="ANE92" s="248" t="n"/>
      <c r="ANF92" s="248" t="n"/>
      <c r="ANG92" s="240" t="n"/>
      <c r="ANH92" s="240" t="n"/>
      <c r="ANJ92" s="15" t="n"/>
      <c r="ANK92" s="15" t="n"/>
      <c r="ANL92" s="248" t="n"/>
      <c r="ANM92" s="248" t="n"/>
      <c r="ANN92" s="240" t="n"/>
      <c r="ANO92" s="240" t="n"/>
      <c r="ANQ92" s="15" t="n"/>
      <c r="ANR92" s="15" t="n"/>
      <c r="ANS92" s="248" t="n"/>
      <c r="ANT92" s="248" t="n"/>
      <c r="ANU92" s="240" t="n"/>
      <c r="ANV92" s="240" t="n"/>
      <c r="ANX92" s="15" t="n"/>
      <c r="ANY92" s="15" t="n"/>
      <c r="ANZ92" s="248" t="n"/>
      <c r="AOA92" s="248" t="n"/>
      <c r="AOB92" s="240" t="n"/>
      <c r="AOC92" s="240" t="n"/>
      <c r="AOE92" s="15" t="n"/>
      <c r="AOF92" s="15" t="n"/>
      <c r="AOG92" s="248" t="n"/>
      <c r="AOH92" s="248" t="n"/>
      <c r="AOI92" s="240" t="n"/>
      <c r="AOJ92" s="240" t="n"/>
      <c r="AOL92" s="15" t="n"/>
      <c r="AOM92" s="15" t="n"/>
      <c r="AON92" s="248" t="n"/>
      <c r="AOO92" s="248" t="n"/>
      <c r="AOP92" s="240" t="n"/>
      <c r="AOQ92" s="240" t="n"/>
      <c r="AOS92" s="15" t="n"/>
      <c r="AOT92" s="15" t="n"/>
      <c r="AOU92" s="248" t="n"/>
      <c r="AOV92" s="248" t="n"/>
      <c r="AOW92" s="240" t="n"/>
      <c r="AOX92" s="240" t="n"/>
      <c r="AOZ92" s="15" t="n"/>
      <c r="APA92" s="15" t="n"/>
      <c r="APB92" s="248" t="n"/>
      <c r="APC92" s="248" t="n"/>
      <c r="APD92" s="240" t="n"/>
      <c r="APE92" s="240" t="n"/>
      <c r="APG92" s="15" t="n"/>
      <c r="APH92" s="15" t="n"/>
      <c r="API92" s="248" t="n"/>
      <c r="APJ92" s="248" t="n"/>
      <c r="APK92" s="240" t="n"/>
      <c r="APL92" s="240" t="n"/>
      <c r="APN92" s="15" t="n"/>
      <c r="APO92" s="15" t="n"/>
      <c r="APP92" s="248" t="n"/>
      <c r="APQ92" s="248" t="n"/>
      <c r="APR92" s="240" t="n"/>
      <c r="APS92" s="240" t="n"/>
      <c r="APU92" s="15" t="n"/>
      <c r="APV92" s="15" t="n"/>
      <c r="APW92" s="248" t="n"/>
      <c r="APX92" s="248" t="n"/>
      <c r="APY92" s="240" t="n"/>
      <c r="APZ92" s="240" t="n"/>
      <c r="AQB92" s="15" t="n"/>
      <c r="AQC92" s="15" t="n"/>
      <c r="AQD92" s="248" t="n"/>
      <c r="AQE92" s="248" t="n"/>
      <c r="AQF92" s="240" t="n"/>
      <c r="AQG92" s="240" t="n"/>
      <c r="AQI92" s="15" t="n"/>
      <c r="AQJ92" s="15" t="n"/>
      <c r="AQK92" s="248" t="n"/>
      <c r="AQL92" s="248" t="n"/>
      <c r="AQM92" s="240" t="n"/>
      <c r="AQN92" s="240" t="n"/>
      <c r="AQP92" s="15" t="n"/>
      <c r="AQQ92" s="15" t="n"/>
      <c r="AQR92" s="248" t="n"/>
      <c r="AQS92" s="248" t="n"/>
      <c r="AQT92" s="240" t="n"/>
      <c r="AQU92" s="240" t="n"/>
      <c r="AQW92" s="15" t="n"/>
      <c r="AQX92" s="15" t="n"/>
      <c r="AQY92" s="248" t="n"/>
      <c r="AQZ92" s="248" t="n"/>
      <c r="ARA92" s="240" t="n"/>
      <c r="ARB92" s="240" t="n"/>
      <c r="ARD92" s="15" t="n"/>
      <c r="ARE92" s="15" t="n"/>
      <c r="ARF92" s="248" t="n"/>
      <c r="ARG92" s="248" t="n"/>
      <c r="ARH92" s="240" t="n"/>
      <c r="ARI92" s="240" t="n"/>
      <c r="ARK92" s="15" t="n"/>
      <c r="ARL92" s="15" t="n"/>
      <c r="ARM92" s="248" t="n"/>
      <c r="ARN92" s="248" t="n"/>
      <c r="ARO92" s="240" t="n"/>
      <c r="ARP92" s="240" t="n"/>
      <c r="ARR92" s="15" t="n"/>
      <c r="ARS92" s="15" t="n"/>
      <c r="ART92" s="248" t="n"/>
      <c r="ARU92" s="248" t="n"/>
      <c r="ARV92" s="240" t="n"/>
      <c r="ARW92" s="240" t="n"/>
      <c r="ARY92" s="15" t="n"/>
      <c r="ARZ92" s="15" t="n"/>
      <c r="ASA92" s="248" t="n"/>
      <c r="ASB92" s="248" t="n"/>
      <c r="ASC92" s="240" t="n"/>
      <c r="ASD92" s="240" t="n"/>
      <c r="ASF92" s="15" t="n"/>
      <c r="ASG92" s="15" t="n"/>
      <c r="ASH92" s="248" t="n"/>
      <c r="ASI92" s="248" t="n"/>
      <c r="ASJ92" s="240" t="n"/>
      <c r="ASK92" s="240" t="n"/>
      <c r="ASM92" s="15" t="n"/>
      <c r="ASN92" s="15" t="n"/>
      <c r="ASO92" s="248" t="n"/>
      <c r="ASP92" s="248" t="n"/>
      <c r="ASQ92" s="240" t="n"/>
      <c r="ASR92" s="240" t="n"/>
      <c r="AST92" s="15" t="n"/>
      <c r="ASU92" s="15" t="n"/>
      <c r="ASV92" s="248" t="n"/>
      <c r="ASW92" s="248" t="n"/>
      <c r="ASX92" s="240" t="n"/>
      <c r="ASY92" s="240" t="n"/>
      <c r="ATA92" s="15" t="n"/>
      <c r="ATB92" s="15" t="n"/>
      <c r="ATC92" s="248" t="n"/>
      <c r="ATD92" s="248" t="n"/>
      <c r="ATE92" s="240" t="n"/>
      <c r="ATF92" s="240" t="n"/>
      <c r="ATH92" s="15" t="n"/>
      <c r="ATI92" s="15" t="n"/>
      <c r="ATJ92" s="248" t="n"/>
      <c r="ATK92" s="248" t="n"/>
      <c r="ATL92" s="240" t="n"/>
      <c r="ATM92" s="240" t="n"/>
      <c r="ATO92" s="15" t="n"/>
      <c r="ATP92" s="15" t="n"/>
      <c r="ATQ92" s="248" t="n"/>
      <c r="ATR92" s="248" t="n"/>
      <c r="ATS92" s="240" t="n"/>
      <c r="ATT92" s="240" t="n"/>
      <c r="ATV92" s="15" t="n"/>
      <c r="ATW92" s="15" t="n"/>
      <c r="ATX92" s="248" t="n"/>
      <c r="ATY92" s="248" t="n"/>
      <c r="ATZ92" s="240" t="n"/>
      <c r="AUA92" s="240" t="n"/>
      <c r="AUC92" s="15" t="n"/>
      <c r="AUD92" s="15" t="n"/>
      <c r="AUE92" s="248" t="n"/>
      <c r="AUF92" s="248" t="n"/>
      <c r="AUG92" s="240" t="n"/>
      <c r="AUH92" s="240" t="n"/>
      <c r="AUJ92" s="15" t="n"/>
      <c r="AUK92" s="15" t="n"/>
      <c r="AUL92" s="248" t="n"/>
      <c r="AUM92" s="248" t="n"/>
      <c r="AUN92" s="240" t="n"/>
      <c r="AUO92" s="240" t="n"/>
      <c r="AUQ92" s="15" t="n"/>
      <c r="AUR92" s="15" t="n"/>
      <c r="AUS92" s="248" t="n"/>
      <c r="AUT92" s="248" t="n"/>
      <c r="AUU92" s="240" t="n"/>
      <c r="AUV92" s="240" t="n"/>
      <c r="AUX92" s="15" t="n"/>
      <c r="AUY92" s="15" t="n"/>
      <c r="AUZ92" s="248" t="n"/>
      <c r="AVA92" s="248" t="n"/>
      <c r="AVB92" s="240" t="n"/>
      <c r="AVC92" s="240" t="n"/>
      <c r="AVE92" s="15" t="n"/>
      <c r="AVF92" s="15" t="n"/>
      <c r="AVG92" s="248" t="n"/>
      <c r="AVH92" s="248" t="n"/>
      <c r="AVI92" s="240" t="n"/>
      <c r="AVJ92" s="240" t="n"/>
      <c r="AVL92" s="15" t="n"/>
      <c r="AVM92" s="15" t="n"/>
      <c r="AVN92" s="248" t="n"/>
      <c r="AVO92" s="248" t="n"/>
      <c r="AVP92" s="240" t="n"/>
      <c r="AVQ92" s="240" t="n"/>
      <c r="AVS92" s="15" t="n"/>
      <c r="AVT92" s="15" t="n"/>
      <c r="AVU92" s="248" t="n"/>
      <c r="AVV92" s="248" t="n"/>
      <c r="AVW92" s="240" t="n"/>
      <c r="AVX92" s="240" t="n"/>
      <c r="AVZ92" s="15" t="n"/>
      <c r="AWA92" s="15" t="n"/>
      <c r="AWB92" s="248" t="n"/>
      <c r="AWC92" s="248" t="n"/>
      <c r="AWD92" s="240" t="n"/>
      <c r="AWE92" s="240" t="n"/>
      <c r="AWG92" s="15" t="n"/>
      <c r="AWH92" s="15" t="n"/>
      <c r="AWI92" s="248" t="n"/>
      <c r="AWJ92" s="248" t="n"/>
      <c r="AWK92" s="240" t="n"/>
      <c r="AWL92" s="240" t="n"/>
      <c r="AWN92" s="15" t="n"/>
      <c r="AWO92" s="15" t="n"/>
      <c r="AWP92" s="248" t="n"/>
      <c r="AWQ92" s="248" t="n"/>
      <c r="AWR92" s="240" t="n"/>
      <c r="AWS92" s="240" t="n"/>
      <c r="AWU92" s="15" t="n"/>
      <c r="AWV92" s="15" t="n"/>
      <c r="AWW92" s="248" t="n"/>
      <c r="AWX92" s="248" t="n"/>
      <c r="AWY92" s="240" t="n"/>
      <c r="AWZ92" s="240" t="n"/>
      <c r="AXB92" s="15" t="n"/>
      <c r="AXC92" s="15" t="n"/>
      <c r="AXD92" s="248" t="n"/>
      <c r="AXE92" s="248" t="n"/>
      <c r="AXF92" s="240" t="n"/>
      <c r="AXG92" s="240" t="n"/>
      <c r="AXI92" s="15" t="n"/>
      <c r="AXJ92" s="15" t="n"/>
      <c r="AXK92" s="248" t="n"/>
      <c r="AXL92" s="248" t="n"/>
      <c r="AXM92" s="240" t="n"/>
      <c r="AXN92" s="240" t="n"/>
      <c r="AXP92" s="15" t="n"/>
      <c r="AXQ92" s="15" t="n"/>
      <c r="AXR92" s="248" t="n"/>
      <c r="AXS92" s="248" t="n"/>
      <c r="AXT92" s="240" t="n"/>
      <c r="AXU92" s="240" t="n"/>
      <c r="AXW92" s="15" t="n"/>
      <c r="AXX92" s="15" t="n"/>
      <c r="AXY92" s="248" t="n"/>
      <c r="AXZ92" s="248" t="n"/>
      <c r="AYA92" s="240" t="n"/>
      <c r="AYB92" s="240" t="n"/>
      <c r="AYD92" s="15" t="n"/>
      <c r="AYE92" s="15" t="n"/>
      <c r="AYF92" s="248" t="n"/>
      <c r="AYG92" s="248" t="n"/>
      <c r="AYH92" s="240" t="n"/>
      <c r="AYI92" s="240" t="n"/>
      <c r="AYK92" s="15" t="n"/>
      <c r="AYL92" s="15" t="n"/>
      <c r="AYM92" s="248" t="n"/>
      <c r="AYN92" s="248" t="n"/>
      <c r="AYO92" s="240" t="n"/>
      <c r="AYP92" s="240" t="n"/>
      <c r="AYR92" s="15" t="n"/>
      <c r="AYS92" s="15" t="n"/>
      <c r="AYT92" s="248" t="n"/>
      <c r="AYU92" s="248" t="n"/>
      <c r="AYV92" s="240" t="n"/>
      <c r="AYW92" s="240" t="n"/>
      <c r="AYY92" s="15" t="n"/>
      <c r="AYZ92" s="15" t="n"/>
      <c r="AZA92" s="248" t="n"/>
      <c r="AZB92" s="248" t="n"/>
      <c r="AZC92" s="240" t="n"/>
      <c r="AZD92" s="240" t="n"/>
      <c r="AZF92" s="15" t="n"/>
      <c r="AZG92" s="15" t="n"/>
      <c r="AZH92" s="248" t="n"/>
      <c r="AZI92" s="248" t="n"/>
      <c r="AZJ92" s="240" t="n"/>
      <c r="AZK92" s="240" t="n"/>
      <c r="AZM92" s="15" t="n"/>
      <c r="AZN92" s="15" t="n"/>
      <c r="AZO92" s="248" t="n"/>
      <c r="AZP92" s="248" t="n"/>
      <c r="AZQ92" s="240" t="n"/>
      <c r="AZR92" s="240" t="n"/>
      <c r="AZT92" s="15" t="n"/>
      <c r="AZU92" s="15" t="n"/>
      <c r="AZV92" s="248" t="n"/>
      <c r="AZW92" s="248" t="n"/>
      <c r="AZX92" s="240" t="n"/>
      <c r="AZY92" s="240" t="n"/>
      <c r="BAA92" s="15" t="n"/>
      <c r="BAB92" s="15" t="n"/>
      <c r="BAC92" s="248" t="n"/>
      <c r="BAD92" s="248" t="n"/>
      <c r="BAE92" s="240" t="n"/>
      <c r="BAF92" s="240" t="n"/>
      <c r="BAH92" s="15" t="n"/>
      <c r="BAI92" s="15" t="n"/>
      <c r="BAJ92" s="248" t="n"/>
      <c r="BAK92" s="248" t="n"/>
      <c r="BAL92" s="240" t="n"/>
      <c r="BAM92" s="240" t="n"/>
      <c r="BAO92" s="15" t="n"/>
      <c r="BAP92" s="15" t="n"/>
      <c r="BAQ92" s="248" t="n"/>
      <c r="BAR92" s="248" t="n"/>
      <c r="BAS92" s="240" t="n"/>
      <c r="BAT92" s="240" t="n"/>
      <c r="BAV92" s="15" t="n"/>
      <c r="BAW92" s="15" t="n"/>
      <c r="BAX92" s="248" t="n"/>
      <c r="BAY92" s="248" t="n"/>
      <c r="BAZ92" s="240" t="n"/>
      <c r="BBA92" s="240" t="n"/>
      <c r="BBC92" s="15" t="n"/>
      <c r="BBD92" s="15" t="n"/>
      <c r="BBE92" s="248" t="n"/>
      <c r="BBF92" s="248" t="n"/>
      <c r="BBG92" s="240" t="n"/>
      <c r="BBH92" s="240" t="n"/>
      <c r="BBJ92" s="15" t="n"/>
      <c r="BBK92" s="15" t="n"/>
      <c r="BBL92" s="248" t="n"/>
      <c r="BBM92" s="248" t="n"/>
      <c r="BBN92" s="240" t="n"/>
      <c r="BBO92" s="240" t="n"/>
      <c r="BBQ92" s="15" t="n"/>
      <c r="BBR92" s="15" t="n"/>
      <c r="BBS92" s="248" t="n"/>
      <c r="BBT92" s="248" t="n"/>
      <c r="BBU92" s="240" t="n"/>
      <c r="BBV92" s="240" t="n"/>
      <c r="BBX92" s="15" t="n"/>
      <c r="BBY92" s="15" t="n"/>
      <c r="BBZ92" s="248" t="n"/>
      <c r="BCA92" s="248" t="n"/>
      <c r="BCB92" s="240" t="n"/>
      <c r="BCC92" s="240" t="n"/>
      <c r="BCE92" s="15" t="n"/>
      <c r="BCF92" s="15" t="n"/>
      <c r="BCG92" s="248" t="n"/>
      <c r="BCH92" s="248" t="n"/>
      <c r="BCI92" s="240" t="n"/>
      <c r="BCJ92" s="240" t="n"/>
      <c r="BCL92" s="15" t="n"/>
      <c r="BCM92" s="15" t="n"/>
      <c r="BCN92" s="248" t="n"/>
      <c r="BCO92" s="248" t="n"/>
      <c r="BCP92" s="240" t="n"/>
      <c r="BCQ92" s="240" t="n"/>
      <c r="BCS92" s="15" t="n"/>
      <c r="BCT92" s="15" t="n"/>
      <c r="BCU92" s="248" t="n"/>
      <c r="BCV92" s="248" t="n"/>
      <c r="BCW92" s="240" t="n"/>
      <c r="BCX92" s="240" t="n"/>
      <c r="BCZ92" s="15" t="n"/>
      <c r="BDA92" s="15" t="n"/>
      <c r="BDB92" s="248" t="n"/>
      <c r="BDC92" s="248" t="n"/>
      <c r="BDD92" s="240" t="n"/>
      <c r="BDE92" s="240" t="n"/>
      <c r="BDG92" s="15" t="n"/>
      <c r="BDH92" s="15" t="n"/>
      <c r="BDI92" s="248" t="n"/>
      <c r="BDJ92" s="248" t="n"/>
      <c r="BDK92" s="240" t="n"/>
      <c r="BDL92" s="240" t="n"/>
      <c r="BDN92" s="15" t="n"/>
      <c r="BDO92" s="15" t="n"/>
      <c r="BDP92" s="248" t="n"/>
      <c r="BDQ92" s="248" t="n"/>
      <c r="BDR92" s="240" t="n"/>
      <c r="BDS92" s="240" t="n"/>
      <c r="BDU92" s="15" t="n"/>
      <c r="BDV92" s="15" t="n"/>
      <c r="BDW92" s="248" t="n"/>
      <c r="BDX92" s="248" t="n"/>
      <c r="BDY92" s="240" t="n"/>
      <c r="BDZ92" s="240" t="n"/>
      <c r="BEB92" s="15" t="n"/>
      <c r="BEC92" s="15" t="n"/>
      <c r="BED92" s="248" t="n"/>
      <c r="BEE92" s="248" t="n"/>
      <c r="BEF92" s="240" t="n"/>
      <c r="BEG92" s="240" t="n"/>
      <c r="BEI92" s="15" t="n"/>
      <c r="BEJ92" s="15" t="n"/>
      <c r="BEK92" s="248" t="n"/>
      <c r="BEL92" s="248" t="n"/>
      <c r="BEM92" s="240" t="n"/>
      <c r="BEN92" s="240" t="n"/>
      <c r="BEP92" s="15" t="n"/>
      <c r="BEQ92" s="15" t="n"/>
      <c r="BER92" s="248" t="n"/>
      <c r="BES92" s="248" t="n"/>
      <c r="BET92" s="240" t="n"/>
      <c r="BEU92" s="240" t="n"/>
      <c r="BEW92" s="15" t="n"/>
      <c r="BEX92" s="15" t="n"/>
      <c r="BEY92" s="248" t="n"/>
      <c r="BEZ92" s="248" t="n"/>
      <c r="BFA92" s="240" t="n"/>
      <c r="BFB92" s="240" t="n"/>
      <c r="BFD92" s="15" t="n"/>
      <c r="BFE92" s="15" t="n"/>
      <c r="BFF92" s="248" t="n"/>
      <c r="BFG92" s="248" t="n"/>
      <c r="BFH92" s="240" t="n"/>
      <c r="BFI92" s="240" t="n"/>
      <c r="BFK92" s="15" t="n"/>
      <c r="BFL92" s="15" t="n"/>
      <c r="BFM92" s="248" t="n"/>
      <c r="BFN92" s="248" t="n"/>
      <c r="BFO92" s="240" t="n"/>
      <c r="BFP92" s="240" t="n"/>
      <c r="BFR92" s="15" t="n"/>
      <c r="BFS92" s="15" t="n"/>
      <c r="BFT92" s="248" t="n"/>
      <c r="BFU92" s="248" t="n"/>
      <c r="BFV92" s="240" t="n"/>
      <c r="BFW92" s="240" t="n"/>
      <c r="BFY92" s="15" t="n"/>
      <c r="BFZ92" s="15" t="n"/>
      <c r="BGA92" s="248" t="n"/>
      <c r="BGB92" s="248" t="n"/>
      <c r="BGC92" s="240" t="n"/>
      <c r="BGD92" s="240" t="n"/>
      <c r="BGF92" s="15" t="n"/>
      <c r="BGG92" s="15" t="n"/>
      <c r="BGH92" s="248" t="n"/>
      <c r="BGI92" s="248" t="n"/>
      <c r="BGJ92" s="240" t="n"/>
      <c r="BGK92" s="240" t="n"/>
      <c r="BGM92" s="15" t="n"/>
      <c r="BGN92" s="15" t="n"/>
      <c r="BGO92" s="248" t="n"/>
      <c r="BGP92" s="248" t="n"/>
      <c r="BGQ92" s="240" t="n"/>
      <c r="BGR92" s="240" t="n"/>
      <c r="BGT92" s="15" t="n"/>
      <c r="BGU92" s="15" t="n"/>
      <c r="BGV92" s="248" t="n"/>
      <c r="BGW92" s="248" t="n"/>
      <c r="BGX92" s="240" t="n"/>
      <c r="BGY92" s="240" t="n"/>
      <c r="BHA92" s="15" t="n"/>
      <c r="BHB92" s="15" t="n"/>
      <c r="BHC92" s="248" t="n"/>
      <c r="BHD92" s="248" t="n"/>
      <c r="BHE92" s="240" t="n"/>
      <c r="BHF92" s="240" t="n"/>
      <c r="BHH92" s="15" t="n"/>
      <c r="BHI92" s="15" t="n"/>
      <c r="BHJ92" s="248" t="n"/>
      <c r="BHK92" s="248" t="n"/>
      <c r="BHL92" s="240" t="n"/>
      <c r="BHM92" s="240" t="n"/>
      <c r="BHO92" s="15" t="n"/>
      <c r="BHP92" s="15" t="n"/>
      <c r="BHQ92" s="248" t="n"/>
      <c r="BHR92" s="248" t="n"/>
      <c r="BHS92" s="240" t="n"/>
      <c r="BHT92" s="240" t="n"/>
      <c r="BHV92" s="15" t="n"/>
      <c r="BHW92" s="15" t="n"/>
      <c r="BHX92" s="248" t="n"/>
      <c r="BHY92" s="248" t="n"/>
      <c r="BHZ92" s="240" t="n"/>
      <c r="BIA92" s="240" t="n"/>
      <c r="BIC92" s="15" t="n"/>
      <c r="BID92" s="15" t="n"/>
      <c r="BIE92" s="248" t="n"/>
      <c r="BIF92" s="248" t="n"/>
      <c r="BIG92" s="240" t="n"/>
      <c r="BIH92" s="240" t="n"/>
      <c r="BIJ92" s="15" t="n"/>
      <c r="BIK92" s="15" t="n"/>
      <c r="BIL92" s="248" t="n"/>
      <c r="BIM92" s="248" t="n"/>
      <c r="BIN92" s="240" t="n"/>
      <c r="BIO92" s="240" t="n"/>
      <c r="BIQ92" s="15" t="n"/>
      <c r="BIR92" s="15" t="n"/>
      <c r="BIS92" s="248" t="n"/>
      <c r="BIT92" s="248" t="n"/>
      <c r="BIU92" s="240" t="n"/>
      <c r="BIV92" s="240" t="n"/>
      <c r="BIX92" s="15" t="n"/>
      <c r="BIY92" s="15" t="n"/>
      <c r="BIZ92" s="248" t="n"/>
      <c r="BJA92" s="248" t="n"/>
      <c r="BJB92" s="240" t="n"/>
      <c r="BJC92" s="240" t="n"/>
      <c r="BJE92" s="15" t="n"/>
      <c r="BJF92" s="15" t="n"/>
      <c r="BJG92" s="248" t="n"/>
      <c r="BJH92" s="248" t="n"/>
      <c r="BJI92" s="240" t="n"/>
      <c r="BJJ92" s="240" t="n"/>
      <c r="BJL92" s="15" t="n"/>
      <c r="BJM92" s="15" t="n"/>
      <c r="BJN92" s="248" t="n"/>
      <c r="BJO92" s="248" t="n"/>
      <c r="BJP92" s="240" t="n"/>
      <c r="BJQ92" s="240" t="n"/>
      <c r="BJS92" s="15" t="n"/>
      <c r="BJT92" s="15" t="n"/>
      <c r="BJU92" s="248" t="n"/>
      <c r="BJV92" s="248" t="n"/>
      <c r="BJW92" s="240" t="n"/>
      <c r="BJX92" s="240" t="n"/>
      <c r="BJZ92" s="15" t="n"/>
      <c r="BKA92" s="15" t="n"/>
      <c r="BKB92" s="248" t="n"/>
      <c r="BKC92" s="248" t="n"/>
      <c r="BKD92" s="240" t="n"/>
      <c r="BKE92" s="240" t="n"/>
      <c r="BKG92" s="15" t="n"/>
      <c r="BKH92" s="15" t="n"/>
      <c r="BKI92" s="248" t="n"/>
      <c r="BKJ92" s="248" t="n"/>
      <c r="BKK92" s="240" t="n"/>
      <c r="BKL92" s="240" t="n"/>
      <c r="BKN92" s="15" t="n"/>
      <c r="BKO92" s="15" t="n"/>
      <c r="BKP92" s="248" t="n"/>
      <c r="BKQ92" s="248" t="n"/>
      <c r="BKR92" s="240" t="n"/>
      <c r="BKS92" s="240" t="n"/>
      <c r="BKU92" s="15" t="n"/>
      <c r="BKV92" s="15" t="n"/>
      <c r="BKW92" s="248" t="n"/>
      <c r="BKX92" s="248" t="n"/>
      <c r="BKY92" s="240" t="n"/>
      <c r="BKZ92" s="240" t="n"/>
      <c r="BLB92" s="15" t="n"/>
      <c r="BLC92" s="15" t="n"/>
      <c r="BLD92" s="248" t="n"/>
      <c r="BLE92" s="248" t="n"/>
      <c r="BLF92" s="240" t="n"/>
      <c r="BLG92" s="240" t="n"/>
      <c r="BLI92" s="15" t="n"/>
      <c r="BLJ92" s="15" t="n"/>
      <c r="BLK92" s="248" t="n"/>
      <c r="BLL92" s="248" t="n"/>
      <c r="BLM92" s="240" t="n"/>
      <c r="BLN92" s="240" t="n"/>
      <c r="BLP92" s="15" t="n"/>
      <c r="BLQ92" s="15" t="n"/>
      <c r="BLR92" s="248" t="n"/>
      <c r="BLS92" s="248" t="n"/>
      <c r="BLT92" s="240" t="n"/>
      <c r="BLU92" s="240" t="n"/>
      <c r="BLW92" s="15" t="n"/>
      <c r="BLX92" s="15" t="n"/>
      <c r="BLY92" s="248" t="n"/>
      <c r="BLZ92" s="248" t="n"/>
      <c r="BMA92" s="240" t="n"/>
      <c r="BMB92" s="240" t="n"/>
      <c r="BMD92" s="15" t="n"/>
      <c r="BME92" s="15" t="n"/>
      <c r="BMF92" s="248" t="n"/>
      <c r="BMG92" s="248" t="n"/>
      <c r="BMH92" s="240" t="n"/>
      <c r="BMI92" s="240" t="n"/>
      <c r="BMK92" s="15" t="n"/>
      <c r="BML92" s="15" t="n"/>
      <c r="BMM92" s="248" t="n"/>
      <c r="BMN92" s="248" t="n"/>
      <c r="BMO92" s="240" t="n"/>
      <c r="BMP92" s="240" t="n"/>
      <c r="BMR92" s="15" t="n"/>
      <c r="BMS92" s="15" t="n"/>
      <c r="BMT92" s="248" t="n"/>
      <c r="BMU92" s="248" t="n"/>
      <c r="BMV92" s="240" t="n"/>
      <c r="BMW92" s="240" t="n"/>
      <c r="BMY92" s="15" t="n"/>
      <c r="BMZ92" s="15" t="n"/>
      <c r="BNA92" s="248" t="n"/>
      <c r="BNB92" s="248" t="n"/>
      <c r="BNC92" s="240" t="n"/>
      <c r="BND92" s="240" t="n"/>
      <c r="BNF92" s="15" t="n"/>
      <c r="BNG92" s="15" t="n"/>
      <c r="BNH92" s="248" t="n"/>
      <c r="BNI92" s="248" t="n"/>
      <c r="BNJ92" s="240" t="n"/>
      <c r="BNK92" s="240" t="n"/>
      <c r="BNM92" s="15" t="n"/>
      <c r="BNN92" s="15" t="n"/>
      <c r="BNO92" s="248" t="n"/>
      <c r="BNP92" s="248" t="n"/>
      <c r="BNQ92" s="240" t="n"/>
      <c r="BNR92" s="240" t="n"/>
      <c r="BNT92" s="15" t="n"/>
      <c r="BNU92" s="15" t="n"/>
      <c r="BNV92" s="248" t="n"/>
      <c r="BNW92" s="248" t="n"/>
      <c r="BNX92" s="240" t="n"/>
      <c r="BNY92" s="240" t="n"/>
      <c r="BOA92" s="15" t="n"/>
      <c r="BOB92" s="15" t="n"/>
      <c r="BOC92" s="248" t="n"/>
      <c r="BOD92" s="248" t="n"/>
      <c r="BOE92" s="240" t="n"/>
      <c r="BOF92" s="240" t="n"/>
      <c r="BOH92" s="15" t="n"/>
      <c r="BOI92" s="15" t="n"/>
      <c r="BOJ92" s="248" t="n"/>
      <c r="BOK92" s="248" t="n"/>
      <c r="BOL92" s="240" t="n"/>
      <c r="BOM92" s="240" t="n"/>
      <c r="BOO92" s="15" t="n"/>
      <c r="BOP92" s="15" t="n"/>
      <c r="BOQ92" s="248" t="n"/>
      <c r="BOR92" s="248" t="n"/>
      <c r="BOS92" s="240" t="n"/>
      <c r="BOT92" s="240" t="n"/>
      <c r="BOV92" s="15" t="n"/>
      <c r="BOW92" s="15" t="n"/>
      <c r="BOX92" s="248" t="n"/>
      <c r="BOY92" s="248" t="n"/>
      <c r="BOZ92" s="240" t="n"/>
      <c r="BPA92" s="240" t="n"/>
      <c r="BPC92" s="15" t="n"/>
      <c r="BPD92" s="15" t="n"/>
      <c r="BPE92" s="248" t="n"/>
      <c r="BPF92" s="248" t="n"/>
      <c r="BPG92" s="240" t="n"/>
      <c r="BPH92" s="240" t="n"/>
      <c r="BPJ92" s="15" t="n"/>
      <c r="BPK92" s="15" t="n"/>
      <c r="BPL92" s="248" t="n"/>
      <c r="BPM92" s="248" t="n"/>
      <c r="BPN92" s="240" t="n"/>
      <c r="BPO92" s="240" t="n"/>
      <c r="BPQ92" s="15" t="n"/>
      <c r="BPR92" s="15" t="n"/>
      <c r="BPS92" s="248" t="n"/>
      <c r="BPT92" s="248" t="n"/>
      <c r="BPU92" s="240" t="n"/>
      <c r="BPV92" s="240" t="n"/>
      <c r="BPX92" s="15" t="n"/>
      <c r="BPY92" s="15" t="n"/>
      <c r="BPZ92" s="248" t="n"/>
      <c r="BQA92" s="248" t="n"/>
      <c r="BQB92" s="240" t="n"/>
      <c r="BQC92" s="240" t="n"/>
      <c r="BQE92" s="15" t="n"/>
      <c r="BQF92" s="15" t="n"/>
      <c r="BQG92" s="248" t="n"/>
      <c r="BQH92" s="248" t="n"/>
      <c r="BQI92" s="240" t="n"/>
      <c r="BQJ92" s="240" t="n"/>
      <c r="BQL92" s="15" t="n"/>
      <c r="BQM92" s="15" t="n"/>
      <c r="BQN92" s="248" t="n"/>
      <c r="BQO92" s="248" t="n"/>
      <c r="BQP92" s="240" t="n"/>
      <c r="BQQ92" s="240" t="n"/>
      <c r="BQS92" s="15" t="n"/>
      <c r="BQT92" s="15" t="n"/>
      <c r="BQU92" s="248" t="n"/>
      <c r="BQV92" s="248" t="n"/>
      <c r="BQW92" s="240" t="n"/>
      <c r="BQX92" s="240" t="n"/>
      <c r="BQZ92" s="15" t="n"/>
      <c r="BRA92" s="15" t="n"/>
      <c r="BRB92" s="248" t="n"/>
      <c r="BRC92" s="248" t="n"/>
      <c r="BRD92" s="240" t="n"/>
      <c r="BRE92" s="240" t="n"/>
      <c r="BRG92" s="15" t="n"/>
      <c r="BRH92" s="15" t="n"/>
      <c r="BRI92" s="248" t="n"/>
      <c r="BRJ92" s="248" t="n"/>
      <c r="BRK92" s="240" t="n"/>
      <c r="BRL92" s="240" t="n"/>
      <c r="BRN92" s="15" t="n"/>
      <c r="BRO92" s="15" t="n"/>
      <c r="BRP92" s="248" t="n"/>
      <c r="BRQ92" s="248" t="n"/>
      <c r="BRR92" s="240" t="n"/>
      <c r="BRS92" s="240" t="n"/>
      <c r="BRU92" s="15" t="n"/>
      <c r="BRV92" s="15" t="n"/>
      <c r="BRW92" s="248" t="n"/>
      <c r="BRX92" s="248" t="n"/>
      <c r="BRY92" s="240" t="n"/>
      <c r="BRZ92" s="240" t="n"/>
      <c r="BSB92" s="15" t="n"/>
      <c r="BSC92" s="15" t="n"/>
      <c r="BSD92" s="248" t="n"/>
      <c r="BSE92" s="248" t="n"/>
      <c r="BSF92" s="240" t="n"/>
      <c r="BSG92" s="240" t="n"/>
      <c r="BSI92" s="15" t="n"/>
      <c r="BSJ92" s="15" t="n"/>
      <c r="BSK92" s="248" t="n"/>
      <c r="BSL92" s="248" t="n"/>
      <c r="BSM92" s="240" t="n"/>
      <c r="BSN92" s="240" t="n"/>
      <c r="BSP92" s="15" t="n"/>
      <c r="BSQ92" s="15" t="n"/>
      <c r="BSR92" s="248" t="n"/>
      <c r="BSS92" s="248" t="n"/>
      <c r="BST92" s="240" t="n"/>
      <c r="BSU92" s="240" t="n"/>
      <c r="BSW92" s="15" t="n"/>
      <c r="BSX92" s="15" t="n"/>
      <c r="BSY92" s="248" t="n"/>
      <c r="BSZ92" s="248" t="n"/>
      <c r="BTA92" s="240" t="n"/>
      <c r="BTB92" s="240" t="n"/>
      <c r="BTD92" s="15" t="n"/>
      <c r="BTE92" s="15" t="n"/>
      <c r="BTF92" s="248" t="n"/>
      <c r="BTG92" s="248" t="n"/>
      <c r="BTH92" s="240" t="n"/>
      <c r="BTI92" s="240" t="n"/>
      <c r="BTK92" s="15" t="n"/>
      <c r="BTL92" s="15" t="n"/>
      <c r="BTM92" s="248" t="n"/>
      <c r="BTN92" s="248" t="n"/>
      <c r="BTO92" s="240" t="n"/>
      <c r="BTP92" s="240" t="n"/>
      <c r="BTR92" s="15" t="n"/>
      <c r="BTS92" s="15" t="n"/>
      <c r="BTT92" s="248" t="n"/>
      <c r="BTU92" s="248" t="n"/>
      <c r="BTV92" s="240" t="n"/>
      <c r="BTW92" s="240" t="n"/>
      <c r="BTY92" s="15" t="n"/>
      <c r="BTZ92" s="15" t="n"/>
      <c r="BUA92" s="248" t="n"/>
      <c r="BUB92" s="248" t="n"/>
      <c r="BUC92" s="240" t="n"/>
      <c r="BUD92" s="240" t="n"/>
      <c r="BUF92" s="15" t="n"/>
      <c r="BUG92" s="15" t="n"/>
      <c r="BUH92" s="248" t="n"/>
      <c r="BUI92" s="248" t="n"/>
      <c r="BUJ92" s="240" t="n"/>
      <c r="BUK92" s="240" t="n"/>
      <c r="BUM92" s="15" t="n"/>
      <c r="BUN92" s="15" t="n"/>
      <c r="BUO92" s="248" t="n"/>
      <c r="BUP92" s="248" t="n"/>
      <c r="BUQ92" s="240" t="n"/>
      <c r="BUR92" s="240" t="n"/>
      <c r="BUT92" s="15" t="n"/>
      <c r="BUU92" s="15" t="n"/>
      <c r="BUV92" s="248" t="n"/>
      <c r="BUW92" s="248" t="n"/>
      <c r="BUX92" s="240" t="n"/>
      <c r="BUY92" s="240" t="n"/>
      <c r="BVA92" s="15" t="n"/>
      <c r="BVB92" s="15" t="n"/>
      <c r="BVC92" s="248" t="n"/>
      <c r="BVD92" s="248" t="n"/>
      <c r="BVE92" s="240" t="n"/>
      <c r="BVF92" s="240" t="n"/>
      <c r="BVH92" s="15" t="n"/>
      <c r="BVI92" s="15" t="n"/>
      <c r="BVJ92" s="248" t="n"/>
      <c r="BVK92" s="248" t="n"/>
      <c r="BVL92" s="240" t="n"/>
      <c r="BVM92" s="240" t="n"/>
      <c r="BVO92" s="15" t="n"/>
      <c r="BVP92" s="15" t="n"/>
      <c r="BVQ92" s="248" t="n"/>
      <c r="BVR92" s="248" t="n"/>
      <c r="BVS92" s="240" t="n"/>
      <c r="BVT92" s="240" t="n"/>
      <c r="BVV92" s="15" t="n"/>
      <c r="BVW92" s="15" t="n"/>
      <c r="BVX92" s="248" t="n"/>
      <c r="BVY92" s="248" t="n"/>
      <c r="BVZ92" s="240" t="n"/>
      <c r="BWA92" s="240" t="n"/>
      <c r="BWC92" s="15" t="n"/>
      <c r="BWD92" s="15" t="n"/>
      <c r="BWE92" s="248" t="n"/>
      <c r="BWF92" s="248" t="n"/>
      <c r="BWG92" s="240" t="n"/>
      <c r="BWH92" s="240" t="n"/>
      <c r="BWJ92" s="15" t="n"/>
      <c r="BWK92" s="15" t="n"/>
      <c r="BWL92" s="248" t="n"/>
      <c r="BWM92" s="248" t="n"/>
      <c r="BWN92" s="240" t="n"/>
      <c r="BWO92" s="240" t="n"/>
      <c r="BWQ92" s="15" t="n"/>
      <c r="BWR92" s="15" t="n"/>
      <c r="BWS92" s="248" t="n"/>
      <c r="BWT92" s="248" t="n"/>
      <c r="BWU92" s="240" t="n"/>
      <c r="BWV92" s="240" t="n"/>
      <c r="BWX92" s="15" t="n"/>
      <c r="BWY92" s="15" t="n"/>
      <c r="BWZ92" s="248" t="n"/>
      <c r="BXA92" s="248" t="n"/>
      <c r="BXB92" s="240" t="n"/>
      <c r="BXC92" s="240" t="n"/>
      <c r="BXE92" s="15" t="n"/>
      <c r="BXF92" s="15" t="n"/>
      <c r="BXG92" s="248" t="n"/>
      <c r="BXH92" s="248" t="n"/>
      <c r="BXI92" s="240" t="n"/>
      <c r="BXJ92" s="240" t="n"/>
      <c r="BXL92" s="15" t="n"/>
      <c r="BXM92" s="15" t="n"/>
      <c r="BXN92" s="248" t="n"/>
      <c r="BXO92" s="248" t="n"/>
      <c r="BXP92" s="240" t="n"/>
      <c r="BXQ92" s="240" t="n"/>
      <c r="BXS92" s="15" t="n"/>
      <c r="BXT92" s="15" t="n"/>
      <c r="BXU92" s="248" t="n"/>
      <c r="BXV92" s="248" t="n"/>
      <c r="BXW92" s="240" t="n"/>
      <c r="BXX92" s="240" t="n"/>
      <c r="BXZ92" s="15" t="n"/>
      <c r="BYA92" s="15" t="n"/>
      <c r="BYB92" s="248" t="n"/>
      <c r="BYC92" s="248" t="n"/>
      <c r="BYD92" s="240" t="n"/>
      <c r="BYE92" s="240" t="n"/>
      <c r="BYG92" s="15" t="n"/>
      <c r="BYH92" s="15" t="n"/>
      <c r="BYI92" s="248" t="n"/>
      <c r="BYJ92" s="248" t="n"/>
      <c r="BYK92" s="240" t="n"/>
      <c r="BYL92" s="240" t="n"/>
      <c r="BYN92" s="15" t="n"/>
      <c r="BYO92" s="15" t="n"/>
      <c r="BYP92" s="248" t="n"/>
      <c r="BYQ92" s="248" t="n"/>
      <c r="BYR92" s="240" t="n"/>
      <c r="BYS92" s="240" t="n"/>
      <c r="BYU92" s="15" t="n"/>
      <c r="BYV92" s="15" t="n"/>
      <c r="BYW92" s="248" t="n"/>
      <c r="BYX92" s="248" t="n"/>
      <c r="BYY92" s="240" t="n"/>
      <c r="BYZ92" s="240" t="n"/>
      <c r="BZB92" s="15" t="n"/>
      <c r="BZC92" s="15" t="n"/>
      <c r="BZD92" s="248" t="n"/>
      <c r="BZE92" s="248" t="n"/>
      <c r="BZF92" s="240" t="n"/>
      <c r="BZG92" s="240" t="n"/>
      <c r="BZI92" s="15" t="n"/>
      <c r="BZJ92" s="15" t="n"/>
      <c r="BZK92" s="248" t="n"/>
      <c r="BZL92" s="248" t="n"/>
      <c r="BZM92" s="240" t="n"/>
      <c r="BZN92" s="240" t="n"/>
      <c r="BZP92" s="15" t="n"/>
      <c r="BZQ92" s="15" t="n"/>
      <c r="BZR92" s="248" t="n"/>
      <c r="BZS92" s="248" t="n"/>
      <c r="BZT92" s="240" t="n"/>
      <c r="BZU92" s="240" t="n"/>
      <c r="BZW92" s="15" t="n"/>
      <c r="BZX92" s="15" t="n"/>
      <c r="BZY92" s="248" t="n"/>
      <c r="BZZ92" s="248" t="n"/>
      <c r="CAA92" s="240" t="n"/>
      <c r="CAB92" s="240" t="n"/>
      <c r="CAD92" s="15" t="n"/>
      <c r="CAE92" s="15" t="n"/>
      <c r="CAF92" s="248" t="n"/>
      <c r="CAG92" s="248" t="n"/>
      <c r="CAH92" s="240" t="n"/>
      <c r="CAI92" s="240" t="n"/>
      <c r="CAK92" s="15" t="n"/>
      <c r="CAL92" s="15" t="n"/>
      <c r="CAM92" s="248" t="n"/>
      <c r="CAN92" s="248" t="n"/>
      <c r="CAO92" s="240" t="n"/>
      <c r="CAP92" s="240" t="n"/>
      <c r="CAR92" s="15" t="n"/>
      <c r="CAS92" s="15" t="n"/>
      <c r="CAT92" s="248" t="n"/>
      <c r="CAU92" s="248" t="n"/>
      <c r="CAV92" s="240" t="n"/>
      <c r="CAW92" s="240" t="n"/>
      <c r="CAY92" s="15" t="n"/>
      <c r="CAZ92" s="15" t="n"/>
      <c r="CBA92" s="248" t="n"/>
      <c r="CBB92" s="248" t="n"/>
      <c r="CBC92" s="240" t="n"/>
      <c r="CBD92" s="240" t="n"/>
      <c r="CBF92" s="15" t="n"/>
      <c r="CBG92" s="15" t="n"/>
      <c r="CBH92" s="248" t="n"/>
      <c r="CBI92" s="248" t="n"/>
      <c r="CBJ92" s="240" t="n"/>
      <c r="CBK92" s="240" t="n"/>
      <c r="CBM92" s="15" t="n"/>
      <c r="CBN92" s="15" t="n"/>
      <c r="CBO92" s="248" t="n"/>
      <c r="CBP92" s="248" t="n"/>
      <c r="CBQ92" s="240" t="n"/>
      <c r="CBR92" s="240" t="n"/>
      <c r="CBT92" s="15" t="n"/>
      <c r="CBU92" s="15" t="n"/>
      <c r="CBV92" s="248" t="n"/>
      <c r="CBW92" s="248" t="n"/>
      <c r="CBX92" s="240" t="n"/>
      <c r="CBY92" s="240" t="n"/>
      <c r="CCA92" s="15" t="n"/>
      <c r="CCB92" s="15" t="n"/>
      <c r="CCC92" s="248" t="n"/>
      <c r="CCD92" s="248" t="n"/>
      <c r="CCE92" s="240" t="n"/>
      <c r="CCF92" s="240" t="n"/>
      <c r="CCH92" s="15" t="n"/>
      <c r="CCI92" s="15" t="n"/>
      <c r="CCJ92" s="248" t="n"/>
      <c r="CCK92" s="248" t="n"/>
      <c r="CCL92" s="240" t="n"/>
      <c r="CCM92" s="240" t="n"/>
      <c r="CCO92" s="15" t="n"/>
      <c r="CCP92" s="15" t="n"/>
      <c r="CCQ92" s="248" t="n"/>
      <c r="CCR92" s="248" t="n"/>
      <c r="CCS92" s="240" t="n"/>
      <c r="CCT92" s="240" t="n"/>
      <c r="CCV92" s="15" t="n"/>
      <c r="CCW92" s="15" t="n"/>
      <c r="CCX92" s="248" t="n"/>
      <c r="CCY92" s="248" t="n"/>
      <c r="CCZ92" s="240" t="n"/>
      <c r="CDA92" s="240" t="n"/>
      <c r="CDC92" s="15" t="n"/>
      <c r="CDD92" s="15" t="n"/>
      <c r="CDE92" s="248" t="n"/>
      <c r="CDF92" s="248" t="n"/>
      <c r="CDG92" s="240" t="n"/>
      <c r="CDH92" s="240" t="n"/>
      <c r="CDJ92" s="15" t="n"/>
      <c r="CDK92" s="15" t="n"/>
      <c r="CDL92" s="248" t="n"/>
      <c r="CDM92" s="248" t="n"/>
      <c r="CDN92" s="240" t="n"/>
      <c r="CDO92" s="240" t="n"/>
      <c r="CDQ92" s="15" t="n"/>
      <c r="CDR92" s="15" t="n"/>
      <c r="CDS92" s="248" t="n"/>
      <c r="CDT92" s="248" t="n"/>
      <c r="CDU92" s="240" t="n"/>
      <c r="CDV92" s="240" t="n"/>
      <c r="CDX92" s="15" t="n"/>
      <c r="CDY92" s="15" t="n"/>
      <c r="CDZ92" s="248" t="n"/>
      <c r="CEA92" s="248" t="n"/>
      <c r="CEB92" s="240" t="n"/>
      <c r="CEC92" s="240" t="n"/>
      <c r="CEE92" s="15" t="n"/>
      <c r="CEF92" s="15" t="n"/>
      <c r="CEG92" s="248" t="n"/>
      <c r="CEH92" s="248" t="n"/>
      <c r="CEI92" s="240" t="n"/>
      <c r="CEJ92" s="240" t="n"/>
      <c r="CEL92" s="15" t="n"/>
      <c r="CEM92" s="15" t="n"/>
      <c r="CEN92" s="248" t="n"/>
      <c r="CEO92" s="248" t="n"/>
      <c r="CEP92" s="240" t="n"/>
      <c r="CEQ92" s="240" t="n"/>
      <c r="CES92" s="15" t="n"/>
      <c r="CET92" s="15" t="n"/>
      <c r="CEU92" s="248" t="n"/>
      <c r="CEV92" s="248" t="n"/>
      <c r="CEW92" s="240" t="n"/>
      <c r="CEX92" s="240" t="n"/>
      <c r="CEZ92" s="15" t="n"/>
      <c r="CFA92" s="15" t="n"/>
      <c r="CFB92" s="248" t="n"/>
      <c r="CFC92" s="248" t="n"/>
      <c r="CFD92" s="240" t="n"/>
      <c r="CFE92" s="240" t="n"/>
      <c r="CFG92" s="15" t="n"/>
      <c r="CFH92" s="15" t="n"/>
      <c r="CFI92" s="248" t="n"/>
      <c r="CFJ92" s="248" t="n"/>
      <c r="CFK92" s="240" t="n"/>
      <c r="CFL92" s="240" t="n"/>
      <c r="CFN92" s="15" t="n"/>
      <c r="CFO92" s="15" t="n"/>
      <c r="CFP92" s="248" t="n"/>
      <c r="CFQ92" s="248" t="n"/>
      <c r="CFR92" s="240" t="n"/>
      <c r="CFS92" s="240" t="n"/>
      <c r="CFU92" s="15" t="n"/>
      <c r="CFV92" s="15" t="n"/>
      <c r="CFW92" s="248" t="n"/>
      <c r="CFX92" s="248" t="n"/>
      <c r="CFY92" s="240" t="n"/>
      <c r="CFZ92" s="240" t="n"/>
      <c r="CGB92" s="15" t="n"/>
      <c r="CGC92" s="15" t="n"/>
      <c r="CGD92" s="248" t="n"/>
      <c r="CGE92" s="248" t="n"/>
      <c r="CGF92" s="240" t="n"/>
      <c r="CGG92" s="240" t="n"/>
      <c r="CGI92" s="15" t="n"/>
      <c r="CGJ92" s="15" t="n"/>
      <c r="CGK92" s="248" t="n"/>
      <c r="CGL92" s="248" t="n"/>
      <c r="CGM92" s="240" t="n"/>
      <c r="CGN92" s="240" t="n"/>
      <c r="CGP92" s="15" t="n"/>
      <c r="CGQ92" s="15" t="n"/>
      <c r="CGR92" s="248" t="n"/>
      <c r="CGS92" s="248" t="n"/>
      <c r="CGT92" s="240" t="n"/>
      <c r="CGU92" s="240" t="n"/>
      <c r="CGW92" s="15" t="n"/>
      <c r="CGX92" s="15" t="n"/>
      <c r="CGY92" s="248" t="n"/>
      <c r="CGZ92" s="248" t="n"/>
      <c r="CHA92" s="240" t="n"/>
      <c r="CHB92" s="240" t="n"/>
      <c r="CHD92" s="15" t="n"/>
      <c r="CHE92" s="15" t="n"/>
      <c r="CHF92" s="248" t="n"/>
      <c r="CHG92" s="248" t="n"/>
      <c r="CHH92" s="240" t="n"/>
      <c r="CHI92" s="240" t="n"/>
      <c r="CHK92" s="15" t="n"/>
      <c r="CHL92" s="15" t="n"/>
      <c r="CHM92" s="248" t="n"/>
      <c r="CHN92" s="248" t="n"/>
      <c r="CHO92" s="240" t="n"/>
      <c r="CHP92" s="240" t="n"/>
      <c r="CHR92" s="15" t="n"/>
      <c r="CHS92" s="15" t="n"/>
      <c r="CHT92" s="248" t="n"/>
      <c r="CHU92" s="248" t="n"/>
      <c r="CHV92" s="240" t="n"/>
      <c r="CHW92" s="240" t="n"/>
      <c r="CHY92" s="15" t="n"/>
      <c r="CHZ92" s="15" t="n"/>
      <c r="CIA92" s="248" t="n"/>
      <c r="CIB92" s="248" t="n"/>
      <c r="CIC92" s="240" t="n"/>
      <c r="CID92" s="240" t="n"/>
      <c r="CIF92" s="15" t="n"/>
      <c r="CIG92" s="15" t="n"/>
      <c r="CIH92" s="248" t="n"/>
      <c r="CII92" s="248" t="n"/>
      <c r="CIJ92" s="240" t="n"/>
      <c r="CIK92" s="240" t="n"/>
      <c r="CIM92" s="15" t="n"/>
      <c r="CIN92" s="15" t="n"/>
      <c r="CIO92" s="248" t="n"/>
      <c r="CIP92" s="248" t="n"/>
      <c r="CIQ92" s="240" t="n"/>
      <c r="CIR92" s="240" t="n"/>
      <c r="CIT92" s="15" t="n"/>
      <c r="CIU92" s="15" t="n"/>
      <c r="CIV92" s="248" t="n"/>
      <c r="CIW92" s="248" t="n"/>
      <c r="CIX92" s="240" t="n"/>
      <c r="CIY92" s="240" t="n"/>
      <c r="CJA92" s="15" t="n"/>
      <c r="CJB92" s="15" t="n"/>
      <c r="CJC92" s="248" t="n"/>
      <c r="CJD92" s="248" t="n"/>
      <c r="CJE92" s="240" t="n"/>
      <c r="CJF92" s="240" t="n"/>
      <c r="CJH92" s="15" t="n"/>
      <c r="CJI92" s="15" t="n"/>
      <c r="CJJ92" s="248" t="n"/>
      <c r="CJK92" s="248" t="n"/>
      <c r="CJL92" s="240" t="n"/>
      <c r="CJM92" s="240" t="n"/>
      <c r="CJO92" s="15" t="n"/>
      <c r="CJP92" s="15" t="n"/>
      <c r="CJQ92" s="248" t="n"/>
      <c r="CJR92" s="248" t="n"/>
      <c r="CJS92" s="240" t="n"/>
      <c r="CJT92" s="240" t="n"/>
      <c r="CJV92" s="15" t="n"/>
      <c r="CJW92" s="15" t="n"/>
      <c r="CJX92" s="248" t="n"/>
      <c r="CJY92" s="248" t="n"/>
      <c r="CJZ92" s="240" t="n"/>
      <c r="CKA92" s="240" t="n"/>
      <c r="CKC92" s="15" t="n"/>
      <c r="CKD92" s="15" t="n"/>
      <c r="CKE92" s="248" t="n"/>
      <c r="CKF92" s="248" t="n"/>
      <c r="CKG92" s="240" t="n"/>
      <c r="CKH92" s="240" t="n"/>
      <c r="CKJ92" s="15" t="n"/>
      <c r="CKK92" s="15" t="n"/>
      <c r="CKL92" s="248" t="n"/>
      <c r="CKM92" s="248" t="n"/>
      <c r="CKN92" s="240" t="n"/>
      <c r="CKO92" s="240" t="n"/>
      <c r="CKQ92" s="15" t="n"/>
      <c r="CKR92" s="15" t="n"/>
      <c r="CKS92" s="248" t="n"/>
      <c r="CKT92" s="248" t="n"/>
      <c r="CKU92" s="240" t="n"/>
      <c r="CKV92" s="240" t="n"/>
      <c r="CKX92" s="15" t="n"/>
      <c r="CKY92" s="15" t="n"/>
      <c r="CKZ92" s="248" t="n"/>
      <c r="CLA92" s="248" t="n"/>
      <c r="CLB92" s="240" t="n"/>
      <c r="CLC92" s="240" t="n"/>
      <c r="CLE92" s="15" t="n"/>
      <c r="CLF92" s="15" t="n"/>
      <c r="CLG92" s="248" t="n"/>
      <c r="CLH92" s="248" t="n"/>
      <c r="CLI92" s="240" t="n"/>
      <c r="CLJ92" s="240" t="n"/>
      <c r="CLL92" s="15" t="n"/>
      <c r="CLM92" s="15" t="n"/>
      <c r="CLN92" s="248" t="n"/>
      <c r="CLO92" s="248" t="n"/>
      <c r="CLP92" s="240" t="n"/>
      <c r="CLQ92" s="240" t="n"/>
      <c r="CLS92" s="15" t="n"/>
      <c r="CLT92" s="15" t="n"/>
      <c r="CLU92" s="248" t="n"/>
      <c r="CLV92" s="248" t="n"/>
      <c r="CLW92" s="240" t="n"/>
      <c r="CLX92" s="240" t="n"/>
      <c r="CLZ92" s="15" t="n"/>
      <c r="CMA92" s="15" t="n"/>
      <c r="CMB92" s="248" t="n"/>
      <c r="CMC92" s="248" t="n"/>
      <c r="CMD92" s="240" t="n"/>
      <c r="CME92" s="240" t="n"/>
      <c r="CMG92" s="15" t="n"/>
      <c r="CMH92" s="15" t="n"/>
      <c r="CMI92" s="248" t="n"/>
      <c r="CMJ92" s="248" t="n"/>
      <c r="CMK92" s="240" t="n"/>
      <c r="CML92" s="240" t="n"/>
      <c r="CMN92" s="15" t="n"/>
      <c r="CMO92" s="15" t="n"/>
      <c r="CMP92" s="248" t="n"/>
      <c r="CMQ92" s="248" t="n"/>
      <c r="CMR92" s="240" t="n"/>
      <c r="CMS92" s="240" t="n"/>
      <c r="CMU92" s="15" t="n"/>
      <c r="CMV92" s="15" t="n"/>
      <c r="CMW92" s="248" t="n"/>
      <c r="CMX92" s="248" t="n"/>
      <c r="CMY92" s="240" t="n"/>
      <c r="CMZ92" s="240" t="n"/>
      <c r="CNB92" s="15" t="n"/>
      <c r="CNC92" s="15" t="n"/>
      <c r="CND92" s="248" t="n"/>
      <c r="CNE92" s="248" t="n"/>
      <c r="CNF92" s="240" t="n"/>
      <c r="CNG92" s="240" t="n"/>
      <c r="CNI92" s="15" t="n"/>
      <c r="CNJ92" s="15" t="n"/>
      <c r="CNK92" s="248" t="n"/>
      <c r="CNL92" s="248" t="n"/>
      <c r="CNM92" s="240" t="n"/>
      <c r="CNN92" s="240" t="n"/>
      <c r="CNP92" s="15" t="n"/>
      <c r="CNQ92" s="15" t="n"/>
      <c r="CNR92" s="248" t="n"/>
      <c r="CNS92" s="248" t="n"/>
      <c r="CNT92" s="240" t="n"/>
      <c r="CNU92" s="240" t="n"/>
      <c r="CNW92" s="15" t="n"/>
      <c r="CNX92" s="15" t="n"/>
      <c r="CNY92" s="248" t="n"/>
      <c r="CNZ92" s="248" t="n"/>
      <c r="COA92" s="240" t="n"/>
      <c r="COB92" s="240" t="n"/>
      <c r="COD92" s="15" t="n"/>
      <c r="COE92" s="15" t="n"/>
      <c r="COF92" s="248" t="n"/>
      <c r="COG92" s="248" t="n"/>
      <c r="COH92" s="240" t="n"/>
      <c r="COI92" s="240" t="n"/>
      <c r="COK92" s="15" t="n"/>
      <c r="COL92" s="15" t="n"/>
      <c r="COM92" s="248" t="n"/>
      <c r="CON92" s="248" t="n"/>
      <c r="COO92" s="240" t="n"/>
      <c r="COP92" s="240" t="n"/>
      <c r="COR92" s="15" t="n"/>
      <c r="COS92" s="15" t="n"/>
      <c r="COT92" s="248" t="n"/>
      <c r="COU92" s="248" t="n"/>
      <c r="COV92" s="240" t="n"/>
      <c r="COW92" s="240" t="n"/>
      <c r="COY92" s="15" t="n"/>
      <c r="COZ92" s="15" t="n"/>
      <c r="CPA92" s="248" t="n"/>
      <c r="CPB92" s="248" t="n"/>
      <c r="CPC92" s="240" t="n"/>
      <c r="CPD92" s="240" t="n"/>
      <c r="CPF92" s="15" t="n"/>
      <c r="CPG92" s="15" t="n"/>
      <c r="CPH92" s="248" t="n"/>
      <c r="CPI92" s="248" t="n"/>
      <c r="CPJ92" s="240" t="n"/>
      <c r="CPK92" s="240" t="n"/>
      <c r="CPM92" s="15" t="n"/>
      <c r="CPN92" s="15" t="n"/>
      <c r="CPO92" s="248" t="n"/>
      <c r="CPP92" s="248" t="n"/>
      <c r="CPQ92" s="240" t="n"/>
      <c r="CPR92" s="240" t="n"/>
      <c r="CPT92" s="15" t="n"/>
      <c r="CPU92" s="15" t="n"/>
      <c r="CPV92" s="248" t="n"/>
      <c r="CPW92" s="248" t="n"/>
      <c r="CPX92" s="240" t="n"/>
      <c r="CPY92" s="240" t="n"/>
      <c r="CQA92" s="15" t="n"/>
      <c r="CQB92" s="15" t="n"/>
      <c r="CQC92" s="248" t="n"/>
      <c r="CQD92" s="248" t="n"/>
      <c r="CQE92" s="240" t="n"/>
      <c r="CQF92" s="240" t="n"/>
      <c r="CQH92" s="15" t="n"/>
      <c r="CQI92" s="15" t="n"/>
      <c r="CQJ92" s="248" t="n"/>
      <c r="CQK92" s="248" t="n"/>
      <c r="CQL92" s="240" t="n"/>
      <c r="CQM92" s="240" t="n"/>
      <c r="CQO92" s="15" t="n"/>
      <c r="CQP92" s="15" t="n"/>
      <c r="CQQ92" s="248" t="n"/>
      <c r="CQR92" s="248" t="n"/>
      <c r="CQS92" s="240" t="n"/>
      <c r="CQT92" s="240" t="n"/>
      <c r="CQV92" s="15" t="n"/>
      <c r="CQW92" s="15" t="n"/>
      <c r="CQX92" s="248" t="n"/>
      <c r="CQY92" s="248" t="n"/>
      <c r="CQZ92" s="240" t="n"/>
      <c r="CRA92" s="240" t="n"/>
      <c r="CRC92" s="15" t="n"/>
      <c r="CRD92" s="15" t="n"/>
      <c r="CRE92" s="248" t="n"/>
      <c r="CRF92" s="248" t="n"/>
      <c r="CRG92" s="240" t="n"/>
      <c r="CRH92" s="240" t="n"/>
      <c r="CRJ92" s="15" t="n"/>
      <c r="CRK92" s="15" t="n"/>
      <c r="CRL92" s="248" t="n"/>
      <c r="CRM92" s="248" t="n"/>
      <c r="CRN92" s="240" t="n"/>
      <c r="CRO92" s="240" t="n"/>
      <c r="CRQ92" s="15" t="n"/>
      <c r="CRR92" s="15" t="n"/>
      <c r="CRS92" s="248" t="n"/>
      <c r="CRT92" s="248" t="n"/>
      <c r="CRU92" s="240" t="n"/>
      <c r="CRV92" s="240" t="n"/>
      <c r="CRX92" s="15" t="n"/>
      <c r="CRY92" s="15" t="n"/>
      <c r="CRZ92" s="248" t="n"/>
      <c r="CSA92" s="248" t="n"/>
      <c r="CSB92" s="240" t="n"/>
      <c r="CSC92" s="240" t="n"/>
      <c r="CSE92" s="15" t="n"/>
      <c r="CSF92" s="15" t="n"/>
      <c r="CSG92" s="248" t="n"/>
      <c r="CSH92" s="248" t="n"/>
      <c r="CSI92" s="240" t="n"/>
      <c r="CSJ92" s="240" t="n"/>
      <c r="CSL92" s="15" t="n"/>
      <c r="CSM92" s="15" t="n"/>
      <c r="CSN92" s="248" t="n"/>
      <c r="CSO92" s="248" t="n"/>
      <c r="CSP92" s="240" t="n"/>
      <c r="CSQ92" s="240" t="n"/>
      <c r="CSS92" s="15" t="n"/>
      <c r="CST92" s="15" t="n"/>
      <c r="CSU92" s="248" t="n"/>
      <c r="CSV92" s="248" t="n"/>
      <c r="CSW92" s="240" t="n"/>
      <c r="CSX92" s="240" t="n"/>
      <c r="CSZ92" s="15" t="n"/>
      <c r="CTA92" s="15" t="n"/>
      <c r="CTB92" s="248" t="n"/>
      <c r="CTC92" s="248" t="n"/>
      <c r="CTD92" s="240" t="n"/>
      <c r="CTE92" s="240" t="n"/>
      <c r="CTG92" s="15" t="n"/>
      <c r="CTH92" s="15" t="n"/>
      <c r="CTI92" s="248" t="n"/>
      <c r="CTJ92" s="248" t="n"/>
      <c r="CTK92" s="240" t="n"/>
      <c r="CTL92" s="240" t="n"/>
      <c r="CTN92" s="15" t="n"/>
      <c r="CTO92" s="15" t="n"/>
      <c r="CTP92" s="248" t="n"/>
      <c r="CTQ92" s="248" t="n"/>
      <c r="CTR92" s="240" t="n"/>
      <c r="CTS92" s="240" t="n"/>
      <c r="CTU92" s="15" t="n"/>
      <c r="CTV92" s="15" t="n"/>
      <c r="CTW92" s="248" t="n"/>
      <c r="CTX92" s="248" t="n"/>
      <c r="CTY92" s="240" t="n"/>
      <c r="CTZ92" s="240" t="n"/>
      <c r="CUB92" s="15" t="n"/>
      <c r="CUC92" s="15" t="n"/>
      <c r="CUD92" s="248" t="n"/>
      <c r="CUE92" s="248" t="n"/>
      <c r="CUF92" s="240" t="n"/>
      <c r="CUG92" s="240" t="n"/>
      <c r="CUI92" s="15" t="n"/>
      <c r="CUJ92" s="15" t="n"/>
      <c r="CUK92" s="248" t="n"/>
      <c r="CUL92" s="248" t="n"/>
      <c r="CUM92" s="240" t="n"/>
      <c r="CUN92" s="240" t="n"/>
      <c r="CUP92" s="15" t="n"/>
      <c r="CUQ92" s="15" t="n"/>
      <c r="CUR92" s="248" t="n"/>
      <c r="CUS92" s="248" t="n"/>
      <c r="CUT92" s="240" t="n"/>
      <c r="CUU92" s="240" t="n"/>
      <c r="CUW92" s="15" t="n"/>
      <c r="CUX92" s="15" t="n"/>
      <c r="CUY92" s="248" t="n"/>
      <c r="CUZ92" s="248" t="n"/>
      <c r="CVA92" s="240" t="n"/>
      <c r="CVB92" s="240" t="n"/>
      <c r="CVD92" s="15" t="n"/>
      <c r="CVE92" s="15" t="n"/>
      <c r="CVF92" s="248" t="n"/>
      <c r="CVG92" s="248" t="n"/>
      <c r="CVH92" s="240" t="n"/>
      <c r="CVI92" s="240" t="n"/>
      <c r="CVK92" s="15" t="n"/>
      <c r="CVL92" s="15" t="n"/>
      <c r="CVM92" s="248" t="n"/>
      <c r="CVN92" s="248" t="n"/>
      <c r="CVO92" s="240" t="n"/>
      <c r="CVP92" s="240" t="n"/>
      <c r="CVR92" s="15" t="n"/>
      <c r="CVS92" s="15" t="n"/>
      <c r="CVT92" s="248" t="n"/>
      <c r="CVU92" s="248" t="n"/>
      <c r="CVV92" s="240" t="n"/>
      <c r="CVW92" s="240" t="n"/>
      <c r="CVY92" s="15" t="n"/>
      <c r="CVZ92" s="15" t="n"/>
      <c r="CWA92" s="248" t="n"/>
      <c r="CWB92" s="248" t="n"/>
      <c r="CWC92" s="240" t="n"/>
      <c r="CWD92" s="240" t="n"/>
      <c r="CWF92" s="15" t="n"/>
      <c r="CWG92" s="15" t="n"/>
      <c r="CWH92" s="248" t="n"/>
      <c r="CWI92" s="248" t="n"/>
      <c r="CWJ92" s="240" t="n"/>
      <c r="CWK92" s="240" t="n"/>
      <c r="CWM92" s="15" t="n"/>
      <c r="CWN92" s="15" t="n"/>
      <c r="CWO92" s="248" t="n"/>
      <c r="CWP92" s="248" t="n"/>
      <c r="CWQ92" s="240" t="n"/>
      <c r="CWR92" s="240" t="n"/>
      <c r="CWT92" s="15" t="n"/>
      <c r="CWU92" s="15" t="n"/>
      <c r="CWV92" s="248" t="n"/>
      <c r="CWW92" s="248" t="n"/>
      <c r="CWX92" s="240" t="n"/>
      <c r="CWY92" s="240" t="n"/>
      <c r="CXA92" s="15" t="n"/>
      <c r="CXB92" s="15" t="n"/>
      <c r="CXC92" s="248" t="n"/>
      <c r="CXD92" s="248" t="n"/>
      <c r="CXE92" s="240" t="n"/>
      <c r="CXF92" s="240" t="n"/>
      <c r="CXH92" s="15" t="n"/>
      <c r="CXI92" s="15" t="n"/>
      <c r="CXJ92" s="248" t="n"/>
      <c r="CXK92" s="248" t="n"/>
      <c r="CXL92" s="240" t="n"/>
      <c r="CXM92" s="240" t="n"/>
      <c r="CXO92" s="15" t="n"/>
      <c r="CXP92" s="15" t="n"/>
      <c r="CXQ92" s="248" t="n"/>
      <c r="CXR92" s="248" t="n"/>
      <c r="CXS92" s="240" t="n"/>
      <c r="CXT92" s="240" t="n"/>
      <c r="CXV92" s="15" t="n"/>
      <c r="CXW92" s="15" t="n"/>
      <c r="CXX92" s="248" t="n"/>
      <c r="CXY92" s="248" t="n"/>
      <c r="CXZ92" s="240" t="n"/>
      <c r="CYA92" s="240" t="n"/>
      <c r="CYC92" s="15" t="n"/>
      <c r="CYD92" s="15" t="n"/>
      <c r="CYE92" s="248" t="n"/>
      <c r="CYF92" s="248" t="n"/>
      <c r="CYG92" s="240" t="n"/>
      <c r="CYH92" s="240" t="n"/>
      <c r="CYJ92" s="15" t="n"/>
      <c r="CYK92" s="15" t="n"/>
      <c r="CYL92" s="248" t="n"/>
      <c r="CYM92" s="248" t="n"/>
      <c r="CYN92" s="240" t="n"/>
      <c r="CYO92" s="240" t="n"/>
      <c r="CYQ92" s="15" t="n"/>
      <c r="CYR92" s="15" t="n"/>
      <c r="CYS92" s="248" t="n"/>
      <c r="CYT92" s="248" t="n"/>
      <c r="CYU92" s="240" t="n"/>
      <c r="CYV92" s="240" t="n"/>
      <c r="CYX92" s="15" t="n"/>
      <c r="CYY92" s="15" t="n"/>
      <c r="CYZ92" s="248" t="n"/>
      <c r="CZA92" s="248" t="n"/>
      <c r="CZB92" s="240" t="n"/>
      <c r="CZC92" s="240" t="n"/>
      <c r="CZE92" s="15" t="n"/>
      <c r="CZF92" s="15" t="n"/>
      <c r="CZG92" s="248" t="n"/>
      <c r="CZH92" s="248" t="n"/>
      <c r="CZI92" s="240" t="n"/>
      <c r="CZJ92" s="240" t="n"/>
      <c r="CZL92" s="15" t="n"/>
      <c r="CZM92" s="15" t="n"/>
      <c r="CZN92" s="248" t="n"/>
      <c r="CZO92" s="248" t="n"/>
      <c r="CZP92" s="240" t="n"/>
      <c r="CZQ92" s="240" t="n"/>
      <c r="CZS92" s="15" t="n"/>
      <c r="CZT92" s="15" t="n"/>
      <c r="CZU92" s="248" t="n"/>
      <c r="CZV92" s="248" t="n"/>
      <c r="CZW92" s="240" t="n"/>
      <c r="CZX92" s="240" t="n"/>
      <c r="CZZ92" s="15" t="n"/>
      <c r="DAA92" s="15" t="n"/>
      <c r="DAB92" s="248" t="n"/>
      <c r="DAC92" s="248" t="n"/>
      <c r="DAD92" s="240" t="n"/>
      <c r="DAE92" s="240" t="n"/>
      <c r="DAG92" s="15" t="n"/>
      <c r="DAH92" s="15" t="n"/>
      <c r="DAI92" s="248" t="n"/>
      <c r="DAJ92" s="248" t="n"/>
      <c r="DAK92" s="240" t="n"/>
      <c r="DAL92" s="240" t="n"/>
      <c r="DAN92" s="15" t="n"/>
      <c r="DAO92" s="15" t="n"/>
      <c r="DAP92" s="248" t="n"/>
      <c r="DAQ92" s="248" t="n"/>
      <c r="DAR92" s="240" t="n"/>
      <c r="DAS92" s="240" t="n"/>
      <c r="DAU92" s="15" t="n"/>
      <c r="DAV92" s="15" t="n"/>
      <c r="DAW92" s="248" t="n"/>
      <c r="DAX92" s="248" t="n"/>
      <c r="DAY92" s="240" t="n"/>
      <c r="DAZ92" s="240" t="n"/>
      <c r="DBB92" s="15" t="n"/>
      <c r="DBC92" s="15" t="n"/>
      <c r="DBD92" s="248" t="n"/>
      <c r="DBE92" s="248" t="n"/>
      <c r="DBF92" s="240" t="n"/>
      <c r="DBG92" s="240" t="n"/>
      <c r="DBI92" s="15" t="n"/>
      <c r="DBJ92" s="15" t="n"/>
      <c r="DBK92" s="248" t="n"/>
      <c r="DBL92" s="248" t="n"/>
      <c r="DBM92" s="240" t="n"/>
      <c r="DBN92" s="240" t="n"/>
      <c r="DBP92" s="15" t="n"/>
      <c r="DBQ92" s="15" t="n"/>
      <c r="DBR92" s="248" t="n"/>
      <c r="DBS92" s="248" t="n"/>
      <c r="DBT92" s="240" t="n"/>
      <c r="DBU92" s="240" t="n"/>
      <c r="DBW92" s="15" t="n"/>
      <c r="DBX92" s="15" t="n"/>
      <c r="DBY92" s="248" t="n"/>
      <c r="DBZ92" s="248" t="n"/>
      <c r="DCA92" s="240" t="n"/>
      <c r="DCB92" s="240" t="n"/>
      <c r="DCD92" s="15" t="n"/>
      <c r="DCE92" s="15" t="n"/>
      <c r="DCF92" s="248" t="n"/>
      <c r="DCG92" s="248" t="n"/>
      <c r="DCH92" s="240" t="n"/>
      <c r="DCI92" s="240" t="n"/>
      <c r="DCK92" s="15" t="n"/>
      <c r="DCL92" s="15" t="n"/>
      <c r="DCM92" s="248" t="n"/>
      <c r="DCN92" s="248" t="n"/>
      <c r="DCO92" s="240" t="n"/>
      <c r="DCP92" s="240" t="n"/>
      <c r="DCR92" s="15" t="n"/>
      <c r="DCS92" s="15" t="n"/>
      <c r="DCT92" s="248" t="n"/>
      <c r="DCU92" s="248" t="n"/>
      <c r="DCV92" s="240" t="n"/>
      <c r="DCW92" s="240" t="n"/>
      <c r="DCY92" s="15" t="n"/>
      <c r="DCZ92" s="15" t="n"/>
      <c r="DDA92" s="248" t="n"/>
      <c r="DDB92" s="248" t="n"/>
      <c r="DDC92" s="240" t="n"/>
      <c r="DDD92" s="240" t="n"/>
      <c r="DDF92" s="15" t="n"/>
      <c r="DDG92" s="15" t="n"/>
      <c r="DDH92" s="248" t="n"/>
      <c r="DDI92" s="248" t="n"/>
      <c r="DDJ92" s="240" t="n"/>
      <c r="DDK92" s="240" t="n"/>
      <c r="DDM92" s="15" t="n"/>
      <c r="DDN92" s="15" t="n"/>
      <c r="DDO92" s="248" t="n"/>
      <c r="DDP92" s="248" t="n"/>
      <c r="DDQ92" s="240" t="n"/>
      <c r="DDR92" s="240" t="n"/>
      <c r="DDT92" s="15" t="n"/>
      <c r="DDU92" s="15" t="n"/>
      <c r="DDV92" s="248" t="n"/>
      <c r="DDW92" s="248" t="n"/>
      <c r="DDX92" s="240" t="n"/>
      <c r="DDY92" s="240" t="n"/>
      <c r="DEA92" s="15" t="n"/>
      <c r="DEB92" s="15" t="n"/>
      <c r="DEC92" s="248" t="n"/>
      <c r="DED92" s="248" t="n"/>
      <c r="DEE92" s="240" t="n"/>
      <c r="DEF92" s="240" t="n"/>
      <c r="DEH92" s="15" t="n"/>
      <c r="DEI92" s="15" t="n"/>
      <c r="DEJ92" s="248" t="n"/>
      <c r="DEK92" s="248" t="n"/>
      <c r="DEL92" s="240" t="n"/>
      <c r="DEM92" s="240" t="n"/>
      <c r="DEO92" s="15" t="n"/>
      <c r="DEP92" s="15" t="n"/>
      <c r="DEQ92" s="248" t="n"/>
      <c r="DER92" s="248" t="n"/>
      <c r="DES92" s="240" t="n"/>
      <c r="DET92" s="240" t="n"/>
      <c r="DEV92" s="15" t="n"/>
      <c r="DEW92" s="15" t="n"/>
      <c r="DEX92" s="248" t="n"/>
      <c r="DEY92" s="248" t="n"/>
      <c r="DEZ92" s="240" t="n"/>
      <c r="DFA92" s="240" t="n"/>
      <c r="DFC92" s="15" t="n"/>
      <c r="DFD92" s="15" t="n"/>
      <c r="DFE92" s="248" t="n"/>
      <c r="DFF92" s="248" t="n"/>
      <c r="DFG92" s="240" t="n"/>
      <c r="DFH92" s="240" t="n"/>
      <c r="DFJ92" s="15" t="n"/>
      <c r="DFK92" s="15" t="n"/>
      <c r="DFL92" s="248" t="n"/>
      <c r="DFM92" s="248" t="n"/>
      <c r="DFN92" s="240" t="n"/>
      <c r="DFO92" s="240" t="n"/>
      <c r="DFQ92" s="15" t="n"/>
      <c r="DFR92" s="15" t="n"/>
      <c r="DFS92" s="248" t="n"/>
      <c r="DFT92" s="248" t="n"/>
      <c r="DFU92" s="240" t="n"/>
      <c r="DFV92" s="240" t="n"/>
      <c r="DFX92" s="15" t="n"/>
      <c r="DFY92" s="15" t="n"/>
      <c r="DFZ92" s="248" t="n"/>
      <c r="DGA92" s="248" t="n"/>
      <c r="DGB92" s="240" t="n"/>
      <c r="DGC92" s="240" t="n"/>
      <c r="DGE92" s="15" t="n"/>
      <c r="DGF92" s="15" t="n"/>
      <c r="DGG92" s="248" t="n"/>
      <c r="DGH92" s="248" t="n"/>
      <c r="DGI92" s="240" t="n"/>
      <c r="DGJ92" s="240" t="n"/>
      <c r="DGL92" s="15" t="n"/>
      <c r="DGM92" s="15" t="n"/>
      <c r="DGN92" s="248" t="n"/>
      <c r="DGO92" s="248" t="n"/>
      <c r="DGP92" s="240" t="n"/>
      <c r="DGQ92" s="240" t="n"/>
      <c r="DGS92" s="15" t="n"/>
      <c r="DGT92" s="15" t="n"/>
      <c r="DGU92" s="248" t="n"/>
      <c r="DGV92" s="248" t="n"/>
      <c r="DGW92" s="240" t="n"/>
      <c r="DGX92" s="240" t="n"/>
      <c r="DGZ92" s="15" t="n"/>
      <c r="DHA92" s="15" t="n"/>
      <c r="DHB92" s="248" t="n"/>
      <c r="DHC92" s="248" t="n"/>
      <c r="DHD92" s="240" t="n"/>
      <c r="DHE92" s="240" t="n"/>
      <c r="DHG92" s="15" t="n"/>
      <c r="DHH92" s="15" t="n"/>
      <c r="DHI92" s="248" t="n"/>
      <c r="DHJ92" s="248" t="n"/>
      <c r="DHK92" s="240" t="n"/>
      <c r="DHL92" s="240" t="n"/>
      <c r="DHN92" s="15" t="n"/>
      <c r="DHO92" s="15" t="n"/>
      <c r="DHP92" s="248" t="n"/>
      <c r="DHQ92" s="248" t="n"/>
      <c r="DHR92" s="240" t="n"/>
      <c r="DHS92" s="240" t="n"/>
      <c r="DHU92" s="15" t="n"/>
      <c r="DHV92" s="15" t="n"/>
      <c r="DHW92" s="248" t="n"/>
      <c r="DHX92" s="248" t="n"/>
      <c r="DHY92" s="240" t="n"/>
      <c r="DHZ92" s="240" t="n"/>
      <c r="DIB92" s="15" t="n"/>
      <c r="DIC92" s="15" t="n"/>
      <c r="DID92" s="248" t="n"/>
      <c r="DIE92" s="248" t="n"/>
      <c r="DIF92" s="240" t="n"/>
      <c r="DIG92" s="240" t="n"/>
      <c r="DII92" s="15" t="n"/>
      <c r="DIJ92" s="15" t="n"/>
      <c r="DIK92" s="248" t="n"/>
      <c r="DIL92" s="248" t="n"/>
      <c r="DIM92" s="240" t="n"/>
      <c r="DIN92" s="240" t="n"/>
      <c r="DIP92" s="15" t="n"/>
      <c r="DIQ92" s="15" t="n"/>
      <c r="DIR92" s="248" t="n"/>
      <c r="DIS92" s="248" t="n"/>
      <c r="DIT92" s="240" t="n"/>
      <c r="DIU92" s="240" t="n"/>
      <c r="DIW92" s="15" t="n"/>
      <c r="DIX92" s="15" t="n"/>
      <c r="DIY92" s="248" t="n"/>
      <c r="DIZ92" s="248" t="n"/>
      <c r="DJA92" s="240" t="n"/>
      <c r="DJB92" s="240" t="n"/>
      <c r="DJD92" s="15" t="n"/>
      <c r="DJE92" s="15" t="n"/>
      <c r="DJF92" s="248" t="n"/>
      <c r="DJG92" s="248" t="n"/>
      <c r="DJH92" s="240" t="n"/>
      <c r="DJI92" s="240" t="n"/>
      <c r="DJK92" s="15" t="n"/>
      <c r="DJL92" s="15" t="n"/>
      <c r="DJM92" s="248" t="n"/>
      <c r="DJN92" s="248" t="n"/>
      <c r="DJO92" s="240" t="n"/>
      <c r="DJP92" s="240" t="n"/>
      <c r="DJR92" s="15" t="n"/>
      <c r="DJS92" s="15" t="n"/>
      <c r="DJT92" s="248" t="n"/>
      <c r="DJU92" s="248" t="n"/>
      <c r="DJV92" s="240" t="n"/>
      <c r="DJW92" s="240" t="n"/>
      <c r="DJY92" s="15" t="n"/>
      <c r="DJZ92" s="15" t="n"/>
      <c r="DKA92" s="248" t="n"/>
      <c r="DKB92" s="248" t="n"/>
      <c r="DKC92" s="240" t="n"/>
      <c r="DKD92" s="240" t="n"/>
      <c r="DKF92" s="15" t="n"/>
      <c r="DKG92" s="15" t="n"/>
      <c r="DKH92" s="248" t="n"/>
      <c r="DKI92" s="248" t="n"/>
      <c r="DKJ92" s="240" t="n"/>
      <c r="DKK92" s="240" t="n"/>
      <c r="DKM92" s="15" t="n"/>
      <c r="DKN92" s="15" t="n"/>
      <c r="DKO92" s="248" t="n"/>
      <c r="DKP92" s="248" t="n"/>
      <c r="DKQ92" s="240" t="n"/>
      <c r="DKR92" s="240" t="n"/>
      <c r="DKT92" s="15" t="n"/>
      <c r="DKU92" s="15" t="n"/>
      <c r="DKV92" s="248" t="n"/>
      <c r="DKW92" s="248" t="n"/>
      <c r="DKX92" s="240" t="n"/>
      <c r="DKY92" s="240" t="n"/>
      <c r="DLA92" s="15" t="n"/>
      <c r="DLB92" s="15" t="n"/>
      <c r="DLC92" s="248" t="n"/>
      <c r="DLD92" s="248" t="n"/>
      <c r="DLE92" s="240" t="n"/>
      <c r="DLF92" s="240" t="n"/>
      <c r="DLH92" s="15" t="n"/>
      <c r="DLI92" s="15" t="n"/>
      <c r="DLJ92" s="248" t="n"/>
      <c r="DLK92" s="248" t="n"/>
      <c r="DLL92" s="240" t="n"/>
      <c r="DLM92" s="240" t="n"/>
      <c r="DLO92" s="15" t="n"/>
      <c r="DLP92" s="15" t="n"/>
      <c r="DLQ92" s="248" t="n"/>
      <c r="DLR92" s="248" t="n"/>
      <c r="DLS92" s="240" t="n"/>
      <c r="DLT92" s="240" t="n"/>
      <c r="DLV92" s="15" t="n"/>
      <c r="DLW92" s="15" t="n"/>
      <c r="DLX92" s="248" t="n"/>
      <c r="DLY92" s="248" t="n"/>
      <c r="DLZ92" s="240" t="n"/>
      <c r="DMA92" s="240" t="n"/>
      <c r="DMC92" s="15" t="n"/>
      <c r="DMD92" s="15" t="n"/>
      <c r="DME92" s="248" t="n"/>
      <c r="DMF92" s="248" t="n"/>
      <c r="DMG92" s="240" t="n"/>
      <c r="DMH92" s="240" t="n"/>
      <c r="DMJ92" s="15" t="n"/>
      <c r="DMK92" s="15" t="n"/>
      <c r="DML92" s="248" t="n"/>
      <c r="DMM92" s="248" t="n"/>
      <c r="DMN92" s="240" t="n"/>
      <c r="DMO92" s="240" t="n"/>
      <c r="DMQ92" s="15" t="n"/>
      <c r="DMR92" s="15" t="n"/>
      <c r="DMS92" s="248" t="n"/>
      <c r="DMT92" s="248" t="n"/>
      <c r="DMU92" s="240" t="n"/>
      <c r="DMV92" s="240" t="n"/>
      <c r="DMX92" s="15" t="n"/>
      <c r="DMY92" s="15" t="n"/>
      <c r="DMZ92" s="248" t="n"/>
      <c r="DNA92" s="248" t="n"/>
      <c r="DNB92" s="240" t="n"/>
      <c r="DNC92" s="240" t="n"/>
      <c r="DNE92" s="15" t="n"/>
      <c r="DNF92" s="15" t="n"/>
      <c r="DNG92" s="248" t="n"/>
      <c r="DNH92" s="248" t="n"/>
      <c r="DNI92" s="240" t="n"/>
      <c r="DNJ92" s="240" t="n"/>
      <c r="DNL92" s="15" t="n"/>
      <c r="DNM92" s="15" t="n"/>
      <c r="DNN92" s="248" t="n"/>
      <c r="DNO92" s="248" t="n"/>
      <c r="DNP92" s="240" t="n"/>
      <c r="DNQ92" s="240" t="n"/>
      <c r="DNS92" s="15" t="n"/>
      <c r="DNT92" s="15" t="n"/>
      <c r="DNU92" s="248" t="n"/>
      <c r="DNV92" s="248" t="n"/>
      <c r="DNW92" s="240" t="n"/>
      <c r="DNX92" s="240" t="n"/>
      <c r="DNZ92" s="15" t="n"/>
      <c r="DOA92" s="15" t="n"/>
      <c r="DOB92" s="248" t="n"/>
      <c r="DOC92" s="248" t="n"/>
      <c r="DOD92" s="240" t="n"/>
      <c r="DOE92" s="240" t="n"/>
      <c r="DOG92" s="15" t="n"/>
      <c r="DOH92" s="15" t="n"/>
      <c r="DOI92" s="248" t="n"/>
      <c r="DOJ92" s="248" t="n"/>
      <c r="DOK92" s="240" t="n"/>
      <c r="DOL92" s="240" t="n"/>
      <c r="DON92" s="15" t="n"/>
      <c r="DOO92" s="15" t="n"/>
      <c r="DOP92" s="248" t="n"/>
      <c r="DOQ92" s="248" t="n"/>
      <c r="DOR92" s="240" t="n"/>
      <c r="DOS92" s="240" t="n"/>
      <c r="DOU92" s="15" t="n"/>
      <c r="DOV92" s="15" t="n"/>
      <c r="DOW92" s="248" t="n"/>
      <c r="DOX92" s="248" t="n"/>
      <c r="DOY92" s="240" t="n"/>
      <c r="DOZ92" s="240" t="n"/>
      <c r="DPB92" s="15" t="n"/>
      <c r="DPC92" s="15" t="n"/>
      <c r="DPD92" s="248" t="n"/>
      <c r="DPE92" s="248" t="n"/>
      <c r="DPF92" s="240" t="n"/>
      <c r="DPG92" s="240" t="n"/>
      <c r="DPI92" s="15" t="n"/>
      <c r="DPJ92" s="15" t="n"/>
      <c r="DPK92" s="248" t="n"/>
      <c r="DPL92" s="248" t="n"/>
      <c r="DPM92" s="240" t="n"/>
      <c r="DPN92" s="240" t="n"/>
      <c r="DPP92" s="15" t="n"/>
      <c r="DPQ92" s="15" t="n"/>
      <c r="DPR92" s="248" t="n"/>
      <c r="DPS92" s="248" t="n"/>
      <c r="DPT92" s="240" t="n"/>
      <c r="DPU92" s="240" t="n"/>
      <c r="DPW92" s="15" t="n"/>
      <c r="DPX92" s="15" t="n"/>
      <c r="DPY92" s="248" t="n"/>
      <c r="DPZ92" s="248" t="n"/>
      <c r="DQA92" s="240" t="n"/>
      <c r="DQB92" s="240" t="n"/>
      <c r="DQD92" s="15" t="n"/>
      <c r="DQE92" s="15" t="n"/>
      <c r="DQF92" s="248" t="n"/>
      <c r="DQG92" s="248" t="n"/>
      <c r="DQH92" s="240" t="n"/>
      <c r="DQI92" s="240" t="n"/>
      <c r="DQK92" s="15" t="n"/>
      <c r="DQL92" s="15" t="n"/>
      <c r="DQM92" s="248" t="n"/>
      <c r="DQN92" s="248" t="n"/>
      <c r="DQO92" s="240" t="n"/>
      <c r="DQP92" s="240" t="n"/>
      <c r="DQR92" s="15" t="n"/>
      <c r="DQS92" s="15" t="n"/>
      <c r="DQT92" s="248" t="n"/>
      <c r="DQU92" s="248" t="n"/>
      <c r="DQV92" s="240" t="n"/>
      <c r="DQW92" s="240" t="n"/>
      <c r="DQY92" s="15" t="n"/>
      <c r="DQZ92" s="15" t="n"/>
      <c r="DRA92" s="248" t="n"/>
      <c r="DRB92" s="248" t="n"/>
      <c r="DRC92" s="240" t="n"/>
      <c r="DRD92" s="240" t="n"/>
      <c r="DRF92" s="15" t="n"/>
      <c r="DRG92" s="15" t="n"/>
      <c r="DRH92" s="248" t="n"/>
      <c r="DRI92" s="248" t="n"/>
      <c r="DRJ92" s="240" t="n"/>
      <c r="DRK92" s="240" t="n"/>
      <c r="DRM92" s="15" t="n"/>
      <c r="DRN92" s="15" t="n"/>
      <c r="DRO92" s="248" t="n"/>
      <c r="DRP92" s="248" t="n"/>
      <c r="DRQ92" s="240" t="n"/>
      <c r="DRR92" s="240" t="n"/>
      <c r="DRT92" s="15" t="n"/>
      <c r="DRU92" s="15" t="n"/>
      <c r="DRV92" s="248" t="n"/>
      <c r="DRW92" s="248" t="n"/>
      <c r="DRX92" s="240" t="n"/>
      <c r="DRY92" s="240" t="n"/>
      <c r="DSA92" s="15" t="n"/>
      <c r="DSB92" s="15" t="n"/>
      <c r="DSC92" s="248" t="n"/>
      <c r="DSD92" s="248" t="n"/>
      <c r="DSE92" s="240" t="n"/>
      <c r="DSF92" s="240" t="n"/>
      <c r="DSH92" s="15" t="n"/>
      <c r="DSI92" s="15" t="n"/>
      <c r="DSJ92" s="248" t="n"/>
      <c r="DSK92" s="248" t="n"/>
      <c r="DSL92" s="240" t="n"/>
      <c r="DSM92" s="240" t="n"/>
      <c r="DSO92" s="15" t="n"/>
      <c r="DSP92" s="15" t="n"/>
      <c r="DSQ92" s="248" t="n"/>
      <c r="DSR92" s="248" t="n"/>
      <c r="DSS92" s="240" t="n"/>
      <c r="DST92" s="240" t="n"/>
      <c r="DSV92" s="15" t="n"/>
      <c r="DSW92" s="15" t="n"/>
      <c r="DSX92" s="248" t="n"/>
      <c r="DSY92" s="248" t="n"/>
      <c r="DSZ92" s="240" t="n"/>
      <c r="DTA92" s="240" t="n"/>
      <c r="DTC92" s="15" t="n"/>
      <c r="DTD92" s="15" t="n"/>
      <c r="DTE92" s="248" t="n"/>
      <c r="DTF92" s="248" t="n"/>
      <c r="DTG92" s="240" t="n"/>
      <c r="DTH92" s="240" t="n"/>
      <c r="DTJ92" s="15" t="n"/>
      <c r="DTK92" s="15" t="n"/>
      <c r="DTL92" s="248" t="n"/>
      <c r="DTM92" s="248" t="n"/>
      <c r="DTN92" s="240" t="n"/>
      <c r="DTO92" s="240" t="n"/>
      <c r="DTQ92" s="15" t="n"/>
      <c r="DTR92" s="15" t="n"/>
      <c r="DTS92" s="248" t="n"/>
      <c r="DTT92" s="248" t="n"/>
      <c r="DTU92" s="240" t="n"/>
      <c r="DTV92" s="240" t="n"/>
      <c r="DTX92" s="15" t="n"/>
      <c r="DTY92" s="15" t="n"/>
      <c r="DTZ92" s="248" t="n"/>
      <c r="DUA92" s="248" t="n"/>
      <c r="DUB92" s="240" t="n"/>
      <c r="DUC92" s="240" t="n"/>
      <c r="DUE92" s="15" t="n"/>
      <c r="DUF92" s="15" t="n"/>
      <c r="DUG92" s="248" t="n"/>
      <c r="DUH92" s="248" t="n"/>
      <c r="DUI92" s="240" t="n"/>
      <c r="DUJ92" s="240" t="n"/>
      <c r="DUL92" s="15" t="n"/>
      <c r="DUM92" s="15" t="n"/>
      <c r="DUN92" s="248" t="n"/>
      <c r="DUO92" s="248" t="n"/>
      <c r="DUP92" s="240" t="n"/>
      <c r="DUQ92" s="240" t="n"/>
      <c r="DUS92" s="15" t="n"/>
      <c r="DUT92" s="15" t="n"/>
      <c r="DUU92" s="248" t="n"/>
      <c r="DUV92" s="248" t="n"/>
      <c r="DUW92" s="240" t="n"/>
      <c r="DUX92" s="240" t="n"/>
      <c r="DUZ92" s="15" t="n"/>
      <c r="DVA92" s="15" t="n"/>
      <c r="DVB92" s="248" t="n"/>
      <c r="DVC92" s="248" t="n"/>
      <c r="DVD92" s="240" t="n"/>
      <c r="DVE92" s="240" t="n"/>
      <c r="DVG92" s="15" t="n"/>
      <c r="DVH92" s="15" t="n"/>
      <c r="DVI92" s="248" t="n"/>
      <c r="DVJ92" s="248" t="n"/>
      <c r="DVK92" s="240" t="n"/>
      <c r="DVL92" s="240" t="n"/>
      <c r="DVN92" s="15" t="n"/>
      <c r="DVO92" s="15" t="n"/>
      <c r="DVP92" s="248" t="n"/>
      <c r="DVQ92" s="248" t="n"/>
      <c r="DVR92" s="240" t="n"/>
      <c r="DVS92" s="240" t="n"/>
      <c r="DVU92" s="15" t="n"/>
      <c r="DVV92" s="15" t="n"/>
      <c r="DVW92" s="248" t="n"/>
      <c r="DVX92" s="248" t="n"/>
      <c r="DVY92" s="240" t="n"/>
      <c r="DVZ92" s="240" t="n"/>
      <c r="DWB92" s="15" t="n"/>
      <c r="DWC92" s="15" t="n"/>
      <c r="DWD92" s="248" t="n"/>
      <c r="DWE92" s="248" t="n"/>
      <c r="DWF92" s="240" t="n"/>
      <c r="DWG92" s="240" t="n"/>
      <c r="DWI92" s="15" t="n"/>
      <c r="DWJ92" s="15" t="n"/>
      <c r="DWK92" s="248" t="n"/>
      <c r="DWL92" s="248" t="n"/>
      <c r="DWM92" s="240" t="n"/>
      <c r="DWN92" s="240" t="n"/>
      <c r="DWP92" s="15" t="n"/>
      <c r="DWQ92" s="15" t="n"/>
      <c r="DWR92" s="248" t="n"/>
      <c r="DWS92" s="248" t="n"/>
      <c r="DWT92" s="240" t="n"/>
      <c r="DWU92" s="240" t="n"/>
      <c r="DWW92" s="15" t="n"/>
      <c r="DWX92" s="15" t="n"/>
      <c r="DWY92" s="248" t="n"/>
      <c r="DWZ92" s="248" t="n"/>
      <c r="DXA92" s="240" t="n"/>
      <c r="DXB92" s="240" t="n"/>
      <c r="DXD92" s="15" t="n"/>
      <c r="DXE92" s="15" t="n"/>
      <c r="DXF92" s="248" t="n"/>
      <c r="DXG92" s="248" t="n"/>
      <c r="DXH92" s="240" t="n"/>
      <c r="DXI92" s="240" t="n"/>
      <c r="DXK92" s="15" t="n"/>
      <c r="DXL92" s="15" t="n"/>
      <c r="DXM92" s="248" t="n"/>
      <c r="DXN92" s="248" t="n"/>
      <c r="DXO92" s="240" t="n"/>
      <c r="DXP92" s="240" t="n"/>
      <c r="DXR92" s="15" t="n"/>
      <c r="DXS92" s="15" t="n"/>
      <c r="DXT92" s="248" t="n"/>
      <c r="DXU92" s="248" t="n"/>
      <c r="DXV92" s="240" t="n"/>
      <c r="DXW92" s="240" t="n"/>
      <c r="DXY92" s="15" t="n"/>
      <c r="DXZ92" s="15" t="n"/>
      <c r="DYA92" s="248" t="n"/>
      <c r="DYB92" s="248" t="n"/>
      <c r="DYC92" s="240" t="n"/>
      <c r="DYD92" s="240" t="n"/>
      <c r="DYF92" s="15" t="n"/>
      <c r="DYG92" s="15" t="n"/>
      <c r="DYH92" s="248" t="n"/>
      <c r="DYI92" s="248" t="n"/>
      <c r="DYJ92" s="240" t="n"/>
      <c r="DYK92" s="240" t="n"/>
      <c r="DYM92" s="15" t="n"/>
      <c r="DYN92" s="15" t="n"/>
      <c r="DYO92" s="248" t="n"/>
      <c r="DYP92" s="248" t="n"/>
      <c r="DYQ92" s="240" t="n"/>
      <c r="DYR92" s="240" t="n"/>
      <c r="DYT92" s="15" t="n"/>
      <c r="DYU92" s="15" t="n"/>
      <c r="DYV92" s="248" t="n"/>
      <c r="DYW92" s="248" t="n"/>
      <c r="DYX92" s="240" t="n"/>
      <c r="DYY92" s="240" t="n"/>
      <c r="DZA92" s="15" t="n"/>
      <c r="DZB92" s="15" t="n"/>
      <c r="DZC92" s="248" t="n"/>
      <c r="DZD92" s="248" t="n"/>
      <c r="DZE92" s="240" t="n"/>
      <c r="DZF92" s="240" t="n"/>
      <c r="DZH92" s="15" t="n"/>
      <c r="DZI92" s="15" t="n"/>
      <c r="DZJ92" s="248" t="n"/>
      <c r="DZK92" s="248" t="n"/>
      <c r="DZL92" s="240" t="n"/>
      <c r="DZM92" s="240" t="n"/>
      <c r="DZO92" s="15" t="n"/>
      <c r="DZP92" s="15" t="n"/>
      <c r="DZQ92" s="248" t="n"/>
      <c r="DZR92" s="248" t="n"/>
      <c r="DZS92" s="240" t="n"/>
      <c r="DZT92" s="240" t="n"/>
      <c r="DZV92" s="15" t="n"/>
      <c r="DZW92" s="15" t="n"/>
      <c r="DZX92" s="248" t="n"/>
      <c r="DZY92" s="248" t="n"/>
      <c r="DZZ92" s="240" t="n"/>
      <c r="EAA92" s="240" t="n"/>
      <c r="EAC92" s="15" t="n"/>
      <c r="EAD92" s="15" t="n"/>
      <c r="EAE92" s="248" t="n"/>
      <c r="EAF92" s="248" t="n"/>
      <c r="EAG92" s="240" t="n"/>
      <c r="EAH92" s="240" t="n"/>
      <c r="EAJ92" s="15" t="n"/>
      <c r="EAK92" s="15" t="n"/>
      <c r="EAL92" s="248" t="n"/>
      <c r="EAM92" s="248" t="n"/>
      <c r="EAN92" s="240" t="n"/>
      <c r="EAO92" s="240" t="n"/>
      <c r="EAQ92" s="15" t="n"/>
      <c r="EAR92" s="15" t="n"/>
      <c r="EAS92" s="248" t="n"/>
      <c r="EAT92" s="248" t="n"/>
      <c r="EAU92" s="240" t="n"/>
      <c r="EAV92" s="240" t="n"/>
      <c r="EAX92" s="15" t="n"/>
      <c r="EAY92" s="15" t="n"/>
      <c r="EAZ92" s="248" t="n"/>
      <c r="EBA92" s="248" t="n"/>
      <c r="EBB92" s="240" t="n"/>
      <c r="EBC92" s="240" t="n"/>
      <c r="EBE92" s="15" t="n"/>
      <c r="EBF92" s="15" t="n"/>
      <c r="EBG92" s="248" t="n"/>
      <c r="EBH92" s="248" t="n"/>
      <c r="EBI92" s="240" t="n"/>
      <c r="EBJ92" s="240" t="n"/>
      <c r="EBL92" s="15" t="n"/>
      <c r="EBM92" s="15" t="n"/>
      <c r="EBN92" s="248" t="n"/>
      <c r="EBO92" s="248" t="n"/>
      <c r="EBP92" s="240" t="n"/>
      <c r="EBQ92" s="240" t="n"/>
      <c r="EBS92" s="15" t="n"/>
      <c r="EBT92" s="15" t="n"/>
      <c r="EBU92" s="248" t="n"/>
      <c r="EBV92" s="248" t="n"/>
      <c r="EBW92" s="240" t="n"/>
      <c r="EBX92" s="240" t="n"/>
      <c r="EBZ92" s="15" t="n"/>
      <c r="ECA92" s="15" t="n"/>
      <c r="ECB92" s="248" t="n"/>
      <c r="ECC92" s="248" t="n"/>
      <c r="ECD92" s="240" t="n"/>
      <c r="ECE92" s="240" t="n"/>
      <c r="ECG92" s="15" t="n"/>
      <c r="ECH92" s="15" t="n"/>
      <c r="ECI92" s="248" t="n"/>
      <c r="ECJ92" s="248" t="n"/>
      <c r="ECK92" s="240" t="n"/>
      <c r="ECL92" s="240" t="n"/>
      <c r="ECN92" s="15" t="n"/>
      <c r="ECO92" s="15" t="n"/>
      <c r="ECP92" s="248" t="n"/>
      <c r="ECQ92" s="248" t="n"/>
      <c r="ECR92" s="240" t="n"/>
      <c r="ECS92" s="240" t="n"/>
      <c r="ECU92" s="15" t="n"/>
      <c r="ECV92" s="15" t="n"/>
      <c r="ECW92" s="248" t="n"/>
      <c r="ECX92" s="248" t="n"/>
      <c r="ECY92" s="240" t="n"/>
      <c r="ECZ92" s="240" t="n"/>
      <c r="EDB92" s="15" t="n"/>
      <c r="EDC92" s="15" t="n"/>
      <c r="EDD92" s="248" t="n"/>
      <c r="EDE92" s="248" t="n"/>
      <c r="EDF92" s="240" t="n"/>
      <c r="EDG92" s="240" t="n"/>
      <c r="EDI92" s="15" t="n"/>
      <c r="EDJ92" s="15" t="n"/>
      <c r="EDK92" s="248" t="n"/>
      <c r="EDL92" s="248" t="n"/>
      <c r="EDM92" s="240" t="n"/>
      <c r="EDN92" s="240" t="n"/>
      <c r="EDP92" s="15" t="n"/>
      <c r="EDQ92" s="15" t="n"/>
      <c r="EDR92" s="248" t="n"/>
      <c r="EDS92" s="248" t="n"/>
      <c r="EDT92" s="240" t="n"/>
      <c r="EDU92" s="240" t="n"/>
      <c r="EDW92" s="15" t="n"/>
      <c r="EDX92" s="15" t="n"/>
      <c r="EDY92" s="248" t="n"/>
      <c r="EDZ92" s="248" t="n"/>
      <c r="EEA92" s="240" t="n"/>
      <c r="EEB92" s="240" t="n"/>
      <c r="EED92" s="15" t="n"/>
      <c r="EEE92" s="15" t="n"/>
      <c r="EEF92" s="248" t="n"/>
      <c r="EEG92" s="248" t="n"/>
      <c r="EEH92" s="240" t="n"/>
      <c r="EEI92" s="240" t="n"/>
      <c r="EEK92" s="15" t="n"/>
      <c r="EEL92" s="15" t="n"/>
      <c r="EEM92" s="248" t="n"/>
      <c r="EEN92" s="248" t="n"/>
      <c r="EEO92" s="240" t="n"/>
      <c r="EEP92" s="240" t="n"/>
      <c r="EER92" s="15" t="n"/>
      <c r="EES92" s="15" t="n"/>
      <c r="EET92" s="248" t="n"/>
      <c r="EEU92" s="248" t="n"/>
      <c r="EEV92" s="240" t="n"/>
      <c r="EEW92" s="240" t="n"/>
      <c r="EEY92" s="15" t="n"/>
      <c r="EEZ92" s="15" t="n"/>
      <c r="EFA92" s="248" t="n"/>
      <c r="EFB92" s="248" t="n"/>
      <c r="EFC92" s="240" t="n"/>
      <c r="EFD92" s="240" t="n"/>
      <c r="EFF92" s="15" t="n"/>
      <c r="EFG92" s="15" t="n"/>
      <c r="EFH92" s="248" t="n"/>
      <c r="EFI92" s="248" t="n"/>
      <c r="EFJ92" s="240" t="n"/>
      <c r="EFK92" s="240" t="n"/>
      <c r="EFM92" s="15" t="n"/>
      <c r="EFN92" s="15" t="n"/>
      <c r="EFO92" s="248" t="n"/>
      <c r="EFP92" s="248" t="n"/>
      <c r="EFQ92" s="240" t="n"/>
      <c r="EFR92" s="240" t="n"/>
      <c r="EFT92" s="15" t="n"/>
      <c r="EFU92" s="15" t="n"/>
      <c r="EFV92" s="248" t="n"/>
      <c r="EFW92" s="248" t="n"/>
      <c r="EFX92" s="240" t="n"/>
      <c r="EFY92" s="240" t="n"/>
      <c r="EGA92" s="15" t="n"/>
      <c r="EGB92" s="15" t="n"/>
      <c r="EGC92" s="248" t="n"/>
      <c r="EGD92" s="248" t="n"/>
      <c r="EGE92" s="240" t="n"/>
      <c r="EGF92" s="240" t="n"/>
      <c r="EGH92" s="15" t="n"/>
      <c r="EGI92" s="15" t="n"/>
      <c r="EGJ92" s="248" t="n"/>
      <c r="EGK92" s="248" t="n"/>
      <c r="EGL92" s="240" t="n"/>
      <c r="EGM92" s="240" t="n"/>
      <c r="EGO92" s="15" t="n"/>
      <c r="EGP92" s="15" t="n"/>
      <c r="EGQ92" s="248" t="n"/>
      <c r="EGR92" s="248" t="n"/>
      <c r="EGS92" s="240" t="n"/>
      <c r="EGT92" s="240" t="n"/>
      <c r="EGV92" s="15" t="n"/>
      <c r="EGW92" s="15" t="n"/>
      <c r="EGX92" s="248" t="n"/>
      <c r="EGY92" s="248" t="n"/>
      <c r="EGZ92" s="240" t="n"/>
      <c r="EHA92" s="240" t="n"/>
      <c r="EHC92" s="15" t="n"/>
      <c r="EHD92" s="15" t="n"/>
      <c r="EHE92" s="248" t="n"/>
      <c r="EHF92" s="248" t="n"/>
      <c r="EHG92" s="240" t="n"/>
      <c r="EHH92" s="240" t="n"/>
      <c r="EHJ92" s="15" t="n"/>
      <c r="EHK92" s="15" t="n"/>
      <c r="EHL92" s="248" t="n"/>
      <c r="EHM92" s="248" t="n"/>
      <c r="EHN92" s="240" t="n"/>
      <c r="EHO92" s="240" t="n"/>
      <c r="EHQ92" s="15" t="n"/>
      <c r="EHR92" s="15" t="n"/>
      <c r="EHS92" s="248" t="n"/>
      <c r="EHT92" s="248" t="n"/>
      <c r="EHU92" s="240" t="n"/>
      <c r="EHV92" s="240" t="n"/>
      <c r="EHX92" s="15" t="n"/>
      <c r="EHY92" s="15" t="n"/>
      <c r="EHZ92" s="248" t="n"/>
      <c r="EIA92" s="248" t="n"/>
      <c r="EIB92" s="240" t="n"/>
      <c r="EIC92" s="240" t="n"/>
      <c r="EIE92" s="15" t="n"/>
      <c r="EIF92" s="15" t="n"/>
      <c r="EIG92" s="248" t="n"/>
      <c r="EIH92" s="248" t="n"/>
      <c r="EII92" s="240" t="n"/>
      <c r="EIJ92" s="240" t="n"/>
      <c r="EIL92" s="15" t="n"/>
      <c r="EIM92" s="15" t="n"/>
      <c r="EIN92" s="248" t="n"/>
      <c r="EIO92" s="248" t="n"/>
      <c r="EIP92" s="240" t="n"/>
      <c r="EIQ92" s="240" t="n"/>
      <c r="EIS92" s="15" t="n"/>
      <c r="EIT92" s="15" t="n"/>
      <c r="EIU92" s="248" t="n"/>
      <c r="EIV92" s="248" t="n"/>
      <c r="EIW92" s="240" t="n"/>
      <c r="EIX92" s="240" t="n"/>
      <c r="EIZ92" s="15" t="n"/>
      <c r="EJA92" s="15" t="n"/>
      <c r="EJB92" s="248" t="n"/>
      <c r="EJC92" s="248" t="n"/>
      <c r="EJD92" s="240" t="n"/>
      <c r="EJE92" s="240" t="n"/>
      <c r="EJG92" s="15" t="n"/>
      <c r="EJH92" s="15" t="n"/>
      <c r="EJI92" s="248" t="n"/>
      <c r="EJJ92" s="248" t="n"/>
      <c r="EJK92" s="240" t="n"/>
      <c r="EJL92" s="240" t="n"/>
      <c r="EJN92" s="15" t="n"/>
      <c r="EJO92" s="15" t="n"/>
      <c r="EJP92" s="248" t="n"/>
      <c r="EJQ92" s="248" t="n"/>
      <c r="EJR92" s="240" t="n"/>
      <c r="EJS92" s="240" t="n"/>
      <c r="EJU92" s="15" t="n"/>
      <c r="EJV92" s="15" t="n"/>
      <c r="EJW92" s="248" t="n"/>
      <c r="EJX92" s="248" t="n"/>
      <c r="EJY92" s="240" t="n"/>
      <c r="EJZ92" s="240" t="n"/>
      <c r="EKB92" s="15" t="n"/>
      <c r="EKC92" s="15" t="n"/>
      <c r="EKD92" s="248" t="n"/>
      <c r="EKE92" s="248" t="n"/>
      <c r="EKF92" s="240" t="n"/>
      <c r="EKG92" s="240" t="n"/>
      <c r="EKI92" s="15" t="n"/>
      <c r="EKJ92" s="15" t="n"/>
      <c r="EKK92" s="248" t="n"/>
      <c r="EKL92" s="248" t="n"/>
      <c r="EKM92" s="240" t="n"/>
      <c r="EKN92" s="240" t="n"/>
      <c r="EKP92" s="15" t="n"/>
      <c r="EKQ92" s="15" t="n"/>
      <c r="EKR92" s="248" t="n"/>
      <c r="EKS92" s="248" t="n"/>
      <c r="EKT92" s="240" t="n"/>
      <c r="EKU92" s="240" t="n"/>
      <c r="EKW92" s="15" t="n"/>
      <c r="EKX92" s="15" t="n"/>
      <c r="EKY92" s="248" t="n"/>
      <c r="EKZ92" s="248" t="n"/>
      <c r="ELA92" s="240" t="n"/>
      <c r="ELB92" s="240" t="n"/>
      <c r="ELD92" s="15" t="n"/>
      <c r="ELE92" s="15" t="n"/>
      <c r="ELF92" s="248" t="n"/>
      <c r="ELG92" s="248" t="n"/>
      <c r="ELH92" s="240" t="n"/>
      <c r="ELI92" s="240" t="n"/>
      <c r="ELK92" s="15" t="n"/>
      <c r="ELL92" s="15" t="n"/>
      <c r="ELM92" s="248" t="n"/>
      <c r="ELN92" s="248" t="n"/>
      <c r="ELO92" s="240" t="n"/>
      <c r="ELP92" s="240" t="n"/>
      <c r="ELR92" s="15" t="n"/>
      <c r="ELS92" s="15" t="n"/>
      <c r="ELT92" s="248" t="n"/>
      <c r="ELU92" s="248" t="n"/>
      <c r="ELV92" s="240" t="n"/>
      <c r="ELW92" s="240" t="n"/>
      <c r="ELY92" s="15" t="n"/>
      <c r="ELZ92" s="15" t="n"/>
      <c r="EMA92" s="248" t="n"/>
      <c r="EMB92" s="248" t="n"/>
      <c r="EMC92" s="240" t="n"/>
      <c r="EMD92" s="240" t="n"/>
      <c r="EMF92" s="15" t="n"/>
      <c r="EMG92" s="15" t="n"/>
      <c r="EMH92" s="248" t="n"/>
      <c r="EMI92" s="248" t="n"/>
      <c r="EMJ92" s="240" t="n"/>
      <c r="EMK92" s="240" t="n"/>
      <c r="EMM92" s="15" t="n"/>
      <c r="EMN92" s="15" t="n"/>
      <c r="EMO92" s="248" t="n"/>
      <c r="EMP92" s="248" t="n"/>
      <c r="EMQ92" s="240" t="n"/>
      <c r="EMR92" s="240" t="n"/>
      <c r="EMT92" s="15" t="n"/>
      <c r="EMU92" s="15" t="n"/>
      <c r="EMV92" s="248" t="n"/>
      <c r="EMW92" s="248" t="n"/>
      <c r="EMX92" s="240" t="n"/>
      <c r="EMY92" s="240" t="n"/>
      <c r="ENA92" s="15" t="n"/>
      <c r="ENB92" s="15" t="n"/>
      <c r="ENC92" s="248" t="n"/>
      <c r="END92" s="248" t="n"/>
      <c r="ENE92" s="240" t="n"/>
      <c r="ENF92" s="240" t="n"/>
      <c r="ENH92" s="15" t="n"/>
      <c r="ENI92" s="15" t="n"/>
      <c r="ENJ92" s="248" t="n"/>
      <c r="ENK92" s="248" t="n"/>
      <c r="ENL92" s="240" t="n"/>
      <c r="ENM92" s="240" t="n"/>
      <c r="ENO92" s="15" t="n"/>
      <c r="ENP92" s="15" t="n"/>
      <c r="ENQ92" s="248" t="n"/>
      <c r="ENR92" s="248" t="n"/>
      <c r="ENS92" s="240" t="n"/>
      <c r="ENT92" s="240" t="n"/>
      <c r="ENV92" s="15" t="n"/>
      <c r="ENW92" s="15" t="n"/>
      <c r="ENX92" s="248" t="n"/>
      <c r="ENY92" s="248" t="n"/>
      <c r="ENZ92" s="240" t="n"/>
      <c r="EOA92" s="240" t="n"/>
      <c r="EOC92" s="15" t="n"/>
      <c r="EOD92" s="15" t="n"/>
      <c r="EOE92" s="248" t="n"/>
      <c r="EOF92" s="248" t="n"/>
      <c r="EOG92" s="240" t="n"/>
      <c r="EOH92" s="240" t="n"/>
      <c r="EOJ92" s="15" t="n"/>
      <c r="EOK92" s="15" t="n"/>
      <c r="EOL92" s="248" t="n"/>
      <c r="EOM92" s="248" t="n"/>
      <c r="EON92" s="240" t="n"/>
      <c r="EOO92" s="240" t="n"/>
      <c r="EOQ92" s="15" t="n"/>
      <c r="EOR92" s="15" t="n"/>
      <c r="EOS92" s="248" t="n"/>
      <c r="EOT92" s="248" t="n"/>
      <c r="EOU92" s="240" t="n"/>
      <c r="EOV92" s="240" t="n"/>
      <c r="EOX92" s="15" t="n"/>
      <c r="EOY92" s="15" t="n"/>
      <c r="EOZ92" s="248" t="n"/>
      <c r="EPA92" s="248" t="n"/>
      <c r="EPB92" s="240" t="n"/>
      <c r="EPC92" s="240" t="n"/>
      <c r="EPE92" s="15" t="n"/>
      <c r="EPF92" s="15" t="n"/>
      <c r="EPG92" s="248" t="n"/>
      <c r="EPH92" s="248" t="n"/>
      <c r="EPI92" s="240" t="n"/>
      <c r="EPJ92" s="240" t="n"/>
      <c r="EPL92" s="15" t="n"/>
      <c r="EPM92" s="15" t="n"/>
      <c r="EPN92" s="248" t="n"/>
      <c r="EPO92" s="248" t="n"/>
      <c r="EPP92" s="240" t="n"/>
      <c r="EPQ92" s="240" t="n"/>
      <c r="EPS92" s="15" t="n"/>
      <c r="EPT92" s="15" t="n"/>
      <c r="EPU92" s="248" t="n"/>
      <c r="EPV92" s="248" t="n"/>
      <c r="EPW92" s="240" t="n"/>
      <c r="EPX92" s="240" t="n"/>
      <c r="EPZ92" s="15" t="n"/>
      <c r="EQA92" s="15" t="n"/>
      <c r="EQB92" s="248" t="n"/>
      <c r="EQC92" s="248" t="n"/>
      <c r="EQD92" s="240" t="n"/>
      <c r="EQE92" s="240" t="n"/>
      <c r="EQG92" s="15" t="n"/>
      <c r="EQH92" s="15" t="n"/>
      <c r="EQI92" s="248" t="n"/>
      <c r="EQJ92" s="248" t="n"/>
      <c r="EQK92" s="240" t="n"/>
      <c r="EQL92" s="240" t="n"/>
      <c r="EQN92" s="15" t="n"/>
      <c r="EQO92" s="15" t="n"/>
      <c r="EQP92" s="248" t="n"/>
      <c r="EQQ92" s="248" t="n"/>
      <c r="EQR92" s="240" t="n"/>
      <c r="EQS92" s="240" t="n"/>
      <c r="EQU92" s="15" t="n"/>
      <c r="EQV92" s="15" t="n"/>
      <c r="EQW92" s="248" t="n"/>
      <c r="EQX92" s="248" t="n"/>
      <c r="EQY92" s="240" t="n"/>
      <c r="EQZ92" s="240" t="n"/>
      <c r="ERB92" s="15" t="n"/>
      <c r="ERC92" s="15" t="n"/>
      <c r="ERD92" s="248" t="n"/>
      <c r="ERE92" s="248" t="n"/>
      <c r="ERF92" s="240" t="n"/>
      <c r="ERG92" s="240" t="n"/>
      <c r="ERI92" s="15" t="n"/>
      <c r="ERJ92" s="15" t="n"/>
      <c r="ERK92" s="248" t="n"/>
      <c r="ERL92" s="248" t="n"/>
      <c r="ERM92" s="240" t="n"/>
      <c r="ERN92" s="240" t="n"/>
      <c r="ERP92" s="15" t="n"/>
      <c r="ERQ92" s="15" t="n"/>
      <c r="ERR92" s="248" t="n"/>
      <c r="ERS92" s="248" t="n"/>
      <c r="ERT92" s="240" t="n"/>
      <c r="ERU92" s="240" t="n"/>
      <c r="ERW92" s="15" t="n"/>
      <c r="ERX92" s="15" t="n"/>
      <c r="ERY92" s="248" t="n"/>
      <c r="ERZ92" s="248" t="n"/>
      <c r="ESA92" s="240" t="n"/>
      <c r="ESB92" s="240" t="n"/>
      <c r="ESD92" s="15" t="n"/>
      <c r="ESE92" s="15" t="n"/>
      <c r="ESF92" s="248" t="n"/>
      <c r="ESG92" s="248" t="n"/>
      <c r="ESH92" s="240" t="n"/>
      <c r="ESI92" s="240" t="n"/>
      <c r="ESK92" s="15" t="n"/>
      <c r="ESL92" s="15" t="n"/>
      <c r="ESM92" s="248" t="n"/>
      <c r="ESN92" s="248" t="n"/>
      <c r="ESO92" s="240" t="n"/>
      <c r="ESP92" s="240" t="n"/>
      <c r="ESR92" s="15" t="n"/>
      <c r="ESS92" s="15" t="n"/>
      <c r="EST92" s="248" t="n"/>
      <c r="ESU92" s="248" t="n"/>
      <c r="ESV92" s="240" t="n"/>
      <c r="ESW92" s="240" t="n"/>
      <c r="ESY92" s="15" t="n"/>
      <c r="ESZ92" s="15" t="n"/>
      <c r="ETA92" s="248" t="n"/>
      <c r="ETB92" s="248" t="n"/>
      <c r="ETC92" s="240" t="n"/>
      <c r="ETD92" s="240" t="n"/>
      <c r="ETF92" s="15" t="n"/>
      <c r="ETG92" s="15" t="n"/>
      <c r="ETH92" s="248" t="n"/>
      <c r="ETI92" s="248" t="n"/>
      <c r="ETJ92" s="240" t="n"/>
      <c r="ETK92" s="240" t="n"/>
      <c r="ETM92" s="15" t="n"/>
      <c r="ETN92" s="15" t="n"/>
      <c r="ETO92" s="248" t="n"/>
      <c r="ETP92" s="248" t="n"/>
      <c r="ETQ92" s="240" t="n"/>
      <c r="ETR92" s="240" t="n"/>
      <c r="ETT92" s="15" t="n"/>
      <c r="ETU92" s="15" t="n"/>
      <c r="ETV92" s="248" t="n"/>
      <c r="ETW92" s="248" t="n"/>
      <c r="ETX92" s="240" t="n"/>
      <c r="ETY92" s="240" t="n"/>
      <c r="EUA92" s="15" t="n"/>
      <c r="EUB92" s="15" t="n"/>
      <c r="EUC92" s="248" t="n"/>
      <c r="EUD92" s="248" t="n"/>
      <c r="EUE92" s="240" t="n"/>
      <c r="EUF92" s="240" t="n"/>
      <c r="EUH92" s="15" t="n"/>
      <c r="EUI92" s="15" t="n"/>
      <c r="EUJ92" s="248" t="n"/>
      <c r="EUK92" s="248" t="n"/>
      <c r="EUL92" s="240" t="n"/>
      <c r="EUM92" s="240" t="n"/>
      <c r="EUO92" s="15" t="n"/>
      <c r="EUP92" s="15" t="n"/>
      <c r="EUQ92" s="248" t="n"/>
      <c r="EUR92" s="248" t="n"/>
      <c r="EUS92" s="240" t="n"/>
      <c r="EUT92" s="240" t="n"/>
      <c r="EUV92" s="15" t="n"/>
      <c r="EUW92" s="15" t="n"/>
      <c r="EUX92" s="248" t="n"/>
      <c r="EUY92" s="248" t="n"/>
      <c r="EUZ92" s="240" t="n"/>
      <c r="EVA92" s="240" t="n"/>
      <c r="EVC92" s="15" t="n"/>
      <c r="EVD92" s="15" t="n"/>
      <c r="EVE92" s="248" t="n"/>
      <c r="EVF92" s="248" t="n"/>
      <c r="EVG92" s="240" t="n"/>
      <c r="EVH92" s="240" t="n"/>
      <c r="EVJ92" s="15" t="n"/>
      <c r="EVK92" s="15" t="n"/>
      <c r="EVL92" s="248" t="n"/>
      <c r="EVM92" s="248" t="n"/>
      <c r="EVN92" s="240" t="n"/>
      <c r="EVO92" s="240" t="n"/>
      <c r="EVQ92" s="15" t="n"/>
      <c r="EVR92" s="15" t="n"/>
      <c r="EVS92" s="248" t="n"/>
      <c r="EVT92" s="248" t="n"/>
      <c r="EVU92" s="240" t="n"/>
      <c r="EVV92" s="240" t="n"/>
      <c r="EVX92" s="15" t="n"/>
      <c r="EVY92" s="15" t="n"/>
      <c r="EVZ92" s="248" t="n"/>
      <c r="EWA92" s="248" t="n"/>
      <c r="EWB92" s="240" t="n"/>
      <c r="EWC92" s="240" t="n"/>
      <c r="EWE92" s="15" t="n"/>
      <c r="EWF92" s="15" t="n"/>
      <c r="EWG92" s="248" t="n"/>
      <c r="EWH92" s="248" t="n"/>
      <c r="EWI92" s="240" t="n"/>
      <c r="EWJ92" s="240" t="n"/>
      <c r="EWL92" s="15" t="n"/>
      <c r="EWM92" s="15" t="n"/>
      <c r="EWN92" s="248" t="n"/>
      <c r="EWO92" s="248" t="n"/>
      <c r="EWP92" s="240" t="n"/>
      <c r="EWQ92" s="240" t="n"/>
      <c r="EWS92" s="15" t="n"/>
      <c r="EWT92" s="15" t="n"/>
      <c r="EWU92" s="248" t="n"/>
      <c r="EWV92" s="248" t="n"/>
      <c r="EWW92" s="240" t="n"/>
      <c r="EWX92" s="240" t="n"/>
      <c r="EWZ92" s="15" t="n"/>
      <c r="EXA92" s="15" t="n"/>
      <c r="EXB92" s="248" t="n"/>
      <c r="EXC92" s="248" t="n"/>
      <c r="EXD92" s="240" t="n"/>
      <c r="EXE92" s="240" t="n"/>
      <c r="EXG92" s="15" t="n"/>
      <c r="EXH92" s="15" t="n"/>
      <c r="EXI92" s="248" t="n"/>
      <c r="EXJ92" s="248" t="n"/>
      <c r="EXK92" s="240" t="n"/>
      <c r="EXL92" s="240" t="n"/>
      <c r="EXN92" s="15" t="n"/>
      <c r="EXO92" s="15" t="n"/>
      <c r="EXP92" s="248" t="n"/>
      <c r="EXQ92" s="248" t="n"/>
      <c r="EXR92" s="240" t="n"/>
      <c r="EXS92" s="240" t="n"/>
      <c r="EXU92" s="15" t="n"/>
      <c r="EXV92" s="15" t="n"/>
      <c r="EXW92" s="248" t="n"/>
      <c r="EXX92" s="248" t="n"/>
      <c r="EXY92" s="240" t="n"/>
      <c r="EXZ92" s="240" t="n"/>
      <c r="EYB92" s="15" t="n"/>
      <c r="EYC92" s="15" t="n"/>
      <c r="EYD92" s="248" t="n"/>
      <c r="EYE92" s="248" t="n"/>
      <c r="EYF92" s="240" t="n"/>
      <c r="EYG92" s="240" t="n"/>
      <c r="EYI92" s="15" t="n"/>
      <c r="EYJ92" s="15" t="n"/>
      <c r="EYK92" s="248" t="n"/>
      <c r="EYL92" s="248" t="n"/>
      <c r="EYM92" s="240" t="n"/>
      <c r="EYN92" s="240" t="n"/>
      <c r="EYP92" s="15" t="n"/>
      <c r="EYQ92" s="15" t="n"/>
      <c r="EYR92" s="248" t="n"/>
      <c r="EYS92" s="248" t="n"/>
      <c r="EYT92" s="240" t="n"/>
      <c r="EYU92" s="240" t="n"/>
      <c r="EYW92" s="15" t="n"/>
      <c r="EYX92" s="15" t="n"/>
      <c r="EYY92" s="248" t="n"/>
      <c r="EYZ92" s="248" t="n"/>
      <c r="EZA92" s="240" t="n"/>
      <c r="EZB92" s="240" t="n"/>
      <c r="EZD92" s="15" t="n"/>
      <c r="EZE92" s="15" t="n"/>
      <c r="EZF92" s="248" t="n"/>
      <c r="EZG92" s="248" t="n"/>
      <c r="EZH92" s="240" t="n"/>
      <c r="EZI92" s="240" t="n"/>
      <c r="EZK92" s="15" t="n"/>
      <c r="EZL92" s="15" t="n"/>
      <c r="EZM92" s="248" t="n"/>
      <c r="EZN92" s="248" t="n"/>
      <c r="EZO92" s="240" t="n"/>
      <c r="EZP92" s="240" t="n"/>
      <c r="EZR92" s="15" t="n"/>
      <c r="EZS92" s="15" t="n"/>
      <c r="EZT92" s="248" t="n"/>
      <c r="EZU92" s="248" t="n"/>
      <c r="EZV92" s="240" t="n"/>
      <c r="EZW92" s="240" t="n"/>
      <c r="EZY92" s="15" t="n"/>
      <c r="EZZ92" s="15" t="n"/>
      <c r="FAA92" s="248" t="n"/>
      <c r="FAB92" s="248" t="n"/>
      <c r="FAC92" s="240" t="n"/>
      <c r="FAD92" s="240" t="n"/>
      <c r="FAF92" s="15" t="n"/>
      <c r="FAG92" s="15" t="n"/>
      <c r="FAH92" s="248" t="n"/>
      <c r="FAI92" s="248" t="n"/>
      <c r="FAJ92" s="240" t="n"/>
      <c r="FAK92" s="240" t="n"/>
      <c r="FAM92" s="15" t="n"/>
      <c r="FAN92" s="15" t="n"/>
      <c r="FAO92" s="248" t="n"/>
      <c r="FAP92" s="248" t="n"/>
      <c r="FAQ92" s="240" t="n"/>
      <c r="FAR92" s="240" t="n"/>
      <c r="FAT92" s="15" t="n"/>
      <c r="FAU92" s="15" t="n"/>
      <c r="FAV92" s="248" t="n"/>
      <c r="FAW92" s="248" t="n"/>
      <c r="FAX92" s="240" t="n"/>
      <c r="FAY92" s="240" t="n"/>
      <c r="FBA92" s="15" t="n"/>
      <c r="FBB92" s="15" t="n"/>
      <c r="FBC92" s="248" t="n"/>
      <c r="FBD92" s="248" t="n"/>
      <c r="FBE92" s="240" t="n"/>
      <c r="FBF92" s="240" t="n"/>
      <c r="FBH92" s="15" t="n"/>
      <c r="FBI92" s="15" t="n"/>
      <c r="FBJ92" s="248" t="n"/>
      <c r="FBK92" s="248" t="n"/>
      <c r="FBL92" s="240" t="n"/>
      <c r="FBM92" s="240" t="n"/>
      <c r="FBO92" s="15" t="n"/>
      <c r="FBP92" s="15" t="n"/>
      <c r="FBQ92" s="248" t="n"/>
      <c r="FBR92" s="248" t="n"/>
      <c r="FBS92" s="240" t="n"/>
      <c r="FBT92" s="240" t="n"/>
      <c r="FBV92" s="15" t="n"/>
      <c r="FBW92" s="15" t="n"/>
      <c r="FBX92" s="248" t="n"/>
      <c r="FBY92" s="248" t="n"/>
      <c r="FBZ92" s="240" t="n"/>
      <c r="FCA92" s="240" t="n"/>
      <c r="FCC92" s="15" t="n"/>
      <c r="FCD92" s="15" t="n"/>
      <c r="FCE92" s="248" t="n"/>
      <c r="FCF92" s="248" t="n"/>
      <c r="FCG92" s="240" t="n"/>
      <c r="FCH92" s="240" t="n"/>
      <c r="FCJ92" s="15" t="n"/>
      <c r="FCK92" s="15" t="n"/>
      <c r="FCL92" s="248" t="n"/>
      <c r="FCM92" s="248" t="n"/>
      <c r="FCN92" s="240" t="n"/>
      <c r="FCO92" s="240" t="n"/>
      <c r="FCQ92" s="15" t="n"/>
      <c r="FCR92" s="15" t="n"/>
      <c r="FCS92" s="248" t="n"/>
      <c r="FCT92" s="248" t="n"/>
      <c r="FCU92" s="240" t="n"/>
      <c r="FCV92" s="240" t="n"/>
      <c r="FCX92" s="15" t="n"/>
      <c r="FCY92" s="15" t="n"/>
      <c r="FCZ92" s="248" t="n"/>
      <c r="FDA92" s="248" t="n"/>
      <c r="FDB92" s="240" t="n"/>
      <c r="FDC92" s="240" t="n"/>
      <c r="FDE92" s="15" t="n"/>
      <c r="FDF92" s="15" t="n"/>
      <c r="FDG92" s="248" t="n"/>
      <c r="FDH92" s="248" t="n"/>
      <c r="FDI92" s="240" t="n"/>
      <c r="FDJ92" s="240" t="n"/>
      <c r="FDL92" s="15" t="n"/>
      <c r="FDM92" s="15" t="n"/>
      <c r="FDN92" s="248" t="n"/>
      <c r="FDO92" s="248" t="n"/>
      <c r="FDP92" s="240" t="n"/>
      <c r="FDQ92" s="240" t="n"/>
      <c r="FDS92" s="15" t="n"/>
      <c r="FDT92" s="15" t="n"/>
      <c r="FDU92" s="248" t="n"/>
      <c r="FDV92" s="248" t="n"/>
      <c r="FDW92" s="240" t="n"/>
      <c r="FDX92" s="240" t="n"/>
      <c r="FDZ92" s="15" t="n"/>
      <c r="FEA92" s="15" t="n"/>
      <c r="FEB92" s="248" t="n"/>
      <c r="FEC92" s="248" t="n"/>
      <c r="FED92" s="240" t="n"/>
      <c r="FEE92" s="240" t="n"/>
      <c r="FEG92" s="15" t="n"/>
      <c r="FEH92" s="15" t="n"/>
      <c r="FEI92" s="248" t="n"/>
      <c r="FEJ92" s="248" t="n"/>
      <c r="FEK92" s="240" t="n"/>
      <c r="FEL92" s="240" t="n"/>
      <c r="FEN92" s="15" t="n"/>
      <c r="FEO92" s="15" t="n"/>
      <c r="FEP92" s="248" t="n"/>
      <c r="FEQ92" s="248" t="n"/>
      <c r="FER92" s="240" t="n"/>
      <c r="FES92" s="240" t="n"/>
      <c r="FEU92" s="15" t="n"/>
      <c r="FEV92" s="15" t="n"/>
      <c r="FEW92" s="248" t="n"/>
      <c r="FEX92" s="248" t="n"/>
      <c r="FEY92" s="240" t="n"/>
      <c r="FEZ92" s="240" t="n"/>
      <c r="FFB92" s="15" t="n"/>
      <c r="FFC92" s="15" t="n"/>
      <c r="FFD92" s="248" t="n"/>
      <c r="FFE92" s="248" t="n"/>
      <c r="FFF92" s="240" t="n"/>
      <c r="FFG92" s="240" t="n"/>
      <c r="FFI92" s="15" t="n"/>
      <c r="FFJ92" s="15" t="n"/>
      <c r="FFK92" s="248" t="n"/>
      <c r="FFL92" s="248" t="n"/>
      <c r="FFM92" s="240" t="n"/>
      <c r="FFN92" s="240" t="n"/>
      <c r="FFP92" s="15" t="n"/>
      <c r="FFQ92" s="15" t="n"/>
      <c r="FFR92" s="248" t="n"/>
      <c r="FFS92" s="248" t="n"/>
      <c r="FFT92" s="240" t="n"/>
      <c r="FFU92" s="240" t="n"/>
      <c r="FFW92" s="15" t="n"/>
      <c r="FFX92" s="15" t="n"/>
      <c r="FFY92" s="248" t="n"/>
      <c r="FFZ92" s="248" t="n"/>
      <c r="FGA92" s="240" t="n"/>
      <c r="FGB92" s="240" t="n"/>
      <c r="FGD92" s="15" t="n"/>
      <c r="FGE92" s="15" t="n"/>
      <c r="FGF92" s="248" t="n"/>
      <c r="FGG92" s="248" t="n"/>
      <c r="FGH92" s="240" t="n"/>
      <c r="FGI92" s="240" t="n"/>
      <c r="FGK92" s="15" t="n"/>
      <c r="FGL92" s="15" t="n"/>
      <c r="FGM92" s="248" t="n"/>
      <c r="FGN92" s="248" t="n"/>
      <c r="FGO92" s="240" t="n"/>
      <c r="FGP92" s="240" t="n"/>
      <c r="FGR92" s="15" t="n"/>
      <c r="FGS92" s="15" t="n"/>
      <c r="FGT92" s="248" t="n"/>
      <c r="FGU92" s="248" t="n"/>
      <c r="FGV92" s="240" t="n"/>
      <c r="FGW92" s="240" t="n"/>
      <c r="FGY92" s="15" t="n"/>
      <c r="FGZ92" s="15" t="n"/>
      <c r="FHA92" s="248" t="n"/>
      <c r="FHB92" s="248" t="n"/>
      <c r="FHC92" s="240" t="n"/>
      <c r="FHD92" s="240" t="n"/>
      <c r="FHF92" s="15" t="n"/>
      <c r="FHG92" s="15" t="n"/>
      <c r="FHH92" s="248" t="n"/>
      <c r="FHI92" s="248" t="n"/>
      <c r="FHJ92" s="240" t="n"/>
      <c r="FHK92" s="240" t="n"/>
      <c r="FHM92" s="15" t="n"/>
      <c r="FHN92" s="15" t="n"/>
      <c r="FHO92" s="248" t="n"/>
      <c r="FHP92" s="248" t="n"/>
      <c r="FHQ92" s="240" t="n"/>
      <c r="FHR92" s="240" t="n"/>
      <c r="FHT92" s="15" t="n"/>
      <c r="FHU92" s="15" t="n"/>
      <c r="FHV92" s="248" t="n"/>
      <c r="FHW92" s="248" t="n"/>
      <c r="FHX92" s="240" t="n"/>
      <c r="FHY92" s="240" t="n"/>
      <c r="FIA92" s="15" t="n"/>
      <c r="FIB92" s="15" t="n"/>
      <c r="FIC92" s="248" t="n"/>
      <c r="FID92" s="248" t="n"/>
      <c r="FIE92" s="240" t="n"/>
      <c r="FIF92" s="240" t="n"/>
      <c r="FIH92" s="15" t="n"/>
      <c r="FII92" s="15" t="n"/>
      <c r="FIJ92" s="248" t="n"/>
      <c r="FIK92" s="248" t="n"/>
      <c r="FIL92" s="240" t="n"/>
      <c r="FIM92" s="240" t="n"/>
      <c r="FIO92" s="15" t="n"/>
      <c r="FIP92" s="15" t="n"/>
      <c r="FIQ92" s="248" t="n"/>
      <c r="FIR92" s="248" t="n"/>
      <c r="FIS92" s="240" t="n"/>
      <c r="FIT92" s="240" t="n"/>
      <c r="FIV92" s="15" t="n"/>
      <c r="FIW92" s="15" t="n"/>
      <c r="FIX92" s="248" t="n"/>
      <c r="FIY92" s="248" t="n"/>
      <c r="FIZ92" s="240" t="n"/>
      <c r="FJA92" s="240" t="n"/>
      <c r="FJC92" s="15" t="n"/>
      <c r="FJD92" s="15" t="n"/>
      <c r="FJE92" s="248" t="n"/>
      <c r="FJF92" s="248" t="n"/>
      <c r="FJG92" s="240" t="n"/>
      <c r="FJH92" s="240" t="n"/>
      <c r="FJJ92" s="15" t="n"/>
      <c r="FJK92" s="15" t="n"/>
      <c r="FJL92" s="248" t="n"/>
      <c r="FJM92" s="248" t="n"/>
      <c r="FJN92" s="240" t="n"/>
      <c r="FJO92" s="240" t="n"/>
      <c r="FJQ92" s="15" t="n"/>
      <c r="FJR92" s="15" t="n"/>
      <c r="FJS92" s="248" t="n"/>
      <c r="FJT92" s="248" t="n"/>
      <c r="FJU92" s="240" t="n"/>
      <c r="FJV92" s="240" t="n"/>
      <c r="FJX92" s="15" t="n"/>
      <c r="FJY92" s="15" t="n"/>
      <c r="FJZ92" s="248" t="n"/>
      <c r="FKA92" s="248" t="n"/>
      <c r="FKB92" s="240" t="n"/>
      <c r="FKC92" s="240" t="n"/>
      <c r="FKE92" s="15" t="n"/>
      <c r="FKF92" s="15" t="n"/>
      <c r="FKG92" s="248" t="n"/>
      <c r="FKH92" s="248" t="n"/>
      <c r="FKI92" s="240" t="n"/>
      <c r="FKJ92" s="240" t="n"/>
      <c r="FKL92" s="15" t="n"/>
      <c r="FKM92" s="15" t="n"/>
      <c r="FKN92" s="248" t="n"/>
      <c r="FKO92" s="248" t="n"/>
      <c r="FKP92" s="240" t="n"/>
      <c r="FKQ92" s="240" t="n"/>
      <c r="FKS92" s="15" t="n"/>
      <c r="FKT92" s="15" t="n"/>
      <c r="FKU92" s="248" t="n"/>
      <c r="FKV92" s="248" t="n"/>
      <c r="FKW92" s="240" t="n"/>
      <c r="FKX92" s="240" t="n"/>
      <c r="FKZ92" s="15" t="n"/>
      <c r="FLA92" s="15" t="n"/>
      <c r="FLB92" s="248" t="n"/>
      <c r="FLC92" s="248" t="n"/>
      <c r="FLD92" s="240" t="n"/>
      <c r="FLE92" s="240" t="n"/>
      <c r="FLG92" s="15" t="n"/>
      <c r="FLH92" s="15" t="n"/>
      <c r="FLI92" s="248" t="n"/>
      <c r="FLJ92" s="248" t="n"/>
      <c r="FLK92" s="240" t="n"/>
      <c r="FLL92" s="240" t="n"/>
      <c r="FLN92" s="15" t="n"/>
      <c r="FLO92" s="15" t="n"/>
      <c r="FLP92" s="248" t="n"/>
      <c r="FLQ92" s="248" t="n"/>
      <c r="FLR92" s="240" t="n"/>
      <c r="FLS92" s="240" t="n"/>
      <c r="FLU92" s="15" t="n"/>
      <c r="FLV92" s="15" t="n"/>
      <c r="FLW92" s="248" t="n"/>
      <c r="FLX92" s="248" t="n"/>
      <c r="FLY92" s="240" t="n"/>
      <c r="FLZ92" s="240" t="n"/>
      <c r="FMB92" s="15" t="n"/>
      <c r="FMC92" s="15" t="n"/>
      <c r="FMD92" s="248" t="n"/>
      <c r="FME92" s="248" t="n"/>
      <c r="FMF92" s="240" t="n"/>
      <c r="FMG92" s="240" t="n"/>
      <c r="FMI92" s="15" t="n"/>
      <c r="FMJ92" s="15" t="n"/>
      <c r="FMK92" s="248" t="n"/>
      <c r="FML92" s="248" t="n"/>
      <c r="FMM92" s="240" t="n"/>
      <c r="FMN92" s="240" t="n"/>
      <c r="FMP92" s="15" t="n"/>
      <c r="FMQ92" s="15" t="n"/>
      <c r="FMR92" s="248" t="n"/>
      <c r="FMS92" s="248" t="n"/>
      <c r="FMT92" s="240" t="n"/>
      <c r="FMU92" s="240" t="n"/>
      <c r="FMW92" s="15" t="n"/>
      <c r="FMX92" s="15" t="n"/>
      <c r="FMY92" s="248" t="n"/>
      <c r="FMZ92" s="248" t="n"/>
      <c r="FNA92" s="240" t="n"/>
      <c r="FNB92" s="240" t="n"/>
      <c r="FND92" s="15" t="n"/>
      <c r="FNE92" s="15" t="n"/>
      <c r="FNF92" s="248" t="n"/>
      <c r="FNG92" s="248" t="n"/>
      <c r="FNH92" s="240" t="n"/>
      <c r="FNI92" s="240" t="n"/>
      <c r="FNK92" s="15" t="n"/>
      <c r="FNL92" s="15" t="n"/>
      <c r="FNM92" s="248" t="n"/>
      <c r="FNN92" s="248" t="n"/>
      <c r="FNO92" s="240" t="n"/>
      <c r="FNP92" s="240" t="n"/>
      <c r="FNR92" s="15" t="n"/>
      <c r="FNS92" s="15" t="n"/>
      <c r="FNT92" s="248" t="n"/>
      <c r="FNU92" s="248" t="n"/>
      <c r="FNV92" s="240" t="n"/>
      <c r="FNW92" s="240" t="n"/>
      <c r="FNY92" s="15" t="n"/>
      <c r="FNZ92" s="15" t="n"/>
      <c r="FOA92" s="248" t="n"/>
      <c r="FOB92" s="248" t="n"/>
      <c r="FOC92" s="240" t="n"/>
      <c r="FOD92" s="240" t="n"/>
      <c r="FOF92" s="15" t="n"/>
      <c r="FOG92" s="15" t="n"/>
      <c r="FOH92" s="248" t="n"/>
      <c r="FOI92" s="248" t="n"/>
      <c r="FOJ92" s="240" t="n"/>
      <c r="FOK92" s="240" t="n"/>
      <c r="FOM92" s="15" t="n"/>
      <c r="FON92" s="15" t="n"/>
      <c r="FOO92" s="248" t="n"/>
      <c r="FOP92" s="248" t="n"/>
      <c r="FOQ92" s="240" t="n"/>
      <c r="FOR92" s="240" t="n"/>
      <c r="FOT92" s="15" t="n"/>
      <c r="FOU92" s="15" t="n"/>
      <c r="FOV92" s="248" t="n"/>
      <c r="FOW92" s="248" t="n"/>
      <c r="FOX92" s="240" t="n"/>
      <c r="FOY92" s="240" t="n"/>
      <c r="FPA92" s="15" t="n"/>
      <c r="FPB92" s="15" t="n"/>
      <c r="FPC92" s="248" t="n"/>
      <c r="FPD92" s="248" t="n"/>
      <c r="FPE92" s="240" t="n"/>
      <c r="FPF92" s="240" t="n"/>
      <c r="FPH92" s="15" t="n"/>
      <c r="FPI92" s="15" t="n"/>
      <c r="FPJ92" s="248" t="n"/>
      <c r="FPK92" s="248" t="n"/>
      <c r="FPL92" s="240" t="n"/>
      <c r="FPM92" s="240" t="n"/>
      <c r="FPO92" s="15" t="n"/>
      <c r="FPP92" s="15" t="n"/>
      <c r="FPQ92" s="248" t="n"/>
      <c r="FPR92" s="248" t="n"/>
      <c r="FPS92" s="240" t="n"/>
      <c r="FPT92" s="240" t="n"/>
      <c r="FPV92" s="15" t="n"/>
      <c r="FPW92" s="15" t="n"/>
      <c r="FPX92" s="248" t="n"/>
      <c r="FPY92" s="248" t="n"/>
      <c r="FPZ92" s="240" t="n"/>
      <c r="FQA92" s="240" t="n"/>
      <c r="FQC92" s="15" t="n"/>
      <c r="FQD92" s="15" t="n"/>
      <c r="FQE92" s="248" t="n"/>
      <c r="FQF92" s="248" t="n"/>
      <c r="FQG92" s="240" t="n"/>
      <c r="FQH92" s="240" t="n"/>
      <c r="FQJ92" s="15" t="n"/>
      <c r="FQK92" s="15" t="n"/>
      <c r="FQL92" s="248" t="n"/>
      <c r="FQM92" s="248" t="n"/>
      <c r="FQN92" s="240" t="n"/>
      <c r="FQO92" s="240" t="n"/>
      <c r="FQQ92" s="15" t="n"/>
      <c r="FQR92" s="15" t="n"/>
      <c r="FQS92" s="248" t="n"/>
      <c r="FQT92" s="248" t="n"/>
      <c r="FQU92" s="240" t="n"/>
      <c r="FQV92" s="240" t="n"/>
      <c r="FQX92" s="15" t="n"/>
      <c r="FQY92" s="15" t="n"/>
      <c r="FQZ92" s="248" t="n"/>
      <c r="FRA92" s="248" t="n"/>
      <c r="FRB92" s="240" t="n"/>
      <c r="FRC92" s="240" t="n"/>
      <c r="FRE92" s="15" t="n"/>
      <c r="FRF92" s="15" t="n"/>
      <c r="FRG92" s="248" t="n"/>
      <c r="FRH92" s="248" t="n"/>
      <c r="FRI92" s="240" t="n"/>
      <c r="FRJ92" s="240" t="n"/>
      <c r="FRL92" s="15" t="n"/>
      <c r="FRM92" s="15" t="n"/>
      <c r="FRN92" s="248" t="n"/>
      <c r="FRO92" s="248" t="n"/>
      <c r="FRP92" s="240" t="n"/>
      <c r="FRQ92" s="240" t="n"/>
      <c r="FRS92" s="15" t="n"/>
      <c r="FRT92" s="15" t="n"/>
      <c r="FRU92" s="248" t="n"/>
      <c r="FRV92" s="248" t="n"/>
      <c r="FRW92" s="240" t="n"/>
      <c r="FRX92" s="240" t="n"/>
      <c r="FRZ92" s="15" t="n"/>
      <c r="FSA92" s="15" t="n"/>
      <c r="FSB92" s="248" t="n"/>
      <c r="FSC92" s="248" t="n"/>
      <c r="FSD92" s="240" t="n"/>
      <c r="FSE92" s="240" t="n"/>
      <c r="FSG92" s="15" t="n"/>
      <c r="FSH92" s="15" t="n"/>
      <c r="FSI92" s="248" t="n"/>
      <c r="FSJ92" s="248" t="n"/>
      <c r="FSK92" s="240" t="n"/>
      <c r="FSL92" s="240" t="n"/>
      <c r="FSN92" s="15" t="n"/>
      <c r="FSO92" s="15" t="n"/>
      <c r="FSP92" s="248" t="n"/>
      <c r="FSQ92" s="248" t="n"/>
      <c r="FSR92" s="240" t="n"/>
      <c r="FSS92" s="240" t="n"/>
      <c r="FSU92" s="15" t="n"/>
      <c r="FSV92" s="15" t="n"/>
      <c r="FSW92" s="248" t="n"/>
      <c r="FSX92" s="248" t="n"/>
      <c r="FSY92" s="240" t="n"/>
      <c r="FSZ92" s="240" t="n"/>
      <c r="FTB92" s="15" t="n"/>
      <c r="FTC92" s="15" t="n"/>
      <c r="FTD92" s="248" t="n"/>
      <c r="FTE92" s="248" t="n"/>
      <c r="FTF92" s="240" t="n"/>
      <c r="FTG92" s="240" t="n"/>
      <c r="FTI92" s="15" t="n"/>
      <c r="FTJ92" s="15" t="n"/>
      <c r="FTK92" s="248" t="n"/>
      <c r="FTL92" s="248" t="n"/>
      <c r="FTM92" s="240" t="n"/>
      <c r="FTN92" s="240" t="n"/>
      <c r="FTP92" s="15" t="n"/>
      <c r="FTQ92" s="15" t="n"/>
      <c r="FTR92" s="248" t="n"/>
      <c r="FTS92" s="248" t="n"/>
      <c r="FTT92" s="240" t="n"/>
      <c r="FTU92" s="240" t="n"/>
      <c r="FTW92" s="15" t="n"/>
      <c r="FTX92" s="15" t="n"/>
      <c r="FTY92" s="248" t="n"/>
      <c r="FTZ92" s="248" t="n"/>
      <c r="FUA92" s="240" t="n"/>
      <c r="FUB92" s="240" t="n"/>
      <c r="FUD92" s="15" t="n"/>
      <c r="FUE92" s="15" t="n"/>
      <c r="FUF92" s="248" t="n"/>
      <c r="FUG92" s="248" t="n"/>
      <c r="FUH92" s="240" t="n"/>
      <c r="FUI92" s="240" t="n"/>
      <c r="FUK92" s="15" t="n"/>
      <c r="FUL92" s="15" t="n"/>
      <c r="FUM92" s="248" t="n"/>
      <c r="FUN92" s="248" t="n"/>
      <c r="FUO92" s="240" t="n"/>
      <c r="FUP92" s="240" t="n"/>
      <c r="FUR92" s="15" t="n"/>
      <c r="FUS92" s="15" t="n"/>
      <c r="FUT92" s="248" t="n"/>
      <c r="FUU92" s="248" t="n"/>
      <c r="FUV92" s="240" t="n"/>
      <c r="FUW92" s="240" t="n"/>
      <c r="FUY92" s="15" t="n"/>
      <c r="FUZ92" s="15" t="n"/>
      <c r="FVA92" s="248" t="n"/>
      <c r="FVB92" s="248" t="n"/>
      <c r="FVC92" s="240" t="n"/>
      <c r="FVD92" s="240" t="n"/>
      <c r="FVF92" s="15" t="n"/>
      <c r="FVG92" s="15" t="n"/>
      <c r="FVH92" s="248" t="n"/>
      <c r="FVI92" s="248" t="n"/>
      <c r="FVJ92" s="240" t="n"/>
      <c r="FVK92" s="240" t="n"/>
      <c r="FVM92" s="15" t="n"/>
      <c r="FVN92" s="15" t="n"/>
      <c r="FVO92" s="248" t="n"/>
      <c r="FVP92" s="248" t="n"/>
      <c r="FVQ92" s="240" t="n"/>
      <c r="FVR92" s="240" t="n"/>
      <c r="FVT92" s="15" t="n"/>
      <c r="FVU92" s="15" t="n"/>
      <c r="FVV92" s="248" t="n"/>
      <c r="FVW92" s="248" t="n"/>
      <c r="FVX92" s="240" t="n"/>
      <c r="FVY92" s="240" t="n"/>
      <c r="FWA92" s="15" t="n"/>
      <c r="FWB92" s="15" t="n"/>
      <c r="FWC92" s="248" t="n"/>
      <c r="FWD92" s="248" t="n"/>
      <c r="FWE92" s="240" t="n"/>
      <c r="FWF92" s="240" t="n"/>
      <c r="FWH92" s="15" t="n"/>
      <c r="FWI92" s="15" t="n"/>
      <c r="FWJ92" s="248" t="n"/>
      <c r="FWK92" s="248" t="n"/>
      <c r="FWL92" s="240" t="n"/>
      <c r="FWM92" s="240" t="n"/>
      <c r="FWO92" s="15" t="n"/>
      <c r="FWP92" s="15" t="n"/>
      <c r="FWQ92" s="248" t="n"/>
      <c r="FWR92" s="248" t="n"/>
      <c r="FWS92" s="240" t="n"/>
      <c r="FWT92" s="240" t="n"/>
      <c r="FWV92" s="15" t="n"/>
      <c r="FWW92" s="15" t="n"/>
      <c r="FWX92" s="248" t="n"/>
      <c r="FWY92" s="248" t="n"/>
      <c r="FWZ92" s="240" t="n"/>
      <c r="FXA92" s="240" t="n"/>
      <c r="FXC92" s="15" t="n"/>
      <c r="FXD92" s="15" t="n"/>
      <c r="FXE92" s="248" t="n"/>
      <c r="FXF92" s="248" t="n"/>
      <c r="FXG92" s="240" t="n"/>
      <c r="FXH92" s="240" t="n"/>
      <c r="FXJ92" s="15" t="n"/>
      <c r="FXK92" s="15" t="n"/>
      <c r="FXL92" s="248" t="n"/>
      <c r="FXM92" s="248" t="n"/>
      <c r="FXN92" s="240" t="n"/>
      <c r="FXO92" s="240" t="n"/>
      <c r="FXQ92" s="15" t="n"/>
      <c r="FXR92" s="15" t="n"/>
      <c r="FXS92" s="248" t="n"/>
      <c r="FXT92" s="248" t="n"/>
      <c r="FXU92" s="240" t="n"/>
      <c r="FXV92" s="240" t="n"/>
      <c r="FXX92" s="15" t="n"/>
      <c r="FXY92" s="15" t="n"/>
      <c r="FXZ92" s="248" t="n"/>
      <c r="FYA92" s="248" t="n"/>
      <c r="FYB92" s="240" t="n"/>
      <c r="FYC92" s="240" t="n"/>
      <c r="FYE92" s="15" t="n"/>
      <c r="FYF92" s="15" t="n"/>
      <c r="FYG92" s="248" t="n"/>
      <c r="FYH92" s="248" t="n"/>
      <c r="FYI92" s="240" t="n"/>
      <c r="FYJ92" s="240" t="n"/>
      <c r="FYL92" s="15" t="n"/>
      <c r="FYM92" s="15" t="n"/>
      <c r="FYN92" s="248" t="n"/>
      <c r="FYO92" s="248" t="n"/>
      <c r="FYP92" s="240" t="n"/>
      <c r="FYQ92" s="240" t="n"/>
      <c r="FYS92" s="15" t="n"/>
      <c r="FYT92" s="15" t="n"/>
      <c r="FYU92" s="248" t="n"/>
      <c r="FYV92" s="248" t="n"/>
      <c r="FYW92" s="240" t="n"/>
      <c r="FYX92" s="240" t="n"/>
      <c r="FYZ92" s="15" t="n"/>
      <c r="FZA92" s="15" t="n"/>
      <c r="FZB92" s="248" t="n"/>
      <c r="FZC92" s="248" t="n"/>
      <c r="FZD92" s="240" t="n"/>
      <c r="FZE92" s="240" t="n"/>
      <c r="FZG92" s="15" t="n"/>
      <c r="FZH92" s="15" t="n"/>
      <c r="FZI92" s="248" t="n"/>
      <c r="FZJ92" s="248" t="n"/>
      <c r="FZK92" s="240" t="n"/>
      <c r="FZL92" s="240" t="n"/>
      <c r="FZN92" s="15" t="n"/>
      <c r="FZO92" s="15" t="n"/>
      <c r="FZP92" s="248" t="n"/>
      <c r="FZQ92" s="248" t="n"/>
      <c r="FZR92" s="240" t="n"/>
      <c r="FZS92" s="240" t="n"/>
      <c r="FZU92" s="15" t="n"/>
      <c r="FZV92" s="15" t="n"/>
      <c r="FZW92" s="248" t="n"/>
      <c r="FZX92" s="248" t="n"/>
      <c r="FZY92" s="240" t="n"/>
      <c r="FZZ92" s="240" t="n"/>
      <c r="GAB92" s="15" t="n"/>
      <c r="GAC92" s="15" t="n"/>
      <c r="GAD92" s="248" t="n"/>
      <c r="GAE92" s="248" t="n"/>
      <c r="GAF92" s="240" t="n"/>
      <c r="GAG92" s="240" t="n"/>
      <c r="GAI92" s="15" t="n"/>
      <c r="GAJ92" s="15" t="n"/>
      <c r="GAK92" s="248" t="n"/>
      <c r="GAL92" s="248" t="n"/>
      <c r="GAM92" s="240" t="n"/>
      <c r="GAN92" s="240" t="n"/>
      <c r="GAP92" s="15" t="n"/>
      <c r="GAQ92" s="15" t="n"/>
      <c r="GAR92" s="248" t="n"/>
      <c r="GAS92" s="248" t="n"/>
      <c r="GAT92" s="240" t="n"/>
      <c r="GAU92" s="240" t="n"/>
      <c r="GAW92" s="15" t="n"/>
      <c r="GAX92" s="15" t="n"/>
      <c r="GAY92" s="248" t="n"/>
      <c r="GAZ92" s="248" t="n"/>
      <c r="GBA92" s="240" t="n"/>
      <c r="GBB92" s="240" t="n"/>
      <c r="GBD92" s="15" t="n"/>
      <c r="GBE92" s="15" t="n"/>
      <c r="GBF92" s="248" t="n"/>
      <c r="GBG92" s="248" t="n"/>
      <c r="GBH92" s="240" t="n"/>
      <c r="GBI92" s="240" t="n"/>
      <c r="GBK92" s="15" t="n"/>
      <c r="GBL92" s="15" t="n"/>
      <c r="GBM92" s="248" t="n"/>
      <c r="GBN92" s="248" t="n"/>
      <c r="GBO92" s="240" t="n"/>
      <c r="GBP92" s="240" t="n"/>
      <c r="GBR92" s="15" t="n"/>
      <c r="GBS92" s="15" t="n"/>
      <c r="GBT92" s="248" t="n"/>
      <c r="GBU92" s="248" t="n"/>
      <c r="GBV92" s="240" t="n"/>
      <c r="GBW92" s="240" t="n"/>
      <c r="GBY92" s="15" t="n"/>
      <c r="GBZ92" s="15" t="n"/>
      <c r="GCA92" s="248" t="n"/>
      <c r="GCB92" s="248" t="n"/>
      <c r="GCC92" s="240" t="n"/>
      <c r="GCD92" s="240" t="n"/>
      <c r="GCF92" s="15" t="n"/>
      <c r="GCG92" s="15" t="n"/>
      <c r="GCH92" s="248" t="n"/>
      <c r="GCI92" s="248" t="n"/>
      <c r="GCJ92" s="240" t="n"/>
      <c r="GCK92" s="240" t="n"/>
      <c r="GCM92" s="15" t="n"/>
      <c r="GCN92" s="15" t="n"/>
      <c r="GCO92" s="248" t="n"/>
      <c r="GCP92" s="248" t="n"/>
      <c r="GCQ92" s="240" t="n"/>
      <c r="GCR92" s="240" t="n"/>
      <c r="GCT92" s="15" t="n"/>
      <c r="GCU92" s="15" t="n"/>
      <c r="GCV92" s="248" t="n"/>
      <c r="GCW92" s="248" t="n"/>
      <c r="GCX92" s="240" t="n"/>
      <c r="GCY92" s="240" t="n"/>
      <c r="GDA92" s="15" t="n"/>
      <c r="GDB92" s="15" t="n"/>
      <c r="GDC92" s="248" t="n"/>
      <c r="GDD92" s="248" t="n"/>
      <c r="GDE92" s="240" t="n"/>
      <c r="GDF92" s="240" t="n"/>
      <c r="GDH92" s="15" t="n"/>
      <c r="GDI92" s="15" t="n"/>
      <c r="GDJ92" s="248" t="n"/>
      <c r="GDK92" s="248" t="n"/>
      <c r="GDL92" s="240" t="n"/>
      <c r="GDM92" s="240" t="n"/>
      <c r="GDO92" s="15" t="n"/>
      <c r="GDP92" s="15" t="n"/>
      <c r="GDQ92" s="248" t="n"/>
      <c r="GDR92" s="248" t="n"/>
      <c r="GDS92" s="240" t="n"/>
      <c r="GDT92" s="240" t="n"/>
      <c r="GDV92" s="15" t="n"/>
      <c r="GDW92" s="15" t="n"/>
      <c r="GDX92" s="248" t="n"/>
      <c r="GDY92" s="248" t="n"/>
      <c r="GDZ92" s="240" t="n"/>
      <c r="GEA92" s="240" t="n"/>
      <c r="GEC92" s="15" t="n"/>
      <c r="GED92" s="15" t="n"/>
      <c r="GEE92" s="248" t="n"/>
      <c r="GEF92" s="248" t="n"/>
      <c r="GEG92" s="240" t="n"/>
      <c r="GEH92" s="240" t="n"/>
      <c r="GEJ92" s="15" t="n"/>
      <c r="GEK92" s="15" t="n"/>
      <c r="GEL92" s="248" t="n"/>
      <c r="GEM92" s="248" t="n"/>
      <c r="GEN92" s="240" t="n"/>
      <c r="GEO92" s="240" t="n"/>
      <c r="GEQ92" s="15" t="n"/>
      <c r="GER92" s="15" t="n"/>
      <c r="GES92" s="248" t="n"/>
      <c r="GET92" s="248" t="n"/>
      <c r="GEU92" s="240" t="n"/>
      <c r="GEV92" s="240" t="n"/>
      <c r="GEX92" s="15" t="n"/>
      <c r="GEY92" s="15" t="n"/>
      <c r="GEZ92" s="248" t="n"/>
      <c r="GFA92" s="248" t="n"/>
      <c r="GFB92" s="240" t="n"/>
      <c r="GFC92" s="240" t="n"/>
      <c r="GFE92" s="15" t="n"/>
      <c r="GFF92" s="15" t="n"/>
      <c r="GFG92" s="248" t="n"/>
      <c r="GFH92" s="248" t="n"/>
      <c r="GFI92" s="240" t="n"/>
      <c r="GFJ92" s="240" t="n"/>
      <c r="GFL92" s="15" t="n"/>
      <c r="GFM92" s="15" t="n"/>
      <c r="GFN92" s="248" t="n"/>
      <c r="GFO92" s="248" t="n"/>
      <c r="GFP92" s="240" t="n"/>
      <c r="GFQ92" s="240" t="n"/>
      <c r="GFS92" s="15" t="n"/>
      <c r="GFT92" s="15" t="n"/>
      <c r="GFU92" s="248" t="n"/>
      <c r="GFV92" s="248" t="n"/>
      <c r="GFW92" s="240" t="n"/>
      <c r="GFX92" s="240" t="n"/>
      <c r="GFZ92" s="15" t="n"/>
      <c r="GGA92" s="15" t="n"/>
      <c r="GGB92" s="248" t="n"/>
      <c r="GGC92" s="248" t="n"/>
      <c r="GGD92" s="240" t="n"/>
      <c r="GGE92" s="240" t="n"/>
      <c r="GGG92" s="15" t="n"/>
      <c r="GGH92" s="15" t="n"/>
      <c r="GGI92" s="248" t="n"/>
      <c r="GGJ92" s="248" t="n"/>
      <c r="GGK92" s="240" t="n"/>
      <c r="GGL92" s="240" t="n"/>
      <c r="GGN92" s="15" t="n"/>
      <c r="GGO92" s="15" t="n"/>
      <c r="GGP92" s="248" t="n"/>
      <c r="GGQ92" s="248" t="n"/>
      <c r="GGR92" s="240" t="n"/>
      <c r="GGS92" s="240" t="n"/>
      <c r="GGU92" s="15" t="n"/>
      <c r="GGV92" s="15" t="n"/>
      <c r="GGW92" s="248" t="n"/>
      <c r="GGX92" s="248" t="n"/>
      <c r="GGY92" s="240" t="n"/>
      <c r="GGZ92" s="240" t="n"/>
      <c r="GHB92" s="15" t="n"/>
      <c r="GHC92" s="15" t="n"/>
      <c r="GHD92" s="248" t="n"/>
      <c r="GHE92" s="248" t="n"/>
      <c r="GHF92" s="240" t="n"/>
      <c r="GHG92" s="240" t="n"/>
      <c r="GHI92" s="15" t="n"/>
      <c r="GHJ92" s="15" t="n"/>
      <c r="GHK92" s="248" t="n"/>
      <c r="GHL92" s="248" t="n"/>
      <c r="GHM92" s="240" t="n"/>
      <c r="GHN92" s="240" t="n"/>
      <c r="GHP92" s="15" t="n"/>
      <c r="GHQ92" s="15" t="n"/>
      <c r="GHR92" s="248" t="n"/>
      <c r="GHS92" s="248" t="n"/>
      <c r="GHT92" s="240" t="n"/>
      <c r="GHU92" s="240" t="n"/>
      <c r="GHW92" s="15" t="n"/>
      <c r="GHX92" s="15" t="n"/>
      <c r="GHY92" s="248" t="n"/>
      <c r="GHZ92" s="248" t="n"/>
      <c r="GIA92" s="240" t="n"/>
      <c r="GIB92" s="240" t="n"/>
      <c r="GID92" s="15" t="n"/>
      <c r="GIE92" s="15" t="n"/>
      <c r="GIF92" s="248" t="n"/>
      <c r="GIG92" s="248" t="n"/>
      <c r="GIH92" s="240" t="n"/>
      <c r="GII92" s="240" t="n"/>
      <c r="GIK92" s="15" t="n"/>
      <c r="GIL92" s="15" t="n"/>
      <c r="GIM92" s="248" t="n"/>
      <c r="GIN92" s="248" t="n"/>
      <c r="GIO92" s="240" t="n"/>
      <c r="GIP92" s="240" t="n"/>
      <c r="GIR92" s="15" t="n"/>
      <c r="GIS92" s="15" t="n"/>
      <c r="GIT92" s="248" t="n"/>
      <c r="GIU92" s="248" t="n"/>
      <c r="GIV92" s="240" t="n"/>
      <c r="GIW92" s="240" t="n"/>
      <c r="GIY92" s="15" t="n"/>
      <c r="GIZ92" s="15" t="n"/>
      <c r="GJA92" s="248" t="n"/>
      <c r="GJB92" s="248" t="n"/>
      <c r="GJC92" s="240" t="n"/>
      <c r="GJD92" s="240" t="n"/>
      <c r="GJF92" s="15" t="n"/>
      <c r="GJG92" s="15" t="n"/>
      <c r="GJH92" s="248" t="n"/>
      <c r="GJI92" s="248" t="n"/>
      <c r="GJJ92" s="240" t="n"/>
      <c r="GJK92" s="240" t="n"/>
      <c r="GJM92" s="15" t="n"/>
      <c r="GJN92" s="15" t="n"/>
      <c r="GJO92" s="248" t="n"/>
      <c r="GJP92" s="248" t="n"/>
      <c r="GJQ92" s="240" t="n"/>
      <c r="GJR92" s="240" t="n"/>
      <c r="GJT92" s="15" t="n"/>
      <c r="GJU92" s="15" t="n"/>
      <c r="GJV92" s="248" t="n"/>
      <c r="GJW92" s="248" t="n"/>
      <c r="GJX92" s="240" t="n"/>
      <c r="GJY92" s="240" t="n"/>
      <c r="GKA92" s="15" t="n"/>
      <c r="GKB92" s="15" t="n"/>
      <c r="GKC92" s="248" t="n"/>
      <c r="GKD92" s="248" t="n"/>
      <c r="GKE92" s="240" t="n"/>
      <c r="GKF92" s="240" t="n"/>
      <c r="GKH92" s="15" t="n"/>
      <c r="GKI92" s="15" t="n"/>
      <c r="GKJ92" s="248" t="n"/>
      <c r="GKK92" s="248" t="n"/>
      <c r="GKL92" s="240" t="n"/>
      <c r="GKM92" s="240" t="n"/>
      <c r="GKO92" s="15" t="n"/>
      <c r="GKP92" s="15" t="n"/>
      <c r="GKQ92" s="248" t="n"/>
      <c r="GKR92" s="248" t="n"/>
      <c r="GKS92" s="240" t="n"/>
      <c r="GKT92" s="240" t="n"/>
      <c r="GKV92" s="15" t="n"/>
      <c r="GKW92" s="15" t="n"/>
      <c r="GKX92" s="248" t="n"/>
      <c r="GKY92" s="248" t="n"/>
      <c r="GKZ92" s="240" t="n"/>
      <c r="GLA92" s="240" t="n"/>
      <c r="GLC92" s="15" t="n"/>
      <c r="GLD92" s="15" t="n"/>
      <c r="GLE92" s="248" t="n"/>
      <c r="GLF92" s="248" t="n"/>
      <c r="GLG92" s="240" t="n"/>
      <c r="GLH92" s="240" t="n"/>
      <c r="GLJ92" s="15" t="n"/>
      <c r="GLK92" s="15" t="n"/>
      <c r="GLL92" s="248" t="n"/>
      <c r="GLM92" s="248" t="n"/>
      <c r="GLN92" s="240" t="n"/>
      <c r="GLO92" s="240" t="n"/>
      <c r="GLQ92" s="15" t="n"/>
      <c r="GLR92" s="15" t="n"/>
      <c r="GLS92" s="248" t="n"/>
      <c r="GLT92" s="248" t="n"/>
      <c r="GLU92" s="240" t="n"/>
      <c r="GLV92" s="240" t="n"/>
      <c r="GLX92" s="15" t="n"/>
      <c r="GLY92" s="15" t="n"/>
      <c r="GLZ92" s="248" t="n"/>
      <c r="GMA92" s="248" t="n"/>
      <c r="GMB92" s="240" t="n"/>
      <c r="GMC92" s="240" t="n"/>
      <c r="GME92" s="15" t="n"/>
      <c r="GMF92" s="15" t="n"/>
      <c r="GMG92" s="248" t="n"/>
      <c r="GMH92" s="248" t="n"/>
      <c r="GMI92" s="240" t="n"/>
      <c r="GMJ92" s="240" t="n"/>
      <c r="GML92" s="15" t="n"/>
      <c r="GMM92" s="15" t="n"/>
      <c r="GMN92" s="248" t="n"/>
      <c r="GMO92" s="248" t="n"/>
      <c r="GMP92" s="240" t="n"/>
      <c r="GMQ92" s="240" t="n"/>
      <c r="GMS92" s="15" t="n"/>
      <c r="GMT92" s="15" t="n"/>
      <c r="GMU92" s="248" t="n"/>
      <c r="GMV92" s="248" t="n"/>
      <c r="GMW92" s="240" t="n"/>
      <c r="GMX92" s="240" t="n"/>
      <c r="GMZ92" s="15" t="n"/>
      <c r="GNA92" s="15" t="n"/>
      <c r="GNB92" s="248" t="n"/>
      <c r="GNC92" s="248" t="n"/>
      <c r="GND92" s="240" t="n"/>
      <c r="GNE92" s="240" t="n"/>
      <c r="GNG92" s="15" t="n"/>
      <c r="GNH92" s="15" t="n"/>
      <c r="GNI92" s="248" t="n"/>
      <c r="GNJ92" s="248" t="n"/>
      <c r="GNK92" s="240" t="n"/>
      <c r="GNL92" s="240" t="n"/>
      <c r="GNN92" s="15" t="n"/>
      <c r="GNO92" s="15" t="n"/>
      <c r="GNP92" s="248" t="n"/>
      <c r="GNQ92" s="248" t="n"/>
      <c r="GNR92" s="240" t="n"/>
      <c r="GNS92" s="240" t="n"/>
      <c r="GNU92" s="15" t="n"/>
      <c r="GNV92" s="15" t="n"/>
      <c r="GNW92" s="248" t="n"/>
      <c r="GNX92" s="248" t="n"/>
      <c r="GNY92" s="240" t="n"/>
      <c r="GNZ92" s="240" t="n"/>
      <c r="GOB92" s="15" t="n"/>
      <c r="GOC92" s="15" t="n"/>
      <c r="GOD92" s="248" t="n"/>
      <c r="GOE92" s="248" t="n"/>
      <c r="GOF92" s="240" t="n"/>
      <c r="GOG92" s="240" t="n"/>
      <c r="GOI92" s="15" t="n"/>
      <c r="GOJ92" s="15" t="n"/>
      <c r="GOK92" s="248" t="n"/>
      <c r="GOL92" s="248" t="n"/>
      <c r="GOM92" s="240" t="n"/>
      <c r="GON92" s="240" t="n"/>
      <c r="GOP92" s="15" t="n"/>
      <c r="GOQ92" s="15" t="n"/>
      <c r="GOR92" s="248" t="n"/>
      <c r="GOS92" s="248" t="n"/>
      <c r="GOT92" s="240" t="n"/>
      <c r="GOU92" s="240" t="n"/>
      <c r="GOW92" s="15" t="n"/>
      <c r="GOX92" s="15" t="n"/>
      <c r="GOY92" s="248" t="n"/>
      <c r="GOZ92" s="248" t="n"/>
      <c r="GPA92" s="240" t="n"/>
      <c r="GPB92" s="240" t="n"/>
      <c r="GPD92" s="15" t="n"/>
      <c r="GPE92" s="15" t="n"/>
      <c r="GPF92" s="248" t="n"/>
      <c r="GPG92" s="248" t="n"/>
      <c r="GPH92" s="240" t="n"/>
      <c r="GPI92" s="240" t="n"/>
      <c r="GPK92" s="15" t="n"/>
      <c r="GPL92" s="15" t="n"/>
      <c r="GPM92" s="248" t="n"/>
      <c r="GPN92" s="248" t="n"/>
      <c r="GPO92" s="240" t="n"/>
      <c r="GPP92" s="240" t="n"/>
      <c r="GPR92" s="15" t="n"/>
      <c r="GPS92" s="15" t="n"/>
      <c r="GPT92" s="248" t="n"/>
      <c r="GPU92" s="248" t="n"/>
      <c r="GPV92" s="240" t="n"/>
      <c r="GPW92" s="240" t="n"/>
      <c r="GPY92" s="15" t="n"/>
      <c r="GPZ92" s="15" t="n"/>
      <c r="GQA92" s="248" t="n"/>
      <c r="GQB92" s="248" t="n"/>
      <c r="GQC92" s="240" t="n"/>
      <c r="GQD92" s="240" t="n"/>
      <c r="GQF92" s="15" t="n"/>
      <c r="GQG92" s="15" t="n"/>
      <c r="GQH92" s="248" t="n"/>
      <c r="GQI92" s="248" t="n"/>
      <c r="GQJ92" s="240" t="n"/>
      <c r="GQK92" s="240" t="n"/>
      <c r="GQM92" s="15" t="n"/>
      <c r="GQN92" s="15" t="n"/>
      <c r="GQO92" s="248" t="n"/>
      <c r="GQP92" s="248" t="n"/>
      <c r="GQQ92" s="240" t="n"/>
      <c r="GQR92" s="240" t="n"/>
      <c r="GQT92" s="15" t="n"/>
      <c r="GQU92" s="15" t="n"/>
      <c r="GQV92" s="248" t="n"/>
      <c r="GQW92" s="248" t="n"/>
      <c r="GQX92" s="240" t="n"/>
      <c r="GQY92" s="240" t="n"/>
      <c r="GRA92" s="15" t="n"/>
      <c r="GRB92" s="15" t="n"/>
      <c r="GRC92" s="248" t="n"/>
      <c r="GRD92" s="248" t="n"/>
      <c r="GRE92" s="240" t="n"/>
      <c r="GRF92" s="240" t="n"/>
      <c r="GRH92" s="15" t="n"/>
      <c r="GRI92" s="15" t="n"/>
      <c r="GRJ92" s="248" t="n"/>
      <c r="GRK92" s="248" t="n"/>
      <c r="GRL92" s="240" t="n"/>
      <c r="GRM92" s="240" t="n"/>
      <c r="GRO92" s="15" t="n"/>
      <c r="GRP92" s="15" t="n"/>
      <c r="GRQ92" s="248" t="n"/>
      <c r="GRR92" s="248" t="n"/>
      <c r="GRS92" s="240" t="n"/>
      <c r="GRT92" s="240" t="n"/>
      <c r="GRV92" s="15" t="n"/>
      <c r="GRW92" s="15" t="n"/>
      <c r="GRX92" s="248" t="n"/>
      <c r="GRY92" s="248" t="n"/>
      <c r="GRZ92" s="240" t="n"/>
      <c r="GSA92" s="240" t="n"/>
      <c r="GSC92" s="15" t="n"/>
      <c r="GSD92" s="15" t="n"/>
      <c r="GSE92" s="248" t="n"/>
      <c r="GSF92" s="248" t="n"/>
      <c r="GSG92" s="240" t="n"/>
      <c r="GSH92" s="240" t="n"/>
      <c r="GSJ92" s="15" t="n"/>
      <c r="GSK92" s="15" t="n"/>
      <c r="GSL92" s="248" t="n"/>
      <c r="GSM92" s="248" t="n"/>
      <c r="GSN92" s="240" t="n"/>
      <c r="GSO92" s="240" t="n"/>
      <c r="GSQ92" s="15" t="n"/>
      <c r="GSR92" s="15" t="n"/>
      <c r="GSS92" s="248" t="n"/>
      <c r="GST92" s="248" t="n"/>
      <c r="GSU92" s="240" t="n"/>
      <c r="GSV92" s="240" t="n"/>
      <c r="GSX92" s="15" t="n"/>
      <c r="GSY92" s="15" t="n"/>
      <c r="GSZ92" s="248" t="n"/>
      <c r="GTA92" s="248" t="n"/>
      <c r="GTB92" s="240" t="n"/>
      <c r="GTC92" s="240" t="n"/>
      <c r="GTE92" s="15" t="n"/>
      <c r="GTF92" s="15" t="n"/>
      <c r="GTG92" s="248" t="n"/>
      <c r="GTH92" s="248" t="n"/>
      <c r="GTI92" s="240" t="n"/>
      <c r="GTJ92" s="240" t="n"/>
      <c r="GTL92" s="15" t="n"/>
      <c r="GTM92" s="15" t="n"/>
      <c r="GTN92" s="248" t="n"/>
      <c r="GTO92" s="248" t="n"/>
      <c r="GTP92" s="240" t="n"/>
      <c r="GTQ92" s="240" t="n"/>
      <c r="GTS92" s="15" t="n"/>
      <c r="GTT92" s="15" t="n"/>
      <c r="GTU92" s="248" t="n"/>
      <c r="GTV92" s="248" t="n"/>
      <c r="GTW92" s="240" t="n"/>
      <c r="GTX92" s="240" t="n"/>
      <c r="GTZ92" s="15" t="n"/>
      <c r="GUA92" s="15" t="n"/>
      <c r="GUB92" s="248" t="n"/>
      <c r="GUC92" s="248" t="n"/>
      <c r="GUD92" s="240" t="n"/>
      <c r="GUE92" s="240" t="n"/>
      <c r="GUG92" s="15" t="n"/>
      <c r="GUH92" s="15" t="n"/>
      <c r="GUI92" s="248" t="n"/>
      <c r="GUJ92" s="248" t="n"/>
      <c r="GUK92" s="240" t="n"/>
      <c r="GUL92" s="240" t="n"/>
      <c r="GUN92" s="15" t="n"/>
      <c r="GUO92" s="15" t="n"/>
      <c r="GUP92" s="248" t="n"/>
      <c r="GUQ92" s="248" t="n"/>
      <c r="GUR92" s="240" t="n"/>
      <c r="GUS92" s="240" t="n"/>
      <c r="GUU92" s="15" t="n"/>
      <c r="GUV92" s="15" t="n"/>
      <c r="GUW92" s="248" t="n"/>
      <c r="GUX92" s="248" t="n"/>
      <c r="GUY92" s="240" t="n"/>
      <c r="GUZ92" s="240" t="n"/>
      <c r="GVB92" s="15" t="n"/>
      <c r="GVC92" s="15" t="n"/>
      <c r="GVD92" s="248" t="n"/>
      <c r="GVE92" s="248" t="n"/>
      <c r="GVF92" s="240" t="n"/>
      <c r="GVG92" s="240" t="n"/>
      <c r="GVI92" s="15" t="n"/>
      <c r="GVJ92" s="15" t="n"/>
      <c r="GVK92" s="248" t="n"/>
      <c r="GVL92" s="248" t="n"/>
      <c r="GVM92" s="240" t="n"/>
      <c r="GVN92" s="240" t="n"/>
      <c r="GVP92" s="15" t="n"/>
      <c r="GVQ92" s="15" t="n"/>
      <c r="GVR92" s="248" t="n"/>
      <c r="GVS92" s="248" t="n"/>
      <c r="GVT92" s="240" t="n"/>
      <c r="GVU92" s="240" t="n"/>
      <c r="GVW92" s="15" t="n"/>
      <c r="GVX92" s="15" t="n"/>
      <c r="GVY92" s="248" t="n"/>
      <c r="GVZ92" s="248" t="n"/>
      <c r="GWA92" s="240" t="n"/>
      <c r="GWB92" s="240" t="n"/>
      <c r="GWD92" s="15" t="n"/>
      <c r="GWE92" s="15" t="n"/>
      <c r="GWF92" s="248" t="n"/>
      <c r="GWG92" s="248" t="n"/>
      <c r="GWH92" s="240" t="n"/>
      <c r="GWI92" s="240" t="n"/>
      <c r="GWK92" s="15" t="n"/>
      <c r="GWL92" s="15" t="n"/>
      <c r="GWM92" s="248" t="n"/>
      <c r="GWN92" s="248" t="n"/>
      <c r="GWO92" s="240" t="n"/>
      <c r="GWP92" s="240" t="n"/>
      <c r="GWR92" s="15" t="n"/>
      <c r="GWS92" s="15" t="n"/>
      <c r="GWT92" s="248" t="n"/>
      <c r="GWU92" s="248" t="n"/>
      <c r="GWV92" s="240" t="n"/>
      <c r="GWW92" s="240" t="n"/>
      <c r="GWY92" s="15" t="n"/>
      <c r="GWZ92" s="15" t="n"/>
      <c r="GXA92" s="248" t="n"/>
      <c r="GXB92" s="248" t="n"/>
      <c r="GXC92" s="240" t="n"/>
      <c r="GXD92" s="240" t="n"/>
      <c r="GXF92" s="15" t="n"/>
      <c r="GXG92" s="15" t="n"/>
      <c r="GXH92" s="248" t="n"/>
      <c r="GXI92" s="248" t="n"/>
      <c r="GXJ92" s="240" t="n"/>
      <c r="GXK92" s="240" t="n"/>
      <c r="GXM92" s="15" t="n"/>
      <c r="GXN92" s="15" t="n"/>
      <c r="GXO92" s="248" t="n"/>
      <c r="GXP92" s="248" t="n"/>
      <c r="GXQ92" s="240" t="n"/>
      <c r="GXR92" s="240" t="n"/>
      <c r="GXT92" s="15" t="n"/>
      <c r="GXU92" s="15" t="n"/>
      <c r="GXV92" s="248" t="n"/>
      <c r="GXW92" s="248" t="n"/>
      <c r="GXX92" s="240" t="n"/>
      <c r="GXY92" s="240" t="n"/>
      <c r="GYA92" s="15" t="n"/>
      <c r="GYB92" s="15" t="n"/>
      <c r="GYC92" s="248" t="n"/>
      <c r="GYD92" s="248" t="n"/>
      <c r="GYE92" s="240" t="n"/>
      <c r="GYF92" s="240" t="n"/>
      <c r="GYH92" s="15" t="n"/>
      <c r="GYI92" s="15" t="n"/>
      <c r="GYJ92" s="248" t="n"/>
      <c r="GYK92" s="248" t="n"/>
      <c r="GYL92" s="240" t="n"/>
      <c r="GYM92" s="240" t="n"/>
      <c r="GYO92" s="15" t="n"/>
      <c r="GYP92" s="15" t="n"/>
      <c r="GYQ92" s="248" t="n"/>
      <c r="GYR92" s="248" t="n"/>
      <c r="GYS92" s="240" t="n"/>
      <c r="GYT92" s="240" t="n"/>
      <c r="GYV92" s="15" t="n"/>
      <c r="GYW92" s="15" t="n"/>
      <c r="GYX92" s="248" t="n"/>
      <c r="GYY92" s="248" t="n"/>
      <c r="GYZ92" s="240" t="n"/>
      <c r="GZA92" s="240" t="n"/>
      <c r="GZC92" s="15" t="n"/>
      <c r="GZD92" s="15" t="n"/>
      <c r="GZE92" s="248" t="n"/>
      <c r="GZF92" s="248" t="n"/>
      <c r="GZG92" s="240" t="n"/>
      <c r="GZH92" s="240" t="n"/>
      <c r="GZJ92" s="15" t="n"/>
      <c r="GZK92" s="15" t="n"/>
      <c r="GZL92" s="248" t="n"/>
      <c r="GZM92" s="248" t="n"/>
      <c r="GZN92" s="240" t="n"/>
      <c r="GZO92" s="240" t="n"/>
      <c r="GZQ92" s="15" t="n"/>
      <c r="GZR92" s="15" t="n"/>
      <c r="GZS92" s="248" t="n"/>
      <c r="GZT92" s="248" t="n"/>
      <c r="GZU92" s="240" t="n"/>
      <c r="GZV92" s="240" t="n"/>
      <c r="GZX92" s="15" t="n"/>
      <c r="GZY92" s="15" t="n"/>
      <c r="GZZ92" s="248" t="n"/>
      <c r="HAA92" s="248" t="n"/>
      <c r="HAB92" s="240" t="n"/>
      <c r="HAC92" s="240" t="n"/>
      <c r="HAE92" s="15" t="n"/>
      <c r="HAF92" s="15" t="n"/>
      <c r="HAG92" s="248" t="n"/>
      <c r="HAH92" s="248" t="n"/>
      <c r="HAI92" s="240" t="n"/>
      <c r="HAJ92" s="240" t="n"/>
      <c r="HAL92" s="15" t="n"/>
      <c r="HAM92" s="15" t="n"/>
      <c r="HAN92" s="248" t="n"/>
      <c r="HAO92" s="248" t="n"/>
      <c r="HAP92" s="240" t="n"/>
      <c r="HAQ92" s="240" t="n"/>
      <c r="HAS92" s="15" t="n"/>
      <c r="HAT92" s="15" t="n"/>
      <c r="HAU92" s="248" t="n"/>
      <c r="HAV92" s="248" t="n"/>
      <c r="HAW92" s="240" t="n"/>
      <c r="HAX92" s="240" t="n"/>
      <c r="HAZ92" s="15" t="n"/>
      <c r="HBA92" s="15" t="n"/>
      <c r="HBB92" s="248" t="n"/>
      <c r="HBC92" s="248" t="n"/>
      <c r="HBD92" s="240" t="n"/>
      <c r="HBE92" s="240" t="n"/>
      <c r="HBG92" s="15" t="n"/>
      <c r="HBH92" s="15" t="n"/>
      <c r="HBI92" s="248" t="n"/>
      <c r="HBJ92" s="248" t="n"/>
      <c r="HBK92" s="240" t="n"/>
      <c r="HBL92" s="240" t="n"/>
      <c r="HBN92" s="15" t="n"/>
      <c r="HBO92" s="15" t="n"/>
      <c r="HBP92" s="248" t="n"/>
      <c r="HBQ92" s="248" t="n"/>
      <c r="HBR92" s="240" t="n"/>
      <c r="HBS92" s="240" t="n"/>
      <c r="HBU92" s="15" t="n"/>
      <c r="HBV92" s="15" t="n"/>
      <c r="HBW92" s="248" t="n"/>
      <c r="HBX92" s="248" t="n"/>
      <c r="HBY92" s="240" t="n"/>
      <c r="HBZ92" s="240" t="n"/>
      <c r="HCB92" s="15" t="n"/>
      <c r="HCC92" s="15" t="n"/>
      <c r="HCD92" s="248" t="n"/>
      <c r="HCE92" s="248" t="n"/>
      <c r="HCF92" s="240" t="n"/>
      <c r="HCG92" s="240" t="n"/>
      <c r="HCI92" s="15" t="n"/>
      <c r="HCJ92" s="15" t="n"/>
      <c r="HCK92" s="248" t="n"/>
      <c r="HCL92" s="248" t="n"/>
      <c r="HCM92" s="240" t="n"/>
      <c r="HCN92" s="240" t="n"/>
      <c r="HCP92" s="15" t="n"/>
      <c r="HCQ92" s="15" t="n"/>
      <c r="HCR92" s="248" t="n"/>
      <c r="HCS92" s="248" t="n"/>
      <c r="HCT92" s="240" t="n"/>
      <c r="HCU92" s="240" t="n"/>
      <c r="HCW92" s="15" t="n"/>
      <c r="HCX92" s="15" t="n"/>
      <c r="HCY92" s="248" t="n"/>
      <c r="HCZ92" s="248" t="n"/>
      <c r="HDA92" s="240" t="n"/>
      <c r="HDB92" s="240" t="n"/>
      <c r="HDD92" s="15" t="n"/>
      <c r="HDE92" s="15" t="n"/>
      <c r="HDF92" s="248" t="n"/>
      <c r="HDG92" s="248" t="n"/>
      <c r="HDH92" s="240" t="n"/>
      <c r="HDI92" s="240" t="n"/>
      <c r="HDK92" s="15" t="n"/>
      <c r="HDL92" s="15" t="n"/>
      <c r="HDM92" s="248" t="n"/>
      <c r="HDN92" s="248" t="n"/>
      <c r="HDO92" s="240" t="n"/>
      <c r="HDP92" s="240" t="n"/>
      <c r="HDR92" s="15" t="n"/>
      <c r="HDS92" s="15" t="n"/>
      <c r="HDT92" s="248" t="n"/>
      <c r="HDU92" s="248" t="n"/>
      <c r="HDV92" s="240" t="n"/>
      <c r="HDW92" s="240" t="n"/>
      <c r="HDY92" s="15" t="n"/>
      <c r="HDZ92" s="15" t="n"/>
      <c r="HEA92" s="248" t="n"/>
      <c r="HEB92" s="248" t="n"/>
      <c r="HEC92" s="240" t="n"/>
      <c r="HED92" s="240" t="n"/>
      <c r="HEF92" s="15" t="n"/>
      <c r="HEG92" s="15" t="n"/>
      <c r="HEH92" s="248" t="n"/>
      <c r="HEI92" s="248" t="n"/>
      <c r="HEJ92" s="240" t="n"/>
      <c r="HEK92" s="240" t="n"/>
      <c r="HEM92" s="15" t="n"/>
      <c r="HEN92" s="15" t="n"/>
      <c r="HEO92" s="248" t="n"/>
      <c r="HEP92" s="248" t="n"/>
      <c r="HEQ92" s="240" t="n"/>
      <c r="HER92" s="240" t="n"/>
      <c r="HET92" s="15" t="n"/>
      <c r="HEU92" s="15" t="n"/>
      <c r="HEV92" s="248" t="n"/>
      <c r="HEW92" s="248" t="n"/>
      <c r="HEX92" s="240" t="n"/>
      <c r="HEY92" s="240" t="n"/>
      <c r="HFA92" s="15" t="n"/>
      <c r="HFB92" s="15" t="n"/>
      <c r="HFC92" s="248" t="n"/>
      <c r="HFD92" s="248" t="n"/>
      <c r="HFE92" s="240" t="n"/>
      <c r="HFF92" s="240" t="n"/>
      <c r="HFH92" s="15" t="n"/>
      <c r="HFI92" s="15" t="n"/>
      <c r="HFJ92" s="248" t="n"/>
      <c r="HFK92" s="248" t="n"/>
      <c r="HFL92" s="240" t="n"/>
      <c r="HFM92" s="240" t="n"/>
      <c r="HFO92" s="15" t="n"/>
      <c r="HFP92" s="15" t="n"/>
      <c r="HFQ92" s="248" t="n"/>
      <c r="HFR92" s="248" t="n"/>
      <c r="HFS92" s="240" t="n"/>
      <c r="HFT92" s="240" t="n"/>
      <c r="HFV92" s="15" t="n"/>
      <c r="HFW92" s="15" t="n"/>
      <c r="HFX92" s="248" t="n"/>
      <c r="HFY92" s="248" t="n"/>
      <c r="HFZ92" s="240" t="n"/>
      <c r="HGA92" s="240" t="n"/>
      <c r="HGC92" s="15" t="n"/>
      <c r="HGD92" s="15" t="n"/>
      <c r="HGE92" s="248" t="n"/>
      <c r="HGF92" s="248" t="n"/>
      <c r="HGG92" s="240" t="n"/>
      <c r="HGH92" s="240" t="n"/>
      <c r="HGJ92" s="15" t="n"/>
      <c r="HGK92" s="15" t="n"/>
      <c r="HGL92" s="248" t="n"/>
      <c r="HGM92" s="248" t="n"/>
      <c r="HGN92" s="240" t="n"/>
      <c r="HGO92" s="240" t="n"/>
      <c r="HGQ92" s="15" t="n"/>
      <c r="HGR92" s="15" t="n"/>
      <c r="HGS92" s="248" t="n"/>
      <c r="HGT92" s="248" t="n"/>
      <c r="HGU92" s="240" t="n"/>
      <c r="HGV92" s="240" t="n"/>
      <c r="HGX92" s="15" t="n"/>
      <c r="HGY92" s="15" t="n"/>
      <c r="HGZ92" s="248" t="n"/>
      <c r="HHA92" s="248" t="n"/>
      <c r="HHB92" s="240" t="n"/>
      <c r="HHC92" s="240" t="n"/>
      <c r="HHE92" s="15" t="n"/>
      <c r="HHF92" s="15" t="n"/>
      <c r="HHG92" s="248" t="n"/>
      <c r="HHH92" s="248" t="n"/>
      <c r="HHI92" s="240" t="n"/>
      <c r="HHJ92" s="240" t="n"/>
      <c r="HHL92" s="15" t="n"/>
      <c r="HHM92" s="15" t="n"/>
      <c r="HHN92" s="248" t="n"/>
      <c r="HHO92" s="248" t="n"/>
      <c r="HHP92" s="240" t="n"/>
      <c r="HHQ92" s="240" t="n"/>
      <c r="HHS92" s="15" t="n"/>
      <c r="HHT92" s="15" t="n"/>
      <c r="HHU92" s="248" t="n"/>
      <c r="HHV92" s="248" t="n"/>
      <c r="HHW92" s="240" t="n"/>
      <c r="HHX92" s="240" t="n"/>
      <c r="HHZ92" s="15" t="n"/>
      <c r="HIA92" s="15" t="n"/>
      <c r="HIB92" s="248" t="n"/>
      <c r="HIC92" s="248" t="n"/>
      <c r="HID92" s="240" t="n"/>
      <c r="HIE92" s="240" t="n"/>
      <c r="HIG92" s="15" t="n"/>
      <c r="HIH92" s="15" t="n"/>
      <c r="HII92" s="248" t="n"/>
      <c r="HIJ92" s="248" t="n"/>
      <c r="HIK92" s="240" t="n"/>
      <c r="HIL92" s="240" t="n"/>
      <c r="HIN92" s="15" t="n"/>
      <c r="HIO92" s="15" t="n"/>
      <c r="HIP92" s="248" t="n"/>
      <c r="HIQ92" s="248" t="n"/>
      <c r="HIR92" s="240" t="n"/>
      <c r="HIS92" s="240" t="n"/>
      <c r="HIU92" s="15" t="n"/>
      <c r="HIV92" s="15" t="n"/>
      <c r="HIW92" s="248" t="n"/>
      <c r="HIX92" s="248" t="n"/>
      <c r="HIY92" s="240" t="n"/>
      <c r="HIZ92" s="240" t="n"/>
      <c r="HJB92" s="15" t="n"/>
      <c r="HJC92" s="15" t="n"/>
      <c r="HJD92" s="248" t="n"/>
      <c r="HJE92" s="248" t="n"/>
      <c r="HJF92" s="240" t="n"/>
      <c r="HJG92" s="240" t="n"/>
      <c r="HJI92" s="15" t="n"/>
      <c r="HJJ92" s="15" t="n"/>
      <c r="HJK92" s="248" t="n"/>
      <c r="HJL92" s="248" t="n"/>
      <c r="HJM92" s="240" t="n"/>
      <c r="HJN92" s="240" t="n"/>
      <c r="HJP92" s="15" t="n"/>
      <c r="HJQ92" s="15" t="n"/>
      <c r="HJR92" s="248" t="n"/>
      <c r="HJS92" s="248" t="n"/>
      <c r="HJT92" s="240" t="n"/>
      <c r="HJU92" s="240" t="n"/>
      <c r="HJW92" s="15" t="n"/>
      <c r="HJX92" s="15" t="n"/>
      <c r="HJY92" s="248" t="n"/>
      <c r="HJZ92" s="248" t="n"/>
      <c r="HKA92" s="240" t="n"/>
      <c r="HKB92" s="240" t="n"/>
      <c r="HKD92" s="15" t="n"/>
      <c r="HKE92" s="15" t="n"/>
      <c r="HKF92" s="248" t="n"/>
      <c r="HKG92" s="248" t="n"/>
      <c r="HKH92" s="240" t="n"/>
      <c r="HKI92" s="240" t="n"/>
      <c r="HKK92" s="15" t="n"/>
      <c r="HKL92" s="15" t="n"/>
      <c r="HKM92" s="248" t="n"/>
      <c r="HKN92" s="248" t="n"/>
      <c r="HKO92" s="240" t="n"/>
      <c r="HKP92" s="240" t="n"/>
      <c r="HKR92" s="15" t="n"/>
      <c r="HKS92" s="15" t="n"/>
      <c r="HKT92" s="248" t="n"/>
      <c r="HKU92" s="248" t="n"/>
      <c r="HKV92" s="240" t="n"/>
      <c r="HKW92" s="240" t="n"/>
      <c r="HKY92" s="15" t="n"/>
      <c r="HKZ92" s="15" t="n"/>
      <c r="HLA92" s="248" t="n"/>
      <c r="HLB92" s="248" t="n"/>
      <c r="HLC92" s="240" t="n"/>
      <c r="HLD92" s="240" t="n"/>
      <c r="HLF92" s="15" t="n"/>
      <c r="HLG92" s="15" t="n"/>
      <c r="HLH92" s="248" t="n"/>
      <c r="HLI92" s="248" t="n"/>
      <c r="HLJ92" s="240" t="n"/>
      <c r="HLK92" s="240" t="n"/>
      <c r="HLM92" s="15" t="n"/>
      <c r="HLN92" s="15" t="n"/>
      <c r="HLO92" s="248" t="n"/>
      <c r="HLP92" s="248" t="n"/>
      <c r="HLQ92" s="240" t="n"/>
      <c r="HLR92" s="240" t="n"/>
      <c r="HLT92" s="15" t="n"/>
      <c r="HLU92" s="15" t="n"/>
      <c r="HLV92" s="248" t="n"/>
      <c r="HLW92" s="248" t="n"/>
      <c r="HLX92" s="240" t="n"/>
      <c r="HLY92" s="240" t="n"/>
      <c r="HMA92" s="15" t="n"/>
      <c r="HMB92" s="15" t="n"/>
      <c r="HMC92" s="248" t="n"/>
      <c r="HMD92" s="248" t="n"/>
      <c r="HME92" s="240" t="n"/>
      <c r="HMF92" s="240" t="n"/>
      <c r="HMH92" s="15" t="n"/>
      <c r="HMI92" s="15" t="n"/>
      <c r="HMJ92" s="248" t="n"/>
      <c r="HMK92" s="248" t="n"/>
      <c r="HML92" s="240" t="n"/>
      <c r="HMM92" s="240" t="n"/>
      <c r="HMO92" s="15" t="n"/>
      <c r="HMP92" s="15" t="n"/>
      <c r="HMQ92" s="248" t="n"/>
      <c r="HMR92" s="248" t="n"/>
      <c r="HMS92" s="240" t="n"/>
      <c r="HMT92" s="240" t="n"/>
      <c r="HMV92" s="15" t="n"/>
      <c r="HMW92" s="15" t="n"/>
      <c r="HMX92" s="248" t="n"/>
      <c r="HMY92" s="248" t="n"/>
      <c r="HMZ92" s="240" t="n"/>
      <c r="HNA92" s="240" t="n"/>
      <c r="HNC92" s="15" t="n"/>
      <c r="HND92" s="15" t="n"/>
      <c r="HNE92" s="248" t="n"/>
      <c r="HNF92" s="248" t="n"/>
      <c r="HNG92" s="240" t="n"/>
      <c r="HNH92" s="240" t="n"/>
      <c r="HNJ92" s="15" t="n"/>
      <c r="HNK92" s="15" t="n"/>
      <c r="HNL92" s="248" t="n"/>
      <c r="HNM92" s="248" t="n"/>
      <c r="HNN92" s="240" t="n"/>
      <c r="HNO92" s="240" t="n"/>
      <c r="HNQ92" s="15" t="n"/>
      <c r="HNR92" s="15" t="n"/>
      <c r="HNS92" s="248" t="n"/>
      <c r="HNT92" s="248" t="n"/>
      <c r="HNU92" s="240" t="n"/>
      <c r="HNV92" s="240" t="n"/>
      <c r="HNX92" s="15" t="n"/>
      <c r="HNY92" s="15" t="n"/>
      <c r="HNZ92" s="248" t="n"/>
      <c r="HOA92" s="248" t="n"/>
      <c r="HOB92" s="240" t="n"/>
      <c r="HOC92" s="240" t="n"/>
      <c r="HOE92" s="15" t="n"/>
      <c r="HOF92" s="15" t="n"/>
      <c r="HOG92" s="248" t="n"/>
      <c r="HOH92" s="248" t="n"/>
      <c r="HOI92" s="240" t="n"/>
      <c r="HOJ92" s="240" t="n"/>
      <c r="HOL92" s="15" t="n"/>
      <c r="HOM92" s="15" t="n"/>
      <c r="HON92" s="248" t="n"/>
      <c r="HOO92" s="248" t="n"/>
      <c r="HOP92" s="240" t="n"/>
      <c r="HOQ92" s="240" t="n"/>
      <c r="HOS92" s="15" t="n"/>
      <c r="HOT92" s="15" t="n"/>
      <c r="HOU92" s="248" t="n"/>
      <c r="HOV92" s="248" t="n"/>
      <c r="HOW92" s="240" t="n"/>
      <c r="HOX92" s="240" t="n"/>
      <c r="HOZ92" s="15" t="n"/>
      <c r="HPA92" s="15" t="n"/>
      <c r="HPB92" s="248" t="n"/>
      <c r="HPC92" s="248" t="n"/>
      <c r="HPD92" s="240" t="n"/>
      <c r="HPE92" s="240" t="n"/>
      <c r="HPG92" s="15" t="n"/>
      <c r="HPH92" s="15" t="n"/>
      <c r="HPI92" s="248" t="n"/>
      <c r="HPJ92" s="248" t="n"/>
      <c r="HPK92" s="240" t="n"/>
      <c r="HPL92" s="240" t="n"/>
      <c r="HPN92" s="15" t="n"/>
      <c r="HPO92" s="15" t="n"/>
      <c r="HPP92" s="248" t="n"/>
      <c r="HPQ92" s="248" t="n"/>
      <c r="HPR92" s="240" t="n"/>
      <c r="HPS92" s="240" t="n"/>
      <c r="HPU92" s="15" t="n"/>
      <c r="HPV92" s="15" t="n"/>
      <c r="HPW92" s="248" t="n"/>
      <c r="HPX92" s="248" t="n"/>
      <c r="HPY92" s="240" t="n"/>
      <c r="HPZ92" s="240" t="n"/>
      <c r="HQB92" s="15" t="n"/>
      <c r="HQC92" s="15" t="n"/>
      <c r="HQD92" s="248" t="n"/>
      <c r="HQE92" s="248" t="n"/>
      <c r="HQF92" s="240" t="n"/>
      <c r="HQG92" s="240" t="n"/>
      <c r="HQI92" s="15" t="n"/>
      <c r="HQJ92" s="15" t="n"/>
      <c r="HQK92" s="248" t="n"/>
      <c r="HQL92" s="248" t="n"/>
      <c r="HQM92" s="240" t="n"/>
      <c r="HQN92" s="240" t="n"/>
      <c r="HQP92" s="15" t="n"/>
      <c r="HQQ92" s="15" t="n"/>
      <c r="HQR92" s="248" t="n"/>
      <c r="HQS92" s="248" t="n"/>
      <c r="HQT92" s="240" t="n"/>
      <c r="HQU92" s="240" t="n"/>
      <c r="HQW92" s="15" t="n"/>
      <c r="HQX92" s="15" t="n"/>
      <c r="HQY92" s="248" t="n"/>
      <c r="HQZ92" s="248" t="n"/>
      <c r="HRA92" s="240" t="n"/>
      <c r="HRB92" s="240" t="n"/>
      <c r="HRD92" s="15" t="n"/>
      <c r="HRE92" s="15" t="n"/>
      <c r="HRF92" s="248" t="n"/>
      <c r="HRG92" s="248" t="n"/>
      <c r="HRH92" s="240" t="n"/>
      <c r="HRI92" s="240" t="n"/>
      <c r="HRK92" s="15" t="n"/>
      <c r="HRL92" s="15" t="n"/>
      <c r="HRM92" s="248" t="n"/>
      <c r="HRN92" s="248" t="n"/>
      <c r="HRO92" s="240" t="n"/>
      <c r="HRP92" s="240" t="n"/>
      <c r="HRR92" s="15" t="n"/>
      <c r="HRS92" s="15" t="n"/>
      <c r="HRT92" s="248" t="n"/>
      <c r="HRU92" s="248" t="n"/>
      <c r="HRV92" s="240" t="n"/>
      <c r="HRW92" s="240" t="n"/>
      <c r="HRY92" s="15" t="n"/>
      <c r="HRZ92" s="15" t="n"/>
      <c r="HSA92" s="248" t="n"/>
      <c r="HSB92" s="248" t="n"/>
      <c r="HSC92" s="240" t="n"/>
      <c r="HSD92" s="240" t="n"/>
      <c r="HSF92" s="15" t="n"/>
      <c r="HSG92" s="15" t="n"/>
      <c r="HSH92" s="248" t="n"/>
      <c r="HSI92" s="248" t="n"/>
      <c r="HSJ92" s="240" t="n"/>
      <c r="HSK92" s="240" t="n"/>
      <c r="HSM92" s="15" t="n"/>
      <c r="HSN92" s="15" t="n"/>
      <c r="HSO92" s="248" t="n"/>
      <c r="HSP92" s="248" t="n"/>
      <c r="HSQ92" s="240" t="n"/>
      <c r="HSR92" s="240" t="n"/>
      <c r="HST92" s="15" t="n"/>
      <c r="HSU92" s="15" t="n"/>
      <c r="HSV92" s="248" t="n"/>
      <c r="HSW92" s="248" t="n"/>
      <c r="HSX92" s="240" t="n"/>
      <c r="HSY92" s="240" t="n"/>
      <c r="HTA92" s="15" t="n"/>
      <c r="HTB92" s="15" t="n"/>
      <c r="HTC92" s="248" t="n"/>
      <c r="HTD92" s="248" t="n"/>
      <c r="HTE92" s="240" t="n"/>
      <c r="HTF92" s="240" t="n"/>
      <c r="HTH92" s="15" t="n"/>
      <c r="HTI92" s="15" t="n"/>
      <c r="HTJ92" s="248" t="n"/>
      <c r="HTK92" s="248" t="n"/>
      <c r="HTL92" s="240" t="n"/>
      <c r="HTM92" s="240" t="n"/>
      <c r="HTO92" s="15" t="n"/>
      <c r="HTP92" s="15" t="n"/>
      <c r="HTQ92" s="248" t="n"/>
      <c r="HTR92" s="248" t="n"/>
      <c r="HTS92" s="240" t="n"/>
      <c r="HTT92" s="240" t="n"/>
      <c r="HTV92" s="15" t="n"/>
      <c r="HTW92" s="15" t="n"/>
      <c r="HTX92" s="248" t="n"/>
      <c r="HTY92" s="248" t="n"/>
      <c r="HTZ92" s="240" t="n"/>
      <c r="HUA92" s="240" t="n"/>
      <c r="HUC92" s="15" t="n"/>
      <c r="HUD92" s="15" t="n"/>
      <c r="HUE92" s="248" t="n"/>
      <c r="HUF92" s="248" t="n"/>
      <c r="HUG92" s="240" t="n"/>
      <c r="HUH92" s="240" t="n"/>
      <c r="HUJ92" s="15" t="n"/>
      <c r="HUK92" s="15" t="n"/>
      <c r="HUL92" s="248" t="n"/>
      <c r="HUM92" s="248" t="n"/>
      <c r="HUN92" s="240" t="n"/>
      <c r="HUO92" s="240" t="n"/>
      <c r="HUQ92" s="15" t="n"/>
      <c r="HUR92" s="15" t="n"/>
      <c r="HUS92" s="248" t="n"/>
      <c r="HUT92" s="248" t="n"/>
      <c r="HUU92" s="240" t="n"/>
      <c r="HUV92" s="240" t="n"/>
      <c r="HUX92" s="15" t="n"/>
      <c r="HUY92" s="15" t="n"/>
      <c r="HUZ92" s="248" t="n"/>
      <c r="HVA92" s="248" t="n"/>
      <c r="HVB92" s="240" t="n"/>
      <c r="HVC92" s="240" t="n"/>
      <c r="HVE92" s="15" t="n"/>
      <c r="HVF92" s="15" t="n"/>
      <c r="HVG92" s="248" t="n"/>
      <c r="HVH92" s="248" t="n"/>
      <c r="HVI92" s="240" t="n"/>
      <c r="HVJ92" s="240" t="n"/>
      <c r="HVL92" s="15" t="n"/>
      <c r="HVM92" s="15" t="n"/>
      <c r="HVN92" s="248" t="n"/>
      <c r="HVO92" s="248" t="n"/>
      <c r="HVP92" s="240" t="n"/>
      <c r="HVQ92" s="240" t="n"/>
      <c r="HVS92" s="15" t="n"/>
      <c r="HVT92" s="15" t="n"/>
      <c r="HVU92" s="248" t="n"/>
      <c r="HVV92" s="248" t="n"/>
      <c r="HVW92" s="240" t="n"/>
      <c r="HVX92" s="240" t="n"/>
      <c r="HVZ92" s="15" t="n"/>
      <c r="HWA92" s="15" t="n"/>
      <c r="HWB92" s="248" t="n"/>
      <c r="HWC92" s="248" t="n"/>
      <c r="HWD92" s="240" t="n"/>
      <c r="HWE92" s="240" t="n"/>
      <c r="HWG92" s="15" t="n"/>
      <c r="HWH92" s="15" t="n"/>
      <c r="HWI92" s="248" t="n"/>
      <c r="HWJ92" s="248" t="n"/>
      <c r="HWK92" s="240" t="n"/>
      <c r="HWL92" s="240" t="n"/>
      <c r="HWN92" s="15" t="n"/>
      <c r="HWO92" s="15" t="n"/>
      <c r="HWP92" s="248" t="n"/>
      <c r="HWQ92" s="248" t="n"/>
      <c r="HWR92" s="240" t="n"/>
      <c r="HWS92" s="240" t="n"/>
      <c r="HWU92" s="15" t="n"/>
      <c r="HWV92" s="15" t="n"/>
      <c r="HWW92" s="248" t="n"/>
      <c r="HWX92" s="248" t="n"/>
      <c r="HWY92" s="240" t="n"/>
      <c r="HWZ92" s="240" t="n"/>
      <c r="HXB92" s="15" t="n"/>
      <c r="HXC92" s="15" t="n"/>
      <c r="HXD92" s="248" t="n"/>
      <c r="HXE92" s="248" t="n"/>
      <c r="HXF92" s="240" t="n"/>
      <c r="HXG92" s="240" t="n"/>
      <c r="HXI92" s="15" t="n"/>
      <c r="HXJ92" s="15" t="n"/>
      <c r="HXK92" s="248" t="n"/>
      <c r="HXL92" s="248" t="n"/>
      <c r="HXM92" s="240" t="n"/>
      <c r="HXN92" s="240" t="n"/>
      <c r="HXP92" s="15" t="n"/>
      <c r="HXQ92" s="15" t="n"/>
      <c r="HXR92" s="248" t="n"/>
      <c r="HXS92" s="248" t="n"/>
      <c r="HXT92" s="240" t="n"/>
      <c r="HXU92" s="240" t="n"/>
      <c r="HXW92" s="15" t="n"/>
      <c r="HXX92" s="15" t="n"/>
      <c r="HXY92" s="248" t="n"/>
      <c r="HXZ92" s="248" t="n"/>
      <c r="HYA92" s="240" t="n"/>
      <c r="HYB92" s="240" t="n"/>
      <c r="HYD92" s="15" t="n"/>
      <c r="HYE92" s="15" t="n"/>
      <c r="HYF92" s="248" t="n"/>
      <c r="HYG92" s="248" t="n"/>
      <c r="HYH92" s="240" t="n"/>
      <c r="HYI92" s="240" t="n"/>
      <c r="HYK92" s="15" t="n"/>
      <c r="HYL92" s="15" t="n"/>
      <c r="HYM92" s="248" t="n"/>
      <c r="HYN92" s="248" t="n"/>
      <c r="HYO92" s="240" t="n"/>
      <c r="HYP92" s="240" t="n"/>
      <c r="HYR92" s="15" t="n"/>
      <c r="HYS92" s="15" t="n"/>
      <c r="HYT92" s="248" t="n"/>
      <c r="HYU92" s="248" t="n"/>
      <c r="HYV92" s="240" t="n"/>
      <c r="HYW92" s="240" t="n"/>
      <c r="HYY92" s="15" t="n"/>
      <c r="HYZ92" s="15" t="n"/>
      <c r="HZA92" s="248" t="n"/>
      <c r="HZB92" s="248" t="n"/>
      <c r="HZC92" s="240" t="n"/>
      <c r="HZD92" s="240" t="n"/>
      <c r="HZF92" s="15" t="n"/>
      <c r="HZG92" s="15" t="n"/>
      <c r="HZH92" s="248" t="n"/>
      <c r="HZI92" s="248" t="n"/>
      <c r="HZJ92" s="240" t="n"/>
      <c r="HZK92" s="240" t="n"/>
      <c r="HZM92" s="15" t="n"/>
      <c r="HZN92" s="15" t="n"/>
      <c r="HZO92" s="248" t="n"/>
      <c r="HZP92" s="248" t="n"/>
      <c r="HZQ92" s="240" t="n"/>
      <c r="HZR92" s="240" t="n"/>
      <c r="HZT92" s="15" t="n"/>
      <c r="HZU92" s="15" t="n"/>
      <c r="HZV92" s="248" t="n"/>
      <c r="HZW92" s="248" t="n"/>
      <c r="HZX92" s="240" t="n"/>
      <c r="HZY92" s="240" t="n"/>
      <c r="IAA92" s="15" t="n"/>
      <c r="IAB92" s="15" t="n"/>
      <c r="IAC92" s="248" t="n"/>
      <c r="IAD92" s="248" t="n"/>
      <c r="IAE92" s="240" t="n"/>
      <c r="IAF92" s="240" t="n"/>
      <c r="IAH92" s="15" t="n"/>
      <c r="IAI92" s="15" t="n"/>
      <c r="IAJ92" s="248" t="n"/>
      <c r="IAK92" s="248" t="n"/>
      <c r="IAL92" s="240" t="n"/>
      <c r="IAM92" s="240" t="n"/>
      <c r="IAO92" s="15" t="n"/>
      <c r="IAP92" s="15" t="n"/>
      <c r="IAQ92" s="248" t="n"/>
      <c r="IAR92" s="248" t="n"/>
      <c r="IAS92" s="240" t="n"/>
      <c r="IAT92" s="240" t="n"/>
      <c r="IAV92" s="15" t="n"/>
      <c r="IAW92" s="15" t="n"/>
      <c r="IAX92" s="248" t="n"/>
      <c r="IAY92" s="248" t="n"/>
      <c r="IAZ92" s="240" t="n"/>
      <c r="IBA92" s="240" t="n"/>
      <c r="IBC92" s="15" t="n"/>
      <c r="IBD92" s="15" t="n"/>
      <c r="IBE92" s="248" t="n"/>
      <c r="IBF92" s="248" t="n"/>
      <c r="IBG92" s="240" t="n"/>
      <c r="IBH92" s="240" t="n"/>
      <c r="IBJ92" s="15" t="n"/>
      <c r="IBK92" s="15" t="n"/>
      <c r="IBL92" s="248" t="n"/>
      <c r="IBM92" s="248" t="n"/>
      <c r="IBN92" s="240" t="n"/>
      <c r="IBO92" s="240" t="n"/>
      <c r="IBQ92" s="15" t="n"/>
      <c r="IBR92" s="15" t="n"/>
      <c r="IBS92" s="248" t="n"/>
      <c r="IBT92" s="248" t="n"/>
      <c r="IBU92" s="240" t="n"/>
      <c r="IBV92" s="240" t="n"/>
      <c r="IBX92" s="15" t="n"/>
      <c r="IBY92" s="15" t="n"/>
      <c r="IBZ92" s="248" t="n"/>
      <c r="ICA92" s="248" t="n"/>
      <c r="ICB92" s="240" t="n"/>
      <c r="ICC92" s="240" t="n"/>
      <c r="ICE92" s="15" t="n"/>
      <c r="ICF92" s="15" t="n"/>
      <c r="ICG92" s="248" t="n"/>
      <c r="ICH92" s="248" t="n"/>
      <c r="ICI92" s="240" t="n"/>
      <c r="ICJ92" s="240" t="n"/>
      <c r="ICL92" s="15" t="n"/>
      <c r="ICM92" s="15" t="n"/>
      <c r="ICN92" s="248" t="n"/>
      <c r="ICO92" s="248" t="n"/>
      <c r="ICP92" s="240" t="n"/>
      <c r="ICQ92" s="240" t="n"/>
      <c r="ICS92" s="15" t="n"/>
      <c r="ICT92" s="15" t="n"/>
      <c r="ICU92" s="248" t="n"/>
      <c r="ICV92" s="248" t="n"/>
      <c r="ICW92" s="240" t="n"/>
      <c r="ICX92" s="240" t="n"/>
      <c r="ICZ92" s="15" t="n"/>
      <c r="IDA92" s="15" t="n"/>
      <c r="IDB92" s="248" t="n"/>
      <c r="IDC92" s="248" t="n"/>
      <c r="IDD92" s="240" t="n"/>
      <c r="IDE92" s="240" t="n"/>
      <c r="IDG92" s="15" t="n"/>
      <c r="IDH92" s="15" t="n"/>
      <c r="IDI92" s="248" t="n"/>
      <c r="IDJ92" s="248" t="n"/>
      <c r="IDK92" s="240" t="n"/>
      <c r="IDL92" s="240" t="n"/>
      <c r="IDN92" s="15" t="n"/>
      <c r="IDO92" s="15" t="n"/>
      <c r="IDP92" s="248" t="n"/>
      <c r="IDQ92" s="248" t="n"/>
      <c r="IDR92" s="240" t="n"/>
      <c r="IDS92" s="240" t="n"/>
      <c r="IDU92" s="15" t="n"/>
      <c r="IDV92" s="15" t="n"/>
      <c r="IDW92" s="248" t="n"/>
      <c r="IDX92" s="248" t="n"/>
      <c r="IDY92" s="240" t="n"/>
      <c r="IDZ92" s="240" t="n"/>
      <c r="IEB92" s="15" t="n"/>
      <c r="IEC92" s="15" t="n"/>
      <c r="IED92" s="248" t="n"/>
      <c r="IEE92" s="248" t="n"/>
      <c r="IEF92" s="240" t="n"/>
      <c r="IEG92" s="240" t="n"/>
      <c r="IEI92" s="15" t="n"/>
      <c r="IEJ92" s="15" t="n"/>
      <c r="IEK92" s="248" t="n"/>
      <c r="IEL92" s="248" t="n"/>
      <c r="IEM92" s="240" t="n"/>
      <c r="IEN92" s="240" t="n"/>
      <c r="IEP92" s="15" t="n"/>
      <c r="IEQ92" s="15" t="n"/>
      <c r="IER92" s="248" t="n"/>
      <c r="IES92" s="248" t="n"/>
      <c r="IET92" s="240" t="n"/>
      <c r="IEU92" s="240" t="n"/>
      <c r="IEW92" s="15" t="n"/>
      <c r="IEX92" s="15" t="n"/>
      <c r="IEY92" s="248" t="n"/>
      <c r="IEZ92" s="248" t="n"/>
      <c r="IFA92" s="240" t="n"/>
      <c r="IFB92" s="240" t="n"/>
      <c r="IFD92" s="15" t="n"/>
      <c r="IFE92" s="15" t="n"/>
      <c r="IFF92" s="248" t="n"/>
      <c r="IFG92" s="248" t="n"/>
      <c r="IFH92" s="240" t="n"/>
      <c r="IFI92" s="240" t="n"/>
      <c r="IFK92" s="15" t="n"/>
      <c r="IFL92" s="15" t="n"/>
      <c r="IFM92" s="248" t="n"/>
      <c r="IFN92" s="248" t="n"/>
      <c r="IFO92" s="240" t="n"/>
      <c r="IFP92" s="240" t="n"/>
      <c r="IFR92" s="15" t="n"/>
      <c r="IFS92" s="15" t="n"/>
      <c r="IFT92" s="248" t="n"/>
      <c r="IFU92" s="248" t="n"/>
      <c r="IFV92" s="240" t="n"/>
      <c r="IFW92" s="240" t="n"/>
      <c r="IFY92" s="15" t="n"/>
      <c r="IFZ92" s="15" t="n"/>
      <c r="IGA92" s="248" t="n"/>
      <c r="IGB92" s="248" t="n"/>
      <c r="IGC92" s="240" t="n"/>
      <c r="IGD92" s="240" t="n"/>
      <c r="IGF92" s="15" t="n"/>
      <c r="IGG92" s="15" t="n"/>
      <c r="IGH92" s="248" t="n"/>
      <c r="IGI92" s="248" t="n"/>
      <c r="IGJ92" s="240" t="n"/>
      <c r="IGK92" s="240" t="n"/>
      <c r="IGM92" s="15" t="n"/>
      <c r="IGN92" s="15" t="n"/>
      <c r="IGO92" s="248" t="n"/>
      <c r="IGP92" s="248" t="n"/>
      <c r="IGQ92" s="240" t="n"/>
      <c r="IGR92" s="240" t="n"/>
      <c r="IGT92" s="15" t="n"/>
      <c r="IGU92" s="15" t="n"/>
      <c r="IGV92" s="248" t="n"/>
      <c r="IGW92" s="248" t="n"/>
      <c r="IGX92" s="240" t="n"/>
      <c r="IGY92" s="240" t="n"/>
      <c r="IHA92" s="15" t="n"/>
      <c r="IHB92" s="15" t="n"/>
      <c r="IHC92" s="248" t="n"/>
      <c r="IHD92" s="248" t="n"/>
      <c r="IHE92" s="240" t="n"/>
      <c r="IHF92" s="240" t="n"/>
      <c r="IHH92" s="15" t="n"/>
      <c r="IHI92" s="15" t="n"/>
      <c r="IHJ92" s="248" t="n"/>
      <c r="IHK92" s="248" t="n"/>
      <c r="IHL92" s="240" t="n"/>
      <c r="IHM92" s="240" t="n"/>
      <c r="IHO92" s="15" t="n"/>
      <c r="IHP92" s="15" t="n"/>
      <c r="IHQ92" s="248" t="n"/>
      <c r="IHR92" s="248" t="n"/>
      <c r="IHS92" s="240" t="n"/>
      <c r="IHT92" s="240" t="n"/>
      <c r="IHV92" s="15" t="n"/>
      <c r="IHW92" s="15" t="n"/>
      <c r="IHX92" s="248" t="n"/>
      <c r="IHY92" s="248" t="n"/>
      <c r="IHZ92" s="240" t="n"/>
      <c r="IIA92" s="240" t="n"/>
      <c r="IIC92" s="15" t="n"/>
      <c r="IID92" s="15" t="n"/>
      <c r="IIE92" s="248" t="n"/>
      <c r="IIF92" s="248" t="n"/>
      <c r="IIG92" s="240" t="n"/>
      <c r="IIH92" s="240" t="n"/>
      <c r="IIJ92" s="15" t="n"/>
      <c r="IIK92" s="15" t="n"/>
      <c r="IIL92" s="248" t="n"/>
      <c r="IIM92" s="248" t="n"/>
      <c r="IIN92" s="240" t="n"/>
      <c r="IIO92" s="240" t="n"/>
      <c r="IIQ92" s="15" t="n"/>
      <c r="IIR92" s="15" t="n"/>
      <c r="IIS92" s="248" t="n"/>
      <c r="IIT92" s="248" t="n"/>
      <c r="IIU92" s="240" t="n"/>
      <c r="IIV92" s="240" t="n"/>
      <c r="IIX92" s="15" t="n"/>
      <c r="IIY92" s="15" t="n"/>
      <c r="IIZ92" s="248" t="n"/>
      <c r="IJA92" s="248" t="n"/>
      <c r="IJB92" s="240" t="n"/>
      <c r="IJC92" s="240" t="n"/>
      <c r="IJE92" s="15" t="n"/>
      <c r="IJF92" s="15" t="n"/>
      <c r="IJG92" s="248" t="n"/>
      <c r="IJH92" s="248" t="n"/>
      <c r="IJI92" s="240" t="n"/>
      <c r="IJJ92" s="240" t="n"/>
      <c r="IJL92" s="15" t="n"/>
      <c r="IJM92" s="15" t="n"/>
      <c r="IJN92" s="248" t="n"/>
      <c r="IJO92" s="248" t="n"/>
      <c r="IJP92" s="240" t="n"/>
      <c r="IJQ92" s="240" t="n"/>
      <c r="IJS92" s="15" t="n"/>
      <c r="IJT92" s="15" t="n"/>
      <c r="IJU92" s="248" t="n"/>
      <c r="IJV92" s="248" t="n"/>
      <c r="IJW92" s="240" t="n"/>
      <c r="IJX92" s="240" t="n"/>
      <c r="IJZ92" s="15" t="n"/>
      <c r="IKA92" s="15" t="n"/>
      <c r="IKB92" s="248" t="n"/>
      <c r="IKC92" s="248" t="n"/>
      <c r="IKD92" s="240" t="n"/>
      <c r="IKE92" s="240" t="n"/>
      <c r="IKG92" s="15" t="n"/>
      <c r="IKH92" s="15" t="n"/>
      <c r="IKI92" s="248" t="n"/>
      <c r="IKJ92" s="248" t="n"/>
      <c r="IKK92" s="240" t="n"/>
      <c r="IKL92" s="240" t="n"/>
      <c r="IKN92" s="15" t="n"/>
      <c r="IKO92" s="15" t="n"/>
      <c r="IKP92" s="248" t="n"/>
      <c r="IKQ92" s="248" t="n"/>
      <c r="IKR92" s="240" t="n"/>
      <c r="IKS92" s="240" t="n"/>
      <c r="IKU92" s="15" t="n"/>
      <c r="IKV92" s="15" t="n"/>
      <c r="IKW92" s="248" t="n"/>
      <c r="IKX92" s="248" t="n"/>
      <c r="IKY92" s="240" t="n"/>
      <c r="IKZ92" s="240" t="n"/>
      <c r="ILB92" s="15" t="n"/>
      <c r="ILC92" s="15" t="n"/>
      <c r="ILD92" s="248" t="n"/>
      <c r="ILE92" s="248" t="n"/>
      <c r="ILF92" s="240" t="n"/>
      <c r="ILG92" s="240" t="n"/>
      <c r="ILI92" s="15" t="n"/>
      <c r="ILJ92" s="15" t="n"/>
      <c r="ILK92" s="248" t="n"/>
      <c r="ILL92" s="248" t="n"/>
      <c r="ILM92" s="240" t="n"/>
      <c r="ILN92" s="240" t="n"/>
      <c r="ILP92" s="15" t="n"/>
      <c r="ILQ92" s="15" t="n"/>
      <c r="ILR92" s="248" t="n"/>
      <c r="ILS92" s="248" t="n"/>
      <c r="ILT92" s="240" t="n"/>
      <c r="ILU92" s="240" t="n"/>
      <c r="ILW92" s="15" t="n"/>
      <c r="ILX92" s="15" t="n"/>
      <c r="ILY92" s="248" t="n"/>
      <c r="ILZ92" s="248" t="n"/>
      <c r="IMA92" s="240" t="n"/>
      <c r="IMB92" s="240" t="n"/>
      <c r="IMD92" s="15" t="n"/>
      <c r="IME92" s="15" t="n"/>
      <c r="IMF92" s="248" t="n"/>
      <c r="IMG92" s="248" t="n"/>
      <c r="IMH92" s="240" t="n"/>
      <c r="IMI92" s="240" t="n"/>
      <c r="IMK92" s="15" t="n"/>
      <c r="IML92" s="15" t="n"/>
      <c r="IMM92" s="248" t="n"/>
      <c r="IMN92" s="248" t="n"/>
      <c r="IMO92" s="240" t="n"/>
      <c r="IMP92" s="240" t="n"/>
      <c r="IMR92" s="15" t="n"/>
      <c r="IMS92" s="15" t="n"/>
      <c r="IMT92" s="248" t="n"/>
      <c r="IMU92" s="248" t="n"/>
      <c r="IMV92" s="240" t="n"/>
      <c r="IMW92" s="240" t="n"/>
      <c r="IMY92" s="15" t="n"/>
      <c r="IMZ92" s="15" t="n"/>
      <c r="INA92" s="248" t="n"/>
      <c r="INB92" s="248" t="n"/>
      <c r="INC92" s="240" t="n"/>
      <c r="IND92" s="240" t="n"/>
      <c r="INF92" s="15" t="n"/>
      <c r="ING92" s="15" t="n"/>
      <c r="INH92" s="248" t="n"/>
      <c r="INI92" s="248" t="n"/>
      <c r="INJ92" s="240" t="n"/>
      <c r="INK92" s="240" t="n"/>
      <c r="INM92" s="15" t="n"/>
      <c r="INN92" s="15" t="n"/>
      <c r="INO92" s="248" t="n"/>
      <c r="INP92" s="248" t="n"/>
      <c r="INQ92" s="240" t="n"/>
      <c r="INR92" s="240" t="n"/>
      <c r="INT92" s="15" t="n"/>
      <c r="INU92" s="15" t="n"/>
      <c r="INV92" s="248" t="n"/>
      <c r="INW92" s="248" t="n"/>
      <c r="INX92" s="240" t="n"/>
      <c r="INY92" s="240" t="n"/>
      <c r="IOA92" s="15" t="n"/>
      <c r="IOB92" s="15" t="n"/>
      <c r="IOC92" s="248" t="n"/>
      <c r="IOD92" s="248" t="n"/>
      <c r="IOE92" s="240" t="n"/>
      <c r="IOF92" s="240" t="n"/>
      <c r="IOH92" s="15" t="n"/>
      <c r="IOI92" s="15" t="n"/>
      <c r="IOJ92" s="248" t="n"/>
      <c r="IOK92" s="248" t="n"/>
      <c r="IOL92" s="240" t="n"/>
      <c r="IOM92" s="240" t="n"/>
      <c r="IOO92" s="15" t="n"/>
      <c r="IOP92" s="15" t="n"/>
      <c r="IOQ92" s="248" t="n"/>
      <c r="IOR92" s="248" t="n"/>
      <c r="IOS92" s="240" t="n"/>
      <c r="IOT92" s="240" t="n"/>
      <c r="IOV92" s="15" t="n"/>
      <c r="IOW92" s="15" t="n"/>
      <c r="IOX92" s="248" t="n"/>
      <c r="IOY92" s="248" t="n"/>
      <c r="IOZ92" s="240" t="n"/>
      <c r="IPA92" s="240" t="n"/>
      <c r="IPC92" s="15" t="n"/>
      <c r="IPD92" s="15" t="n"/>
      <c r="IPE92" s="248" t="n"/>
      <c r="IPF92" s="248" t="n"/>
      <c r="IPG92" s="240" t="n"/>
      <c r="IPH92" s="240" t="n"/>
      <c r="IPJ92" s="15" t="n"/>
      <c r="IPK92" s="15" t="n"/>
      <c r="IPL92" s="248" t="n"/>
      <c r="IPM92" s="248" t="n"/>
      <c r="IPN92" s="240" t="n"/>
      <c r="IPO92" s="240" t="n"/>
      <c r="IPQ92" s="15" t="n"/>
      <c r="IPR92" s="15" t="n"/>
      <c r="IPS92" s="248" t="n"/>
      <c r="IPT92" s="248" t="n"/>
      <c r="IPU92" s="240" t="n"/>
      <c r="IPV92" s="240" t="n"/>
      <c r="IPX92" s="15" t="n"/>
      <c r="IPY92" s="15" t="n"/>
      <c r="IPZ92" s="248" t="n"/>
      <c r="IQA92" s="248" t="n"/>
      <c r="IQB92" s="240" t="n"/>
      <c r="IQC92" s="240" t="n"/>
      <c r="IQE92" s="15" t="n"/>
      <c r="IQF92" s="15" t="n"/>
      <c r="IQG92" s="248" t="n"/>
      <c r="IQH92" s="248" t="n"/>
      <c r="IQI92" s="240" t="n"/>
      <c r="IQJ92" s="240" t="n"/>
      <c r="IQL92" s="15" t="n"/>
      <c r="IQM92" s="15" t="n"/>
      <c r="IQN92" s="248" t="n"/>
      <c r="IQO92" s="248" t="n"/>
      <c r="IQP92" s="240" t="n"/>
      <c r="IQQ92" s="240" t="n"/>
      <c r="IQS92" s="15" t="n"/>
      <c r="IQT92" s="15" t="n"/>
      <c r="IQU92" s="248" t="n"/>
      <c r="IQV92" s="248" t="n"/>
      <c r="IQW92" s="240" t="n"/>
      <c r="IQX92" s="240" t="n"/>
      <c r="IQZ92" s="15" t="n"/>
      <c r="IRA92" s="15" t="n"/>
      <c r="IRB92" s="248" t="n"/>
      <c r="IRC92" s="248" t="n"/>
      <c r="IRD92" s="240" t="n"/>
      <c r="IRE92" s="240" t="n"/>
      <c r="IRG92" s="15" t="n"/>
      <c r="IRH92" s="15" t="n"/>
      <c r="IRI92" s="248" t="n"/>
      <c r="IRJ92" s="248" t="n"/>
      <c r="IRK92" s="240" t="n"/>
      <c r="IRL92" s="240" t="n"/>
      <c r="IRN92" s="15" t="n"/>
      <c r="IRO92" s="15" t="n"/>
      <c r="IRP92" s="248" t="n"/>
      <c r="IRQ92" s="248" t="n"/>
      <c r="IRR92" s="240" t="n"/>
      <c r="IRS92" s="240" t="n"/>
      <c r="IRU92" s="15" t="n"/>
      <c r="IRV92" s="15" t="n"/>
      <c r="IRW92" s="248" t="n"/>
      <c r="IRX92" s="248" t="n"/>
      <c r="IRY92" s="240" t="n"/>
      <c r="IRZ92" s="240" t="n"/>
      <c r="ISB92" s="15" t="n"/>
      <c r="ISC92" s="15" t="n"/>
      <c r="ISD92" s="248" t="n"/>
      <c r="ISE92" s="248" t="n"/>
      <c r="ISF92" s="240" t="n"/>
      <c r="ISG92" s="240" t="n"/>
      <c r="ISI92" s="15" t="n"/>
      <c r="ISJ92" s="15" t="n"/>
      <c r="ISK92" s="248" t="n"/>
      <c r="ISL92" s="248" t="n"/>
      <c r="ISM92" s="240" t="n"/>
      <c r="ISN92" s="240" t="n"/>
      <c r="ISP92" s="15" t="n"/>
      <c r="ISQ92" s="15" t="n"/>
      <c r="ISR92" s="248" t="n"/>
      <c r="ISS92" s="248" t="n"/>
      <c r="IST92" s="240" t="n"/>
      <c r="ISU92" s="240" t="n"/>
      <c r="ISW92" s="15" t="n"/>
      <c r="ISX92" s="15" t="n"/>
      <c r="ISY92" s="248" t="n"/>
      <c r="ISZ92" s="248" t="n"/>
      <c r="ITA92" s="240" t="n"/>
      <c r="ITB92" s="240" t="n"/>
      <c r="ITD92" s="15" t="n"/>
      <c r="ITE92" s="15" t="n"/>
      <c r="ITF92" s="248" t="n"/>
      <c r="ITG92" s="248" t="n"/>
      <c r="ITH92" s="240" t="n"/>
      <c r="ITI92" s="240" t="n"/>
      <c r="ITK92" s="15" t="n"/>
      <c r="ITL92" s="15" t="n"/>
      <c r="ITM92" s="248" t="n"/>
      <c r="ITN92" s="248" t="n"/>
      <c r="ITO92" s="240" t="n"/>
      <c r="ITP92" s="240" t="n"/>
      <c r="ITR92" s="15" t="n"/>
      <c r="ITS92" s="15" t="n"/>
      <c r="ITT92" s="248" t="n"/>
      <c r="ITU92" s="248" t="n"/>
      <c r="ITV92" s="240" t="n"/>
      <c r="ITW92" s="240" t="n"/>
      <c r="ITY92" s="15" t="n"/>
      <c r="ITZ92" s="15" t="n"/>
      <c r="IUA92" s="248" t="n"/>
      <c r="IUB92" s="248" t="n"/>
      <c r="IUC92" s="240" t="n"/>
      <c r="IUD92" s="240" t="n"/>
      <c r="IUF92" s="15" t="n"/>
      <c r="IUG92" s="15" t="n"/>
      <c r="IUH92" s="248" t="n"/>
      <c r="IUI92" s="248" t="n"/>
      <c r="IUJ92" s="240" t="n"/>
      <c r="IUK92" s="240" t="n"/>
      <c r="IUM92" s="15" t="n"/>
      <c r="IUN92" s="15" t="n"/>
      <c r="IUO92" s="248" t="n"/>
      <c r="IUP92" s="248" t="n"/>
      <c r="IUQ92" s="240" t="n"/>
      <c r="IUR92" s="240" t="n"/>
      <c r="IUT92" s="15" t="n"/>
      <c r="IUU92" s="15" t="n"/>
      <c r="IUV92" s="248" t="n"/>
      <c r="IUW92" s="248" t="n"/>
      <c r="IUX92" s="240" t="n"/>
      <c r="IUY92" s="240" t="n"/>
      <c r="IVA92" s="15" t="n"/>
      <c r="IVB92" s="15" t="n"/>
      <c r="IVC92" s="248" t="n"/>
      <c r="IVD92" s="248" t="n"/>
      <c r="IVE92" s="240" t="n"/>
      <c r="IVF92" s="240" t="n"/>
      <c r="IVH92" s="15" t="n"/>
      <c r="IVI92" s="15" t="n"/>
      <c r="IVJ92" s="248" t="n"/>
      <c r="IVK92" s="248" t="n"/>
      <c r="IVL92" s="240" t="n"/>
      <c r="IVM92" s="240" t="n"/>
      <c r="IVO92" s="15" t="n"/>
      <c r="IVP92" s="15" t="n"/>
      <c r="IVQ92" s="248" t="n"/>
      <c r="IVR92" s="248" t="n"/>
      <c r="IVS92" s="240" t="n"/>
      <c r="IVT92" s="240" t="n"/>
      <c r="IVV92" s="15" t="n"/>
      <c r="IVW92" s="15" t="n"/>
      <c r="IVX92" s="248" t="n"/>
      <c r="IVY92" s="248" t="n"/>
      <c r="IVZ92" s="240" t="n"/>
      <c r="IWA92" s="240" t="n"/>
      <c r="IWC92" s="15" t="n"/>
      <c r="IWD92" s="15" t="n"/>
      <c r="IWE92" s="248" t="n"/>
      <c r="IWF92" s="248" t="n"/>
      <c r="IWG92" s="240" t="n"/>
      <c r="IWH92" s="240" t="n"/>
      <c r="IWJ92" s="15" t="n"/>
      <c r="IWK92" s="15" t="n"/>
      <c r="IWL92" s="248" t="n"/>
      <c r="IWM92" s="248" t="n"/>
      <c r="IWN92" s="240" t="n"/>
      <c r="IWO92" s="240" t="n"/>
      <c r="IWQ92" s="15" t="n"/>
      <c r="IWR92" s="15" t="n"/>
      <c r="IWS92" s="248" t="n"/>
      <c r="IWT92" s="248" t="n"/>
      <c r="IWU92" s="240" t="n"/>
      <c r="IWV92" s="240" t="n"/>
      <c r="IWX92" s="15" t="n"/>
      <c r="IWY92" s="15" t="n"/>
      <c r="IWZ92" s="248" t="n"/>
      <c r="IXA92" s="248" t="n"/>
      <c r="IXB92" s="240" t="n"/>
      <c r="IXC92" s="240" t="n"/>
      <c r="IXE92" s="15" t="n"/>
      <c r="IXF92" s="15" t="n"/>
      <c r="IXG92" s="248" t="n"/>
      <c r="IXH92" s="248" t="n"/>
      <c r="IXI92" s="240" t="n"/>
      <c r="IXJ92" s="240" t="n"/>
      <c r="IXL92" s="15" t="n"/>
      <c r="IXM92" s="15" t="n"/>
      <c r="IXN92" s="248" t="n"/>
      <c r="IXO92" s="248" t="n"/>
      <c r="IXP92" s="240" t="n"/>
      <c r="IXQ92" s="240" t="n"/>
      <c r="IXS92" s="15" t="n"/>
      <c r="IXT92" s="15" t="n"/>
      <c r="IXU92" s="248" t="n"/>
      <c r="IXV92" s="248" t="n"/>
      <c r="IXW92" s="240" t="n"/>
      <c r="IXX92" s="240" t="n"/>
      <c r="IXZ92" s="15" t="n"/>
      <c r="IYA92" s="15" t="n"/>
      <c r="IYB92" s="248" t="n"/>
      <c r="IYC92" s="248" t="n"/>
      <c r="IYD92" s="240" t="n"/>
      <c r="IYE92" s="240" t="n"/>
      <c r="IYG92" s="15" t="n"/>
      <c r="IYH92" s="15" t="n"/>
      <c r="IYI92" s="248" t="n"/>
      <c r="IYJ92" s="248" t="n"/>
      <c r="IYK92" s="240" t="n"/>
      <c r="IYL92" s="240" t="n"/>
      <c r="IYN92" s="15" t="n"/>
      <c r="IYO92" s="15" t="n"/>
      <c r="IYP92" s="248" t="n"/>
      <c r="IYQ92" s="248" t="n"/>
      <c r="IYR92" s="240" t="n"/>
      <c r="IYS92" s="240" t="n"/>
      <c r="IYU92" s="15" t="n"/>
      <c r="IYV92" s="15" t="n"/>
      <c r="IYW92" s="248" t="n"/>
      <c r="IYX92" s="248" t="n"/>
      <c r="IYY92" s="240" t="n"/>
      <c r="IYZ92" s="240" t="n"/>
      <c r="IZB92" s="15" t="n"/>
      <c r="IZC92" s="15" t="n"/>
      <c r="IZD92" s="248" t="n"/>
      <c r="IZE92" s="248" t="n"/>
      <c r="IZF92" s="240" t="n"/>
      <c r="IZG92" s="240" t="n"/>
      <c r="IZI92" s="15" t="n"/>
      <c r="IZJ92" s="15" t="n"/>
      <c r="IZK92" s="248" t="n"/>
      <c r="IZL92" s="248" t="n"/>
      <c r="IZM92" s="240" t="n"/>
      <c r="IZN92" s="240" t="n"/>
      <c r="IZP92" s="15" t="n"/>
      <c r="IZQ92" s="15" t="n"/>
      <c r="IZR92" s="248" t="n"/>
      <c r="IZS92" s="248" t="n"/>
      <c r="IZT92" s="240" t="n"/>
      <c r="IZU92" s="240" t="n"/>
      <c r="IZW92" s="15" t="n"/>
      <c r="IZX92" s="15" t="n"/>
      <c r="IZY92" s="248" t="n"/>
      <c r="IZZ92" s="248" t="n"/>
      <c r="JAA92" s="240" t="n"/>
      <c r="JAB92" s="240" t="n"/>
      <c r="JAD92" s="15" t="n"/>
      <c r="JAE92" s="15" t="n"/>
      <c r="JAF92" s="248" t="n"/>
      <c r="JAG92" s="248" t="n"/>
      <c r="JAH92" s="240" t="n"/>
      <c r="JAI92" s="240" t="n"/>
      <c r="JAK92" s="15" t="n"/>
      <c r="JAL92" s="15" t="n"/>
      <c r="JAM92" s="248" t="n"/>
      <c r="JAN92" s="248" t="n"/>
      <c r="JAO92" s="240" t="n"/>
      <c r="JAP92" s="240" t="n"/>
      <c r="JAR92" s="15" t="n"/>
      <c r="JAS92" s="15" t="n"/>
      <c r="JAT92" s="248" t="n"/>
      <c r="JAU92" s="248" t="n"/>
      <c r="JAV92" s="240" t="n"/>
      <c r="JAW92" s="240" t="n"/>
      <c r="JAY92" s="15" t="n"/>
      <c r="JAZ92" s="15" t="n"/>
      <c r="JBA92" s="248" t="n"/>
      <c r="JBB92" s="248" t="n"/>
      <c r="JBC92" s="240" t="n"/>
      <c r="JBD92" s="240" t="n"/>
      <c r="JBF92" s="15" t="n"/>
      <c r="JBG92" s="15" t="n"/>
      <c r="JBH92" s="248" t="n"/>
      <c r="JBI92" s="248" t="n"/>
      <c r="JBJ92" s="240" t="n"/>
      <c r="JBK92" s="240" t="n"/>
      <c r="JBM92" s="15" t="n"/>
      <c r="JBN92" s="15" t="n"/>
      <c r="JBO92" s="248" t="n"/>
      <c r="JBP92" s="248" t="n"/>
      <c r="JBQ92" s="240" t="n"/>
      <c r="JBR92" s="240" t="n"/>
      <c r="JBT92" s="15" t="n"/>
      <c r="JBU92" s="15" t="n"/>
      <c r="JBV92" s="248" t="n"/>
      <c r="JBW92" s="248" t="n"/>
      <c r="JBX92" s="240" t="n"/>
      <c r="JBY92" s="240" t="n"/>
      <c r="JCA92" s="15" t="n"/>
      <c r="JCB92" s="15" t="n"/>
      <c r="JCC92" s="248" t="n"/>
      <c r="JCD92" s="248" t="n"/>
      <c r="JCE92" s="240" t="n"/>
      <c r="JCF92" s="240" t="n"/>
      <c r="JCH92" s="15" t="n"/>
      <c r="JCI92" s="15" t="n"/>
      <c r="JCJ92" s="248" t="n"/>
      <c r="JCK92" s="248" t="n"/>
      <c r="JCL92" s="240" t="n"/>
      <c r="JCM92" s="240" t="n"/>
      <c r="JCO92" s="15" t="n"/>
      <c r="JCP92" s="15" t="n"/>
      <c r="JCQ92" s="248" t="n"/>
      <c r="JCR92" s="248" t="n"/>
      <c r="JCS92" s="240" t="n"/>
      <c r="JCT92" s="240" t="n"/>
      <c r="JCV92" s="15" t="n"/>
      <c r="JCW92" s="15" t="n"/>
      <c r="JCX92" s="248" t="n"/>
      <c r="JCY92" s="248" t="n"/>
      <c r="JCZ92" s="240" t="n"/>
      <c r="JDA92" s="240" t="n"/>
      <c r="JDC92" s="15" t="n"/>
      <c r="JDD92" s="15" t="n"/>
      <c r="JDE92" s="248" t="n"/>
      <c r="JDF92" s="248" t="n"/>
      <c r="JDG92" s="240" t="n"/>
      <c r="JDH92" s="240" t="n"/>
      <c r="JDJ92" s="15" t="n"/>
      <c r="JDK92" s="15" t="n"/>
      <c r="JDL92" s="248" t="n"/>
      <c r="JDM92" s="248" t="n"/>
      <c r="JDN92" s="240" t="n"/>
      <c r="JDO92" s="240" t="n"/>
      <c r="JDQ92" s="15" t="n"/>
      <c r="JDR92" s="15" t="n"/>
      <c r="JDS92" s="248" t="n"/>
      <c r="JDT92" s="248" t="n"/>
      <c r="JDU92" s="240" t="n"/>
      <c r="JDV92" s="240" t="n"/>
      <c r="JDX92" s="15" t="n"/>
      <c r="JDY92" s="15" t="n"/>
      <c r="JDZ92" s="248" t="n"/>
      <c r="JEA92" s="248" t="n"/>
      <c r="JEB92" s="240" t="n"/>
      <c r="JEC92" s="240" t="n"/>
      <c r="JEE92" s="15" t="n"/>
      <c r="JEF92" s="15" t="n"/>
      <c r="JEG92" s="248" t="n"/>
      <c r="JEH92" s="248" t="n"/>
      <c r="JEI92" s="240" t="n"/>
      <c r="JEJ92" s="240" t="n"/>
      <c r="JEL92" s="15" t="n"/>
      <c r="JEM92" s="15" t="n"/>
      <c r="JEN92" s="248" t="n"/>
      <c r="JEO92" s="248" t="n"/>
      <c r="JEP92" s="240" t="n"/>
      <c r="JEQ92" s="240" t="n"/>
      <c r="JES92" s="15" t="n"/>
      <c r="JET92" s="15" t="n"/>
      <c r="JEU92" s="248" t="n"/>
      <c r="JEV92" s="248" t="n"/>
      <c r="JEW92" s="240" t="n"/>
      <c r="JEX92" s="240" t="n"/>
      <c r="JEZ92" s="15" t="n"/>
      <c r="JFA92" s="15" t="n"/>
      <c r="JFB92" s="248" t="n"/>
      <c r="JFC92" s="248" t="n"/>
      <c r="JFD92" s="240" t="n"/>
      <c r="JFE92" s="240" t="n"/>
      <c r="JFG92" s="15" t="n"/>
      <c r="JFH92" s="15" t="n"/>
      <c r="JFI92" s="248" t="n"/>
      <c r="JFJ92" s="248" t="n"/>
      <c r="JFK92" s="240" t="n"/>
      <c r="JFL92" s="240" t="n"/>
      <c r="JFN92" s="15" t="n"/>
      <c r="JFO92" s="15" t="n"/>
      <c r="JFP92" s="248" t="n"/>
      <c r="JFQ92" s="248" t="n"/>
      <c r="JFR92" s="240" t="n"/>
      <c r="JFS92" s="240" t="n"/>
      <c r="JFU92" s="15" t="n"/>
      <c r="JFV92" s="15" t="n"/>
      <c r="JFW92" s="248" t="n"/>
      <c r="JFX92" s="248" t="n"/>
      <c r="JFY92" s="240" t="n"/>
      <c r="JFZ92" s="240" t="n"/>
      <c r="JGB92" s="15" t="n"/>
      <c r="JGC92" s="15" t="n"/>
      <c r="JGD92" s="248" t="n"/>
      <c r="JGE92" s="248" t="n"/>
      <c r="JGF92" s="240" t="n"/>
      <c r="JGG92" s="240" t="n"/>
      <c r="JGI92" s="15" t="n"/>
      <c r="JGJ92" s="15" t="n"/>
      <c r="JGK92" s="248" t="n"/>
      <c r="JGL92" s="248" t="n"/>
      <c r="JGM92" s="240" t="n"/>
      <c r="JGN92" s="240" t="n"/>
      <c r="JGP92" s="15" t="n"/>
      <c r="JGQ92" s="15" t="n"/>
      <c r="JGR92" s="248" t="n"/>
      <c r="JGS92" s="248" t="n"/>
      <c r="JGT92" s="240" t="n"/>
      <c r="JGU92" s="240" t="n"/>
      <c r="JGW92" s="15" t="n"/>
      <c r="JGX92" s="15" t="n"/>
      <c r="JGY92" s="248" t="n"/>
      <c r="JGZ92" s="248" t="n"/>
      <c r="JHA92" s="240" t="n"/>
      <c r="JHB92" s="240" t="n"/>
      <c r="JHD92" s="15" t="n"/>
      <c r="JHE92" s="15" t="n"/>
      <c r="JHF92" s="248" t="n"/>
      <c r="JHG92" s="248" t="n"/>
      <c r="JHH92" s="240" t="n"/>
      <c r="JHI92" s="240" t="n"/>
      <c r="JHK92" s="15" t="n"/>
      <c r="JHL92" s="15" t="n"/>
      <c r="JHM92" s="248" t="n"/>
      <c r="JHN92" s="248" t="n"/>
      <c r="JHO92" s="240" t="n"/>
      <c r="JHP92" s="240" t="n"/>
      <c r="JHR92" s="15" t="n"/>
      <c r="JHS92" s="15" t="n"/>
      <c r="JHT92" s="248" t="n"/>
      <c r="JHU92" s="248" t="n"/>
      <c r="JHV92" s="240" t="n"/>
      <c r="JHW92" s="240" t="n"/>
      <c r="JHY92" s="15" t="n"/>
      <c r="JHZ92" s="15" t="n"/>
      <c r="JIA92" s="248" t="n"/>
      <c r="JIB92" s="248" t="n"/>
      <c r="JIC92" s="240" t="n"/>
      <c r="JID92" s="240" t="n"/>
      <c r="JIF92" s="15" t="n"/>
      <c r="JIG92" s="15" t="n"/>
      <c r="JIH92" s="248" t="n"/>
      <c r="JII92" s="248" t="n"/>
      <c r="JIJ92" s="240" t="n"/>
      <c r="JIK92" s="240" t="n"/>
      <c r="JIM92" s="15" t="n"/>
      <c r="JIN92" s="15" t="n"/>
      <c r="JIO92" s="248" t="n"/>
      <c r="JIP92" s="248" t="n"/>
      <c r="JIQ92" s="240" t="n"/>
      <c r="JIR92" s="240" t="n"/>
      <c r="JIT92" s="15" t="n"/>
      <c r="JIU92" s="15" t="n"/>
      <c r="JIV92" s="248" t="n"/>
      <c r="JIW92" s="248" t="n"/>
      <c r="JIX92" s="240" t="n"/>
      <c r="JIY92" s="240" t="n"/>
      <c r="JJA92" s="15" t="n"/>
      <c r="JJB92" s="15" t="n"/>
      <c r="JJC92" s="248" t="n"/>
      <c r="JJD92" s="248" t="n"/>
      <c r="JJE92" s="240" t="n"/>
      <c r="JJF92" s="240" t="n"/>
      <c r="JJH92" s="15" t="n"/>
      <c r="JJI92" s="15" t="n"/>
      <c r="JJJ92" s="248" t="n"/>
      <c r="JJK92" s="248" t="n"/>
      <c r="JJL92" s="240" t="n"/>
      <c r="JJM92" s="240" t="n"/>
      <c r="JJO92" s="15" t="n"/>
      <c r="JJP92" s="15" t="n"/>
      <c r="JJQ92" s="248" t="n"/>
      <c r="JJR92" s="248" t="n"/>
      <c r="JJS92" s="240" t="n"/>
      <c r="JJT92" s="240" t="n"/>
      <c r="JJV92" s="15" t="n"/>
      <c r="JJW92" s="15" t="n"/>
      <c r="JJX92" s="248" t="n"/>
      <c r="JJY92" s="248" t="n"/>
      <c r="JJZ92" s="240" t="n"/>
      <c r="JKA92" s="240" t="n"/>
      <c r="JKC92" s="15" t="n"/>
      <c r="JKD92" s="15" t="n"/>
      <c r="JKE92" s="248" t="n"/>
      <c r="JKF92" s="248" t="n"/>
      <c r="JKG92" s="240" t="n"/>
      <c r="JKH92" s="240" t="n"/>
      <c r="JKJ92" s="15" t="n"/>
      <c r="JKK92" s="15" t="n"/>
      <c r="JKL92" s="248" t="n"/>
      <c r="JKM92" s="248" t="n"/>
      <c r="JKN92" s="240" t="n"/>
      <c r="JKO92" s="240" t="n"/>
      <c r="JKQ92" s="15" t="n"/>
      <c r="JKR92" s="15" t="n"/>
      <c r="JKS92" s="248" t="n"/>
      <c r="JKT92" s="248" t="n"/>
      <c r="JKU92" s="240" t="n"/>
      <c r="JKV92" s="240" t="n"/>
      <c r="JKX92" s="15" t="n"/>
      <c r="JKY92" s="15" t="n"/>
      <c r="JKZ92" s="248" t="n"/>
      <c r="JLA92" s="248" t="n"/>
      <c r="JLB92" s="240" t="n"/>
      <c r="JLC92" s="240" t="n"/>
      <c r="JLE92" s="15" t="n"/>
      <c r="JLF92" s="15" t="n"/>
      <c r="JLG92" s="248" t="n"/>
      <c r="JLH92" s="248" t="n"/>
      <c r="JLI92" s="240" t="n"/>
      <c r="JLJ92" s="240" t="n"/>
      <c r="JLL92" s="15" t="n"/>
      <c r="JLM92" s="15" t="n"/>
      <c r="JLN92" s="248" t="n"/>
      <c r="JLO92" s="248" t="n"/>
      <c r="JLP92" s="240" t="n"/>
      <c r="JLQ92" s="240" t="n"/>
      <c r="JLS92" s="15" t="n"/>
      <c r="JLT92" s="15" t="n"/>
      <c r="JLU92" s="248" t="n"/>
      <c r="JLV92" s="248" t="n"/>
      <c r="JLW92" s="240" t="n"/>
      <c r="JLX92" s="240" t="n"/>
      <c r="JLZ92" s="15" t="n"/>
      <c r="JMA92" s="15" t="n"/>
      <c r="JMB92" s="248" t="n"/>
      <c r="JMC92" s="248" t="n"/>
      <c r="JMD92" s="240" t="n"/>
      <c r="JME92" s="240" t="n"/>
      <c r="JMG92" s="15" t="n"/>
      <c r="JMH92" s="15" t="n"/>
      <c r="JMI92" s="248" t="n"/>
      <c r="JMJ92" s="248" t="n"/>
      <c r="JMK92" s="240" t="n"/>
      <c r="JML92" s="240" t="n"/>
      <c r="JMN92" s="15" t="n"/>
      <c r="JMO92" s="15" t="n"/>
      <c r="JMP92" s="248" t="n"/>
      <c r="JMQ92" s="248" t="n"/>
      <c r="JMR92" s="240" t="n"/>
      <c r="JMS92" s="240" t="n"/>
      <c r="JMU92" s="15" t="n"/>
      <c r="JMV92" s="15" t="n"/>
      <c r="JMW92" s="248" t="n"/>
      <c r="JMX92" s="248" t="n"/>
      <c r="JMY92" s="240" t="n"/>
      <c r="JMZ92" s="240" t="n"/>
      <c r="JNB92" s="15" t="n"/>
      <c r="JNC92" s="15" t="n"/>
      <c r="JND92" s="248" t="n"/>
      <c r="JNE92" s="248" t="n"/>
      <c r="JNF92" s="240" t="n"/>
      <c r="JNG92" s="240" t="n"/>
      <c r="JNI92" s="15" t="n"/>
      <c r="JNJ92" s="15" t="n"/>
      <c r="JNK92" s="248" t="n"/>
      <c r="JNL92" s="248" t="n"/>
      <c r="JNM92" s="240" t="n"/>
      <c r="JNN92" s="240" t="n"/>
      <c r="JNP92" s="15" t="n"/>
      <c r="JNQ92" s="15" t="n"/>
      <c r="JNR92" s="248" t="n"/>
      <c r="JNS92" s="248" t="n"/>
      <c r="JNT92" s="240" t="n"/>
      <c r="JNU92" s="240" t="n"/>
      <c r="JNW92" s="15" t="n"/>
      <c r="JNX92" s="15" t="n"/>
      <c r="JNY92" s="248" t="n"/>
      <c r="JNZ92" s="248" t="n"/>
      <c r="JOA92" s="240" t="n"/>
      <c r="JOB92" s="240" t="n"/>
      <c r="JOD92" s="15" t="n"/>
      <c r="JOE92" s="15" t="n"/>
      <c r="JOF92" s="248" t="n"/>
      <c r="JOG92" s="248" t="n"/>
      <c r="JOH92" s="240" t="n"/>
      <c r="JOI92" s="240" t="n"/>
      <c r="JOK92" s="15" t="n"/>
      <c r="JOL92" s="15" t="n"/>
      <c r="JOM92" s="248" t="n"/>
      <c r="JON92" s="248" t="n"/>
      <c r="JOO92" s="240" t="n"/>
      <c r="JOP92" s="240" t="n"/>
      <c r="JOR92" s="15" t="n"/>
      <c r="JOS92" s="15" t="n"/>
      <c r="JOT92" s="248" t="n"/>
      <c r="JOU92" s="248" t="n"/>
      <c r="JOV92" s="240" t="n"/>
      <c r="JOW92" s="240" t="n"/>
      <c r="JOY92" s="15" t="n"/>
      <c r="JOZ92" s="15" t="n"/>
      <c r="JPA92" s="248" t="n"/>
      <c r="JPB92" s="248" t="n"/>
      <c r="JPC92" s="240" t="n"/>
      <c r="JPD92" s="240" t="n"/>
      <c r="JPF92" s="15" t="n"/>
      <c r="JPG92" s="15" t="n"/>
      <c r="JPH92" s="248" t="n"/>
      <c r="JPI92" s="248" t="n"/>
      <c r="JPJ92" s="240" t="n"/>
      <c r="JPK92" s="240" t="n"/>
      <c r="JPM92" s="15" t="n"/>
      <c r="JPN92" s="15" t="n"/>
      <c r="JPO92" s="248" t="n"/>
      <c r="JPP92" s="248" t="n"/>
      <c r="JPQ92" s="240" t="n"/>
      <c r="JPR92" s="240" t="n"/>
      <c r="JPT92" s="15" t="n"/>
      <c r="JPU92" s="15" t="n"/>
      <c r="JPV92" s="248" t="n"/>
      <c r="JPW92" s="248" t="n"/>
      <c r="JPX92" s="240" t="n"/>
      <c r="JPY92" s="240" t="n"/>
      <c r="JQA92" s="15" t="n"/>
      <c r="JQB92" s="15" t="n"/>
      <c r="JQC92" s="248" t="n"/>
      <c r="JQD92" s="248" t="n"/>
      <c r="JQE92" s="240" t="n"/>
      <c r="JQF92" s="240" t="n"/>
      <c r="JQH92" s="15" t="n"/>
      <c r="JQI92" s="15" t="n"/>
      <c r="JQJ92" s="248" t="n"/>
      <c r="JQK92" s="248" t="n"/>
      <c r="JQL92" s="240" t="n"/>
      <c r="JQM92" s="240" t="n"/>
      <c r="JQO92" s="15" t="n"/>
      <c r="JQP92" s="15" t="n"/>
      <c r="JQQ92" s="248" t="n"/>
      <c r="JQR92" s="248" t="n"/>
      <c r="JQS92" s="240" t="n"/>
      <c r="JQT92" s="240" t="n"/>
      <c r="JQV92" s="15" t="n"/>
      <c r="JQW92" s="15" t="n"/>
      <c r="JQX92" s="248" t="n"/>
      <c r="JQY92" s="248" t="n"/>
      <c r="JQZ92" s="240" t="n"/>
      <c r="JRA92" s="240" t="n"/>
      <c r="JRC92" s="15" t="n"/>
      <c r="JRD92" s="15" t="n"/>
      <c r="JRE92" s="248" t="n"/>
      <c r="JRF92" s="248" t="n"/>
      <c r="JRG92" s="240" t="n"/>
      <c r="JRH92" s="240" t="n"/>
      <c r="JRJ92" s="15" t="n"/>
      <c r="JRK92" s="15" t="n"/>
      <c r="JRL92" s="248" t="n"/>
      <c r="JRM92" s="248" t="n"/>
      <c r="JRN92" s="240" t="n"/>
      <c r="JRO92" s="240" t="n"/>
      <c r="JRQ92" s="15" t="n"/>
      <c r="JRR92" s="15" t="n"/>
      <c r="JRS92" s="248" t="n"/>
      <c r="JRT92" s="248" t="n"/>
      <c r="JRU92" s="240" t="n"/>
      <c r="JRV92" s="240" t="n"/>
      <c r="JRX92" s="15" t="n"/>
      <c r="JRY92" s="15" t="n"/>
      <c r="JRZ92" s="248" t="n"/>
      <c r="JSA92" s="248" t="n"/>
      <c r="JSB92" s="240" t="n"/>
      <c r="JSC92" s="240" t="n"/>
      <c r="JSE92" s="15" t="n"/>
      <c r="JSF92" s="15" t="n"/>
      <c r="JSG92" s="248" t="n"/>
      <c r="JSH92" s="248" t="n"/>
      <c r="JSI92" s="240" t="n"/>
      <c r="JSJ92" s="240" t="n"/>
      <c r="JSL92" s="15" t="n"/>
      <c r="JSM92" s="15" t="n"/>
      <c r="JSN92" s="248" t="n"/>
      <c r="JSO92" s="248" t="n"/>
      <c r="JSP92" s="240" t="n"/>
      <c r="JSQ92" s="240" t="n"/>
      <c r="JSS92" s="15" t="n"/>
      <c r="JST92" s="15" t="n"/>
      <c r="JSU92" s="248" t="n"/>
      <c r="JSV92" s="248" t="n"/>
      <c r="JSW92" s="240" t="n"/>
      <c r="JSX92" s="240" t="n"/>
      <c r="JSZ92" s="15" t="n"/>
      <c r="JTA92" s="15" t="n"/>
      <c r="JTB92" s="248" t="n"/>
      <c r="JTC92" s="248" t="n"/>
      <c r="JTD92" s="240" t="n"/>
      <c r="JTE92" s="240" t="n"/>
      <c r="JTG92" s="15" t="n"/>
      <c r="JTH92" s="15" t="n"/>
      <c r="JTI92" s="248" t="n"/>
      <c r="JTJ92" s="248" t="n"/>
      <c r="JTK92" s="240" t="n"/>
      <c r="JTL92" s="240" t="n"/>
      <c r="JTN92" s="15" t="n"/>
      <c r="JTO92" s="15" t="n"/>
      <c r="JTP92" s="248" t="n"/>
      <c r="JTQ92" s="248" t="n"/>
      <c r="JTR92" s="240" t="n"/>
      <c r="JTS92" s="240" t="n"/>
      <c r="JTU92" s="15" t="n"/>
      <c r="JTV92" s="15" t="n"/>
      <c r="JTW92" s="248" t="n"/>
      <c r="JTX92" s="248" t="n"/>
      <c r="JTY92" s="240" t="n"/>
      <c r="JTZ92" s="240" t="n"/>
      <c r="JUB92" s="15" t="n"/>
      <c r="JUC92" s="15" t="n"/>
      <c r="JUD92" s="248" t="n"/>
      <c r="JUE92" s="248" t="n"/>
      <c r="JUF92" s="240" t="n"/>
      <c r="JUG92" s="240" t="n"/>
      <c r="JUI92" s="15" t="n"/>
      <c r="JUJ92" s="15" t="n"/>
      <c r="JUK92" s="248" t="n"/>
      <c r="JUL92" s="248" t="n"/>
      <c r="JUM92" s="240" t="n"/>
      <c r="JUN92" s="240" t="n"/>
      <c r="JUP92" s="15" t="n"/>
      <c r="JUQ92" s="15" t="n"/>
      <c r="JUR92" s="248" t="n"/>
      <c r="JUS92" s="248" t="n"/>
      <c r="JUT92" s="240" t="n"/>
      <c r="JUU92" s="240" t="n"/>
      <c r="JUW92" s="15" t="n"/>
      <c r="JUX92" s="15" t="n"/>
      <c r="JUY92" s="248" t="n"/>
      <c r="JUZ92" s="248" t="n"/>
      <c r="JVA92" s="240" t="n"/>
      <c r="JVB92" s="240" t="n"/>
      <c r="JVD92" s="15" t="n"/>
      <c r="JVE92" s="15" t="n"/>
      <c r="JVF92" s="248" t="n"/>
      <c r="JVG92" s="248" t="n"/>
      <c r="JVH92" s="240" t="n"/>
      <c r="JVI92" s="240" t="n"/>
      <c r="JVK92" s="15" t="n"/>
      <c r="JVL92" s="15" t="n"/>
      <c r="JVM92" s="248" t="n"/>
      <c r="JVN92" s="248" t="n"/>
      <c r="JVO92" s="240" t="n"/>
      <c r="JVP92" s="240" t="n"/>
      <c r="JVR92" s="15" t="n"/>
      <c r="JVS92" s="15" t="n"/>
      <c r="JVT92" s="248" t="n"/>
      <c r="JVU92" s="248" t="n"/>
      <c r="JVV92" s="240" t="n"/>
      <c r="JVW92" s="240" t="n"/>
      <c r="JVY92" s="15" t="n"/>
      <c r="JVZ92" s="15" t="n"/>
      <c r="JWA92" s="248" t="n"/>
      <c r="JWB92" s="248" t="n"/>
      <c r="JWC92" s="240" t="n"/>
      <c r="JWD92" s="240" t="n"/>
      <c r="JWF92" s="15" t="n"/>
      <c r="JWG92" s="15" t="n"/>
      <c r="JWH92" s="248" t="n"/>
      <c r="JWI92" s="248" t="n"/>
      <c r="JWJ92" s="240" t="n"/>
      <c r="JWK92" s="240" t="n"/>
      <c r="JWM92" s="15" t="n"/>
      <c r="JWN92" s="15" t="n"/>
      <c r="JWO92" s="248" t="n"/>
      <c r="JWP92" s="248" t="n"/>
      <c r="JWQ92" s="240" t="n"/>
      <c r="JWR92" s="240" t="n"/>
      <c r="JWT92" s="15" t="n"/>
      <c r="JWU92" s="15" t="n"/>
      <c r="JWV92" s="248" t="n"/>
      <c r="JWW92" s="248" t="n"/>
      <c r="JWX92" s="240" t="n"/>
      <c r="JWY92" s="240" t="n"/>
      <c r="JXA92" s="15" t="n"/>
      <c r="JXB92" s="15" t="n"/>
      <c r="JXC92" s="248" t="n"/>
      <c r="JXD92" s="248" t="n"/>
      <c r="JXE92" s="240" t="n"/>
      <c r="JXF92" s="240" t="n"/>
      <c r="JXH92" s="15" t="n"/>
      <c r="JXI92" s="15" t="n"/>
      <c r="JXJ92" s="248" t="n"/>
      <c r="JXK92" s="248" t="n"/>
      <c r="JXL92" s="240" t="n"/>
      <c r="JXM92" s="240" t="n"/>
      <c r="JXO92" s="15" t="n"/>
      <c r="JXP92" s="15" t="n"/>
      <c r="JXQ92" s="248" t="n"/>
      <c r="JXR92" s="248" t="n"/>
      <c r="JXS92" s="240" t="n"/>
      <c r="JXT92" s="240" t="n"/>
      <c r="JXV92" s="15" t="n"/>
      <c r="JXW92" s="15" t="n"/>
      <c r="JXX92" s="248" t="n"/>
      <c r="JXY92" s="248" t="n"/>
      <c r="JXZ92" s="240" t="n"/>
      <c r="JYA92" s="240" t="n"/>
      <c r="JYC92" s="15" t="n"/>
      <c r="JYD92" s="15" t="n"/>
      <c r="JYE92" s="248" t="n"/>
      <c r="JYF92" s="248" t="n"/>
      <c r="JYG92" s="240" t="n"/>
      <c r="JYH92" s="240" t="n"/>
      <c r="JYJ92" s="15" t="n"/>
      <c r="JYK92" s="15" t="n"/>
      <c r="JYL92" s="248" t="n"/>
      <c r="JYM92" s="248" t="n"/>
      <c r="JYN92" s="240" t="n"/>
      <c r="JYO92" s="240" t="n"/>
      <c r="JYQ92" s="15" t="n"/>
      <c r="JYR92" s="15" t="n"/>
      <c r="JYS92" s="248" t="n"/>
      <c r="JYT92" s="248" t="n"/>
      <c r="JYU92" s="240" t="n"/>
      <c r="JYV92" s="240" t="n"/>
      <c r="JYX92" s="15" t="n"/>
      <c r="JYY92" s="15" t="n"/>
      <c r="JYZ92" s="248" t="n"/>
      <c r="JZA92" s="248" t="n"/>
      <c r="JZB92" s="240" t="n"/>
      <c r="JZC92" s="240" t="n"/>
      <c r="JZE92" s="15" t="n"/>
      <c r="JZF92" s="15" t="n"/>
      <c r="JZG92" s="248" t="n"/>
      <c r="JZH92" s="248" t="n"/>
      <c r="JZI92" s="240" t="n"/>
      <c r="JZJ92" s="240" t="n"/>
      <c r="JZL92" s="15" t="n"/>
      <c r="JZM92" s="15" t="n"/>
      <c r="JZN92" s="248" t="n"/>
      <c r="JZO92" s="248" t="n"/>
      <c r="JZP92" s="240" t="n"/>
      <c r="JZQ92" s="240" t="n"/>
      <c r="JZS92" s="15" t="n"/>
      <c r="JZT92" s="15" t="n"/>
      <c r="JZU92" s="248" t="n"/>
      <c r="JZV92" s="248" t="n"/>
      <c r="JZW92" s="240" t="n"/>
      <c r="JZX92" s="240" t="n"/>
      <c r="JZZ92" s="15" t="n"/>
      <c r="KAA92" s="15" t="n"/>
      <c r="KAB92" s="248" t="n"/>
      <c r="KAC92" s="248" t="n"/>
      <c r="KAD92" s="240" t="n"/>
      <c r="KAE92" s="240" t="n"/>
      <c r="KAG92" s="15" t="n"/>
      <c r="KAH92" s="15" t="n"/>
      <c r="KAI92" s="248" t="n"/>
      <c r="KAJ92" s="248" t="n"/>
      <c r="KAK92" s="240" t="n"/>
      <c r="KAL92" s="240" t="n"/>
      <c r="KAN92" s="15" t="n"/>
      <c r="KAO92" s="15" t="n"/>
      <c r="KAP92" s="248" t="n"/>
      <c r="KAQ92" s="248" t="n"/>
      <c r="KAR92" s="240" t="n"/>
      <c r="KAS92" s="240" t="n"/>
      <c r="KAU92" s="15" t="n"/>
      <c r="KAV92" s="15" t="n"/>
      <c r="KAW92" s="248" t="n"/>
      <c r="KAX92" s="248" t="n"/>
      <c r="KAY92" s="240" t="n"/>
      <c r="KAZ92" s="240" t="n"/>
      <c r="KBB92" s="15" t="n"/>
      <c r="KBC92" s="15" t="n"/>
      <c r="KBD92" s="248" t="n"/>
      <c r="KBE92" s="248" t="n"/>
      <c r="KBF92" s="240" t="n"/>
      <c r="KBG92" s="240" t="n"/>
      <c r="KBI92" s="15" t="n"/>
      <c r="KBJ92" s="15" t="n"/>
      <c r="KBK92" s="248" t="n"/>
      <c r="KBL92" s="248" t="n"/>
      <c r="KBM92" s="240" t="n"/>
      <c r="KBN92" s="240" t="n"/>
      <c r="KBP92" s="15" t="n"/>
      <c r="KBQ92" s="15" t="n"/>
      <c r="KBR92" s="248" t="n"/>
      <c r="KBS92" s="248" t="n"/>
      <c r="KBT92" s="240" t="n"/>
      <c r="KBU92" s="240" t="n"/>
      <c r="KBW92" s="15" t="n"/>
      <c r="KBX92" s="15" t="n"/>
      <c r="KBY92" s="248" t="n"/>
      <c r="KBZ92" s="248" t="n"/>
      <c r="KCA92" s="240" t="n"/>
      <c r="KCB92" s="240" t="n"/>
      <c r="KCD92" s="15" t="n"/>
      <c r="KCE92" s="15" t="n"/>
      <c r="KCF92" s="248" t="n"/>
      <c r="KCG92" s="248" t="n"/>
      <c r="KCH92" s="240" t="n"/>
      <c r="KCI92" s="240" t="n"/>
      <c r="KCK92" s="15" t="n"/>
      <c r="KCL92" s="15" t="n"/>
      <c r="KCM92" s="248" t="n"/>
      <c r="KCN92" s="248" t="n"/>
      <c r="KCO92" s="240" t="n"/>
      <c r="KCP92" s="240" t="n"/>
      <c r="KCR92" s="15" t="n"/>
      <c r="KCS92" s="15" t="n"/>
      <c r="KCT92" s="248" t="n"/>
      <c r="KCU92" s="248" t="n"/>
      <c r="KCV92" s="240" t="n"/>
      <c r="KCW92" s="240" t="n"/>
      <c r="KCY92" s="15" t="n"/>
      <c r="KCZ92" s="15" t="n"/>
      <c r="KDA92" s="248" t="n"/>
      <c r="KDB92" s="248" t="n"/>
      <c r="KDC92" s="240" t="n"/>
      <c r="KDD92" s="240" t="n"/>
      <c r="KDF92" s="15" t="n"/>
      <c r="KDG92" s="15" t="n"/>
      <c r="KDH92" s="248" t="n"/>
      <c r="KDI92" s="248" t="n"/>
      <c r="KDJ92" s="240" t="n"/>
      <c r="KDK92" s="240" t="n"/>
      <c r="KDM92" s="15" t="n"/>
      <c r="KDN92" s="15" t="n"/>
      <c r="KDO92" s="248" t="n"/>
      <c r="KDP92" s="248" t="n"/>
      <c r="KDQ92" s="240" t="n"/>
      <c r="KDR92" s="240" t="n"/>
      <c r="KDT92" s="15" t="n"/>
      <c r="KDU92" s="15" t="n"/>
      <c r="KDV92" s="248" t="n"/>
      <c r="KDW92" s="248" t="n"/>
      <c r="KDX92" s="240" t="n"/>
      <c r="KDY92" s="240" t="n"/>
      <c r="KEA92" s="15" t="n"/>
      <c r="KEB92" s="15" t="n"/>
      <c r="KEC92" s="248" t="n"/>
      <c r="KED92" s="248" t="n"/>
      <c r="KEE92" s="240" t="n"/>
      <c r="KEF92" s="240" t="n"/>
      <c r="KEH92" s="15" t="n"/>
      <c r="KEI92" s="15" t="n"/>
      <c r="KEJ92" s="248" t="n"/>
      <c r="KEK92" s="248" t="n"/>
      <c r="KEL92" s="240" t="n"/>
      <c r="KEM92" s="240" t="n"/>
      <c r="KEO92" s="15" t="n"/>
      <c r="KEP92" s="15" t="n"/>
      <c r="KEQ92" s="248" t="n"/>
      <c r="KER92" s="248" t="n"/>
      <c r="KES92" s="240" t="n"/>
      <c r="KET92" s="240" t="n"/>
      <c r="KEV92" s="15" t="n"/>
      <c r="KEW92" s="15" t="n"/>
      <c r="KEX92" s="248" t="n"/>
      <c r="KEY92" s="248" t="n"/>
      <c r="KEZ92" s="240" t="n"/>
      <c r="KFA92" s="240" t="n"/>
      <c r="KFC92" s="15" t="n"/>
      <c r="KFD92" s="15" t="n"/>
      <c r="KFE92" s="248" t="n"/>
      <c r="KFF92" s="248" t="n"/>
      <c r="KFG92" s="240" t="n"/>
      <c r="KFH92" s="240" t="n"/>
      <c r="KFJ92" s="15" t="n"/>
      <c r="KFK92" s="15" t="n"/>
      <c r="KFL92" s="248" t="n"/>
      <c r="KFM92" s="248" t="n"/>
      <c r="KFN92" s="240" t="n"/>
      <c r="KFO92" s="240" t="n"/>
      <c r="KFQ92" s="15" t="n"/>
      <c r="KFR92" s="15" t="n"/>
      <c r="KFS92" s="248" t="n"/>
      <c r="KFT92" s="248" t="n"/>
      <c r="KFU92" s="240" t="n"/>
      <c r="KFV92" s="240" t="n"/>
      <c r="KFX92" s="15" t="n"/>
      <c r="KFY92" s="15" t="n"/>
      <c r="KFZ92" s="248" t="n"/>
      <c r="KGA92" s="248" t="n"/>
      <c r="KGB92" s="240" t="n"/>
      <c r="KGC92" s="240" t="n"/>
      <c r="KGE92" s="15" t="n"/>
      <c r="KGF92" s="15" t="n"/>
      <c r="KGG92" s="248" t="n"/>
      <c r="KGH92" s="248" t="n"/>
      <c r="KGI92" s="240" t="n"/>
      <c r="KGJ92" s="240" t="n"/>
      <c r="KGL92" s="15" t="n"/>
      <c r="KGM92" s="15" t="n"/>
      <c r="KGN92" s="248" t="n"/>
      <c r="KGO92" s="248" t="n"/>
      <c r="KGP92" s="240" t="n"/>
      <c r="KGQ92" s="240" t="n"/>
      <c r="KGS92" s="15" t="n"/>
      <c r="KGT92" s="15" t="n"/>
      <c r="KGU92" s="248" t="n"/>
      <c r="KGV92" s="248" t="n"/>
      <c r="KGW92" s="240" t="n"/>
      <c r="KGX92" s="240" t="n"/>
      <c r="KGZ92" s="15" t="n"/>
      <c r="KHA92" s="15" t="n"/>
      <c r="KHB92" s="248" t="n"/>
      <c r="KHC92" s="248" t="n"/>
      <c r="KHD92" s="240" t="n"/>
      <c r="KHE92" s="240" t="n"/>
      <c r="KHG92" s="15" t="n"/>
      <c r="KHH92" s="15" t="n"/>
      <c r="KHI92" s="248" t="n"/>
      <c r="KHJ92" s="248" t="n"/>
      <c r="KHK92" s="240" t="n"/>
      <c r="KHL92" s="240" t="n"/>
      <c r="KHN92" s="15" t="n"/>
      <c r="KHO92" s="15" t="n"/>
      <c r="KHP92" s="248" t="n"/>
      <c r="KHQ92" s="248" t="n"/>
      <c r="KHR92" s="240" t="n"/>
      <c r="KHS92" s="240" t="n"/>
      <c r="KHU92" s="15" t="n"/>
      <c r="KHV92" s="15" t="n"/>
      <c r="KHW92" s="248" t="n"/>
      <c r="KHX92" s="248" t="n"/>
      <c r="KHY92" s="240" t="n"/>
      <c r="KHZ92" s="240" t="n"/>
      <c r="KIB92" s="15" t="n"/>
      <c r="KIC92" s="15" t="n"/>
      <c r="KID92" s="248" t="n"/>
      <c r="KIE92" s="248" t="n"/>
      <c r="KIF92" s="240" t="n"/>
      <c r="KIG92" s="240" t="n"/>
      <c r="KII92" s="15" t="n"/>
      <c r="KIJ92" s="15" t="n"/>
      <c r="KIK92" s="248" t="n"/>
      <c r="KIL92" s="248" t="n"/>
      <c r="KIM92" s="240" t="n"/>
      <c r="KIN92" s="240" t="n"/>
      <c r="KIP92" s="15" t="n"/>
      <c r="KIQ92" s="15" t="n"/>
      <c r="KIR92" s="248" t="n"/>
      <c r="KIS92" s="248" t="n"/>
      <c r="KIT92" s="240" t="n"/>
      <c r="KIU92" s="240" t="n"/>
      <c r="KIW92" s="15" t="n"/>
      <c r="KIX92" s="15" t="n"/>
      <c r="KIY92" s="248" t="n"/>
      <c r="KIZ92" s="248" t="n"/>
      <c r="KJA92" s="240" t="n"/>
      <c r="KJB92" s="240" t="n"/>
      <c r="KJD92" s="15" t="n"/>
      <c r="KJE92" s="15" t="n"/>
      <c r="KJF92" s="248" t="n"/>
      <c r="KJG92" s="248" t="n"/>
      <c r="KJH92" s="240" t="n"/>
      <c r="KJI92" s="240" t="n"/>
      <c r="KJK92" s="15" t="n"/>
      <c r="KJL92" s="15" t="n"/>
      <c r="KJM92" s="248" t="n"/>
      <c r="KJN92" s="248" t="n"/>
      <c r="KJO92" s="240" t="n"/>
      <c r="KJP92" s="240" t="n"/>
      <c r="KJR92" s="15" t="n"/>
      <c r="KJS92" s="15" t="n"/>
      <c r="KJT92" s="248" t="n"/>
      <c r="KJU92" s="248" t="n"/>
      <c r="KJV92" s="240" t="n"/>
      <c r="KJW92" s="240" t="n"/>
      <c r="KJY92" s="15" t="n"/>
      <c r="KJZ92" s="15" t="n"/>
      <c r="KKA92" s="248" t="n"/>
      <c r="KKB92" s="248" t="n"/>
      <c r="KKC92" s="240" t="n"/>
      <c r="KKD92" s="240" t="n"/>
      <c r="KKF92" s="15" t="n"/>
      <c r="KKG92" s="15" t="n"/>
      <c r="KKH92" s="248" t="n"/>
      <c r="KKI92" s="248" t="n"/>
      <c r="KKJ92" s="240" t="n"/>
      <c r="KKK92" s="240" t="n"/>
      <c r="KKM92" s="15" t="n"/>
      <c r="KKN92" s="15" t="n"/>
      <c r="KKO92" s="248" t="n"/>
      <c r="KKP92" s="248" t="n"/>
      <c r="KKQ92" s="240" t="n"/>
      <c r="KKR92" s="240" t="n"/>
      <c r="KKT92" s="15" t="n"/>
      <c r="KKU92" s="15" t="n"/>
      <c r="KKV92" s="248" t="n"/>
      <c r="KKW92" s="248" t="n"/>
      <c r="KKX92" s="240" t="n"/>
      <c r="KKY92" s="240" t="n"/>
      <c r="KLA92" s="15" t="n"/>
      <c r="KLB92" s="15" t="n"/>
      <c r="KLC92" s="248" t="n"/>
      <c r="KLD92" s="248" t="n"/>
      <c r="KLE92" s="240" t="n"/>
      <c r="KLF92" s="240" t="n"/>
      <c r="KLH92" s="15" t="n"/>
      <c r="KLI92" s="15" t="n"/>
      <c r="KLJ92" s="248" t="n"/>
      <c r="KLK92" s="248" t="n"/>
      <c r="KLL92" s="240" t="n"/>
      <c r="KLM92" s="240" t="n"/>
      <c r="KLO92" s="15" t="n"/>
      <c r="KLP92" s="15" t="n"/>
      <c r="KLQ92" s="248" t="n"/>
      <c r="KLR92" s="248" t="n"/>
      <c r="KLS92" s="240" t="n"/>
      <c r="KLT92" s="240" t="n"/>
      <c r="KLV92" s="15" t="n"/>
      <c r="KLW92" s="15" t="n"/>
      <c r="KLX92" s="248" t="n"/>
      <c r="KLY92" s="248" t="n"/>
      <c r="KLZ92" s="240" t="n"/>
      <c r="KMA92" s="240" t="n"/>
      <c r="KMC92" s="15" t="n"/>
      <c r="KMD92" s="15" t="n"/>
      <c r="KME92" s="248" t="n"/>
      <c r="KMF92" s="248" t="n"/>
      <c r="KMG92" s="240" t="n"/>
      <c r="KMH92" s="240" t="n"/>
      <c r="KMJ92" s="15" t="n"/>
      <c r="KMK92" s="15" t="n"/>
      <c r="KML92" s="248" t="n"/>
      <c r="KMM92" s="248" t="n"/>
      <c r="KMN92" s="240" t="n"/>
      <c r="KMO92" s="240" t="n"/>
      <c r="KMQ92" s="15" t="n"/>
      <c r="KMR92" s="15" t="n"/>
      <c r="KMS92" s="248" t="n"/>
      <c r="KMT92" s="248" t="n"/>
      <c r="KMU92" s="240" t="n"/>
      <c r="KMV92" s="240" t="n"/>
      <c r="KMX92" s="15" t="n"/>
      <c r="KMY92" s="15" t="n"/>
      <c r="KMZ92" s="248" t="n"/>
      <c r="KNA92" s="248" t="n"/>
      <c r="KNB92" s="240" t="n"/>
      <c r="KNC92" s="240" t="n"/>
      <c r="KNE92" s="15" t="n"/>
      <c r="KNF92" s="15" t="n"/>
      <c r="KNG92" s="248" t="n"/>
      <c r="KNH92" s="248" t="n"/>
      <c r="KNI92" s="240" t="n"/>
      <c r="KNJ92" s="240" t="n"/>
      <c r="KNL92" s="15" t="n"/>
      <c r="KNM92" s="15" t="n"/>
      <c r="KNN92" s="248" t="n"/>
      <c r="KNO92" s="248" t="n"/>
      <c r="KNP92" s="240" t="n"/>
      <c r="KNQ92" s="240" t="n"/>
      <c r="KNS92" s="15" t="n"/>
      <c r="KNT92" s="15" t="n"/>
      <c r="KNU92" s="248" t="n"/>
      <c r="KNV92" s="248" t="n"/>
      <c r="KNW92" s="240" t="n"/>
      <c r="KNX92" s="240" t="n"/>
      <c r="KNZ92" s="15" t="n"/>
      <c r="KOA92" s="15" t="n"/>
      <c r="KOB92" s="248" t="n"/>
      <c r="KOC92" s="248" t="n"/>
      <c r="KOD92" s="240" t="n"/>
      <c r="KOE92" s="240" t="n"/>
      <c r="KOG92" s="15" t="n"/>
      <c r="KOH92" s="15" t="n"/>
      <c r="KOI92" s="248" t="n"/>
      <c r="KOJ92" s="248" t="n"/>
      <c r="KOK92" s="240" t="n"/>
      <c r="KOL92" s="240" t="n"/>
      <c r="KON92" s="15" t="n"/>
      <c r="KOO92" s="15" t="n"/>
      <c r="KOP92" s="248" t="n"/>
      <c r="KOQ92" s="248" t="n"/>
      <c r="KOR92" s="240" t="n"/>
      <c r="KOS92" s="240" t="n"/>
      <c r="KOU92" s="15" t="n"/>
      <c r="KOV92" s="15" t="n"/>
      <c r="KOW92" s="248" t="n"/>
      <c r="KOX92" s="248" t="n"/>
      <c r="KOY92" s="240" t="n"/>
      <c r="KOZ92" s="240" t="n"/>
      <c r="KPB92" s="15" t="n"/>
      <c r="KPC92" s="15" t="n"/>
      <c r="KPD92" s="248" t="n"/>
      <c r="KPE92" s="248" t="n"/>
      <c r="KPF92" s="240" t="n"/>
      <c r="KPG92" s="240" t="n"/>
      <c r="KPI92" s="15" t="n"/>
      <c r="KPJ92" s="15" t="n"/>
      <c r="KPK92" s="248" t="n"/>
      <c r="KPL92" s="248" t="n"/>
      <c r="KPM92" s="240" t="n"/>
      <c r="KPN92" s="240" t="n"/>
      <c r="KPP92" s="15" t="n"/>
      <c r="KPQ92" s="15" t="n"/>
      <c r="KPR92" s="248" t="n"/>
      <c r="KPS92" s="248" t="n"/>
      <c r="KPT92" s="240" t="n"/>
      <c r="KPU92" s="240" t="n"/>
      <c r="KPW92" s="15" t="n"/>
      <c r="KPX92" s="15" t="n"/>
      <c r="KPY92" s="248" t="n"/>
      <c r="KPZ92" s="248" t="n"/>
      <c r="KQA92" s="240" t="n"/>
      <c r="KQB92" s="240" t="n"/>
      <c r="KQD92" s="15" t="n"/>
      <c r="KQE92" s="15" t="n"/>
      <c r="KQF92" s="248" t="n"/>
      <c r="KQG92" s="248" t="n"/>
      <c r="KQH92" s="240" t="n"/>
      <c r="KQI92" s="240" t="n"/>
      <c r="KQK92" s="15" t="n"/>
      <c r="KQL92" s="15" t="n"/>
      <c r="KQM92" s="248" t="n"/>
      <c r="KQN92" s="248" t="n"/>
      <c r="KQO92" s="240" t="n"/>
      <c r="KQP92" s="240" t="n"/>
      <c r="KQR92" s="15" t="n"/>
      <c r="KQS92" s="15" t="n"/>
      <c r="KQT92" s="248" t="n"/>
      <c r="KQU92" s="248" t="n"/>
      <c r="KQV92" s="240" t="n"/>
      <c r="KQW92" s="240" t="n"/>
      <c r="KQY92" s="15" t="n"/>
      <c r="KQZ92" s="15" t="n"/>
      <c r="KRA92" s="248" t="n"/>
      <c r="KRB92" s="248" t="n"/>
      <c r="KRC92" s="240" t="n"/>
      <c r="KRD92" s="240" t="n"/>
      <c r="KRF92" s="15" t="n"/>
      <c r="KRG92" s="15" t="n"/>
      <c r="KRH92" s="248" t="n"/>
      <c r="KRI92" s="248" t="n"/>
      <c r="KRJ92" s="240" t="n"/>
      <c r="KRK92" s="240" t="n"/>
      <c r="KRM92" s="15" t="n"/>
      <c r="KRN92" s="15" t="n"/>
      <c r="KRO92" s="248" t="n"/>
      <c r="KRP92" s="248" t="n"/>
      <c r="KRQ92" s="240" t="n"/>
      <c r="KRR92" s="240" t="n"/>
      <c r="KRT92" s="15" t="n"/>
      <c r="KRU92" s="15" t="n"/>
      <c r="KRV92" s="248" t="n"/>
      <c r="KRW92" s="248" t="n"/>
      <c r="KRX92" s="240" t="n"/>
      <c r="KRY92" s="240" t="n"/>
      <c r="KSA92" s="15" t="n"/>
      <c r="KSB92" s="15" t="n"/>
      <c r="KSC92" s="248" t="n"/>
      <c r="KSD92" s="248" t="n"/>
      <c r="KSE92" s="240" t="n"/>
      <c r="KSF92" s="240" t="n"/>
      <c r="KSH92" s="15" t="n"/>
      <c r="KSI92" s="15" t="n"/>
      <c r="KSJ92" s="248" t="n"/>
      <c r="KSK92" s="248" t="n"/>
      <c r="KSL92" s="240" t="n"/>
      <c r="KSM92" s="240" t="n"/>
      <c r="KSO92" s="15" t="n"/>
      <c r="KSP92" s="15" t="n"/>
      <c r="KSQ92" s="248" t="n"/>
      <c r="KSR92" s="248" t="n"/>
      <c r="KSS92" s="240" t="n"/>
      <c r="KST92" s="240" t="n"/>
      <c r="KSV92" s="15" t="n"/>
      <c r="KSW92" s="15" t="n"/>
      <c r="KSX92" s="248" t="n"/>
      <c r="KSY92" s="248" t="n"/>
      <c r="KSZ92" s="240" t="n"/>
      <c r="KTA92" s="240" t="n"/>
      <c r="KTC92" s="15" t="n"/>
      <c r="KTD92" s="15" t="n"/>
      <c r="KTE92" s="248" t="n"/>
      <c r="KTF92" s="248" t="n"/>
      <c r="KTG92" s="240" t="n"/>
      <c r="KTH92" s="240" t="n"/>
      <c r="KTJ92" s="15" t="n"/>
      <c r="KTK92" s="15" t="n"/>
      <c r="KTL92" s="248" t="n"/>
      <c r="KTM92" s="248" t="n"/>
      <c r="KTN92" s="240" t="n"/>
      <c r="KTO92" s="240" t="n"/>
      <c r="KTQ92" s="15" t="n"/>
      <c r="KTR92" s="15" t="n"/>
      <c r="KTS92" s="248" t="n"/>
      <c r="KTT92" s="248" t="n"/>
      <c r="KTU92" s="240" t="n"/>
      <c r="KTV92" s="240" t="n"/>
      <c r="KTX92" s="15" t="n"/>
      <c r="KTY92" s="15" t="n"/>
      <c r="KTZ92" s="248" t="n"/>
      <c r="KUA92" s="248" t="n"/>
      <c r="KUB92" s="240" t="n"/>
      <c r="KUC92" s="240" t="n"/>
      <c r="KUE92" s="15" t="n"/>
      <c r="KUF92" s="15" t="n"/>
      <c r="KUG92" s="248" t="n"/>
      <c r="KUH92" s="248" t="n"/>
      <c r="KUI92" s="240" t="n"/>
      <c r="KUJ92" s="240" t="n"/>
      <c r="KUL92" s="15" t="n"/>
      <c r="KUM92" s="15" t="n"/>
      <c r="KUN92" s="248" t="n"/>
      <c r="KUO92" s="248" t="n"/>
      <c r="KUP92" s="240" t="n"/>
      <c r="KUQ92" s="240" t="n"/>
      <c r="KUS92" s="15" t="n"/>
      <c r="KUT92" s="15" t="n"/>
      <c r="KUU92" s="248" t="n"/>
      <c r="KUV92" s="248" t="n"/>
      <c r="KUW92" s="240" t="n"/>
      <c r="KUX92" s="240" t="n"/>
      <c r="KUZ92" s="15" t="n"/>
      <c r="KVA92" s="15" t="n"/>
      <c r="KVB92" s="248" t="n"/>
      <c r="KVC92" s="248" t="n"/>
      <c r="KVD92" s="240" t="n"/>
      <c r="KVE92" s="240" t="n"/>
      <c r="KVG92" s="15" t="n"/>
      <c r="KVH92" s="15" t="n"/>
      <c r="KVI92" s="248" t="n"/>
      <c r="KVJ92" s="248" t="n"/>
      <c r="KVK92" s="240" t="n"/>
      <c r="KVL92" s="240" t="n"/>
      <c r="KVN92" s="15" t="n"/>
      <c r="KVO92" s="15" t="n"/>
      <c r="KVP92" s="248" t="n"/>
      <c r="KVQ92" s="248" t="n"/>
      <c r="KVR92" s="240" t="n"/>
      <c r="KVS92" s="240" t="n"/>
      <c r="KVU92" s="15" t="n"/>
      <c r="KVV92" s="15" t="n"/>
      <c r="KVW92" s="248" t="n"/>
      <c r="KVX92" s="248" t="n"/>
      <c r="KVY92" s="240" t="n"/>
      <c r="KVZ92" s="240" t="n"/>
      <c r="KWB92" s="15" t="n"/>
      <c r="KWC92" s="15" t="n"/>
      <c r="KWD92" s="248" t="n"/>
      <c r="KWE92" s="248" t="n"/>
      <c r="KWF92" s="240" t="n"/>
      <c r="KWG92" s="240" t="n"/>
      <c r="KWI92" s="15" t="n"/>
      <c r="KWJ92" s="15" t="n"/>
      <c r="KWK92" s="248" t="n"/>
      <c r="KWL92" s="248" t="n"/>
      <c r="KWM92" s="240" t="n"/>
      <c r="KWN92" s="240" t="n"/>
      <c r="KWP92" s="15" t="n"/>
      <c r="KWQ92" s="15" t="n"/>
      <c r="KWR92" s="248" t="n"/>
      <c r="KWS92" s="248" t="n"/>
      <c r="KWT92" s="240" t="n"/>
      <c r="KWU92" s="240" t="n"/>
      <c r="KWW92" s="15" t="n"/>
      <c r="KWX92" s="15" t="n"/>
      <c r="KWY92" s="248" t="n"/>
      <c r="KWZ92" s="248" t="n"/>
      <c r="KXA92" s="240" t="n"/>
      <c r="KXB92" s="240" t="n"/>
      <c r="KXD92" s="15" t="n"/>
      <c r="KXE92" s="15" t="n"/>
      <c r="KXF92" s="248" t="n"/>
      <c r="KXG92" s="248" t="n"/>
      <c r="KXH92" s="240" t="n"/>
      <c r="KXI92" s="240" t="n"/>
      <c r="KXK92" s="15" t="n"/>
      <c r="KXL92" s="15" t="n"/>
      <c r="KXM92" s="248" t="n"/>
      <c r="KXN92" s="248" t="n"/>
      <c r="KXO92" s="240" t="n"/>
      <c r="KXP92" s="240" t="n"/>
      <c r="KXR92" s="15" t="n"/>
      <c r="KXS92" s="15" t="n"/>
      <c r="KXT92" s="248" t="n"/>
      <c r="KXU92" s="248" t="n"/>
      <c r="KXV92" s="240" t="n"/>
      <c r="KXW92" s="240" t="n"/>
      <c r="KXY92" s="15" t="n"/>
      <c r="KXZ92" s="15" t="n"/>
      <c r="KYA92" s="248" t="n"/>
      <c r="KYB92" s="248" t="n"/>
      <c r="KYC92" s="240" t="n"/>
      <c r="KYD92" s="240" t="n"/>
      <c r="KYF92" s="15" t="n"/>
      <c r="KYG92" s="15" t="n"/>
      <c r="KYH92" s="248" t="n"/>
      <c r="KYI92" s="248" t="n"/>
      <c r="KYJ92" s="240" t="n"/>
      <c r="KYK92" s="240" t="n"/>
      <c r="KYM92" s="15" t="n"/>
      <c r="KYN92" s="15" t="n"/>
      <c r="KYO92" s="248" t="n"/>
      <c r="KYP92" s="248" t="n"/>
      <c r="KYQ92" s="240" t="n"/>
      <c r="KYR92" s="240" t="n"/>
      <c r="KYT92" s="15" t="n"/>
      <c r="KYU92" s="15" t="n"/>
      <c r="KYV92" s="248" t="n"/>
      <c r="KYW92" s="248" t="n"/>
      <c r="KYX92" s="240" t="n"/>
      <c r="KYY92" s="240" t="n"/>
      <c r="KZA92" s="15" t="n"/>
      <c r="KZB92" s="15" t="n"/>
      <c r="KZC92" s="248" t="n"/>
      <c r="KZD92" s="248" t="n"/>
      <c r="KZE92" s="240" t="n"/>
      <c r="KZF92" s="240" t="n"/>
      <c r="KZH92" s="15" t="n"/>
      <c r="KZI92" s="15" t="n"/>
      <c r="KZJ92" s="248" t="n"/>
      <c r="KZK92" s="248" t="n"/>
      <c r="KZL92" s="240" t="n"/>
      <c r="KZM92" s="240" t="n"/>
      <c r="KZO92" s="15" t="n"/>
      <c r="KZP92" s="15" t="n"/>
      <c r="KZQ92" s="248" t="n"/>
      <c r="KZR92" s="248" t="n"/>
      <c r="KZS92" s="240" t="n"/>
      <c r="KZT92" s="240" t="n"/>
      <c r="KZV92" s="15" t="n"/>
      <c r="KZW92" s="15" t="n"/>
      <c r="KZX92" s="248" t="n"/>
      <c r="KZY92" s="248" t="n"/>
      <c r="KZZ92" s="240" t="n"/>
      <c r="LAA92" s="240" t="n"/>
      <c r="LAC92" s="15" t="n"/>
      <c r="LAD92" s="15" t="n"/>
      <c r="LAE92" s="248" t="n"/>
      <c r="LAF92" s="248" t="n"/>
      <c r="LAG92" s="240" t="n"/>
      <c r="LAH92" s="240" t="n"/>
      <c r="LAJ92" s="15" t="n"/>
      <c r="LAK92" s="15" t="n"/>
      <c r="LAL92" s="248" t="n"/>
      <c r="LAM92" s="248" t="n"/>
      <c r="LAN92" s="240" t="n"/>
      <c r="LAO92" s="240" t="n"/>
      <c r="LAQ92" s="15" t="n"/>
      <c r="LAR92" s="15" t="n"/>
      <c r="LAS92" s="248" t="n"/>
      <c r="LAT92" s="248" t="n"/>
      <c r="LAU92" s="240" t="n"/>
      <c r="LAV92" s="240" t="n"/>
      <c r="LAX92" s="15" t="n"/>
      <c r="LAY92" s="15" t="n"/>
      <c r="LAZ92" s="248" t="n"/>
      <c r="LBA92" s="248" t="n"/>
      <c r="LBB92" s="240" t="n"/>
      <c r="LBC92" s="240" t="n"/>
      <c r="LBE92" s="15" t="n"/>
      <c r="LBF92" s="15" t="n"/>
      <c r="LBG92" s="248" t="n"/>
      <c r="LBH92" s="248" t="n"/>
      <c r="LBI92" s="240" t="n"/>
      <c r="LBJ92" s="240" t="n"/>
      <c r="LBL92" s="15" t="n"/>
      <c r="LBM92" s="15" t="n"/>
      <c r="LBN92" s="248" t="n"/>
      <c r="LBO92" s="248" t="n"/>
      <c r="LBP92" s="240" t="n"/>
      <c r="LBQ92" s="240" t="n"/>
      <c r="LBS92" s="15" t="n"/>
      <c r="LBT92" s="15" t="n"/>
      <c r="LBU92" s="248" t="n"/>
      <c r="LBV92" s="248" t="n"/>
      <c r="LBW92" s="240" t="n"/>
      <c r="LBX92" s="240" t="n"/>
      <c r="LBZ92" s="15" t="n"/>
      <c r="LCA92" s="15" t="n"/>
      <c r="LCB92" s="248" t="n"/>
      <c r="LCC92" s="248" t="n"/>
      <c r="LCD92" s="240" t="n"/>
      <c r="LCE92" s="240" t="n"/>
      <c r="LCG92" s="15" t="n"/>
      <c r="LCH92" s="15" t="n"/>
      <c r="LCI92" s="248" t="n"/>
      <c r="LCJ92" s="248" t="n"/>
      <c r="LCK92" s="240" t="n"/>
      <c r="LCL92" s="240" t="n"/>
      <c r="LCN92" s="15" t="n"/>
      <c r="LCO92" s="15" t="n"/>
      <c r="LCP92" s="248" t="n"/>
      <c r="LCQ92" s="248" t="n"/>
      <c r="LCR92" s="240" t="n"/>
      <c r="LCS92" s="240" t="n"/>
      <c r="LCU92" s="15" t="n"/>
      <c r="LCV92" s="15" t="n"/>
      <c r="LCW92" s="248" t="n"/>
      <c r="LCX92" s="248" t="n"/>
      <c r="LCY92" s="240" t="n"/>
      <c r="LCZ92" s="240" t="n"/>
      <c r="LDB92" s="15" t="n"/>
      <c r="LDC92" s="15" t="n"/>
      <c r="LDD92" s="248" t="n"/>
      <c r="LDE92" s="248" t="n"/>
      <c r="LDF92" s="240" t="n"/>
      <c r="LDG92" s="240" t="n"/>
      <c r="LDI92" s="15" t="n"/>
      <c r="LDJ92" s="15" t="n"/>
      <c r="LDK92" s="248" t="n"/>
      <c r="LDL92" s="248" t="n"/>
      <c r="LDM92" s="240" t="n"/>
      <c r="LDN92" s="240" t="n"/>
      <c r="LDP92" s="15" t="n"/>
      <c r="LDQ92" s="15" t="n"/>
      <c r="LDR92" s="248" t="n"/>
      <c r="LDS92" s="248" t="n"/>
      <c r="LDT92" s="240" t="n"/>
      <c r="LDU92" s="240" t="n"/>
      <c r="LDW92" s="15" t="n"/>
      <c r="LDX92" s="15" t="n"/>
      <c r="LDY92" s="248" t="n"/>
      <c r="LDZ92" s="248" t="n"/>
      <c r="LEA92" s="240" t="n"/>
      <c r="LEB92" s="240" t="n"/>
      <c r="LED92" s="15" t="n"/>
      <c r="LEE92" s="15" t="n"/>
      <c r="LEF92" s="248" t="n"/>
      <c r="LEG92" s="248" t="n"/>
      <c r="LEH92" s="240" t="n"/>
      <c r="LEI92" s="240" t="n"/>
      <c r="LEK92" s="15" t="n"/>
      <c r="LEL92" s="15" t="n"/>
      <c r="LEM92" s="248" t="n"/>
      <c r="LEN92" s="248" t="n"/>
      <c r="LEO92" s="240" t="n"/>
      <c r="LEP92" s="240" t="n"/>
      <c r="LER92" s="15" t="n"/>
      <c r="LES92" s="15" t="n"/>
      <c r="LET92" s="248" t="n"/>
      <c r="LEU92" s="248" t="n"/>
      <c r="LEV92" s="240" t="n"/>
      <c r="LEW92" s="240" t="n"/>
      <c r="LEY92" s="15" t="n"/>
      <c r="LEZ92" s="15" t="n"/>
      <c r="LFA92" s="248" t="n"/>
      <c r="LFB92" s="248" t="n"/>
      <c r="LFC92" s="240" t="n"/>
      <c r="LFD92" s="240" t="n"/>
      <c r="LFF92" s="15" t="n"/>
      <c r="LFG92" s="15" t="n"/>
      <c r="LFH92" s="248" t="n"/>
      <c r="LFI92" s="248" t="n"/>
      <c r="LFJ92" s="240" t="n"/>
      <c r="LFK92" s="240" t="n"/>
      <c r="LFM92" s="15" t="n"/>
      <c r="LFN92" s="15" t="n"/>
      <c r="LFO92" s="248" t="n"/>
      <c r="LFP92" s="248" t="n"/>
      <c r="LFQ92" s="240" t="n"/>
      <c r="LFR92" s="240" t="n"/>
      <c r="LFT92" s="15" t="n"/>
      <c r="LFU92" s="15" t="n"/>
      <c r="LFV92" s="248" t="n"/>
      <c r="LFW92" s="248" t="n"/>
      <c r="LFX92" s="240" t="n"/>
      <c r="LFY92" s="240" t="n"/>
      <c r="LGA92" s="15" t="n"/>
      <c r="LGB92" s="15" t="n"/>
      <c r="LGC92" s="248" t="n"/>
      <c r="LGD92" s="248" t="n"/>
      <c r="LGE92" s="240" t="n"/>
      <c r="LGF92" s="240" t="n"/>
      <c r="LGH92" s="15" t="n"/>
      <c r="LGI92" s="15" t="n"/>
      <c r="LGJ92" s="248" t="n"/>
      <c r="LGK92" s="248" t="n"/>
      <c r="LGL92" s="240" t="n"/>
      <c r="LGM92" s="240" t="n"/>
      <c r="LGO92" s="15" t="n"/>
      <c r="LGP92" s="15" t="n"/>
      <c r="LGQ92" s="248" t="n"/>
      <c r="LGR92" s="248" t="n"/>
      <c r="LGS92" s="240" t="n"/>
      <c r="LGT92" s="240" t="n"/>
      <c r="LGV92" s="15" t="n"/>
      <c r="LGW92" s="15" t="n"/>
      <c r="LGX92" s="248" t="n"/>
      <c r="LGY92" s="248" t="n"/>
      <c r="LGZ92" s="240" t="n"/>
      <c r="LHA92" s="240" t="n"/>
      <c r="LHC92" s="15" t="n"/>
      <c r="LHD92" s="15" t="n"/>
      <c r="LHE92" s="248" t="n"/>
      <c r="LHF92" s="248" t="n"/>
      <c r="LHG92" s="240" t="n"/>
      <c r="LHH92" s="240" t="n"/>
      <c r="LHJ92" s="15" t="n"/>
      <c r="LHK92" s="15" t="n"/>
      <c r="LHL92" s="248" t="n"/>
      <c r="LHM92" s="248" t="n"/>
      <c r="LHN92" s="240" t="n"/>
      <c r="LHO92" s="240" t="n"/>
      <c r="LHQ92" s="15" t="n"/>
      <c r="LHR92" s="15" t="n"/>
      <c r="LHS92" s="248" t="n"/>
      <c r="LHT92" s="248" t="n"/>
      <c r="LHU92" s="240" t="n"/>
      <c r="LHV92" s="240" t="n"/>
      <c r="LHX92" s="15" t="n"/>
      <c r="LHY92" s="15" t="n"/>
      <c r="LHZ92" s="248" t="n"/>
      <c r="LIA92" s="248" t="n"/>
      <c r="LIB92" s="240" t="n"/>
      <c r="LIC92" s="240" t="n"/>
      <c r="LIE92" s="15" t="n"/>
      <c r="LIF92" s="15" t="n"/>
      <c r="LIG92" s="248" t="n"/>
      <c r="LIH92" s="248" t="n"/>
      <c r="LII92" s="240" t="n"/>
      <c r="LIJ92" s="240" t="n"/>
      <c r="LIL92" s="15" t="n"/>
      <c r="LIM92" s="15" t="n"/>
      <c r="LIN92" s="248" t="n"/>
      <c r="LIO92" s="248" t="n"/>
      <c r="LIP92" s="240" t="n"/>
      <c r="LIQ92" s="240" t="n"/>
      <c r="LIS92" s="15" t="n"/>
      <c r="LIT92" s="15" t="n"/>
      <c r="LIU92" s="248" t="n"/>
      <c r="LIV92" s="248" t="n"/>
      <c r="LIW92" s="240" t="n"/>
      <c r="LIX92" s="240" t="n"/>
      <c r="LIZ92" s="15" t="n"/>
      <c r="LJA92" s="15" t="n"/>
      <c r="LJB92" s="248" t="n"/>
      <c r="LJC92" s="248" t="n"/>
      <c r="LJD92" s="240" t="n"/>
      <c r="LJE92" s="240" t="n"/>
      <c r="LJG92" s="15" t="n"/>
      <c r="LJH92" s="15" t="n"/>
      <c r="LJI92" s="248" t="n"/>
      <c r="LJJ92" s="248" t="n"/>
      <c r="LJK92" s="240" t="n"/>
      <c r="LJL92" s="240" t="n"/>
      <c r="LJN92" s="15" t="n"/>
      <c r="LJO92" s="15" t="n"/>
      <c r="LJP92" s="248" t="n"/>
      <c r="LJQ92" s="248" t="n"/>
      <c r="LJR92" s="240" t="n"/>
      <c r="LJS92" s="240" t="n"/>
      <c r="LJU92" s="15" t="n"/>
      <c r="LJV92" s="15" t="n"/>
      <c r="LJW92" s="248" t="n"/>
      <c r="LJX92" s="248" t="n"/>
      <c r="LJY92" s="240" t="n"/>
      <c r="LJZ92" s="240" t="n"/>
      <c r="LKB92" s="15" t="n"/>
      <c r="LKC92" s="15" t="n"/>
      <c r="LKD92" s="248" t="n"/>
      <c r="LKE92" s="248" t="n"/>
      <c r="LKF92" s="240" t="n"/>
      <c r="LKG92" s="240" t="n"/>
      <c r="LKI92" s="15" t="n"/>
      <c r="LKJ92" s="15" t="n"/>
      <c r="LKK92" s="248" t="n"/>
      <c r="LKL92" s="248" t="n"/>
      <c r="LKM92" s="240" t="n"/>
      <c r="LKN92" s="240" t="n"/>
      <c r="LKP92" s="15" t="n"/>
      <c r="LKQ92" s="15" t="n"/>
      <c r="LKR92" s="248" t="n"/>
      <c r="LKS92" s="248" t="n"/>
      <c r="LKT92" s="240" t="n"/>
      <c r="LKU92" s="240" t="n"/>
      <c r="LKW92" s="15" t="n"/>
      <c r="LKX92" s="15" t="n"/>
      <c r="LKY92" s="248" t="n"/>
      <c r="LKZ92" s="248" t="n"/>
      <c r="LLA92" s="240" t="n"/>
      <c r="LLB92" s="240" t="n"/>
      <c r="LLD92" s="15" t="n"/>
      <c r="LLE92" s="15" t="n"/>
      <c r="LLF92" s="248" t="n"/>
      <c r="LLG92" s="248" t="n"/>
      <c r="LLH92" s="240" t="n"/>
      <c r="LLI92" s="240" t="n"/>
      <c r="LLK92" s="15" t="n"/>
      <c r="LLL92" s="15" t="n"/>
      <c r="LLM92" s="248" t="n"/>
      <c r="LLN92" s="248" t="n"/>
      <c r="LLO92" s="240" t="n"/>
      <c r="LLP92" s="240" t="n"/>
      <c r="LLR92" s="15" t="n"/>
      <c r="LLS92" s="15" t="n"/>
      <c r="LLT92" s="248" t="n"/>
      <c r="LLU92" s="248" t="n"/>
      <c r="LLV92" s="240" t="n"/>
      <c r="LLW92" s="240" t="n"/>
      <c r="LLY92" s="15" t="n"/>
      <c r="LLZ92" s="15" t="n"/>
      <c r="LMA92" s="248" t="n"/>
      <c r="LMB92" s="248" t="n"/>
      <c r="LMC92" s="240" t="n"/>
      <c r="LMD92" s="240" t="n"/>
      <c r="LMF92" s="15" t="n"/>
      <c r="LMG92" s="15" t="n"/>
      <c r="LMH92" s="248" t="n"/>
      <c r="LMI92" s="248" t="n"/>
      <c r="LMJ92" s="240" t="n"/>
      <c r="LMK92" s="240" t="n"/>
      <c r="LMM92" s="15" t="n"/>
      <c r="LMN92" s="15" t="n"/>
      <c r="LMO92" s="248" t="n"/>
      <c r="LMP92" s="248" t="n"/>
      <c r="LMQ92" s="240" t="n"/>
      <c r="LMR92" s="240" t="n"/>
      <c r="LMT92" s="15" t="n"/>
      <c r="LMU92" s="15" t="n"/>
      <c r="LMV92" s="248" t="n"/>
      <c r="LMW92" s="248" t="n"/>
      <c r="LMX92" s="240" t="n"/>
      <c r="LMY92" s="240" t="n"/>
      <c r="LNA92" s="15" t="n"/>
      <c r="LNB92" s="15" t="n"/>
      <c r="LNC92" s="248" t="n"/>
      <c r="LND92" s="248" t="n"/>
      <c r="LNE92" s="240" t="n"/>
      <c r="LNF92" s="240" t="n"/>
      <c r="LNH92" s="15" t="n"/>
      <c r="LNI92" s="15" t="n"/>
      <c r="LNJ92" s="248" t="n"/>
      <c r="LNK92" s="248" t="n"/>
      <c r="LNL92" s="240" t="n"/>
      <c r="LNM92" s="240" t="n"/>
      <c r="LNO92" s="15" t="n"/>
      <c r="LNP92" s="15" t="n"/>
      <c r="LNQ92" s="248" t="n"/>
      <c r="LNR92" s="248" t="n"/>
      <c r="LNS92" s="240" t="n"/>
      <c r="LNT92" s="240" t="n"/>
      <c r="LNV92" s="15" t="n"/>
      <c r="LNW92" s="15" t="n"/>
      <c r="LNX92" s="248" t="n"/>
      <c r="LNY92" s="248" t="n"/>
      <c r="LNZ92" s="240" t="n"/>
      <c r="LOA92" s="240" t="n"/>
      <c r="LOC92" s="15" t="n"/>
      <c r="LOD92" s="15" t="n"/>
      <c r="LOE92" s="248" t="n"/>
      <c r="LOF92" s="248" t="n"/>
      <c r="LOG92" s="240" t="n"/>
      <c r="LOH92" s="240" t="n"/>
      <c r="LOJ92" s="15" t="n"/>
      <c r="LOK92" s="15" t="n"/>
      <c r="LOL92" s="248" t="n"/>
      <c r="LOM92" s="248" t="n"/>
      <c r="LON92" s="240" t="n"/>
      <c r="LOO92" s="240" t="n"/>
      <c r="LOQ92" s="15" t="n"/>
      <c r="LOR92" s="15" t="n"/>
      <c r="LOS92" s="248" t="n"/>
      <c r="LOT92" s="248" t="n"/>
      <c r="LOU92" s="240" t="n"/>
      <c r="LOV92" s="240" t="n"/>
      <c r="LOX92" s="15" t="n"/>
      <c r="LOY92" s="15" t="n"/>
      <c r="LOZ92" s="248" t="n"/>
      <c r="LPA92" s="248" t="n"/>
      <c r="LPB92" s="240" t="n"/>
      <c r="LPC92" s="240" t="n"/>
      <c r="LPE92" s="15" t="n"/>
      <c r="LPF92" s="15" t="n"/>
      <c r="LPG92" s="248" t="n"/>
      <c r="LPH92" s="248" t="n"/>
      <c r="LPI92" s="240" t="n"/>
      <c r="LPJ92" s="240" t="n"/>
      <c r="LPL92" s="15" t="n"/>
      <c r="LPM92" s="15" t="n"/>
      <c r="LPN92" s="248" t="n"/>
      <c r="LPO92" s="248" t="n"/>
      <c r="LPP92" s="240" t="n"/>
      <c r="LPQ92" s="240" t="n"/>
      <c r="LPS92" s="15" t="n"/>
      <c r="LPT92" s="15" t="n"/>
      <c r="LPU92" s="248" t="n"/>
      <c r="LPV92" s="248" t="n"/>
      <c r="LPW92" s="240" t="n"/>
      <c r="LPX92" s="240" t="n"/>
      <c r="LPZ92" s="15" t="n"/>
      <c r="LQA92" s="15" t="n"/>
      <c r="LQB92" s="248" t="n"/>
      <c r="LQC92" s="248" t="n"/>
      <c r="LQD92" s="240" t="n"/>
      <c r="LQE92" s="240" t="n"/>
      <c r="LQG92" s="15" t="n"/>
      <c r="LQH92" s="15" t="n"/>
      <c r="LQI92" s="248" t="n"/>
      <c r="LQJ92" s="248" t="n"/>
      <c r="LQK92" s="240" t="n"/>
      <c r="LQL92" s="240" t="n"/>
      <c r="LQN92" s="15" t="n"/>
      <c r="LQO92" s="15" t="n"/>
      <c r="LQP92" s="248" t="n"/>
      <c r="LQQ92" s="248" t="n"/>
      <c r="LQR92" s="240" t="n"/>
      <c r="LQS92" s="240" t="n"/>
      <c r="LQU92" s="15" t="n"/>
      <c r="LQV92" s="15" t="n"/>
      <c r="LQW92" s="248" t="n"/>
      <c r="LQX92" s="248" t="n"/>
      <c r="LQY92" s="240" t="n"/>
      <c r="LQZ92" s="240" t="n"/>
      <c r="LRB92" s="15" t="n"/>
      <c r="LRC92" s="15" t="n"/>
      <c r="LRD92" s="248" t="n"/>
      <c r="LRE92" s="248" t="n"/>
      <c r="LRF92" s="240" t="n"/>
      <c r="LRG92" s="240" t="n"/>
      <c r="LRI92" s="15" t="n"/>
      <c r="LRJ92" s="15" t="n"/>
      <c r="LRK92" s="248" t="n"/>
      <c r="LRL92" s="248" t="n"/>
      <c r="LRM92" s="240" t="n"/>
      <c r="LRN92" s="240" t="n"/>
      <c r="LRP92" s="15" t="n"/>
      <c r="LRQ92" s="15" t="n"/>
      <c r="LRR92" s="248" t="n"/>
      <c r="LRS92" s="248" t="n"/>
      <c r="LRT92" s="240" t="n"/>
      <c r="LRU92" s="240" t="n"/>
      <c r="LRW92" s="15" t="n"/>
      <c r="LRX92" s="15" t="n"/>
      <c r="LRY92" s="248" t="n"/>
      <c r="LRZ92" s="248" t="n"/>
      <c r="LSA92" s="240" t="n"/>
      <c r="LSB92" s="240" t="n"/>
      <c r="LSD92" s="15" t="n"/>
      <c r="LSE92" s="15" t="n"/>
      <c r="LSF92" s="248" t="n"/>
      <c r="LSG92" s="248" t="n"/>
      <c r="LSH92" s="240" t="n"/>
      <c r="LSI92" s="240" t="n"/>
      <c r="LSK92" s="15" t="n"/>
      <c r="LSL92" s="15" t="n"/>
      <c r="LSM92" s="248" t="n"/>
      <c r="LSN92" s="248" t="n"/>
      <c r="LSO92" s="240" t="n"/>
      <c r="LSP92" s="240" t="n"/>
      <c r="LSR92" s="15" t="n"/>
      <c r="LSS92" s="15" t="n"/>
      <c r="LST92" s="248" t="n"/>
      <c r="LSU92" s="248" t="n"/>
      <c r="LSV92" s="240" t="n"/>
      <c r="LSW92" s="240" t="n"/>
      <c r="LSY92" s="15" t="n"/>
      <c r="LSZ92" s="15" t="n"/>
      <c r="LTA92" s="248" t="n"/>
      <c r="LTB92" s="248" t="n"/>
      <c r="LTC92" s="240" t="n"/>
      <c r="LTD92" s="240" t="n"/>
      <c r="LTF92" s="15" t="n"/>
      <c r="LTG92" s="15" t="n"/>
      <c r="LTH92" s="248" t="n"/>
      <c r="LTI92" s="248" t="n"/>
      <c r="LTJ92" s="240" t="n"/>
      <c r="LTK92" s="240" t="n"/>
      <c r="LTM92" s="15" t="n"/>
      <c r="LTN92" s="15" t="n"/>
      <c r="LTO92" s="248" t="n"/>
      <c r="LTP92" s="248" t="n"/>
      <c r="LTQ92" s="240" t="n"/>
      <c r="LTR92" s="240" t="n"/>
      <c r="LTT92" s="15" t="n"/>
      <c r="LTU92" s="15" t="n"/>
      <c r="LTV92" s="248" t="n"/>
      <c r="LTW92" s="248" t="n"/>
      <c r="LTX92" s="240" t="n"/>
      <c r="LTY92" s="240" t="n"/>
      <c r="LUA92" s="15" t="n"/>
      <c r="LUB92" s="15" t="n"/>
      <c r="LUC92" s="248" t="n"/>
      <c r="LUD92" s="248" t="n"/>
      <c r="LUE92" s="240" t="n"/>
      <c r="LUF92" s="240" t="n"/>
      <c r="LUH92" s="15" t="n"/>
      <c r="LUI92" s="15" t="n"/>
      <c r="LUJ92" s="248" t="n"/>
      <c r="LUK92" s="248" t="n"/>
      <c r="LUL92" s="240" t="n"/>
      <c r="LUM92" s="240" t="n"/>
      <c r="LUO92" s="15" t="n"/>
      <c r="LUP92" s="15" t="n"/>
      <c r="LUQ92" s="248" t="n"/>
      <c r="LUR92" s="248" t="n"/>
      <c r="LUS92" s="240" t="n"/>
      <c r="LUT92" s="240" t="n"/>
      <c r="LUV92" s="15" t="n"/>
      <c r="LUW92" s="15" t="n"/>
      <c r="LUX92" s="248" t="n"/>
      <c r="LUY92" s="248" t="n"/>
      <c r="LUZ92" s="240" t="n"/>
      <c r="LVA92" s="240" t="n"/>
      <c r="LVC92" s="15" t="n"/>
      <c r="LVD92" s="15" t="n"/>
      <c r="LVE92" s="248" t="n"/>
      <c r="LVF92" s="248" t="n"/>
      <c r="LVG92" s="240" t="n"/>
      <c r="LVH92" s="240" t="n"/>
      <c r="LVJ92" s="15" t="n"/>
      <c r="LVK92" s="15" t="n"/>
      <c r="LVL92" s="248" t="n"/>
      <c r="LVM92" s="248" t="n"/>
      <c r="LVN92" s="240" t="n"/>
      <c r="LVO92" s="240" t="n"/>
      <c r="LVQ92" s="15" t="n"/>
      <c r="LVR92" s="15" t="n"/>
      <c r="LVS92" s="248" t="n"/>
      <c r="LVT92" s="248" t="n"/>
      <c r="LVU92" s="240" t="n"/>
      <c r="LVV92" s="240" t="n"/>
      <c r="LVX92" s="15" t="n"/>
      <c r="LVY92" s="15" t="n"/>
      <c r="LVZ92" s="248" t="n"/>
      <c r="LWA92" s="248" t="n"/>
      <c r="LWB92" s="240" t="n"/>
      <c r="LWC92" s="240" t="n"/>
      <c r="LWE92" s="15" t="n"/>
      <c r="LWF92" s="15" t="n"/>
      <c r="LWG92" s="248" t="n"/>
      <c r="LWH92" s="248" t="n"/>
      <c r="LWI92" s="240" t="n"/>
      <c r="LWJ92" s="240" t="n"/>
      <c r="LWL92" s="15" t="n"/>
      <c r="LWM92" s="15" t="n"/>
      <c r="LWN92" s="248" t="n"/>
      <c r="LWO92" s="248" t="n"/>
      <c r="LWP92" s="240" t="n"/>
      <c r="LWQ92" s="240" t="n"/>
      <c r="LWS92" s="15" t="n"/>
      <c r="LWT92" s="15" t="n"/>
      <c r="LWU92" s="248" t="n"/>
      <c r="LWV92" s="248" t="n"/>
      <c r="LWW92" s="240" t="n"/>
      <c r="LWX92" s="240" t="n"/>
      <c r="LWZ92" s="15" t="n"/>
      <c r="LXA92" s="15" t="n"/>
      <c r="LXB92" s="248" t="n"/>
      <c r="LXC92" s="248" t="n"/>
      <c r="LXD92" s="240" t="n"/>
      <c r="LXE92" s="240" t="n"/>
      <c r="LXG92" s="15" t="n"/>
      <c r="LXH92" s="15" t="n"/>
      <c r="LXI92" s="248" t="n"/>
      <c r="LXJ92" s="248" t="n"/>
      <c r="LXK92" s="240" t="n"/>
      <c r="LXL92" s="240" t="n"/>
      <c r="LXN92" s="15" t="n"/>
      <c r="LXO92" s="15" t="n"/>
      <c r="LXP92" s="248" t="n"/>
      <c r="LXQ92" s="248" t="n"/>
      <c r="LXR92" s="240" t="n"/>
      <c r="LXS92" s="240" t="n"/>
      <c r="LXU92" s="15" t="n"/>
      <c r="LXV92" s="15" t="n"/>
      <c r="LXW92" s="248" t="n"/>
      <c r="LXX92" s="248" t="n"/>
      <c r="LXY92" s="240" t="n"/>
      <c r="LXZ92" s="240" t="n"/>
      <c r="LYB92" s="15" t="n"/>
      <c r="LYC92" s="15" t="n"/>
      <c r="LYD92" s="248" t="n"/>
      <c r="LYE92" s="248" t="n"/>
      <c r="LYF92" s="240" t="n"/>
      <c r="LYG92" s="240" t="n"/>
      <c r="LYI92" s="15" t="n"/>
      <c r="LYJ92" s="15" t="n"/>
      <c r="LYK92" s="248" t="n"/>
      <c r="LYL92" s="248" t="n"/>
      <c r="LYM92" s="240" t="n"/>
      <c r="LYN92" s="240" t="n"/>
      <c r="LYP92" s="15" t="n"/>
      <c r="LYQ92" s="15" t="n"/>
      <c r="LYR92" s="248" t="n"/>
      <c r="LYS92" s="248" t="n"/>
      <c r="LYT92" s="240" t="n"/>
      <c r="LYU92" s="240" t="n"/>
      <c r="LYW92" s="15" t="n"/>
      <c r="LYX92" s="15" t="n"/>
      <c r="LYY92" s="248" t="n"/>
      <c r="LYZ92" s="248" t="n"/>
      <c r="LZA92" s="240" t="n"/>
      <c r="LZB92" s="240" t="n"/>
      <c r="LZD92" s="15" t="n"/>
      <c r="LZE92" s="15" t="n"/>
      <c r="LZF92" s="248" t="n"/>
      <c r="LZG92" s="248" t="n"/>
      <c r="LZH92" s="240" t="n"/>
      <c r="LZI92" s="240" t="n"/>
      <c r="LZK92" s="15" t="n"/>
      <c r="LZL92" s="15" t="n"/>
      <c r="LZM92" s="248" t="n"/>
      <c r="LZN92" s="248" t="n"/>
      <c r="LZO92" s="240" t="n"/>
      <c r="LZP92" s="240" t="n"/>
      <c r="LZR92" s="15" t="n"/>
      <c r="LZS92" s="15" t="n"/>
      <c r="LZT92" s="248" t="n"/>
      <c r="LZU92" s="248" t="n"/>
      <c r="LZV92" s="240" t="n"/>
      <c r="LZW92" s="240" t="n"/>
      <c r="LZY92" s="15" t="n"/>
      <c r="LZZ92" s="15" t="n"/>
      <c r="MAA92" s="248" t="n"/>
      <c r="MAB92" s="248" t="n"/>
      <c r="MAC92" s="240" t="n"/>
      <c r="MAD92" s="240" t="n"/>
      <c r="MAF92" s="15" t="n"/>
      <c r="MAG92" s="15" t="n"/>
      <c r="MAH92" s="248" t="n"/>
      <c r="MAI92" s="248" t="n"/>
      <c r="MAJ92" s="240" t="n"/>
      <c r="MAK92" s="240" t="n"/>
      <c r="MAM92" s="15" t="n"/>
      <c r="MAN92" s="15" t="n"/>
      <c r="MAO92" s="248" t="n"/>
      <c r="MAP92" s="248" t="n"/>
      <c r="MAQ92" s="240" t="n"/>
      <c r="MAR92" s="240" t="n"/>
      <c r="MAT92" s="15" t="n"/>
      <c r="MAU92" s="15" t="n"/>
      <c r="MAV92" s="248" t="n"/>
      <c r="MAW92" s="248" t="n"/>
      <c r="MAX92" s="240" t="n"/>
      <c r="MAY92" s="240" t="n"/>
      <c r="MBA92" s="15" t="n"/>
      <c r="MBB92" s="15" t="n"/>
      <c r="MBC92" s="248" t="n"/>
      <c r="MBD92" s="248" t="n"/>
      <c r="MBE92" s="240" t="n"/>
      <c r="MBF92" s="240" t="n"/>
      <c r="MBH92" s="15" t="n"/>
      <c r="MBI92" s="15" t="n"/>
      <c r="MBJ92" s="248" t="n"/>
      <c r="MBK92" s="248" t="n"/>
      <c r="MBL92" s="240" t="n"/>
      <c r="MBM92" s="240" t="n"/>
      <c r="MBO92" s="15" t="n"/>
      <c r="MBP92" s="15" t="n"/>
      <c r="MBQ92" s="248" t="n"/>
      <c r="MBR92" s="248" t="n"/>
      <c r="MBS92" s="240" t="n"/>
      <c r="MBT92" s="240" t="n"/>
      <c r="MBV92" s="15" t="n"/>
      <c r="MBW92" s="15" t="n"/>
      <c r="MBX92" s="248" t="n"/>
      <c r="MBY92" s="248" t="n"/>
      <c r="MBZ92" s="240" t="n"/>
      <c r="MCA92" s="240" t="n"/>
      <c r="MCC92" s="15" t="n"/>
      <c r="MCD92" s="15" t="n"/>
      <c r="MCE92" s="248" t="n"/>
      <c r="MCF92" s="248" t="n"/>
      <c r="MCG92" s="240" t="n"/>
      <c r="MCH92" s="240" t="n"/>
      <c r="MCJ92" s="15" t="n"/>
      <c r="MCK92" s="15" t="n"/>
      <c r="MCL92" s="248" t="n"/>
      <c r="MCM92" s="248" t="n"/>
      <c r="MCN92" s="240" t="n"/>
      <c r="MCO92" s="240" t="n"/>
      <c r="MCQ92" s="15" t="n"/>
      <c r="MCR92" s="15" t="n"/>
      <c r="MCS92" s="248" t="n"/>
      <c r="MCT92" s="248" t="n"/>
      <c r="MCU92" s="240" t="n"/>
      <c r="MCV92" s="240" t="n"/>
      <c r="MCX92" s="15" t="n"/>
      <c r="MCY92" s="15" t="n"/>
      <c r="MCZ92" s="248" t="n"/>
      <c r="MDA92" s="248" t="n"/>
      <c r="MDB92" s="240" t="n"/>
      <c r="MDC92" s="240" t="n"/>
      <c r="MDE92" s="15" t="n"/>
      <c r="MDF92" s="15" t="n"/>
      <c r="MDG92" s="248" t="n"/>
      <c r="MDH92" s="248" t="n"/>
      <c r="MDI92" s="240" t="n"/>
      <c r="MDJ92" s="240" t="n"/>
      <c r="MDL92" s="15" t="n"/>
      <c r="MDM92" s="15" t="n"/>
      <c r="MDN92" s="248" t="n"/>
      <c r="MDO92" s="248" t="n"/>
      <c r="MDP92" s="240" t="n"/>
      <c r="MDQ92" s="240" t="n"/>
      <c r="MDS92" s="15" t="n"/>
      <c r="MDT92" s="15" t="n"/>
      <c r="MDU92" s="248" t="n"/>
      <c r="MDV92" s="248" t="n"/>
      <c r="MDW92" s="240" t="n"/>
      <c r="MDX92" s="240" t="n"/>
      <c r="MDZ92" s="15" t="n"/>
      <c r="MEA92" s="15" t="n"/>
      <c r="MEB92" s="248" t="n"/>
      <c r="MEC92" s="248" t="n"/>
      <c r="MED92" s="240" t="n"/>
      <c r="MEE92" s="240" t="n"/>
      <c r="MEG92" s="15" t="n"/>
      <c r="MEH92" s="15" t="n"/>
      <c r="MEI92" s="248" t="n"/>
      <c r="MEJ92" s="248" t="n"/>
      <c r="MEK92" s="240" t="n"/>
      <c r="MEL92" s="240" t="n"/>
      <c r="MEN92" s="15" t="n"/>
      <c r="MEO92" s="15" t="n"/>
      <c r="MEP92" s="248" t="n"/>
      <c r="MEQ92" s="248" t="n"/>
      <c r="MER92" s="240" t="n"/>
      <c r="MES92" s="240" t="n"/>
      <c r="MEU92" s="15" t="n"/>
      <c r="MEV92" s="15" t="n"/>
      <c r="MEW92" s="248" t="n"/>
      <c r="MEX92" s="248" t="n"/>
      <c r="MEY92" s="240" t="n"/>
      <c r="MEZ92" s="240" t="n"/>
      <c r="MFB92" s="15" t="n"/>
      <c r="MFC92" s="15" t="n"/>
      <c r="MFD92" s="248" t="n"/>
      <c r="MFE92" s="248" t="n"/>
      <c r="MFF92" s="240" t="n"/>
      <c r="MFG92" s="240" t="n"/>
      <c r="MFI92" s="15" t="n"/>
      <c r="MFJ92" s="15" t="n"/>
      <c r="MFK92" s="248" t="n"/>
      <c r="MFL92" s="248" t="n"/>
      <c r="MFM92" s="240" t="n"/>
      <c r="MFN92" s="240" t="n"/>
      <c r="MFP92" s="15" t="n"/>
      <c r="MFQ92" s="15" t="n"/>
      <c r="MFR92" s="248" t="n"/>
      <c r="MFS92" s="248" t="n"/>
      <c r="MFT92" s="240" t="n"/>
      <c r="MFU92" s="240" t="n"/>
      <c r="MFW92" s="15" t="n"/>
      <c r="MFX92" s="15" t="n"/>
      <c r="MFY92" s="248" t="n"/>
      <c r="MFZ92" s="248" t="n"/>
      <c r="MGA92" s="240" t="n"/>
      <c r="MGB92" s="240" t="n"/>
      <c r="MGD92" s="15" t="n"/>
      <c r="MGE92" s="15" t="n"/>
      <c r="MGF92" s="248" t="n"/>
      <c r="MGG92" s="248" t="n"/>
      <c r="MGH92" s="240" t="n"/>
      <c r="MGI92" s="240" t="n"/>
      <c r="MGK92" s="15" t="n"/>
      <c r="MGL92" s="15" t="n"/>
      <c r="MGM92" s="248" t="n"/>
      <c r="MGN92" s="248" t="n"/>
      <c r="MGO92" s="240" t="n"/>
      <c r="MGP92" s="240" t="n"/>
      <c r="MGR92" s="15" t="n"/>
      <c r="MGS92" s="15" t="n"/>
      <c r="MGT92" s="248" t="n"/>
      <c r="MGU92" s="248" t="n"/>
      <c r="MGV92" s="240" t="n"/>
      <c r="MGW92" s="240" t="n"/>
      <c r="MGY92" s="15" t="n"/>
      <c r="MGZ92" s="15" t="n"/>
      <c r="MHA92" s="248" t="n"/>
      <c r="MHB92" s="248" t="n"/>
      <c r="MHC92" s="240" t="n"/>
      <c r="MHD92" s="240" t="n"/>
      <c r="MHF92" s="15" t="n"/>
      <c r="MHG92" s="15" t="n"/>
      <c r="MHH92" s="248" t="n"/>
      <c r="MHI92" s="248" t="n"/>
      <c r="MHJ92" s="240" t="n"/>
      <c r="MHK92" s="240" t="n"/>
      <c r="MHM92" s="15" t="n"/>
      <c r="MHN92" s="15" t="n"/>
      <c r="MHO92" s="248" t="n"/>
      <c r="MHP92" s="248" t="n"/>
      <c r="MHQ92" s="240" t="n"/>
      <c r="MHR92" s="240" t="n"/>
      <c r="MHT92" s="15" t="n"/>
      <c r="MHU92" s="15" t="n"/>
      <c r="MHV92" s="248" t="n"/>
      <c r="MHW92" s="248" t="n"/>
      <c r="MHX92" s="240" t="n"/>
      <c r="MHY92" s="240" t="n"/>
      <c r="MIA92" s="15" t="n"/>
      <c r="MIB92" s="15" t="n"/>
      <c r="MIC92" s="248" t="n"/>
      <c r="MID92" s="248" t="n"/>
      <c r="MIE92" s="240" t="n"/>
      <c r="MIF92" s="240" t="n"/>
      <c r="MIH92" s="15" t="n"/>
      <c r="MII92" s="15" t="n"/>
      <c r="MIJ92" s="248" t="n"/>
      <c r="MIK92" s="248" t="n"/>
      <c r="MIL92" s="240" t="n"/>
      <c r="MIM92" s="240" t="n"/>
      <c r="MIO92" s="15" t="n"/>
      <c r="MIP92" s="15" t="n"/>
      <c r="MIQ92" s="248" t="n"/>
      <c r="MIR92" s="248" t="n"/>
      <c r="MIS92" s="240" t="n"/>
      <c r="MIT92" s="240" t="n"/>
      <c r="MIV92" s="15" t="n"/>
      <c r="MIW92" s="15" t="n"/>
      <c r="MIX92" s="248" t="n"/>
      <c r="MIY92" s="248" t="n"/>
      <c r="MIZ92" s="240" t="n"/>
      <c r="MJA92" s="240" t="n"/>
      <c r="MJC92" s="15" t="n"/>
      <c r="MJD92" s="15" t="n"/>
      <c r="MJE92" s="248" t="n"/>
      <c r="MJF92" s="248" t="n"/>
      <c r="MJG92" s="240" t="n"/>
      <c r="MJH92" s="240" t="n"/>
      <c r="MJJ92" s="15" t="n"/>
      <c r="MJK92" s="15" t="n"/>
      <c r="MJL92" s="248" t="n"/>
      <c r="MJM92" s="248" t="n"/>
      <c r="MJN92" s="240" t="n"/>
      <c r="MJO92" s="240" t="n"/>
      <c r="MJQ92" s="15" t="n"/>
      <c r="MJR92" s="15" t="n"/>
      <c r="MJS92" s="248" t="n"/>
      <c r="MJT92" s="248" t="n"/>
      <c r="MJU92" s="240" t="n"/>
      <c r="MJV92" s="240" t="n"/>
      <c r="MJX92" s="15" t="n"/>
      <c r="MJY92" s="15" t="n"/>
      <c r="MJZ92" s="248" t="n"/>
      <c r="MKA92" s="248" t="n"/>
      <c r="MKB92" s="240" t="n"/>
      <c r="MKC92" s="240" t="n"/>
      <c r="MKE92" s="15" t="n"/>
      <c r="MKF92" s="15" t="n"/>
      <c r="MKG92" s="248" t="n"/>
      <c r="MKH92" s="248" t="n"/>
      <c r="MKI92" s="240" t="n"/>
      <c r="MKJ92" s="240" t="n"/>
      <c r="MKL92" s="15" t="n"/>
      <c r="MKM92" s="15" t="n"/>
      <c r="MKN92" s="248" t="n"/>
      <c r="MKO92" s="248" t="n"/>
      <c r="MKP92" s="240" t="n"/>
      <c r="MKQ92" s="240" t="n"/>
      <c r="MKS92" s="15" t="n"/>
      <c r="MKT92" s="15" t="n"/>
      <c r="MKU92" s="248" t="n"/>
      <c r="MKV92" s="248" t="n"/>
      <c r="MKW92" s="240" t="n"/>
      <c r="MKX92" s="240" t="n"/>
      <c r="MKZ92" s="15" t="n"/>
      <c r="MLA92" s="15" t="n"/>
      <c r="MLB92" s="248" t="n"/>
      <c r="MLC92" s="248" t="n"/>
      <c r="MLD92" s="240" t="n"/>
      <c r="MLE92" s="240" t="n"/>
      <c r="MLG92" s="15" t="n"/>
      <c r="MLH92" s="15" t="n"/>
      <c r="MLI92" s="248" t="n"/>
      <c r="MLJ92" s="248" t="n"/>
      <c r="MLK92" s="240" t="n"/>
      <c r="MLL92" s="240" t="n"/>
      <c r="MLN92" s="15" t="n"/>
      <c r="MLO92" s="15" t="n"/>
      <c r="MLP92" s="248" t="n"/>
      <c r="MLQ92" s="248" t="n"/>
      <c r="MLR92" s="240" t="n"/>
      <c r="MLS92" s="240" t="n"/>
      <c r="MLU92" s="15" t="n"/>
      <c r="MLV92" s="15" t="n"/>
      <c r="MLW92" s="248" t="n"/>
      <c r="MLX92" s="248" t="n"/>
      <c r="MLY92" s="240" t="n"/>
      <c r="MLZ92" s="240" t="n"/>
      <c r="MMB92" s="15" t="n"/>
      <c r="MMC92" s="15" t="n"/>
      <c r="MMD92" s="248" t="n"/>
      <c r="MME92" s="248" t="n"/>
      <c r="MMF92" s="240" t="n"/>
      <c r="MMG92" s="240" t="n"/>
      <c r="MMI92" s="15" t="n"/>
      <c r="MMJ92" s="15" t="n"/>
      <c r="MMK92" s="248" t="n"/>
      <c r="MML92" s="248" t="n"/>
      <c r="MMM92" s="240" t="n"/>
      <c r="MMN92" s="240" t="n"/>
      <c r="MMP92" s="15" t="n"/>
      <c r="MMQ92" s="15" t="n"/>
      <c r="MMR92" s="248" t="n"/>
      <c r="MMS92" s="248" t="n"/>
      <c r="MMT92" s="240" t="n"/>
      <c r="MMU92" s="240" t="n"/>
      <c r="MMW92" s="15" t="n"/>
      <c r="MMX92" s="15" t="n"/>
      <c r="MMY92" s="248" t="n"/>
      <c r="MMZ92" s="248" t="n"/>
      <c r="MNA92" s="240" t="n"/>
      <c r="MNB92" s="240" t="n"/>
      <c r="MND92" s="15" t="n"/>
      <c r="MNE92" s="15" t="n"/>
      <c r="MNF92" s="248" t="n"/>
      <c r="MNG92" s="248" t="n"/>
      <c r="MNH92" s="240" t="n"/>
      <c r="MNI92" s="240" t="n"/>
      <c r="MNK92" s="15" t="n"/>
      <c r="MNL92" s="15" t="n"/>
      <c r="MNM92" s="248" t="n"/>
      <c r="MNN92" s="248" t="n"/>
      <c r="MNO92" s="240" t="n"/>
      <c r="MNP92" s="240" t="n"/>
      <c r="MNR92" s="15" t="n"/>
      <c r="MNS92" s="15" t="n"/>
      <c r="MNT92" s="248" t="n"/>
      <c r="MNU92" s="248" t="n"/>
      <c r="MNV92" s="240" t="n"/>
      <c r="MNW92" s="240" t="n"/>
      <c r="MNY92" s="15" t="n"/>
      <c r="MNZ92" s="15" t="n"/>
      <c r="MOA92" s="248" t="n"/>
      <c r="MOB92" s="248" t="n"/>
      <c r="MOC92" s="240" t="n"/>
      <c r="MOD92" s="240" t="n"/>
      <c r="MOF92" s="15" t="n"/>
      <c r="MOG92" s="15" t="n"/>
      <c r="MOH92" s="248" t="n"/>
      <c r="MOI92" s="248" t="n"/>
      <c r="MOJ92" s="240" t="n"/>
      <c r="MOK92" s="240" t="n"/>
      <c r="MOM92" s="15" t="n"/>
      <c r="MON92" s="15" t="n"/>
      <c r="MOO92" s="248" t="n"/>
      <c r="MOP92" s="248" t="n"/>
      <c r="MOQ92" s="240" t="n"/>
      <c r="MOR92" s="240" t="n"/>
      <c r="MOT92" s="15" t="n"/>
      <c r="MOU92" s="15" t="n"/>
      <c r="MOV92" s="248" t="n"/>
      <c r="MOW92" s="248" t="n"/>
      <c r="MOX92" s="240" t="n"/>
      <c r="MOY92" s="240" t="n"/>
      <c r="MPA92" s="15" t="n"/>
      <c r="MPB92" s="15" t="n"/>
      <c r="MPC92" s="248" t="n"/>
      <c r="MPD92" s="248" t="n"/>
      <c r="MPE92" s="240" t="n"/>
      <c r="MPF92" s="240" t="n"/>
      <c r="MPH92" s="15" t="n"/>
      <c r="MPI92" s="15" t="n"/>
      <c r="MPJ92" s="248" t="n"/>
      <c r="MPK92" s="248" t="n"/>
      <c r="MPL92" s="240" t="n"/>
      <c r="MPM92" s="240" t="n"/>
      <c r="MPO92" s="15" t="n"/>
      <c r="MPP92" s="15" t="n"/>
      <c r="MPQ92" s="248" t="n"/>
      <c r="MPR92" s="248" t="n"/>
      <c r="MPS92" s="240" t="n"/>
      <c r="MPT92" s="240" t="n"/>
      <c r="MPV92" s="15" t="n"/>
      <c r="MPW92" s="15" t="n"/>
      <c r="MPX92" s="248" t="n"/>
      <c r="MPY92" s="248" t="n"/>
      <c r="MPZ92" s="240" t="n"/>
      <c r="MQA92" s="240" t="n"/>
      <c r="MQC92" s="15" t="n"/>
      <c r="MQD92" s="15" t="n"/>
      <c r="MQE92" s="248" t="n"/>
      <c r="MQF92" s="248" t="n"/>
      <c r="MQG92" s="240" t="n"/>
      <c r="MQH92" s="240" t="n"/>
      <c r="MQJ92" s="15" t="n"/>
      <c r="MQK92" s="15" t="n"/>
      <c r="MQL92" s="248" t="n"/>
      <c r="MQM92" s="248" t="n"/>
      <c r="MQN92" s="240" t="n"/>
      <c r="MQO92" s="240" t="n"/>
      <c r="MQQ92" s="15" t="n"/>
      <c r="MQR92" s="15" t="n"/>
      <c r="MQS92" s="248" t="n"/>
      <c r="MQT92" s="248" t="n"/>
      <c r="MQU92" s="240" t="n"/>
      <c r="MQV92" s="240" t="n"/>
      <c r="MQX92" s="15" t="n"/>
      <c r="MQY92" s="15" t="n"/>
      <c r="MQZ92" s="248" t="n"/>
      <c r="MRA92" s="248" t="n"/>
      <c r="MRB92" s="240" t="n"/>
      <c r="MRC92" s="240" t="n"/>
      <c r="MRE92" s="15" t="n"/>
      <c r="MRF92" s="15" t="n"/>
      <c r="MRG92" s="248" t="n"/>
      <c r="MRH92" s="248" t="n"/>
      <c r="MRI92" s="240" t="n"/>
      <c r="MRJ92" s="240" t="n"/>
      <c r="MRL92" s="15" t="n"/>
      <c r="MRM92" s="15" t="n"/>
      <c r="MRN92" s="248" t="n"/>
      <c r="MRO92" s="248" t="n"/>
      <c r="MRP92" s="240" t="n"/>
      <c r="MRQ92" s="240" t="n"/>
      <c r="MRS92" s="15" t="n"/>
      <c r="MRT92" s="15" t="n"/>
      <c r="MRU92" s="248" t="n"/>
      <c r="MRV92" s="248" t="n"/>
      <c r="MRW92" s="240" t="n"/>
      <c r="MRX92" s="240" t="n"/>
      <c r="MRZ92" s="15" t="n"/>
      <c r="MSA92" s="15" t="n"/>
      <c r="MSB92" s="248" t="n"/>
      <c r="MSC92" s="248" t="n"/>
      <c r="MSD92" s="240" t="n"/>
      <c r="MSE92" s="240" t="n"/>
      <c r="MSG92" s="15" t="n"/>
      <c r="MSH92" s="15" t="n"/>
      <c r="MSI92" s="248" t="n"/>
      <c r="MSJ92" s="248" t="n"/>
      <c r="MSK92" s="240" t="n"/>
      <c r="MSL92" s="240" t="n"/>
      <c r="MSN92" s="15" t="n"/>
      <c r="MSO92" s="15" t="n"/>
      <c r="MSP92" s="248" t="n"/>
      <c r="MSQ92" s="248" t="n"/>
      <c r="MSR92" s="240" t="n"/>
      <c r="MSS92" s="240" t="n"/>
      <c r="MSU92" s="15" t="n"/>
      <c r="MSV92" s="15" t="n"/>
      <c r="MSW92" s="248" t="n"/>
      <c r="MSX92" s="248" t="n"/>
      <c r="MSY92" s="240" t="n"/>
      <c r="MSZ92" s="240" t="n"/>
      <c r="MTB92" s="15" t="n"/>
      <c r="MTC92" s="15" t="n"/>
      <c r="MTD92" s="248" t="n"/>
      <c r="MTE92" s="248" t="n"/>
      <c r="MTF92" s="240" t="n"/>
      <c r="MTG92" s="240" t="n"/>
      <c r="MTI92" s="15" t="n"/>
      <c r="MTJ92" s="15" t="n"/>
      <c r="MTK92" s="248" t="n"/>
      <c r="MTL92" s="248" t="n"/>
      <c r="MTM92" s="240" t="n"/>
      <c r="MTN92" s="240" t="n"/>
      <c r="MTP92" s="15" t="n"/>
      <c r="MTQ92" s="15" t="n"/>
      <c r="MTR92" s="248" t="n"/>
      <c r="MTS92" s="248" t="n"/>
      <c r="MTT92" s="240" t="n"/>
      <c r="MTU92" s="240" t="n"/>
      <c r="MTW92" s="15" t="n"/>
      <c r="MTX92" s="15" t="n"/>
      <c r="MTY92" s="248" t="n"/>
      <c r="MTZ92" s="248" t="n"/>
      <c r="MUA92" s="240" t="n"/>
      <c r="MUB92" s="240" t="n"/>
      <c r="MUD92" s="15" t="n"/>
      <c r="MUE92" s="15" t="n"/>
      <c r="MUF92" s="248" t="n"/>
      <c r="MUG92" s="248" t="n"/>
      <c r="MUH92" s="240" t="n"/>
      <c r="MUI92" s="240" t="n"/>
      <c r="MUK92" s="15" t="n"/>
      <c r="MUL92" s="15" t="n"/>
      <c r="MUM92" s="248" t="n"/>
      <c r="MUN92" s="248" t="n"/>
      <c r="MUO92" s="240" t="n"/>
      <c r="MUP92" s="240" t="n"/>
      <c r="MUR92" s="15" t="n"/>
      <c r="MUS92" s="15" t="n"/>
      <c r="MUT92" s="248" t="n"/>
      <c r="MUU92" s="248" t="n"/>
      <c r="MUV92" s="240" t="n"/>
      <c r="MUW92" s="240" t="n"/>
      <c r="MUY92" s="15" t="n"/>
      <c r="MUZ92" s="15" t="n"/>
      <c r="MVA92" s="248" t="n"/>
      <c r="MVB92" s="248" t="n"/>
      <c r="MVC92" s="240" t="n"/>
      <c r="MVD92" s="240" t="n"/>
      <c r="MVF92" s="15" t="n"/>
      <c r="MVG92" s="15" t="n"/>
      <c r="MVH92" s="248" t="n"/>
      <c r="MVI92" s="248" t="n"/>
      <c r="MVJ92" s="240" t="n"/>
      <c r="MVK92" s="240" t="n"/>
      <c r="MVM92" s="15" t="n"/>
      <c r="MVN92" s="15" t="n"/>
      <c r="MVO92" s="248" t="n"/>
      <c r="MVP92" s="248" t="n"/>
      <c r="MVQ92" s="240" t="n"/>
      <c r="MVR92" s="240" t="n"/>
      <c r="MVT92" s="15" t="n"/>
      <c r="MVU92" s="15" t="n"/>
      <c r="MVV92" s="248" t="n"/>
      <c r="MVW92" s="248" t="n"/>
      <c r="MVX92" s="240" t="n"/>
      <c r="MVY92" s="240" t="n"/>
      <c r="MWA92" s="15" t="n"/>
      <c r="MWB92" s="15" t="n"/>
      <c r="MWC92" s="248" t="n"/>
      <c r="MWD92" s="248" t="n"/>
      <c r="MWE92" s="240" t="n"/>
      <c r="MWF92" s="240" t="n"/>
      <c r="MWH92" s="15" t="n"/>
      <c r="MWI92" s="15" t="n"/>
      <c r="MWJ92" s="248" t="n"/>
      <c r="MWK92" s="248" t="n"/>
      <c r="MWL92" s="240" t="n"/>
      <c r="MWM92" s="240" t="n"/>
      <c r="MWO92" s="15" t="n"/>
      <c r="MWP92" s="15" t="n"/>
      <c r="MWQ92" s="248" t="n"/>
      <c r="MWR92" s="248" t="n"/>
      <c r="MWS92" s="240" t="n"/>
      <c r="MWT92" s="240" t="n"/>
      <c r="MWV92" s="15" t="n"/>
      <c r="MWW92" s="15" t="n"/>
      <c r="MWX92" s="248" t="n"/>
      <c r="MWY92" s="248" t="n"/>
      <c r="MWZ92" s="240" t="n"/>
      <c r="MXA92" s="240" t="n"/>
      <c r="MXC92" s="15" t="n"/>
      <c r="MXD92" s="15" t="n"/>
      <c r="MXE92" s="248" t="n"/>
      <c r="MXF92" s="248" t="n"/>
      <c r="MXG92" s="240" t="n"/>
      <c r="MXH92" s="240" t="n"/>
      <c r="MXJ92" s="15" t="n"/>
      <c r="MXK92" s="15" t="n"/>
      <c r="MXL92" s="248" t="n"/>
      <c r="MXM92" s="248" t="n"/>
      <c r="MXN92" s="240" t="n"/>
      <c r="MXO92" s="240" t="n"/>
      <c r="MXQ92" s="15" t="n"/>
      <c r="MXR92" s="15" t="n"/>
      <c r="MXS92" s="248" t="n"/>
      <c r="MXT92" s="248" t="n"/>
      <c r="MXU92" s="240" t="n"/>
      <c r="MXV92" s="240" t="n"/>
      <c r="MXX92" s="15" t="n"/>
      <c r="MXY92" s="15" t="n"/>
      <c r="MXZ92" s="248" t="n"/>
      <c r="MYA92" s="248" t="n"/>
      <c r="MYB92" s="240" t="n"/>
      <c r="MYC92" s="240" t="n"/>
      <c r="MYE92" s="15" t="n"/>
      <c r="MYF92" s="15" t="n"/>
      <c r="MYG92" s="248" t="n"/>
      <c r="MYH92" s="248" t="n"/>
      <c r="MYI92" s="240" t="n"/>
      <c r="MYJ92" s="240" t="n"/>
      <c r="MYL92" s="15" t="n"/>
      <c r="MYM92" s="15" t="n"/>
      <c r="MYN92" s="248" t="n"/>
      <c r="MYO92" s="248" t="n"/>
      <c r="MYP92" s="240" t="n"/>
      <c r="MYQ92" s="240" t="n"/>
      <c r="MYS92" s="15" t="n"/>
      <c r="MYT92" s="15" t="n"/>
      <c r="MYU92" s="248" t="n"/>
      <c r="MYV92" s="248" t="n"/>
      <c r="MYW92" s="240" t="n"/>
      <c r="MYX92" s="240" t="n"/>
      <c r="MYZ92" s="15" t="n"/>
      <c r="MZA92" s="15" t="n"/>
      <c r="MZB92" s="248" t="n"/>
      <c r="MZC92" s="248" t="n"/>
      <c r="MZD92" s="240" t="n"/>
      <c r="MZE92" s="240" t="n"/>
      <c r="MZG92" s="15" t="n"/>
      <c r="MZH92" s="15" t="n"/>
      <c r="MZI92" s="248" t="n"/>
      <c r="MZJ92" s="248" t="n"/>
      <c r="MZK92" s="240" t="n"/>
      <c r="MZL92" s="240" t="n"/>
      <c r="MZN92" s="15" t="n"/>
      <c r="MZO92" s="15" t="n"/>
      <c r="MZP92" s="248" t="n"/>
      <c r="MZQ92" s="248" t="n"/>
      <c r="MZR92" s="240" t="n"/>
      <c r="MZS92" s="240" t="n"/>
      <c r="MZU92" s="15" t="n"/>
      <c r="MZV92" s="15" t="n"/>
      <c r="MZW92" s="248" t="n"/>
      <c r="MZX92" s="248" t="n"/>
      <c r="MZY92" s="240" t="n"/>
      <c r="MZZ92" s="240" t="n"/>
      <c r="NAB92" s="15" t="n"/>
      <c r="NAC92" s="15" t="n"/>
      <c r="NAD92" s="248" t="n"/>
      <c r="NAE92" s="248" t="n"/>
      <c r="NAF92" s="240" t="n"/>
      <c r="NAG92" s="240" t="n"/>
      <c r="NAI92" s="15" t="n"/>
      <c r="NAJ92" s="15" t="n"/>
      <c r="NAK92" s="248" t="n"/>
      <c r="NAL92" s="248" t="n"/>
      <c r="NAM92" s="240" t="n"/>
      <c r="NAN92" s="240" t="n"/>
      <c r="NAP92" s="15" t="n"/>
      <c r="NAQ92" s="15" t="n"/>
      <c r="NAR92" s="248" t="n"/>
      <c r="NAS92" s="248" t="n"/>
      <c r="NAT92" s="240" t="n"/>
      <c r="NAU92" s="240" t="n"/>
      <c r="NAW92" s="15" t="n"/>
      <c r="NAX92" s="15" t="n"/>
      <c r="NAY92" s="248" t="n"/>
      <c r="NAZ92" s="248" t="n"/>
      <c r="NBA92" s="240" t="n"/>
      <c r="NBB92" s="240" t="n"/>
      <c r="NBD92" s="15" t="n"/>
      <c r="NBE92" s="15" t="n"/>
      <c r="NBF92" s="248" t="n"/>
      <c r="NBG92" s="248" t="n"/>
      <c r="NBH92" s="240" t="n"/>
      <c r="NBI92" s="240" t="n"/>
      <c r="NBK92" s="15" t="n"/>
      <c r="NBL92" s="15" t="n"/>
      <c r="NBM92" s="248" t="n"/>
      <c r="NBN92" s="248" t="n"/>
      <c r="NBO92" s="240" t="n"/>
      <c r="NBP92" s="240" t="n"/>
      <c r="NBR92" s="15" t="n"/>
      <c r="NBS92" s="15" t="n"/>
      <c r="NBT92" s="248" t="n"/>
      <c r="NBU92" s="248" t="n"/>
      <c r="NBV92" s="240" t="n"/>
      <c r="NBW92" s="240" t="n"/>
      <c r="NBY92" s="15" t="n"/>
      <c r="NBZ92" s="15" t="n"/>
      <c r="NCA92" s="248" t="n"/>
      <c r="NCB92" s="248" t="n"/>
      <c r="NCC92" s="240" t="n"/>
      <c r="NCD92" s="240" t="n"/>
      <c r="NCF92" s="15" t="n"/>
      <c r="NCG92" s="15" t="n"/>
      <c r="NCH92" s="248" t="n"/>
      <c r="NCI92" s="248" t="n"/>
      <c r="NCJ92" s="240" t="n"/>
      <c r="NCK92" s="240" t="n"/>
      <c r="NCM92" s="15" t="n"/>
      <c r="NCN92" s="15" t="n"/>
      <c r="NCO92" s="248" t="n"/>
      <c r="NCP92" s="248" t="n"/>
      <c r="NCQ92" s="240" t="n"/>
      <c r="NCR92" s="240" t="n"/>
      <c r="NCT92" s="15" t="n"/>
      <c r="NCU92" s="15" t="n"/>
      <c r="NCV92" s="248" t="n"/>
      <c r="NCW92" s="248" t="n"/>
      <c r="NCX92" s="240" t="n"/>
      <c r="NCY92" s="240" t="n"/>
      <c r="NDA92" s="15" t="n"/>
      <c r="NDB92" s="15" t="n"/>
      <c r="NDC92" s="248" t="n"/>
      <c r="NDD92" s="248" t="n"/>
      <c r="NDE92" s="240" t="n"/>
      <c r="NDF92" s="240" t="n"/>
      <c r="NDH92" s="15" t="n"/>
      <c r="NDI92" s="15" t="n"/>
      <c r="NDJ92" s="248" t="n"/>
      <c r="NDK92" s="248" t="n"/>
      <c r="NDL92" s="240" t="n"/>
      <c r="NDM92" s="240" t="n"/>
      <c r="NDO92" s="15" t="n"/>
      <c r="NDP92" s="15" t="n"/>
      <c r="NDQ92" s="248" t="n"/>
      <c r="NDR92" s="248" t="n"/>
      <c r="NDS92" s="240" t="n"/>
      <c r="NDT92" s="240" t="n"/>
      <c r="NDV92" s="15" t="n"/>
      <c r="NDW92" s="15" t="n"/>
      <c r="NDX92" s="248" t="n"/>
      <c r="NDY92" s="248" t="n"/>
      <c r="NDZ92" s="240" t="n"/>
      <c r="NEA92" s="240" t="n"/>
      <c r="NEC92" s="15" t="n"/>
      <c r="NED92" s="15" t="n"/>
      <c r="NEE92" s="248" t="n"/>
      <c r="NEF92" s="248" t="n"/>
      <c r="NEG92" s="240" t="n"/>
      <c r="NEH92" s="240" t="n"/>
      <c r="NEJ92" s="15" t="n"/>
      <c r="NEK92" s="15" t="n"/>
      <c r="NEL92" s="248" t="n"/>
      <c r="NEM92" s="248" t="n"/>
      <c r="NEN92" s="240" t="n"/>
      <c r="NEO92" s="240" t="n"/>
      <c r="NEQ92" s="15" t="n"/>
      <c r="NER92" s="15" t="n"/>
      <c r="NES92" s="248" t="n"/>
      <c r="NET92" s="248" t="n"/>
      <c r="NEU92" s="240" t="n"/>
      <c r="NEV92" s="240" t="n"/>
      <c r="NEX92" s="15" t="n"/>
      <c r="NEY92" s="15" t="n"/>
      <c r="NEZ92" s="248" t="n"/>
      <c r="NFA92" s="248" t="n"/>
      <c r="NFB92" s="240" t="n"/>
      <c r="NFC92" s="240" t="n"/>
      <c r="NFE92" s="15" t="n"/>
      <c r="NFF92" s="15" t="n"/>
      <c r="NFG92" s="248" t="n"/>
      <c r="NFH92" s="248" t="n"/>
      <c r="NFI92" s="240" t="n"/>
      <c r="NFJ92" s="240" t="n"/>
      <c r="NFL92" s="15" t="n"/>
      <c r="NFM92" s="15" t="n"/>
      <c r="NFN92" s="248" t="n"/>
      <c r="NFO92" s="248" t="n"/>
      <c r="NFP92" s="240" t="n"/>
      <c r="NFQ92" s="240" t="n"/>
      <c r="NFS92" s="15" t="n"/>
      <c r="NFT92" s="15" t="n"/>
      <c r="NFU92" s="248" t="n"/>
      <c r="NFV92" s="248" t="n"/>
      <c r="NFW92" s="240" t="n"/>
      <c r="NFX92" s="240" t="n"/>
      <c r="NFZ92" s="15" t="n"/>
      <c r="NGA92" s="15" t="n"/>
      <c r="NGB92" s="248" t="n"/>
      <c r="NGC92" s="248" t="n"/>
      <c r="NGD92" s="240" t="n"/>
      <c r="NGE92" s="240" t="n"/>
      <c r="NGG92" s="15" t="n"/>
      <c r="NGH92" s="15" t="n"/>
      <c r="NGI92" s="248" t="n"/>
      <c r="NGJ92" s="248" t="n"/>
      <c r="NGK92" s="240" t="n"/>
      <c r="NGL92" s="240" t="n"/>
      <c r="NGN92" s="15" t="n"/>
      <c r="NGO92" s="15" t="n"/>
      <c r="NGP92" s="248" t="n"/>
      <c r="NGQ92" s="248" t="n"/>
      <c r="NGR92" s="240" t="n"/>
      <c r="NGS92" s="240" t="n"/>
      <c r="NGU92" s="15" t="n"/>
      <c r="NGV92" s="15" t="n"/>
      <c r="NGW92" s="248" t="n"/>
      <c r="NGX92" s="248" t="n"/>
      <c r="NGY92" s="240" t="n"/>
      <c r="NGZ92" s="240" t="n"/>
      <c r="NHB92" s="15" t="n"/>
      <c r="NHC92" s="15" t="n"/>
      <c r="NHD92" s="248" t="n"/>
      <c r="NHE92" s="248" t="n"/>
      <c r="NHF92" s="240" t="n"/>
      <c r="NHG92" s="240" t="n"/>
      <c r="NHI92" s="15" t="n"/>
      <c r="NHJ92" s="15" t="n"/>
      <c r="NHK92" s="248" t="n"/>
      <c r="NHL92" s="248" t="n"/>
      <c r="NHM92" s="240" t="n"/>
      <c r="NHN92" s="240" t="n"/>
      <c r="NHP92" s="15" t="n"/>
      <c r="NHQ92" s="15" t="n"/>
      <c r="NHR92" s="248" t="n"/>
      <c r="NHS92" s="248" t="n"/>
      <c r="NHT92" s="240" t="n"/>
      <c r="NHU92" s="240" t="n"/>
      <c r="NHW92" s="15" t="n"/>
      <c r="NHX92" s="15" t="n"/>
      <c r="NHY92" s="248" t="n"/>
      <c r="NHZ92" s="248" t="n"/>
      <c r="NIA92" s="240" t="n"/>
      <c r="NIB92" s="240" t="n"/>
      <c r="NID92" s="15" t="n"/>
      <c r="NIE92" s="15" t="n"/>
      <c r="NIF92" s="248" t="n"/>
      <c r="NIG92" s="248" t="n"/>
      <c r="NIH92" s="240" t="n"/>
      <c r="NII92" s="240" t="n"/>
      <c r="NIK92" s="15" t="n"/>
      <c r="NIL92" s="15" t="n"/>
      <c r="NIM92" s="248" t="n"/>
      <c r="NIN92" s="248" t="n"/>
      <c r="NIO92" s="240" t="n"/>
      <c r="NIP92" s="240" t="n"/>
      <c r="NIR92" s="15" t="n"/>
      <c r="NIS92" s="15" t="n"/>
      <c r="NIT92" s="248" t="n"/>
      <c r="NIU92" s="248" t="n"/>
      <c r="NIV92" s="240" t="n"/>
      <c r="NIW92" s="240" t="n"/>
      <c r="NIY92" s="15" t="n"/>
      <c r="NIZ92" s="15" t="n"/>
      <c r="NJA92" s="248" t="n"/>
      <c r="NJB92" s="248" t="n"/>
      <c r="NJC92" s="240" t="n"/>
      <c r="NJD92" s="240" t="n"/>
      <c r="NJF92" s="15" t="n"/>
      <c r="NJG92" s="15" t="n"/>
      <c r="NJH92" s="248" t="n"/>
      <c r="NJI92" s="248" t="n"/>
      <c r="NJJ92" s="240" t="n"/>
      <c r="NJK92" s="240" t="n"/>
      <c r="NJM92" s="15" t="n"/>
      <c r="NJN92" s="15" t="n"/>
      <c r="NJO92" s="248" t="n"/>
      <c r="NJP92" s="248" t="n"/>
      <c r="NJQ92" s="240" t="n"/>
      <c r="NJR92" s="240" t="n"/>
      <c r="NJT92" s="15" t="n"/>
      <c r="NJU92" s="15" t="n"/>
      <c r="NJV92" s="248" t="n"/>
      <c r="NJW92" s="248" t="n"/>
      <c r="NJX92" s="240" t="n"/>
      <c r="NJY92" s="240" t="n"/>
      <c r="NKA92" s="15" t="n"/>
      <c r="NKB92" s="15" t="n"/>
      <c r="NKC92" s="248" t="n"/>
      <c r="NKD92" s="248" t="n"/>
      <c r="NKE92" s="240" t="n"/>
      <c r="NKF92" s="240" t="n"/>
      <c r="NKH92" s="15" t="n"/>
      <c r="NKI92" s="15" t="n"/>
      <c r="NKJ92" s="248" t="n"/>
      <c r="NKK92" s="248" t="n"/>
      <c r="NKL92" s="240" t="n"/>
      <c r="NKM92" s="240" t="n"/>
      <c r="NKO92" s="15" t="n"/>
      <c r="NKP92" s="15" t="n"/>
      <c r="NKQ92" s="248" t="n"/>
      <c r="NKR92" s="248" t="n"/>
      <c r="NKS92" s="240" t="n"/>
      <c r="NKT92" s="240" t="n"/>
      <c r="NKV92" s="15" t="n"/>
      <c r="NKW92" s="15" t="n"/>
      <c r="NKX92" s="248" t="n"/>
      <c r="NKY92" s="248" t="n"/>
      <c r="NKZ92" s="240" t="n"/>
      <c r="NLA92" s="240" t="n"/>
      <c r="NLC92" s="15" t="n"/>
      <c r="NLD92" s="15" t="n"/>
      <c r="NLE92" s="248" t="n"/>
      <c r="NLF92" s="248" t="n"/>
      <c r="NLG92" s="240" t="n"/>
      <c r="NLH92" s="240" t="n"/>
      <c r="NLJ92" s="15" t="n"/>
      <c r="NLK92" s="15" t="n"/>
      <c r="NLL92" s="248" t="n"/>
      <c r="NLM92" s="248" t="n"/>
      <c r="NLN92" s="240" t="n"/>
      <c r="NLO92" s="240" t="n"/>
      <c r="NLQ92" s="15" t="n"/>
      <c r="NLR92" s="15" t="n"/>
      <c r="NLS92" s="248" t="n"/>
      <c r="NLT92" s="248" t="n"/>
      <c r="NLU92" s="240" t="n"/>
      <c r="NLV92" s="240" t="n"/>
      <c r="NLX92" s="15" t="n"/>
      <c r="NLY92" s="15" t="n"/>
      <c r="NLZ92" s="248" t="n"/>
      <c r="NMA92" s="248" t="n"/>
      <c r="NMB92" s="240" t="n"/>
      <c r="NMC92" s="240" t="n"/>
      <c r="NME92" s="15" t="n"/>
      <c r="NMF92" s="15" t="n"/>
      <c r="NMG92" s="248" t="n"/>
      <c r="NMH92" s="248" t="n"/>
      <c r="NMI92" s="240" t="n"/>
      <c r="NMJ92" s="240" t="n"/>
      <c r="NML92" s="15" t="n"/>
      <c r="NMM92" s="15" t="n"/>
      <c r="NMN92" s="248" t="n"/>
      <c r="NMO92" s="248" t="n"/>
      <c r="NMP92" s="240" t="n"/>
      <c r="NMQ92" s="240" t="n"/>
      <c r="NMS92" s="15" t="n"/>
      <c r="NMT92" s="15" t="n"/>
      <c r="NMU92" s="248" t="n"/>
      <c r="NMV92" s="248" t="n"/>
      <c r="NMW92" s="240" t="n"/>
      <c r="NMX92" s="240" t="n"/>
      <c r="NMZ92" s="15" t="n"/>
      <c r="NNA92" s="15" t="n"/>
      <c r="NNB92" s="248" t="n"/>
      <c r="NNC92" s="248" t="n"/>
      <c r="NND92" s="240" t="n"/>
      <c r="NNE92" s="240" t="n"/>
      <c r="NNG92" s="15" t="n"/>
      <c r="NNH92" s="15" t="n"/>
      <c r="NNI92" s="248" t="n"/>
      <c r="NNJ92" s="248" t="n"/>
      <c r="NNK92" s="240" t="n"/>
      <c r="NNL92" s="240" t="n"/>
      <c r="NNN92" s="15" t="n"/>
      <c r="NNO92" s="15" t="n"/>
      <c r="NNP92" s="248" t="n"/>
      <c r="NNQ92" s="248" t="n"/>
      <c r="NNR92" s="240" t="n"/>
      <c r="NNS92" s="240" t="n"/>
      <c r="NNU92" s="15" t="n"/>
      <c r="NNV92" s="15" t="n"/>
      <c r="NNW92" s="248" t="n"/>
      <c r="NNX92" s="248" t="n"/>
      <c r="NNY92" s="240" t="n"/>
      <c r="NNZ92" s="240" t="n"/>
      <c r="NOB92" s="15" t="n"/>
      <c r="NOC92" s="15" t="n"/>
      <c r="NOD92" s="248" t="n"/>
      <c r="NOE92" s="248" t="n"/>
      <c r="NOF92" s="240" t="n"/>
      <c r="NOG92" s="240" t="n"/>
      <c r="NOI92" s="15" t="n"/>
      <c r="NOJ92" s="15" t="n"/>
      <c r="NOK92" s="248" t="n"/>
      <c r="NOL92" s="248" t="n"/>
      <c r="NOM92" s="240" t="n"/>
      <c r="NON92" s="240" t="n"/>
      <c r="NOP92" s="15" t="n"/>
      <c r="NOQ92" s="15" t="n"/>
      <c r="NOR92" s="248" t="n"/>
      <c r="NOS92" s="248" t="n"/>
      <c r="NOT92" s="240" t="n"/>
      <c r="NOU92" s="240" t="n"/>
      <c r="NOW92" s="15" t="n"/>
      <c r="NOX92" s="15" t="n"/>
      <c r="NOY92" s="248" t="n"/>
      <c r="NOZ92" s="248" t="n"/>
      <c r="NPA92" s="240" t="n"/>
      <c r="NPB92" s="240" t="n"/>
      <c r="NPD92" s="15" t="n"/>
      <c r="NPE92" s="15" t="n"/>
      <c r="NPF92" s="248" t="n"/>
      <c r="NPG92" s="248" t="n"/>
      <c r="NPH92" s="240" t="n"/>
      <c r="NPI92" s="240" t="n"/>
      <c r="NPK92" s="15" t="n"/>
      <c r="NPL92" s="15" t="n"/>
      <c r="NPM92" s="248" t="n"/>
      <c r="NPN92" s="248" t="n"/>
      <c r="NPO92" s="240" t="n"/>
      <c r="NPP92" s="240" t="n"/>
      <c r="NPR92" s="15" t="n"/>
      <c r="NPS92" s="15" t="n"/>
      <c r="NPT92" s="248" t="n"/>
      <c r="NPU92" s="248" t="n"/>
      <c r="NPV92" s="240" t="n"/>
      <c r="NPW92" s="240" t="n"/>
      <c r="NPY92" s="15" t="n"/>
      <c r="NPZ92" s="15" t="n"/>
      <c r="NQA92" s="248" t="n"/>
      <c r="NQB92" s="248" t="n"/>
      <c r="NQC92" s="240" t="n"/>
      <c r="NQD92" s="240" t="n"/>
      <c r="NQF92" s="15" t="n"/>
      <c r="NQG92" s="15" t="n"/>
      <c r="NQH92" s="248" t="n"/>
      <c r="NQI92" s="248" t="n"/>
      <c r="NQJ92" s="240" t="n"/>
      <c r="NQK92" s="240" t="n"/>
      <c r="NQM92" s="15" t="n"/>
      <c r="NQN92" s="15" t="n"/>
      <c r="NQO92" s="248" t="n"/>
      <c r="NQP92" s="248" t="n"/>
      <c r="NQQ92" s="240" t="n"/>
      <c r="NQR92" s="240" t="n"/>
      <c r="NQT92" s="15" t="n"/>
      <c r="NQU92" s="15" t="n"/>
      <c r="NQV92" s="248" t="n"/>
      <c r="NQW92" s="248" t="n"/>
      <c r="NQX92" s="240" t="n"/>
      <c r="NQY92" s="240" t="n"/>
      <c r="NRA92" s="15" t="n"/>
      <c r="NRB92" s="15" t="n"/>
      <c r="NRC92" s="248" t="n"/>
      <c r="NRD92" s="248" t="n"/>
      <c r="NRE92" s="240" t="n"/>
      <c r="NRF92" s="240" t="n"/>
      <c r="NRH92" s="15" t="n"/>
      <c r="NRI92" s="15" t="n"/>
      <c r="NRJ92" s="248" t="n"/>
      <c r="NRK92" s="248" t="n"/>
      <c r="NRL92" s="240" t="n"/>
      <c r="NRM92" s="240" t="n"/>
      <c r="NRO92" s="15" t="n"/>
      <c r="NRP92" s="15" t="n"/>
      <c r="NRQ92" s="248" t="n"/>
      <c r="NRR92" s="248" t="n"/>
      <c r="NRS92" s="240" t="n"/>
      <c r="NRT92" s="240" t="n"/>
      <c r="NRV92" s="15" t="n"/>
      <c r="NRW92" s="15" t="n"/>
      <c r="NRX92" s="248" t="n"/>
      <c r="NRY92" s="248" t="n"/>
      <c r="NRZ92" s="240" t="n"/>
      <c r="NSA92" s="240" t="n"/>
      <c r="NSC92" s="15" t="n"/>
      <c r="NSD92" s="15" t="n"/>
      <c r="NSE92" s="248" t="n"/>
      <c r="NSF92" s="248" t="n"/>
      <c r="NSG92" s="240" t="n"/>
      <c r="NSH92" s="240" t="n"/>
      <c r="NSJ92" s="15" t="n"/>
      <c r="NSK92" s="15" t="n"/>
      <c r="NSL92" s="248" t="n"/>
      <c r="NSM92" s="248" t="n"/>
      <c r="NSN92" s="240" t="n"/>
      <c r="NSO92" s="240" t="n"/>
      <c r="NSQ92" s="15" t="n"/>
      <c r="NSR92" s="15" t="n"/>
      <c r="NSS92" s="248" t="n"/>
      <c r="NST92" s="248" t="n"/>
      <c r="NSU92" s="240" t="n"/>
      <c r="NSV92" s="240" t="n"/>
      <c r="NSX92" s="15" t="n"/>
      <c r="NSY92" s="15" t="n"/>
      <c r="NSZ92" s="248" t="n"/>
      <c r="NTA92" s="248" t="n"/>
      <c r="NTB92" s="240" t="n"/>
      <c r="NTC92" s="240" t="n"/>
      <c r="NTE92" s="15" t="n"/>
      <c r="NTF92" s="15" t="n"/>
      <c r="NTG92" s="248" t="n"/>
      <c r="NTH92" s="248" t="n"/>
      <c r="NTI92" s="240" t="n"/>
      <c r="NTJ92" s="240" t="n"/>
      <c r="NTL92" s="15" t="n"/>
      <c r="NTM92" s="15" t="n"/>
      <c r="NTN92" s="248" t="n"/>
      <c r="NTO92" s="248" t="n"/>
      <c r="NTP92" s="240" t="n"/>
      <c r="NTQ92" s="240" t="n"/>
      <c r="NTS92" s="15" t="n"/>
      <c r="NTT92" s="15" t="n"/>
      <c r="NTU92" s="248" t="n"/>
      <c r="NTV92" s="248" t="n"/>
      <c r="NTW92" s="240" t="n"/>
      <c r="NTX92" s="240" t="n"/>
      <c r="NTZ92" s="15" t="n"/>
      <c r="NUA92" s="15" t="n"/>
      <c r="NUB92" s="248" t="n"/>
      <c r="NUC92" s="248" t="n"/>
      <c r="NUD92" s="240" t="n"/>
      <c r="NUE92" s="240" t="n"/>
      <c r="NUG92" s="15" t="n"/>
      <c r="NUH92" s="15" t="n"/>
      <c r="NUI92" s="248" t="n"/>
      <c r="NUJ92" s="248" t="n"/>
      <c r="NUK92" s="240" t="n"/>
      <c r="NUL92" s="240" t="n"/>
      <c r="NUN92" s="15" t="n"/>
      <c r="NUO92" s="15" t="n"/>
      <c r="NUP92" s="248" t="n"/>
      <c r="NUQ92" s="248" t="n"/>
      <c r="NUR92" s="240" t="n"/>
      <c r="NUS92" s="240" t="n"/>
      <c r="NUU92" s="15" t="n"/>
      <c r="NUV92" s="15" t="n"/>
      <c r="NUW92" s="248" t="n"/>
      <c r="NUX92" s="248" t="n"/>
      <c r="NUY92" s="240" t="n"/>
      <c r="NUZ92" s="240" t="n"/>
      <c r="NVB92" s="15" t="n"/>
      <c r="NVC92" s="15" t="n"/>
      <c r="NVD92" s="248" t="n"/>
      <c r="NVE92" s="248" t="n"/>
      <c r="NVF92" s="240" t="n"/>
      <c r="NVG92" s="240" t="n"/>
      <c r="NVI92" s="15" t="n"/>
      <c r="NVJ92" s="15" t="n"/>
      <c r="NVK92" s="248" t="n"/>
      <c r="NVL92" s="248" t="n"/>
      <c r="NVM92" s="240" t="n"/>
      <c r="NVN92" s="240" t="n"/>
      <c r="NVP92" s="15" t="n"/>
      <c r="NVQ92" s="15" t="n"/>
      <c r="NVR92" s="248" t="n"/>
      <c r="NVS92" s="248" t="n"/>
      <c r="NVT92" s="240" t="n"/>
      <c r="NVU92" s="240" t="n"/>
      <c r="NVW92" s="15" t="n"/>
      <c r="NVX92" s="15" t="n"/>
      <c r="NVY92" s="248" t="n"/>
      <c r="NVZ92" s="248" t="n"/>
      <c r="NWA92" s="240" t="n"/>
      <c r="NWB92" s="240" t="n"/>
      <c r="NWD92" s="15" t="n"/>
      <c r="NWE92" s="15" t="n"/>
      <c r="NWF92" s="248" t="n"/>
      <c r="NWG92" s="248" t="n"/>
      <c r="NWH92" s="240" t="n"/>
      <c r="NWI92" s="240" t="n"/>
      <c r="NWK92" s="15" t="n"/>
      <c r="NWL92" s="15" t="n"/>
      <c r="NWM92" s="248" t="n"/>
      <c r="NWN92" s="248" t="n"/>
      <c r="NWO92" s="240" t="n"/>
      <c r="NWP92" s="240" t="n"/>
      <c r="NWR92" s="15" t="n"/>
      <c r="NWS92" s="15" t="n"/>
      <c r="NWT92" s="248" t="n"/>
      <c r="NWU92" s="248" t="n"/>
      <c r="NWV92" s="240" t="n"/>
      <c r="NWW92" s="240" t="n"/>
      <c r="NWY92" s="15" t="n"/>
      <c r="NWZ92" s="15" t="n"/>
      <c r="NXA92" s="248" t="n"/>
      <c r="NXB92" s="248" t="n"/>
      <c r="NXC92" s="240" t="n"/>
      <c r="NXD92" s="240" t="n"/>
      <c r="NXF92" s="15" t="n"/>
      <c r="NXG92" s="15" t="n"/>
      <c r="NXH92" s="248" t="n"/>
      <c r="NXI92" s="248" t="n"/>
      <c r="NXJ92" s="240" t="n"/>
      <c r="NXK92" s="240" t="n"/>
      <c r="NXM92" s="15" t="n"/>
      <c r="NXN92" s="15" t="n"/>
      <c r="NXO92" s="248" t="n"/>
      <c r="NXP92" s="248" t="n"/>
      <c r="NXQ92" s="240" t="n"/>
      <c r="NXR92" s="240" t="n"/>
      <c r="NXT92" s="15" t="n"/>
      <c r="NXU92" s="15" t="n"/>
      <c r="NXV92" s="248" t="n"/>
      <c r="NXW92" s="248" t="n"/>
      <c r="NXX92" s="240" t="n"/>
      <c r="NXY92" s="240" t="n"/>
      <c r="NYA92" s="15" t="n"/>
      <c r="NYB92" s="15" t="n"/>
      <c r="NYC92" s="248" t="n"/>
      <c r="NYD92" s="248" t="n"/>
      <c r="NYE92" s="240" t="n"/>
      <c r="NYF92" s="240" t="n"/>
      <c r="NYH92" s="15" t="n"/>
      <c r="NYI92" s="15" t="n"/>
      <c r="NYJ92" s="248" t="n"/>
      <c r="NYK92" s="248" t="n"/>
      <c r="NYL92" s="240" t="n"/>
      <c r="NYM92" s="240" t="n"/>
      <c r="NYO92" s="15" t="n"/>
      <c r="NYP92" s="15" t="n"/>
      <c r="NYQ92" s="248" t="n"/>
      <c r="NYR92" s="248" t="n"/>
      <c r="NYS92" s="240" t="n"/>
      <c r="NYT92" s="240" t="n"/>
      <c r="NYV92" s="15" t="n"/>
      <c r="NYW92" s="15" t="n"/>
      <c r="NYX92" s="248" t="n"/>
      <c r="NYY92" s="248" t="n"/>
      <c r="NYZ92" s="240" t="n"/>
      <c r="NZA92" s="240" t="n"/>
      <c r="NZC92" s="15" t="n"/>
      <c r="NZD92" s="15" t="n"/>
      <c r="NZE92" s="248" t="n"/>
      <c r="NZF92" s="248" t="n"/>
      <c r="NZG92" s="240" t="n"/>
      <c r="NZH92" s="240" t="n"/>
      <c r="NZJ92" s="15" t="n"/>
      <c r="NZK92" s="15" t="n"/>
      <c r="NZL92" s="248" t="n"/>
      <c r="NZM92" s="248" t="n"/>
      <c r="NZN92" s="240" t="n"/>
      <c r="NZO92" s="240" t="n"/>
      <c r="NZQ92" s="15" t="n"/>
      <c r="NZR92" s="15" t="n"/>
      <c r="NZS92" s="248" t="n"/>
      <c r="NZT92" s="248" t="n"/>
      <c r="NZU92" s="240" t="n"/>
      <c r="NZV92" s="240" t="n"/>
      <c r="NZX92" s="15" t="n"/>
      <c r="NZY92" s="15" t="n"/>
      <c r="NZZ92" s="248" t="n"/>
      <c r="OAA92" s="248" t="n"/>
      <c r="OAB92" s="240" t="n"/>
      <c r="OAC92" s="240" t="n"/>
      <c r="OAE92" s="15" t="n"/>
      <c r="OAF92" s="15" t="n"/>
      <c r="OAG92" s="248" t="n"/>
      <c r="OAH92" s="248" t="n"/>
      <c r="OAI92" s="240" t="n"/>
      <c r="OAJ92" s="240" t="n"/>
      <c r="OAL92" s="15" t="n"/>
      <c r="OAM92" s="15" t="n"/>
      <c r="OAN92" s="248" t="n"/>
      <c r="OAO92" s="248" t="n"/>
      <c r="OAP92" s="240" t="n"/>
      <c r="OAQ92" s="240" t="n"/>
      <c r="OAS92" s="15" t="n"/>
      <c r="OAT92" s="15" t="n"/>
      <c r="OAU92" s="248" t="n"/>
      <c r="OAV92" s="248" t="n"/>
      <c r="OAW92" s="240" t="n"/>
      <c r="OAX92" s="240" t="n"/>
      <c r="OAZ92" s="15" t="n"/>
      <c r="OBA92" s="15" t="n"/>
      <c r="OBB92" s="248" t="n"/>
      <c r="OBC92" s="248" t="n"/>
      <c r="OBD92" s="240" t="n"/>
      <c r="OBE92" s="240" t="n"/>
      <c r="OBG92" s="15" t="n"/>
      <c r="OBH92" s="15" t="n"/>
      <c r="OBI92" s="248" t="n"/>
      <c r="OBJ92" s="248" t="n"/>
      <c r="OBK92" s="240" t="n"/>
      <c r="OBL92" s="240" t="n"/>
      <c r="OBN92" s="15" t="n"/>
      <c r="OBO92" s="15" t="n"/>
      <c r="OBP92" s="248" t="n"/>
      <c r="OBQ92" s="248" t="n"/>
      <c r="OBR92" s="240" t="n"/>
      <c r="OBS92" s="240" t="n"/>
      <c r="OBU92" s="15" t="n"/>
      <c r="OBV92" s="15" t="n"/>
      <c r="OBW92" s="248" t="n"/>
      <c r="OBX92" s="248" t="n"/>
      <c r="OBY92" s="240" t="n"/>
      <c r="OBZ92" s="240" t="n"/>
      <c r="OCB92" s="15" t="n"/>
      <c r="OCC92" s="15" t="n"/>
      <c r="OCD92" s="248" t="n"/>
      <c r="OCE92" s="248" t="n"/>
      <c r="OCF92" s="240" t="n"/>
      <c r="OCG92" s="240" t="n"/>
      <c r="OCI92" s="15" t="n"/>
      <c r="OCJ92" s="15" t="n"/>
      <c r="OCK92" s="248" t="n"/>
      <c r="OCL92" s="248" t="n"/>
      <c r="OCM92" s="240" t="n"/>
      <c r="OCN92" s="240" t="n"/>
      <c r="OCP92" s="15" t="n"/>
      <c r="OCQ92" s="15" t="n"/>
      <c r="OCR92" s="248" t="n"/>
      <c r="OCS92" s="248" t="n"/>
      <c r="OCT92" s="240" t="n"/>
      <c r="OCU92" s="240" t="n"/>
      <c r="OCW92" s="15" t="n"/>
      <c r="OCX92" s="15" t="n"/>
      <c r="OCY92" s="248" t="n"/>
      <c r="OCZ92" s="248" t="n"/>
      <c r="ODA92" s="240" t="n"/>
      <c r="ODB92" s="240" t="n"/>
      <c r="ODD92" s="15" t="n"/>
      <c r="ODE92" s="15" t="n"/>
      <c r="ODF92" s="248" t="n"/>
      <c r="ODG92" s="248" t="n"/>
      <c r="ODH92" s="240" t="n"/>
      <c r="ODI92" s="240" t="n"/>
      <c r="ODK92" s="15" t="n"/>
      <c r="ODL92" s="15" t="n"/>
      <c r="ODM92" s="248" t="n"/>
      <c r="ODN92" s="248" t="n"/>
      <c r="ODO92" s="240" t="n"/>
      <c r="ODP92" s="240" t="n"/>
      <c r="ODR92" s="15" t="n"/>
      <c r="ODS92" s="15" t="n"/>
      <c r="ODT92" s="248" t="n"/>
      <c r="ODU92" s="248" t="n"/>
      <c r="ODV92" s="240" t="n"/>
      <c r="ODW92" s="240" t="n"/>
      <c r="ODY92" s="15" t="n"/>
      <c r="ODZ92" s="15" t="n"/>
      <c r="OEA92" s="248" t="n"/>
      <c r="OEB92" s="248" t="n"/>
      <c r="OEC92" s="240" t="n"/>
      <c r="OED92" s="240" t="n"/>
      <c r="OEF92" s="15" t="n"/>
      <c r="OEG92" s="15" t="n"/>
      <c r="OEH92" s="248" t="n"/>
      <c r="OEI92" s="248" t="n"/>
      <c r="OEJ92" s="240" t="n"/>
      <c r="OEK92" s="240" t="n"/>
      <c r="OEM92" s="15" t="n"/>
      <c r="OEN92" s="15" t="n"/>
      <c r="OEO92" s="248" t="n"/>
      <c r="OEP92" s="248" t="n"/>
      <c r="OEQ92" s="240" t="n"/>
      <c r="OER92" s="240" t="n"/>
      <c r="OET92" s="15" t="n"/>
      <c r="OEU92" s="15" t="n"/>
      <c r="OEV92" s="248" t="n"/>
      <c r="OEW92" s="248" t="n"/>
      <c r="OEX92" s="240" t="n"/>
      <c r="OEY92" s="240" t="n"/>
      <c r="OFA92" s="15" t="n"/>
      <c r="OFB92" s="15" t="n"/>
      <c r="OFC92" s="248" t="n"/>
      <c r="OFD92" s="248" t="n"/>
      <c r="OFE92" s="240" t="n"/>
      <c r="OFF92" s="240" t="n"/>
      <c r="OFH92" s="15" t="n"/>
      <c r="OFI92" s="15" t="n"/>
      <c r="OFJ92" s="248" t="n"/>
      <c r="OFK92" s="248" t="n"/>
      <c r="OFL92" s="240" t="n"/>
      <c r="OFM92" s="240" t="n"/>
      <c r="OFO92" s="15" t="n"/>
      <c r="OFP92" s="15" t="n"/>
      <c r="OFQ92" s="248" t="n"/>
      <c r="OFR92" s="248" t="n"/>
      <c r="OFS92" s="240" t="n"/>
      <c r="OFT92" s="240" t="n"/>
      <c r="OFV92" s="15" t="n"/>
      <c r="OFW92" s="15" t="n"/>
      <c r="OFX92" s="248" t="n"/>
      <c r="OFY92" s="248" t="n"/>
      <c r="OFZ92" s="240" t="n"/>
      <c r="OGA92" s="240" t="n"/>
      <c r="OGC92" s="15" t="n"/>
      <c r="OGD92" s="15" t="n"/>
      <c r="OGE92" s="248" t="n"/>
      <c r="OGF92" s="248" t="n"/>
      <c r="OGG92" s="240" t="n"/>
      <c r="OGH92" s="240" t="n"/>
      <c r="OGJ92" s="15" t="n"/>
      <c r="OGK92" s="15" t="n"/>
      <c r="OGL92" s="248" t="n"/>
      <c r="OGM92" s="248" t="n"/>
      <c r="OGN92" s="240" t="n"/>
      <c r="OGO92" s="240" t="n"/>
      <c r="OGQ92" s="15" t="n"/>
      <c r="OGR92" s="15" t="n"/>
      <c r="OGS92" s="248" t="n"/>
      <c r="OGT92" s="248" t="n"/>
      <c r="OGU92" s="240" t="n"/>
      <c r="OGV92" s="240" t="n"/>
      <c r="OGX92" s="15" t="n"/>
      <c r="OGY92" s="15" t="n"/>
      <c r="OGZ92" s="248" t="n"/>
      <c r="OHA92" s="248" t="n"/>
      <c r="OHB92" s="240" t="n"/>
      <c r="OHC92" s="240" t="n"/>
      <c r="OHE92" s="15" t="n"/>
      <c r="OHF92" s="15" t="n"/>
      <c r="OHG92" s="248" t="n"/>
      <c r="OHH92" s="248" t="n"/>
      <c r="OHI92" s="240" t="n"/>
      <c r="OHJ92" s="240" t="n"/>
      <c r="OHL92" s="15" t="n"/>
      <c r="OHM92" s="15" t="n"/>
      <c r="OHN92" s="248" t="n"/>
      <c r="OHO92" s="248" t="n"/>
      <c r="OHP92" s="240" t="n"/>
      <c r="OHQ92" s="240" t="n"/>
      <c r="OHS92" s="15" t="n"/>
      <c r="OHT92" s="15" t="n"/>
      <c r="OHU92" s="248" t="n"/>
      <c r="OHV92" s="248" t="n"/>
      <c r="OHW92" s="240" t="n"/>
      <c r="OHX92" s="240" t="n"/>
      <c r="OHZ92" s="15" t="n"/>
      <c r="OIA92" s="15" t="n"/>
      <c r="OIB92" s="248" t="n"/>
      <c r="OIC92" s="248" t="n"/>
      <c r="OID92" s="240" t="n"/>
      <c r="OIE92" s="240" t="n"/>
      <c r="OIG92" s="15" t="n"/>
      <c r="OIH92" s="15" t="n"/>
      <c r="OII92" s="248" t="n"/>
      <c r="OIJ92" s="248" t="n"/>
      <c r="OIK92" s="240" t="n"/>
      <c r="OIL92" s="240" t="n"/>
      <c r="OIN92" s="15" t="n"/>
      <c r="OIO92" s="15" t="n"/>
      <c r="OIP92" s="248" t="n"/>
      <c r="OIQ92" s="248" t="n"/>
      <c r="OIR92" s="240" t="n"/>
      <c r="OIS92" s="240" t="n"/>
      <c r="OIU92" s="15" t="n"/>
      <c r="OIV92" s="15" t="n"/>
      <c r="OIW92" s="248" t="n"/>
      <c r="OIX92" s="248" t="n"/>
      <c r="OIY92" s="240" t="n"/>
      <c r="OIZ92" s="240" t="n"/>
      <c r="OJB92" s="15" t="n"/>
      <c r="OJC92" s="15" t="n"/>
      <c r="OJD92" s="248" t="n"/>
      <c r="OJE92" s="248" t="n"/>
      <c r="OJF92" s="240" t="n"/>
      <c r="OJG92" s="240" t="n"/>
      <c r="OJI92" s="15" t="n"/>
      <c r="OJJ92" s="15" t="n"/>
      <c r="OJK92" s="248" t="n"/>
      <c r="OJL92" s="248" t="n"/>
      <c r="OJM92" s="240" t="n"/>
      <c r="OJN92" s="240" t="n"/>
      <c r="OJP92" s="15" t="n"/>
      <c r="OJQ92" s="15" t="n"/>
      <c r="OJR92" s="248" t="n"/>
      <c r="OJS92" s="248" t="n"/>
      <c r="OJT92" s="240" t="n"/>
      <c r="OJU92" s="240" t="n"/>
      <c r="OJW92" s="15" t="n"/>
      <c r="OJX92" s="15" t="n"/>
      <c r="OJY92" s="248" t="n"/>
      <c r="OJZ92" s="248" t="n"/>
      <c r="OKA92" s="240" t="n"/>
      <c r="OKB92" s="240" t="n"/>
      <c r="OKD92" s="15" t="n"/>
      <c r="OKE92" s="15" t="n"/>
      <c r="OKF92" s="248" t="n"/>
      <c r="OKG92" s="248" t="n"/>
      <c r="OKH92" s="240" t="n"/>
      <c r="OKI92" s="240" t="n"/>
      <c r="OKK92" s="15" t="n"/>
      <c r="OKL92" s="15" t="n"/>
      <c r="OKM92" s="248" t="n"/>
      <c r="OKN92" s="248" t="n"/>
      <c r="OKO92" s="240" t="n"/>
      <c r="OKP92" s="240" t="n"/>
      <c r="OKR92" s="15" t="n"/>
      <c r="OKS92" s="15" t="n"/>
      <c r="OKT92" s="248" t="n"/>
      <c r="OKU92" s="248" t="n"/>
      <c r="OKV92" s="240" t="n"/>
      <c r="OKW92" s="240" t="n"/>
      <c r="OKY92" s="15" t="n"/>
      <c r="OKZ92" s="15" t="n"/>
      <c r="OLA92" s="248" t="n"/>
      <c r="OLB92" s="248" t="n"/>
      <c r="OLC92" s="240" t="n"/>
      <c r="OLD92" s="240" t="n"/>
      <c r="OLF92" s="15" t="n"/>
      <c r="OLG92" s="15" t="n"/>
      <c r="OLH92" s="248" t="n"/>
      <c r="OLI92" s="248" t="n"/>
      <c r="OLJ92" s="240" t="n"/>
      <c r="OLK92" s="240" t="n"/>
      <c r="OLM92" s="15" t="n"/>
      <c r="OLN92" s="15" t="n"/>
      <c r="OLO92" s="248" t="n"/>
      <c r="OLP92" s="248" t="n"/>
      <c r="OLQ92" s="240" t="n"/>
      <c r="OLR92" s="240" t="n"/>
      <c r="OLT92" s="15" t="n"/>
      <c r="OLU92" s="15" t="n"/>
      <c r="OLV92" s="248" t="n"/>
      <c r="OLW92" s="248" t="n"/>
      <c r="OLX92" s="240" t="n"/>
      <c r="OLY92" s="240" t="n"/>
      <c r="OMA92" s="15" t="n"/>
      <c r="OMB92" s="15" t="n"/>
      <c r="OMC92" s="248" t="n"/>
      <c r="OMD92" s="248" t="n"/>
      <c r="OME92" s="240" t="n"/>
      <c r="OMF92" s="240" t="n"/>
      <c r="OMH92" s="15" t="n"/>
      <c r="OMI92" s="15" t="n"/>
      <c r="OMJ92" s="248" t="n"/>
      <c r="OMK92" s="248" t="n"/>
      <c r="OML92" s="240" t="n"/>
      <c r="OMM92" s="240" t="n"/>
      <c r="OMO92" s="15" t="n"/>
      <c r="OMP92" s="15" t="n"/>
      <c r="OMQ92" s="248" t="n"/>
      <c r="OMR92" s="248" t="n"/>
      <c r="OMS92" s="240" t="n"/>
      <c r="OMT92" s="240" t="n"/>
      <c r="OMV92" s="15" t="n"/>
      <c r="OMW92" s="15" t="n"/>
      <c r="OMX92" s="248" t="n"/>
      <c r="OMY92" s="248" t="n"/>
      <c r="OMZ92" s="240" t="n"/>
      <c r="ONA92" s="240" t="n"/>
      <c r="ONC92" s="15" t="n"/>
      <c r="OND92" s="15" t="n"/>
      <c r="ONE92" s="248" t="n"/>
      <c r="ONF92" s="248" t="n"/>
      <c r="ONG92" s="240" t="n"/>
      <c r="ONH92" s="240" t="n"/>
      <c r="ONJ92" s="15" t="n"/>
      <c r="ONK92" s="15" t="n"/>
      <c r="ONL92" s="248" t="n"/>
      <c r="ONM92" s="248" t="n"/>
      <c r="ONN92" s="240" t="n"/>
      <c r="ONO92" s="240" t="n"/>
      <c r="ONQ92" s="15" t="n"/>
      <c r="ONR92" s="15" t="n"/>
      <c r="ONS92" s="248" t="n"/>
      <c r="ONT92" s="248" t="n"/>
      <c r="ONU92" s="240" t="n"/>
      <c r="ONV92" s="240" t="n"/>
      <c r="ONX92" s="15" t="n"/>
      <c r="ONY92" s="15" t="n"/>
      <c r="ONZ92" s="248" t="n"/>
      <c r="OOA92" s="248" t="n"/>
      <c r="OOB92" s="240" t="n"/>
      <c r="OOC92" s="240" t="n"/>
      <c r="OOE92" s="15" t="n"/>
      <c r="OOF92" s="15" t="n"/>
      <c r="OOG92" s="248" t="n"/>
      <c r="OOH92" s="248" t="n"/>
      <c r="OOI92" s="240" t="n"/>
      <c r="OOJ92" s="240" t="n"/>
      <c r="OOL92" s="15" t="n"/>
      <c r="OOM92" s="15" t="n"/>
      <c r="OON92" s="248" t="n"/>
      <c r="OOO92" s="248" t="n"/>
      <c r="OOP92" s="240" t="n"/>
      <c r="OOQ92" s="240" t="n"/>
      <c r="OOS92" s="15" t="n"/>
      <c r="OOT92" s="15" t="n"/>
      <c r="OOU92" s="248" t="n"/>
      <c r="OOV92" s="248" t="n"/>
      <c r="OOW92" s="240" t="n"/>
      <c r="OOX92" s="240" t="n"/>
      <c r="OOZ92" s="15" t="n"/>
      <c r="OPA92" s="15" t="n"/>
      <c r="OPB92" s="248" t="n"/>
      <c r="OPC92" s="248" t="n"/>
      <c r="OPD92" s="240" t="n"/>
      <c r="OPE92" s="240" t="n"/>
      <c r="OPG92" s="15" t="n"/>
      <c r="OPH92" s="15" t="n"/>
      <c r="OPI92" s="248" t="n"/>
      <c r="OPJ92" s="248" t="n"/>
      <c r="OPK92" s="240" t="n"/>
      <c r="OPL92" s="240" t="n"/>
      <c r="OPN92" s="15" t="n"/>
      <c r="OPO92" s="15" t="n"/>
      <c r="OPP92" s="248" t="n"/>
      <c r="OPQ92" s="248" t="n"/>
      <c r="OPR92" s="240" t="n"/>
      <c r="OPS92" s="240" t="n"/>
      <c r="OPU92" s="15" t="n"/>
      <c r="OPV92" s="15" t="n"/>
      <c r="OPW92" s="248" t="n"/>
      <c r="OPX92" s="248" t="n"/>
      <c r="OPY92" s="240" t="n"/>
      <c r="OPZ92" s="240" t="n"/>
      <c r="OQB92" s="15" t="n"/>
      <c r="OQC92" s="15" t="n"/>
      <c r="OQD92" s="248" t="n"/>
      <c r="OQE92" s="248" t="n"/>
      <c r="OQF92" s="240" t="n"/>
      <c r="OQG92" s="240" t="n"/>
      <c r="OQI92" s="15" t="n"/>
      <c r="OQJ92" s="15" t="n"/>
      <c r="OQK92" s="248" t="n"/>
      <c r="OQL92" s="248" t="n"/>
      <c r="OQM92" s="240" t="n"/>
      <c r="OQN92" s="240" t="n"/>
      <c r="OQP92" s="15" t="n"/>
      <c r="OQQ92" s="15" t="n"/>
      <c r="OQR92" s="248" t="n"/>
      <c r="OQS92" s="248" t="n"/>
      <c r="OQT92" s="240" t="n"/>
      <c r="OQU92" s="240" t="n"/>
      <c r="OQW92" s="15" t="n"/>
      <c r="OQX92" s="15" t="n"/>
      <c r="OQY92" s="248" t="n"/>
      <c r="OQZ92" s="248" t="n"/>
      <c r="ORA92" s="240" t="n"/>
      <c r="ORB92" s="240" t="n"/>
      <c r="ORD92" s="15" t="n"/>
      <c r="ORE92" s="15" t="n"/>
      <c r="ORF92" s="248" t="n"/>
      <c r="ORG92" s="248" t="n"/>
      <c r="ORH92" s="240" t="n"/>
      <c r="ORI92" s="240" t="n"/>
      <c r="ORK92" s="15" t="n"/>
      <c r="ORL92" s="15" t="n"/>
      <c r="ORM92" s="248" t="n"/>
      <c r="ORN92" s="248" t="n"/>
      <c r="ORO92" s="240" t="n"/>
      <c r="ORP92" s="240" t="n"/>
      <c r="ORR92" s="15" t="n"/>
      <c r="ORS92" s="15" t="n"/>
      <c r="ORT92" s="248" t="n"/>
      <c r="ORU92" s="248" t="n"/>
      <c r="ORV92" s="240" t="n"/>
      <c r="ORW92" s="240" t="n"/>
      <c r="ORY92" s="15" t="n"/>
      <c r="ORZ92" s="15" t="n"/>
      <c r="OSA92" s="248" t="n"/>
      <c r="OSB92" s="248" t="n"/>
      <c r="OSC92" s="240" t="n"/>
      <c r="OSD92" s="240" t="n"/>
      <c r="OSF92" s="15" t="n"/>
      <c r="OSG92" s="15" t="n"/>
      <c r="OSH92" s="248" t="n"/>
      <c r="OSI92" s="248" t="n"/>
      <c r="OSJ92" s="240" t="n"/>
      <c r="OSK92" s="240" t="n"/>
      <c r="OSM92" s="15" t="n"/>
      <c r="OSN92" s="15" t="n"/>
      <c r="OSO92" s="248" t="n"/>
      <c r="OSP92" s="248" t="n"/>
      <c r="OSQ92" s="240" t="n"/>
      <c r="OSR92" s="240" t="n"/>
      <c r="OST92" s="15" t="n"/>
      <c r="OSU92" s="15" t="n"/>
      <c r="OSV92" s="248" t="n"/>
      <c r="OSW92" s="248" t="n"/>
      <c r="OSX92" s="240" t="n"/>
      <c r="OSY92" s="240" t="n"/>
      <c r="OTA92" s="15" t="n"/>
      <c r="OTB92" s="15" t="n"/>
      <c r="OTC92" s="248" t="n"/>
      <c r="OTD92" s="248" t="n"/>
      <c r="OTE92" s="240" t="n"/>
      <c r="OTF92" s="240" t="n"/>
      <c r="OTH92" s="15" t="n"/>
      <c r="OTI92" s="15" t="n"/>
      <c r="OTJ92" s="248" t="n"/>
      <c r="OTK92" s="248" t="n"/>
      <c r="OTL92" s="240" t="n"/>
      <c r="OTM92" s="240" t="n"/>
      <c r="OTO92" s="15" t="n"/>
      <c r="OTP92" s="15" t="n"/>
      <c r="OTQ92" s="248" t="n"/>
      <c r="OTR92" s="248" t="n"/>
      <c r="OTS92" s="240" t="n"/>
      <c r="OTT92" s="240" t="n"/>
      <c r="OTV92" s="15" t="n"/>
      <c r="OTW92" s="15" t="n"/>
      <c r="OTX92" s="248" t="n"/>
      <c r="OTY92" s="248" t="n"/>
      <c r="OTZ92" s="240" t="n"/>
      <c r="OUA92" s="240" t="n"/>
      <c r="OUC92" s="15" t="n"/>
      <c r="OUD92" s="15" t="n"/>
      <c r="OUE92" s="248" t="n"/>
      <c r="OUF92" s="248" t="n"/>
      <c r="OUG92" s="240" t="n"/>
      <c r="OUH92" s="240" t="n"/>
      <c r="OUJ92" s="15" t="n"/>
      <c r="OUK92" s="15" t="n"/>
      <c r="OUL92" s="248" t="n"/>
      <c r="OUM92" s="248" t="n"/>
      <c r="OUN92" s="240" t="n"/>
      <c r="OUO92" s="240" t="n"/>
      <c r="OUQ92" s="15" t="n"/>
      <c r="OUR92" s="15" t="n"/>
      <c r="OUS92" s="248" t="n"/>
      <c r="OUT92" s="248" t="n"/>
      <c r="OUU92" s="240" t="n"/>
      <c r="OUV92" s="240" t="n"/>
      <c r="OUX92" s="15" t="n"/>
      <c r="OUY92" s="15" t="n"/>
      <c r="OUZ92" s="248" t="n"/>
      <c r="OVA92" s="248" t="n"/>
      <c r="OVB92" s="240" t="n"/>
      <c r="OVC92" s="240" t="n"/>
      <c r="OVE92" s="15" t="n"/>
      <c r="OVF92" s="15" t="n"/>
      <c r="OVG92" s="248" t="n"/>
      <c r="OVH92" s="248" t="n"/>
      <c r="OVI92" s="240" t="n"/>
      <c r="OVJ92" s="240" t="n"/>
      <c r="OVL92" s="15" t="n"/>
      <c r="OVM92" s="15" t="n"/>
      <c r="OVN92" s="248" t="n"/>
      <c r="OVO92" s="248" t="n"/>
      <c r="OVP92" s="240" t="n"/>
      <c r="OVQ92" s="240" t="n"/>
      <c r="OVS92" s="15" t="n"/>
      <c r="OVT92" s="15" t="n"/>
      <c r="OVU92" s="248" t="n"/>
      <c r="OVV92" s="248" t="n"/>
      <c r="OVW92" s="240" t="n"/>
      <c r="OVX92" s="240" t="n"/>
      <c r="OVZ92" s="15" t="n"/>
      <c r="OWA92" s="15" t="n"/>
      <c r="OWB92" s="248" t="n"/>
      <c r="OWC92" s="248" t="n"/>
      <c r="OWD92" s="240" t="n"/>
      <c r="OWE92" s="240" t="n"/>
      <c r="OWG92" s="15" t="n"/>
      <c r="OWH92" s="15" t="n"/>
      <c r="OWI92" s="248" t="n"/>
      <c r="OWJ92" s="248" t="n"/>
      <c r="OWK92" s="240" t="n"/>
      <c r="OWL92" s="240" t="n"/>
      <c r="OWN92" s="15" t="n"/>
      <c r="OWO92" s="15" t="n"/>
      <c r="OWP92" s="248" t="n"/>
      <c r="OWQ92" s="248" t="n"/>
      <c r="OWR92" s="240" t="n"/>
      <c r="OWS92" s="240" t="n"/>
      <c r="OWU92" s="15" t="n"/>
      <c r="OWV92" s="15" t="n"/>
      <c r="OWW92" s="248" t="n"/>
      <c r="OWX92" s="248" t="n"/>
      <c r="OWY92" s="240" t="n"/>
      <c r="OWZ92" s="240" t="n"/>
      <c r="OXB92" s="15" t="n"/>
      <c r="OXC92" s="15" t="n"/>
      <c r="OXD92" s="248" t="n"/>
      <c r="OXE92" s="248" t="n"/>
      <c r="OXF92" s="240" t="n"/>
      <c r="OXG92" s="240" t="n"/>
      <c r="OXI92" s="15" t="n"/>
      <c r="OXJ92" s="15" t="n"/>
      <c r="OXK92" s="248" t="n"/>
      <c r="OXL92" s="248" t="n"/>
      <c r="OXM92" s="240" t="n"/>
      <c r="OXN92" s="240" t="n"/>
      <c r="OXP92" s="15" t="n"/>
      <c r="OXQ92" s="15" t="n"/>
      <c r="OXR92" s="248" t="n"/>
      <c r="OXS92" s="248" t="n"/>
      <c r="OXT92" s="240" t="n"/>
      <c r="OXU92" s="240" t="n"/>
      <c r="OXW92" s="15" t="n"/>
      <c r="OXX92" s="15" t="n"/>
      <c r="OXY92" s="248" t="n"/>
      <c r="OXZ92" s="248" t="n"/>
      <c r="OYA92" s="240" t="n"/>
      <c r="OYB92" s="240" t="n"/>
      <c r="OYD92" s="15" t="n"/>
      <c r="OYE92" s="15" t="n"/>
      <c r="OYF92" s="248" t="n"/>
      <c r="OYG92" s="248" t="n"/>
      <c r="OYH92" s="240" t="n"/>
      <c r="OYI92" s="240" t="n"/>
      <c r="OYK92" s="15" t="n"/>
      <c r="OYL92" s="15" t="n"/>
      <c r="OYM92" s="248" t="n"/>
      <c r="OYN92" s="248" t="n"/>
      <c r="OYO92" s="240" t="n"/>
      <c r="OYP92" s="240" t="n"/>
      <c r="OYR92" s="15" t="n"/>
      <c r="OYS92" s="15" t="n"/>
      <c r="OYT92" s="248" t="n"/>
      <c r="OYU92" s="248" t="n"/>
      <c r="OYV92" s="240" t="n"/>
      <c r="OYW92" s="240" t="n"/>
      <c r="OYY92" s="15" t="n"/>
      <c r="OYZ92" s="15" t="n"/>
      <c r="OZA92" s="248" t="n"/>
      <c r="OZB92" s="248" t="n"/>
      <c r="OZC92" s="240" t="n"/>
      <c r="OZD92" s="240" t="n"/>
      <c r="OZF92" s="15" t="n"/>
      <c r="OZG92" s="15" t="n"/>
      <c r="OZH92" s="248" t="n"/>
      <c r="OZI92" s="248" t="n"/>
      <c r="OZJ92" s="240" t="n"/>
      <c r="OZK92" s="240" t="n"/>
      <c r="OZM92" s="15" t="n"/>
      <c r="OZN92" s="15" t="n"/>
      <c r="OZO92" s="248" t="n"/>
      <c r="OZP92" s="248" t="n"/>
      <c r="OZQ92" s="240" t="n"/>
      <c r="OZR92" s="240" t="n"/>
      <c r="OZT92" s="15" t="n"/>
      <c r="OZU92" s="15" t="n"/>
      <c r="OZV92" s="248" t="n"/>
      <c r="OZW92" s="248" t="n"/>
      <c r="OZX92" s="240" t="n"/>
      <c r="OZY92" s="240" t="n"/>
      <c r="PAA92" s="15" t="n"/>
      <c r="PAB92" s="15" t="n"/>
      <c r="PAC92" s="248" t="n"/>
      <c r="PAD92" s="248" t="n"/>
      <c r="PAE92" s="240" t="n"/>
      <c r="PAF92" s="240" t="n"/>
      <c r="PAH92" s="15" t="n"/>
      <c r="PAI92" s="15" t="n"/>
      <c r="PAJ92" s="248" t="n"/>
      <c r="PAK92" s="248" t="n"/>
      <c r="PAL92" s="240" t="n"/>
      <c r="PAM92" s="240" t="n"/>
      <c r="PAO92" s="15" t="n"/>
      <c r="PAP92" s="15" t="n"/>
      <c r="PAQ92" s="248" t="n"/>
      <c r="PAR92" s="248" t="n"/>
      <c r="PAS92" s="240" t="n"/>
      <c r="PAT92" s="240" t="n"/>
      <c r="PAV92" s="15" t="n"/>
      <c r="PAW92" s="15" t="n"/>
      <c r="PAX92" s="248" t="n"/>
      <c r="PAY92" s="248" t="n"/>
      <c r="PAZ92" s="240" t="n"/>
      <c r="PBA92" s="240" t="n"/>
      <c r="PBC92" s="15" t="n"/>
      <c r="PBD92" s="15" t="n"/>
      <c r="PBE92" s="248" t="n"/>
      <c r="PBF92" s="248" t="n"/>
      <c r="PBG92" s="240" t="n"/>
      <c r="PBH92" s="240" t="n"/>
      <c r="PBJ92" s="15" t="n"/>
      <c r="PBK92" s="15" t="n"/>
      <c r="PBL92" s="248" t="n"/>
      <c r="PBM92" s="248" t="n"/>
      <c r="PBN92" s="240" t="n"/>
      <c r="PBO92" s="240" t="n"/>
      <c r="PBQ92" s="15" t="n"/>
      <c r="PBR92" s="15" t="n"/>
      <c r="PBS92" s="248" t="n"/>
      <c r="PBT92" s="248" t="n"/>
      <c r="PBU92" s="240" t="n"/>
      <c r="PBV92" s="240" t="n"/>
      <c r="PBX92" s="15" t="n"/>
      <c r="PBY92" s="15" t="n"/>
      <c r="PBZ92" s="248" t="n"/>
      <c r="PCA92" s="248" t="n"/>
      <c r="PCB92" s="240" t="n"/>
      <c r="PCC92" s="240" t="n"/>
      <c r="PCE92" s="15" t="n"/>
      <c r="PCF92" s="15" t="n"/>
      <c r="PCG92" s="248" t="n"/>
      <c r="PCH92" s="248" t="n"/>
      <c r="PCI92" s="240" t="n"/>
      <c r="PCJ92" s="240" t="n"/>
      <c r="PCL92" s="15" t="n"/>
      <c r="PCM92" s="15" t="n"/>
      <c r="PCN92" s="248" t="n"/>
      <c r="PCO92" s="248" t="n"/>
      <c r="PCP92" s="240" t="n"/>
      <c r="PCQ92" s="240" t="n"/>
      <c r="PCS92" s="15" t="n"/>
      <c r="PCT92" s="15" t="n"/>
      <c r="PCU92" s="248" t="n"/>
      <c r="PCV92" s="248" t="n"/>
      <c r="PCW92" s="240" t="n"/>
      <c r="PCX92" s="240" t="n"/>
      <c r="PCZ92" s="15" t="n"/>
      <c r="PDA92" s="15" t="n"/>
      <c r="PDB92" s="248" t="n"/>
      <c r="PDC92" s="248" t="n"/>
      <c r="PDD92" s="240" t="n"/>
      <c r="PDE92" s="240" t="n"/>
      <c r="PDG92" s="15" t="n"/>
      <c r="PDH92" s="15" t="n"/>
      <c r="PDI92" s="248" t="n"/>
      <c r="PDJ92" s="248" t="n"/>
      <c r="PDK92" s="240" t="n"/>
      <c r="PDL92" s="240" t="n"/>
      <c r="PDN92" s="15" t="n"/>
      <c r="PDO92" s="15" t="n"/>
      <c r="PDP92" s="248" t="n"/>
      <c r="PDQ92" s="248" t="n"/>
      <c r="PDR92" s="240" t="n"/>
      <c r="PDS92" s="240" t="n"/>
      <c r="PDU92" s="15" t="n"/>
      <c r="PDV92" s="15" t="n"/>
      <c r="PDW92" s="248" t="n"/>
      <c r="PDX92" s="248" t="n"/>
      <c r="PDY92" s="240" t="n"/>
      <c r="PDZ92" s="240" t="n"/>
      <c r="PEB92" s="15" t="n"/>
      <c r="PEC92" s="15" t="n"/>
      <c r="PED92" s="248" t="n"/>
      <c r="PEE92" s="248" t="n"/>
      <c r="PEF92" s="240" t="n"/>
      <c r="PEG92" s="240" t="n"/>
      <c r="PEI92" s="15" t="n"/>
      <c r="PEJ92" s="15" t="n"/>
      <c r="PEK92" s="248" t="n"/>
      <c r="PEL92" s="248" t="n"/>
      <c r="PEM92" s="240" t="n"/>
      <c r="PEN92" s="240" t="n"/>
      <c r="PEP92" s="15" t="n"/>
      <c r="PEQ92" s="15" t="n"/>
      <c r="PER92" s="248" t="n"/>
      <c r="PES92" s="248" t="n"/>
      <c r="PET92" s="240" t="n"/>
      <c r="PEU92" s="240" t="n"/>
      <c r="PEW92" s="15" t="n"/>
      <c r="PEX92" s="15" t="n"/>
      <c r="PEY92" s="248" t="n"/>
      <c r="PEZ92" s="248" t="n"/>
      <c r="PFA92" s="240" t="n"/>
      <c r="PFB92" s="240" t="n"/>
      <c r="PFD92" s="15" t="n"/>
      <c r="PFE92" s="15" t="n"/>
      <c r="PFF92" s="248" t="n"/>
      <c r="PFG92" s="248" t="n"/>
      <c r="PFH92" s="240" t="n"/>
      <c r="PFI92" s="240" t="n"/>
      <c r="PFK92" s="15" t="n"/>
      <c r="PFL92" s="15" t="n"/>
      <c r="PFM92" s="248" t="n"/>
      <c r="PFN92" s="248" t="n"/>
      <c r="PFO92" s="240" t="n"/>
      <c r="PFP92" s="240" t="n"/>
      <c r="PFR92" s="15" t="n"/>
      <c r="PFS92" s="15" t="n"/>
      <c r="PFT92" s="248" t="n"/>
      <c r="PFU92" s="248" t="n"/>
      <c r="PFV92" s="240" t="n"/>
      <c r="PFW92" s="240" t="n"/>
      <c r="PFY92" s="15" t="n"/>
      <c r="PFZ92" s="15" t="n"/>
      <c r="PGA92" s="248" t="n"/>
      <c r="PGB92" s="248" t="n"/>
      <c r="PGC92" s="240" t="n"/>
      <c r="PGD92" s="240" t="n"/>
      <c r="PGF92" s="15" t="n"/>
      <c r="PGG92" s="15" t="n"/>
      <c r="PGH92" s="248" t="n"/>
      <c r="PGI92" s="248" t="n"/>
      <c r="PGJ92" s="240" t="n"/>
      <c r="PGK92" s="240" t="n"/>
      <c r="PGM92" s="15" t="n"/>
      <c r="PGN92" s="15" t="n"/>
      <c r="PGO92" s="248" t="n"/>
      <c r="PGP92" s="248" t="n"/>
      <c r="PGQ92" s="240" t="n"/>
      <c r="PGR92" s="240" t="n"/>
      <c r="PGT92" s="15" t="n"/>
      <c r="PGU92" s="15" t="n"/>
      <c r="PGV92" s="248" t="n"/>
      <c r="PGW92" s="248" t="n"/>
      <c r="PGX92" s="240" t="n"/>
      <c r="PGY92" s="240" t="n"/>
      <c r="PHA92" s="15" t="n"/>
      <c r="PHB92" s="15" t="n"/>
      <c r="PHC92" s="248" t="n"/>
      <c r="PHD92" s="248" t="n"/>
      <c r="PHE92" s="240" t="n"/>
      <c r="PHF92" s="240" t="n"/>
      <c r="PHH92" s="15" t="n"/>
      <c r="PHI92" s="15" t="n"/>
      <c r="PHJ92" s="248" t="n"/>
      <c r="PHK92" s="248" t="n"/>
      <c r="PHL92" s="240" t="n"/>
      <c r="PHM92" s="240" t="n"/>
      <c r="PHO92" s="15" t="n"/>
      <c r="PHP92" s="15" t="n"/>
      <c r="PHQ92" s="248" t="n"/>
      <c r="PHR92" s="248" t="n"/>
      <c r="PHS92" s="240" t="n"/>
      <c r="PHT92" s="240" t="n"/>
      <c r="PHV92" s="15" t="n"/>
      <c r="PHW92" s="15" t="n"/>
      <c r="PHX92" s="248" t="n"/>
      <c r="PHY92" s="248" t="n"/>
      <c r="PHZ92" s="240" t="n"/>
      <c r="PIA92" s="240" t="n"/>
      <c r="PIC92" s="15" t="n"/>
      <c r="PID92" s="15" t="n"/>
      <c r="PIE92" s="248" t="n"/>
      <c r="PIF92" s="248" t="n"/>
      <c r="PIG92" s="240" t="n"/>
      <c r="PIH92" s="240" t="n"/>
      <c r="PIJ92" s="15" t="n"/>
      <c r="PIK92" s="15" t="n"/>
      <c r="PIL92" s="248" t="n"/>
      <c r="PIM92" s="248" t="n"/>
      <c r="PIN92" s="240" t="n"/>
      <c r="PIO92" s="240" t="n"/>
      <c r="PIQ92" s="15" t="n"/>
      <c r="PIR92" s="15" t="n"/>
      <c r="PIS92" s="248" t="n"/>
      <c r="PIT92" s="248" t="n"/>
      <c r="PIU92" s="240" t="n"/>
      <c r="PIV92" s="240" t="n"/>
      <c r="PIX92" s="15" t="n"/>
      <c r="PIY92" s="15" t="n"/>
      <c r="PIZ92" s="248" t="n"/>
      <c r="PJA92" s="248" t="n"/>
      <c r="PJB92" s="240" t="n"/>
      <c r="PJC92" s="240" t="n"/>
      <c r="PJE92" s="15" t="n"/>
      <c r="PJF92" s="15" t="n"/>
      <c r="PJG92" s="248" t="n"/>
      <c r="PJH92" s="248" t="n"/>
      <c r="PJI92" s="240" t="n"/>
      <c r="PJJ92" s="240" t="n"/>
      <c r="PJL92" s="15" t="n"/>
      <c r="PJM92" s="15" t="n"/>
      <c r="PJN92" s="248" t="n"/>
      <c r="PJO92" s="248" t="n"/>
      <c r="PJP92" s="240" t="n"/>
      <c r="PJQ92" s="240" t="n"/>
      <c r="PJS92" s="15" t="n"/>
      <c r="PJT92" s="15" t="n"/>
      <c r="PJU92" s="248" t="n"/>
      <c r="PJV92" s="248" t="n"/>
      <c r="PJW92" s="240" t="n"/>
      <c r="PJX92" s="240" t="n"/>
      <c r="PJZ92" s="15" t="n"/>
      <c r="PKA92" s="15" t="n"/>
      <c r="PKB92" s="248" t="n"/>
      <c r="PKC92" s="248" t="n"/>
      <c r="PKD92" s="240" t="n"/>
      <c r="PKE92" s="240" t="n"/>
      <c r="PKG92" s="15" t="n"/>
      <c r="PKH92" s="15" t="n"/>
      <c r="PKI92" s="248" t="n"/>
      <c r="PKJ92" s="248" t="n"/>
      <c r="PKK92" s="240" t="n"/>
      <c r="PKL92" s="240" t="n"/>
      <c r="PKN92" s="15" t="n"/>
      <c r="PKO92" s="15" t="n"/>
      <c r="PKP92" s="248" t="n"/>
      <c r="PKQ92" s="248" t="n"/>
      <c r="PKR92" s="240" t="n"/>
      <c r="PKS92" s="240" t="n"/>
      <c r="PKU92" s="15" t="n"/>
      <c r="PKV92" s="15" t="n"/>
      <c r="PKW92" s="248" t="n"/>
      <c r="PKX92" s="248" t="n"/>
      <c r="PKY92" s="240" t="n"/>
      <c r="PKZ92" s="240" t="n"/>
      <c r="PLB92" s="15" t="n"/>
      <c r="PLC92" s="15" t="n"/>
      <c r="PLD92" s="248" t="n"/>
      <c r="PLE92" s="248" t="n"/>
      <c r="PLF92" s="240" t="n"/>
      <c r="PLG92" s="240" t="n"/>
      <c r="PLI92" s="15" t="n"/>
      <c r="PLJ92" s="15" t="n"/>
      <c r="PLK92" s="248" t="n"/>
      <c r="PLL92" s="248" t="n"/>
      <c r="PLM92" s="240" t="n"/>
      <c r="PLN92" s="240" t="n"/>
      <c r="PLP92" s="15" t="n"/>
      <c r="PLQ92" s="15" t="n"/>
      <c r="PLR92" s="248" t="n"/>
      <c r="PLS92" s="248" t="n"/>
      <c r="PLT92" s="240" t="n"/>
      <c r="PLU92" s="240" t="n"/>
      <c r="PLW92" s="15" t="n"/>
      <c r="PLX92" s="15" t="n"/>
      <c r="PLY92" s="248" t="n"/>
      <c r="PLZ92" s="248" t="n"/>
      <c r="PMA92" s="240" t="n"/>
      <c r="PMB92" s="240" t="n"/>
      <c r="PMD92" s="15" t="n"/>
      <c r="PME92" s="15" t="n"/>
      <c r="PMF92" s="248" t="n"/>
      <c r="PMG92" s="248" t="n"/>
      <c r="PMH92" s="240" t="n"/>
      <c r="PMI92" s="240" t="n"/>
      <c r="PMK92" s="15" t="n"/>
      <c r="PML92" s="15" t="n"/>
      <c r="PMM92" s="248" t="n"/>
      <c r="PMN92" s="248" t="n"/>
      <c r="PMO92" s="240" t="n"/>
      <c r="PMP92" s="240" t="n"/>
      <c r="PMR92" s="15" t="n"/>
      <c r="PMS92" s="15" t="n"/>
      <c r="PMT92" s="248" t="n"/>
      <c r="PMU92" s="248" t="n"/>
      <c r="PMV92" s="240" t="n"/>
      <c r="PMW92" s="240" t="n"/>
      <c r="PMY92" s="15" t="n"/>
      <c r="PMZ92" s="15" t="n"/>
      <c r="PNA92" s="248" t="n"/>
      <c r="PNB92" s="248" t="n"/>
      <c r="PNC92" s="240" t="n"/>
      <c r="PND92" s="240" t="n"/>
      <c r="PNF92" s="15" t="n"/>
      <c r="PNG92" s="15" t="n"/>
      <c r="PNH92" s="248" t="n"/>
      <c r="PNI92" s="248" t="n"/>
      <c r="PNJ92" s="240" t="n"/>
      <c r="PNK92" s="240" t="n"/>
      <c r="PNM92" s="15" t="n"/>
      <c r="PNN92" s="15" t="n"/>
      <c r="PNO92" s="248" t="n"/>
      <c r="PNP92" s="248" t="n"/>
      <c r="PNQ92" s="240" t="n"/>
      <c r="PNR92" s="240" t="n"/>
      <c r="PNT92" s="15" t="n"/>
      <c r="PNU92" s="15" t="n"/>
      <c r="PNV92" s="248" t="n"/>
      <c r="PNW92" s="248" t="n"/>
      <c r="PNX92" s="240" t="n"/>
      <c r="PNY92" s="240" t="n"/>
      <c r="POA92" s="15" t="n"/>
      <c r="POB92" s="15" t="n"/>
      <c r="POC92" s="248" t="n"/>
      <c r="POD92" s="248" t="n"/>
      <c r="POE92" s="240" t="n"/>
      <c r="POF92" s="240" t="n"/>
      <c r="POH92" s="15" t="n"/>
      <c r="POI92" s="15" t="n"/>
      <c r="POJ92" s="248" t="n"/>
      <c r="POK92" s="248" t="n"/>
      <c r="POL92" s="240" t="n"/>
      <c r="POM92" s="240" t="n"/>
      <c r="POO92" s="15" t="n"/>
      <c r="POP92" s="15" t="n"/>
      <c r="POQ92" s="248" t="n"/>
      <c r="POR92" s="248" t="n"/>
      <c r="POS92" s="240" t="n"/>
      <c r="POT92" s="240" t="n"/>
      <c r="POV92" s="15" t="n"/>
      <c r="POW92" s="15" t="n"/>
      <c r="POX92" s="248" t="n"/>
      <c r="POY92" s="248" t="n"/>
      <c r="POZ92" s="240" t="n"/>
      <c r="PPA92" s="240" t="n"/>
      <c r="PPC92" s="15" t="n"/>
      <c r="PPD92" s="15" t="n"/>
      <c r="PPE92" s="248" t="n"/>
      <c r="PPF92" s="248" t="n"/>
      <c r="PPG92" s="240" t="n"/>
      <c r="PPH92" s="240" t="n"/>
      <c r="PPJ92" s="15" t="n"/>
      <c r="PPK92" s="15" t="n"/>
      <c r="PPL92" s="248" t="n"/>
      <c r="PPM92" s="248" t="n"/>
      <c r="PPN92" s="240" t="n"/>
      <c r="PPO92" s="240" t="n"/>
      <c r="PPQ92" s="15" t="n"/>
      <c r="PPR92" s="15" t="n"/>
      <c r="PPS92" s="248" t="n"/>
      <c r="PPT92" s="248" t="n"/>
      <c r="PPU92" s="240" t="n"/>
      <c r="PPV92" s="240" t="n"/>
      <c r="PPX92" s="15" t="n"/>
      <c r="PPY92" s="15" t="n"/>
      <c r="PPZ92" s="248" t="n"/>
      <c r="PQA92" s="248" t="n"/>
      <c r="PQB92" s="240" t="n"/>
      <c r="PQC92" s="240" t="n"/>
      <c r="PQE92" s="15" t="n"/>
      <c r="PQF92" s="15" t="n"/>
      <c r="PQG92" s="248" t="n"/>
      <c r="PQH92" s="248" t="n"/>
      <c r="PQI92" s="240" t="n"/>
      <c r="PQJ92" s="240" t="n"/>
      <c r="PQL92" s="15" t="n"/>
      <c r="PQM92" s="15" t="n"/>
      <c r="PQN92" s="248" t="n"/>
      <c r="PQO92" s="248" t="n"/>
      <c r="PQP92" s="240" t="n"/>
      <c r="PQQ92" s="240" t="n"/>
      <c r="PQS92" s="15" t="n"/>
      <c r="PQT92" s="15" t="n"/>
      <c r="PQU92" s="248" t="n"/>
      <c r="PQV92" s="248" t="n"/>
      <c r="PQW92" s="240" t="n"/>
      <c r="PQX92" s="240" t="n"/>
      <c r="PQZ92" s="15" t="n"/>
      <c r="PRA92" s="15" t="n"/>
      <c r="PRB92" s="248" t="n"/>
      <c r="PRC92" s="248" t="n"/>
      <c r="PRD92" s="240" t="n"/>
      <c r="PRE92" s="240" t="n"/>
      <c r="PRG92" s="15" t="n"/>
      <c r="PRH92" s="15" t="n"/>
      <c r="PRI92" s="248" t="n"/>
      <c r="PRJ92" s="248" t="n"/>
      <c r="PRK92" s="240" t="n"/>
      <c r="PRL92" s="240" t="n"/>
      <c r="PRN92" s="15" t="n"/>
      <c r="PRO92" s="15" t="n"/>
      <c r="PRP92" s="248" t="n"/>
      <c r="PRQ92" s="248" t="n"/>
      <c r="PRR92" s="240" t="n"/>
      <c r="PRS92" s="240" t="n"/>
      <c r="PRU92" s="15" t="n"/>
      <c r="PRV92" s="15" t="n"/>
      <c r="PRW92" s="248" t="n"/>
      <c r="PRX92" s="248" t="n"/>
      <c r="PRY92" s="240" t="n"/>
      <c r="PRZ92" s="240" t="n"/>
      <c r="PSB92" s="15" t="n"/>
      <c r="PSC92" s="15" t="n"/>
      <c r="PSD92" s="248" t="n"/>
      <c r="PSE92" s="248" t="n"/>
      <c r="PSF92" s="240" t="n"/>
      <c r="PSG92" s="240" t="n"/>
      <c r="PSI92" s="15" t="n"/>
      <c r="PSJ92" s="15" t="n"/>
      <c r="PSK92" s="248" t="n"/>
      <c r="PSL92" s="248" t="n"/>
      <c r="PSM92" s="240" t="n"/>
      <c r="PSN92" s="240" t="n"/>
      <c r="PSP92" s="15" t="n"/>
      <c r="PSQ92" s="15" t="n"/>
      <c r="PSR92" s="248" t="n"/>
      <c r="PSS92" s="248" t="n"/>
      <c r="PST92" s="240" t="n"/>
      <c r="PSU92" s="240" t="n"/>
      <c r="PSW92" s="15" t="n"/>
      <c r="PSX92" s="15" t="n"/>
      <c r="PSY92" s="248" t="n"/>
      <c r="PSZ92" s="248" t="n"/>
      <c r="PTA92" s="240" t="n"/>
      <c r="PTB92" s="240" t="n"/>
      <c r="PTD92" s="15" t="n"/>
      <c r="PTE92" s="15" t="n"/>
      <c r="PTF92" s="248" t="n"/>
      <c r="PTG92" s="248" t="n"/>
      <c r="PTH92" s="240" t="n"/>
      <c r="PTI92" s="240" t="n"/>
      <c r="PTK92" s="15" t="n"/>
      <c r="PTL92" s="15" t="n"/>
      <c r="PTM92" s="248" t="n"/>
      <c r="PTN92" s="248" t="n"/>
      <c r="PTO92" s="240" t="n"/>
      <c r="PTP92" s="240" t="n"/>
      <c r="PTR92" s="15" t="n"/>
      <c r="PTS92" s="15" t="n"/>
      <c r="PTT92" s="248" t="n"/>
      <c r="PTU92" s="248" t="n"/>
      <c r="PTV92" s="240" t="n"/>
      <c r="PTW92" s="240" t="n"/>
      <c r="PTY92" s="15" t="n"/>
      <c r="PTZ92" s="15" t="n"/>
      <c r="PUA92" s="248" t="n"/>
      <c r="PUB92" s="248" t="n"/>
      <c r="PUC92" s="240" t="n"/>
      <c r="PUD92" s="240" t="n"/>
      <c r="PUF92" s="15" t="n"/>
      <c r="PUG92" s="15" t="n"/>
      <c r="PUH92" s="248" t="n"/>
      <c r="PUI92" s="248" t="n"/>
      <c r="PUJ92" s="240" t="n"/>
      <c r="PUK92" s="240" t="n"/>
      <c r="PUM92" s="15" t="n"/>
      <c r="PUN92" s="15" t="n"/>
      <c r="PUO92" s="248" t="n"/>
      <c r="PUP92" s="248" t="n"/>
      <c r="PUQ92" s="240" t="n"/>
      <c r="PUR92" s="240" t="n"/>
      <c r="PUT92" s="15" t="n"/>
      <c r="PUU92" s="15" t="n"/>
      <c r="PUV92" s="248" t="n"/>
      <c r="PUW92" s="248" t="n"/>
      <c r="PUX92" s="240" t="n"/>
      <c r="PUY92" s="240" t="n"/>
      <c r="PVA92" s="15" t="n"/>
      <c r="PVB92" s="15" t="n"/>
      <c r="PVC92" s="248" t="n"/>
      <c r="PVD92" s="248" t="n"/>
      <c r="PVE92" s="240" t="n"/>
      <c r="PVF92" s="240" t="n"/>
      <c r="PVH92" s="15" t="n"/>
      <c r="PVI92" s="15" t="n"/>
      <c r="PVJ92" s="248" t="n"/>
      <c r="PVK92" s="248" t="n"/>
      <c r="PVL92" s="240" t="n"/>
      <c r="PVM92" s="240" t="n"/>
      <c r="PVO92" s="15" t="n"/>
      <c r="PVP92" s="15" t="n"/>
      <c r="PVQ92" s="248" t="n"/>
      <c r="PVR92" s="248" t="n"/>
      <c r="PVS92" s="240" t="n"/>
      <c r="PVT92" s="240" t="n"/>
      <c r="PVV92" s="15" t="n"/>
      <c r="PVW92" s="15" t="n"/>
      <c r="PVX92" s="248" t="n"/>
      <c r="PVY92" s="248" t="n"/>
      <c r="PVZ92" s="240" t="n"/>
      <c r="PWA92" s="240" t="n"/>
      <c r="PWC92" s="15" t="n"/>
      <c r="PWD92" s="15" t="n"/>
      <c r="PWE92" s="248" t="n"/>
      <c r="PWF92" s="248" t="n"/>
      <c r="PWG92" s="240" t="n"/>
      <c r="PWH92" s="240" t="n"/>
      <c r="PWJ92" s="15" t="n"/>
      <c r="PWK92" s="15" t="n"/>
      <c r="PWL92" s="248" t="n"/>
      <c r="PWM92" s="248" t="n"/>
      <c r="PWN92" s="240" t="n"/>
      <c r="PWO92" s="240" t="n"/>
      <c r="PWQ92" s="15" t="n"/>
      <c r="PWR92" s="15" t="n"/>
      <c r="PWS92" s="248" t="n"/>
      <c r="PWT92" s="248" t="n"/>
      <c r="PWU92" s="240" t="n"/>
      <c r="PWV92" s="240" t="n"/>
      <c r="PWX92" s="15" t="n"/>
      <c r="PWY92" s="15" t="n"/>
      <c r="PWZ92" s="248" t="n"/>
      <c r="PXA92" s="248" t="n"/>
      <c r="PXB92" s="240" t="n"/>
      <c r="PXC92" s="240" t="n"/>
      <c r="PXE92" s="15" t="n"/>
      <c r="PXF92" s="15" t="n"/>
      <c r="PXG92" s="248" t="n"/>
      <c r="PXH92" s="248" t="n"/>
      <c r="PXI92" s="240" t="n"/>
      <c r="PXJ92" s="240" t="n"/>
      <c r="PXL92" s="15" t="n"/>
      <c r="PXM92" s="15" t="n"/>
      <c r="PXN92" s="248" t="n"/>
      <c r="PXO92" s="248" t="n"/>
      <c r="PXP92" s="240" t="n"/>
      <c r="PXQ92" s="240" t="n"/>
      <c r="PXS92" s="15" t="n"/>
      <c r="PXT92" s="15" t="n"/>
      <c r="PXU92" s="248" t="n"/>
      <c r="PXV92" s="248" t="n"/>
      <c r="PXW92" s="240" t="n"/>
      <c r="PXX92" s="240" t="n"/>
      <c r="PXZ92" s="15" t="n"/>
      <c r="PYA92" s="15" t="n"/>
      <c r="PYB92" s="248" t="n"/>
      <c r="PYC92" s="248" t="n"/>
      <c r="PYD92" s="240" t="n"/>
      <c r="PYE92" s="240" t="n"/>
      <c r="PYG92" s="15" t="n"/>
      <c r="PYH92" s="15" t="n"/>
      <c r="PYI92" s="248" t="n"/>
      <c r="PYJ92" s="248" t="n"/>
      <c r="PYK92" s="240" t="n"/>
      <c r="PYL92" s="240" t="n"/>
      <c r="PYN92" s="15" t="n"/>
      <c r="PYO92" s="15" t="n"/>
      <c r="PYP92" s="248" t="n"/>
      <c r="PYQ92" s="248" t="n"/>
      <c r="PYR92" s="240" t="n"/>
      <c r="PYS92" s="240" t="n"/>
      <c r="PYU92" s="15" t="n"/>
      <c r="PYV92" s="15" t="n"/>
      <c r="PYW92" s="248" t="n"/>
      <c r="PYX92" s="248" t="n"/>
      <c r="PYY92" s="240" t="n"/>
      <c r="PYZ92" s="240" t="n"/>
      <c r="PZB92" s="15" t="n"/>
      <c r="PZC92" s="15" t="n"/>
      <c r="PZD92" s="248" t="n"/>
      <c r="PZE92" s="248" t="n"/>
      <c r="PZF92" s="240" t="n"/>
      <c r="PZG92" s="240" t="n"/>
      <c r="PZI92" s="15" t="n"/>
      <c r="PZJ92" s="15" t="n"/>
      <c r="PZK92" s="248" t="n"/>
      <c r="PZL92" s="248" t="n"/>
      <c r="PZM92" s="240" t="n"/>
      <c r="PZN92" s="240" t="n"/>
      <c r="PZP92" s="15" t="n"/>
      <c r="PZQ92" s="15" t="n"/>
      <c r="PZR92" s="248" t="n"/>
      <c r="PZS92" s="248" t="n"/>
      <c r="PZT92" s="240" t="n"/>
      <c r="PZU92" s="240" t="n"/>
      <c r="PZW92" s="15" t="n"/>
      <c r="PZX92" s="15" t="n"/>
      <c r="PZY92" s="248" t="n"/>
      <c r="PZZ92" s="248" t="n"/>
      <c r="QAA92" s="240" t="n"/>
      <c r="QAB92" s="240" t="n"/>
      <c r="QAD92" s="15" t="n"/>
      <c r="QAE92" s="15" t="n"/>
      <c r="QAF92" s="248" t="n"/>
      <c r="QAG92" s="248" t="n"/>
      <c r="QAH92" s="240" t="n"/>
      <c r="QAI92" s="240" t="n"/>
      <c r="QAK92" s="15" t="n"/>
      <c r="QAL92" s="15" t="n"/>
      <c r="QAM92" s="248" t="n"/>
      <c r="QAN92" s="248" t="n"/>
      <c r="QAO92" s="240" t="n"/>
      <c r="QAP92" s="240" t="n"/>
      <c r="QAR92" s="15" t="n"/>
      <c r="QAS92" s="15" t="n"/>
      <c r="QAT92" s="248" t="n"/>
      <c r="QAU92" s="248" t="n"/>
      <c r="QAV92" s="240" t="n"/>
      <c r="QAW92" s="240" t="n"/>
      <c r="QAY92" s="15" t="n"/>
      <c r="QAZ92" s="15" t="n"/>
      <c r="QBA92" s="248" t="n"/>
      <c r="QBB92" s="248" t="n"/>
      <c r="QBC92" s="240" t="n"/>
      <c r="QBD92" s="240" t="n"/>
      <c r="QBF92" s="15" t="n"/>
      <c r="QBG92" s="15" t="n"/>
      <c r="QBH92" s="248" t="n"/>
      <c r="QBI92" s="248" t="n"/>
      <c r="QBJ92" s="240" t="n"/>
      <c r="QBK92" s="240" t="n"/>
      <c r="QBM92" s="15" t="n"/>
      <c r="QBN92" s="15" t="n"/>
      <c r="QBO92" s="248" t="n"/>
      <c r="QBP92" s="248" t="n"/>
      <c r="QBQ92" s="240" t="n"/>
      <c r="QBR92" s="240" t="n"/>
      <c r="QBT92" s="15" t="n"/>
      <c r="QBU92" s="15" t="n"/>
      <c r="QBV92" s="248" t="n"/>
      <c r="QBW92" s="248" t="n"/>
      <c r="QBX92" s="240" t="n"/>
      <c r="QBY92" s="240" t="n"/>
      <c r="QCA92" s="15" t="n"/>
      <c r="QCB92" s="15" t="n"/>
      <c r="QCC92" s="248" t="n"/>
      <c r="QCD92" s="248" t="n"/>
      <c r="QCE92" s="240" t="n"/>
      <c r="QCF92" s="240" t="n"/>
      <c r="QCH92" s="15" t="n"/>
      <c r="QCI92" s="15" t="n"/>
      <c r="QCJ92" s="248" t="n"/>
      <c r="QCK92" s="248" t="n"/>
      <c r="QCL92" s="240" t="n"/>
      <c r="QCM92" s="240" t="n"/>
      <c r="QCO92" s="15" t="n"/>
      <c r="QCP92" s="15" t="n"/>
      <c r="QCQ92" s="248" t="n"/>
      <c r="QCR92" s="248" t="n"/>
      <c r="QCS92" s="240" t="n"/>
      <c r="QCT92" s="240" t="n"/>
      <c r="QCV92" s="15" t="n"/>
      <c r="QCW92" s="15" t="n"/>
      <c r="QCX92" s="248" t="n"/>
      <c r="QCY92" s="248" t="n"/>
      <c r="QCZ92" s="240" t="n"/>
      <c r="QDA92" s="240" t="n"/>
      <c r="QDC92" s="15" t="n"/>
      <c r="QDD92" s="15" t="n"/>
      <c r="QDE92" s="248" t="n"/>
      <c r="QDF92" s="248" t="n"/>
      <c r="QDG92" s="240" t="n"/>
      <c r="QDH92" s="240" t="n"/>
      <c r="QDJ92" s="15" t="n"/>
      <c r="QDK92" s="15" t="n"/>
      <c r="QDL92" s="248" t="n"/>
      <c r="QDM92" s="248" t="n"/>
      <c r="QDN92" s="240" t="n"/>
      <c r="QDO92" s="240" t="n"/>
      <c r="QDQ92" s="15" t="n"/>
      <c r="QDR92" s="15" t="n"/>
      <c r="QDS92" s="248" t="n"/>
      <c r="QDT92" s="248" t="n"/>
      <c r="QDU92" s="240" t="n"/>
      <c r="QDV92" s="240" t="n"/>
      <c r="QDX92" s="15" t="n"/>
      <c r="QDY92" s="15" t="n"/>
      <c r="QDZ92" s="248" t="n"/>
      <c r="QEA92" s="248" t="n"/>
      <c r="QEB92" s="240" t="n"/>
      <c r="QEC92" s="240" t="n"/>
      <c r="QEE92" s="15" t="n"/>
      <c r="QEF92" s="15" t="n"/>
      <c r="QEG92" s="248" t="n"/>
      <c r="QEH92" s="248" t="n"/>
      <c r="QEI92" s="240" t="n"/>
      <c r="QEJ92" s="240" t="n"/>
      <c r="QEL92" s="15" t="n"/>
      <c r="QEM92" s="15" t="n"/>
      <c r="QEN92" s="248" t="n"/>
      <c r="QEO92" s="248" t="n"/>
      <c r="QEP92" s="240" t="n"/>
      <c r="QEQ92" s="240" t="n"/>
      <c r="QES92" s="15" t="n"/>
      <c r="QET92" s="15" t="n"/>
      <c r="QEU92" s="248" t="n"/>
      <c r="QEV92" s="248" t="n"/>
      <c r="QEW92" s="240" t="n"/>
      <c r="QEX92" s="240" t="n"/>
      <c r="QEZ92" s="15" t="n"/>
      <c r="QFA92" s="15" t="n"/>
      <c r="QFB92" s="248" t="n"/>
      <c r="QFC92" s="248" t="n"/>
      <c r="QFD92" s="240" t="n"/>
      <c r="QFE92" s="240" t="n"/>
      <c r="QFG92" s="15" t="n"/>
      <c r="QFH92" s="15" t="n"/>
      <c r="QFI92" s="248" t="n"/>
      <c r="QFJ92" s="248" t="n"/>
      <c r="QFK92" s="240" t="n"/>
      <c r="QFL92" s="240" t="n"/>
      <c r="QFN92" s="15" t="n"/>
      <c r="QFO92" s="15" t="n"/>
      <c r="QFP92" s="248" t="n"/>
      <c r="QFQ92" s="248" t="n"/>
      <c r="QFR92" s="240" t="n"/>
      <c r="QFS92" s="240" t="n"/>
      <c r="QFU92" s="15" t="n"/>
      <c r="QFV92" s="15" t="n"/>
      <c r="QFW92" s="248" t="n"/>
      <c r="QFX92" s="248" t="n"/>
      <c r="QFY92" s="240" t="n"/>
      <c r="QFZ92" s="240" t="n"/>
      <c r="QGB92" s="15" t="n"/>
      <c r="QGC92" s="15" t="n"/>
      <c r="QGD92" s="248" t="n"/>
      <c r="QGE92" s="248" t="n"/>
      <c r="QGF92" s="240" t="n"/>
      <c r="QGG92" s="240" t="n"/>
      <c r="QGI92" s="15" t="n"/>
      <c r="QGJ92" s="15" t="n"/>
      <c r="QGK92" s="248" t="n"/>
      <c r="QGL92" s="248" t="n"/>
      <c r="QGM92" s="240" t="n"/>
      <c r="QGN92" s="240" t="n"/>
      <c r="QGP92" s="15" t="n"/>
      <c r="QGQ92" s="15" t="n"/>
      <c r="QGR92" s="248" t="n"/>
      <c r="QGS92" s="248" t="n"/>
      <c r="QGT92" s="240" t="n"/>
      <c r="QGU92" s="240" t="n"/>
      <c r="QGW92" s="15" t="n"/>
      <c r="QGX92" s="15" t="n"/>
      <c r="QGY92" s="248" t="n"/>
      <c r="QGZ92" s="248" t="n"/>
      <c r="QHA92" s="240" t="n"/>
      <c r="QHB92" s="240" t="n"/>
      <c r="QHD92" s="15" t="n"/>
      <c r="QHE92" s="15" t="n"/>
      <c r="QHF92" s="248" t="n"/>
      <c r="QHG92" s="248" t="n"/>
      <c r="QHH92" s="240" t="n"/>
      <c r="QHI92" s="240" t="n"/>
      <c r="QHK92" s="15" t="n"/>
      <c r="QHL92" s="15" t="n"/>
      <c r="QHM92" s="248" t="n"/>
      <c r="QHN92" s="248" t="n"/>
      <c r="QHO92" s="240" t="n"/>
      <c r="QHP92" s="240" t="n"/>
      <c r="QHR92" s="15" t="n"/>
      <c r="QHS92" s="15" t="n"/>
      <c r="QHT92" s="248" t="n"/>
      <c r="QHU92" s="248" t="n"/>
      <c r="QHV92" s="240" t="n"/>
      <c r="QHW92" s="240" t="n"/>
      <c r="QHY92" s="15" t="n"/>
      <c r="QHZ92" s="15" t="n"/>
      <c r="QIA92" s="248" t="n"/>
      <c r="QIB92" s="248" t="n"/>
      <c r="QIC92" s="240" t="n"/>
      <c r="QID92" s="240" t="n"/>
      <c r="QIF92" s="15" t="n"/>
      <c r="QIG92" s="15" t="n"/>
      <c r="QIH92" s="248" t="n"/>
      <c r="QII92" s="248" t="n"/>
      <c r="QIJ92" s="240" t="n"/>
      <c r="QIK92" s="240" t="n"/>
      <c r="QIM92" s="15" t="n"/>
      <c r="QIN92" s="15" t="n"/>
      <c r="QIO92" s="248" t="n"/>
      <c r="QIP92" s="248" t="n"/>
      <c r="QIQ92" s="240" t="n"/>
      <c r="QIR92" s="240" t="n"/>
      <c r="QIT92" s="15" t="n"/>
      <c r="QIU92" s="15" t="n"/>
      <c r="QIV92" s="248" t="n"/>
      <c r="QIW92" s="248" t="n"/>
      <c r="QIX92" s="240" t="n"/>
      <c r="QIY92" s="240" t="n"/>
      <c r="QJA92" s="15" t="n"/>
      <c r="QJB92" s="15" t="n"/>
      <c r="QJC92" s="248" t="n"/>
      <c r="QJD92" s="248" t="n"/>
      <c r="QJE92" s="240" t="n"/>
      <c r="QJF92" s="240" t="n"/>
      <c r="QJH92" s="15" t="n"/>
      <c r="QJI92" s="15" t="n"/>
      <c r="QJJ92" s="248" t="n"/>
      <c r="QJK92" s="248" t="n"/>
      <c r="QJL92" s="240" t="n"/>
      <c r="QJM92" s="240" t="n"/>
      <c r="QJO92" s="15" t="n"/>
      <c r="QJP92" s="15" t="n"/>
      <c r="QJQ92" s="248" t="n"/>
      <c r="QJR92" s="248" t="n"/>
      <c r="QJS92" s="240" t="n"/>
      <c r="QJT92" s="240" t="n"/>
      <c r="QJV92" s="15" t="n"/>
      <c r="QJW92" s="15" t="n"/>
      <c r="QJX92" s="248" t="n"/>
      <c r="QJY92" s="248" t="n"/>
      <c r="QJZ92" s="240" t="n"/>
      <c r="QKA92" s="240" t="n"/>
      <c r="QKC92" s="15" t="n"/>
      <c r="QKD92" s="15" t="n"/>
      <c r="QKE92" s="248" t="n"/>
      <c r="QKF92" s="248" t="n"/>
      <c r="QKG92" s="240" t="n"/>
      <c r="QKH92" s="240" t="n"/>
      <c r="QKJ92" s="15" t="n"/>
      <c r="QKK92" s="15" t="n"/>
      <c r="QKL92" s="248" t="n"/>
      <c r="QKM92" s="248" t="n"/>
      <c r="QKN92" s="240" t="n"/>
      <c r="QKO92" s="240" t="n"/>
      <c r="QKQ92" s="15" t="n"/>
      <c r="QKR92" s="15" t="n"/>
      <c r="QKS92" s="248" t="n"/>
      <c r="QKT92" s="248" t="n"/>
      <c r="QKU92" s="240" t="n"/>
      <c r="QKV92" s="240" t="n"/>
      <c r="QKX92" s="15" t="n"/>
      <c r="QKY92" s="15" t="n"/>
      <c r="QKZ92" s="248" t="n"/>
      <c r="QLA92" s="248" t="n"/>
      <c r="QLB92" s="240" t="n"/>
      <c r="QLC92" s="240" t="n"/>
      <c r="QLE92" s="15" t="n"/>
      <c r="QLF92" s="15" t="n"/>
      <c r="QLG92" s="248" t="n"/>
      <c r="QLH92" s="248" t="n"/>
      <c r="QLI92" s="240" t="n"/>
      <c r="QLJ92" s="240" t="n"/>
      <c r="QLL92" s="15" t="n"/>
      <c r="QLM92" s="15" t="n"/>
      <c r="QLN92" s="248" t="n"/>
      <c r="QLO92" s="248" t="n"/>
      <c r="QLP92" s="240" t="n"/>
      <c r="QLQ92" s="240" t="n"/>
      <c r="QLS92" s="15" t="n"/>
      <c r="QLT92" s="15" t="n"/>
      <c r="QLU92" s="248" t="n"/>
      <c r="QLV92" s="248" t="n"/>
      <c r="QLW92" s="240" t="n"/>
      <c r="QLX92" s="240" t="n"/>
      <c r="QLZ92" s="15" t="n"/>
      <c r="QMA92" s="15" t="n"/>
      <c r="QMB92" s="248" t="n"/>
      <c r="QMC92" s="248" t="n"/>
      <c r="QMD92" s="240" t="n"/>
      <c r="QME92" s="240" t="n"/>
      <c r="QMG92" s="15" t="n"/>
      <c r="QMH92" s="15" t="n"/>
      <c r="QMI92" s="248" t="n"/>
      <c r="QMJ92" s="248" t="n"/>
      <c r="QMK92" s="240" t="n"/>
      <c r="QML92" s="240" t="n"/>
      <c r="QMN92" s="15" t="n"/>
      <c r="QMO92" s="15" t="n"/>
      <c r="QMP92" s="248" t="n"/>
      <c r="QMQ92" s="248" t="n"/>
      <c r="QMR92" s="240" t="n"/>
      <c r="QMS92" s="240" t="n"/>
      <c r="QMU92" s="15" t="n"/>
      <c r="QMV92" s="15" t="n"/>
      <c r="QMW92" s="248" t="n"/>
      <c r="QMX92" s="248" t="n"/>
      <c r="QMY92" s="240" t="n"/>
      <c r="QMZ92" s="240" t="n"/>
      <c r="QNB92" s="15" t="n"/>
      <c r="QNC92" s="15" t="n"/>
      <c r="QND92" s="248" t="n"/>
      <c r="QNE92" s="248" t="n"/>
      <c r="QNF92" s="240" t="n"/>
      <c r="QNG92" s="240" t="n"/>
      <c r="QNI92" s="15" t="n"/>
      <c r="QNJ92" s="15" t="n"/>
      <c r="QNK92" s="248" t="n"/>
      <c r="QNL92" s="248" t="n"/>
      <c r="QNM92" s="240" t="n"/>
      <c r="QNN92" s="240" t="n"/>
      <c r="QNP92" s="15" t="n"/>
      <c r="QNQ92" s="15" t="n"/>
      <c r="QNR92" s="248" t="n"/>
      <c r="QNS92" s="248" t="n"/>
      <c r="QNT92" s="240" t="n"/>
      <c r="QNU92" s="240" t="n"/>
      <c r="QNW92" s="15" t="n"/>
      <c r="QNX92" s="15" t="n"/>
      <c r="QNY92" s="248" t="n"/>
      <c r="QNZ92" s="248" t="n"/>
      <c r="QOA92" s="240" t="n"/>
      <c r="QOB92" s="240" t="n"/>
      <c r="QOD92" s="15" t="n"/>
      <c r="QOE92" s="15" t="n"/>
      <c r="QOF92" s="248" t="n"/>
      <c r="QOG92" s="248" t="n"/>
      <c r="QOH92" s="240" t="n"/>
      <c r="QOI92" s="240" t="n"/>
      <c r="QOK92" s="15" t="n"/>
      <c r="QOL92" s="15" t="n"/>
      <c r="QOM92" s="248" t="n"/>
      <c r="QON92" s="248" t="n"/>
      <c r="QOO92" s="240" t="n"/>
      <c r="QOP92" s="240" t="n"/>
      <c r="QOR92" s="15" t="n"/>
      <c r="QOS92" s="15" t="n"/>
      <c r="QOT92" s="248" t="n"/>
      <c r="QOU92" s="248" t="n"/>
      <c r="QOV92" s="240" t="n"/>
      <c r="QOW92" s="240" t="n"/>
      <c r="QOY92" s="15" t="n"/>
      <c r="QOZ92" s="15" t="n"/>
      <c r="QPA92" s="248" t="n"/>
      <c r="QPB92" s="248" t="n"/>
      <c r="QPC92" s="240" t="n"/>
      <c r="QPD92" s="240" t="n"/>
      <c r="QPF92" s="15" t="n"/>
      <c r="QPG92" s="15" t="n"/>
      <c r="QPH92" s="248" t="n"/>
      <c r="QPI92" s="248" t="n"/>
      <c r="QPJ92" s="240" t="n"/>
      <c r="QPK92" s="240" t="n"/>
      <c r="QPM92" s="15" t="n"/>
      <c r="QPN92" s="15" t="n"/>
      <c r="QPO92" s="248" t="n"/>
      <c r="QPP92" s="248" t="n"/>
      <c r="QPQ92" s="240" t="n"/>
      <c r="QPR92" s="240" t="n"/>
      <c r="QPT92" s="15" t="n"/>
      <c r="QPU92" s="15" t="n"/>
      <c r="QPV92" s="248" t="n"/>
      <c r="QPW92" s="248" t="n"/>
      <c r="QPX92" s="240" t="n"/>
      <c r="QPY92" s="240" t="n"/>
      <c r="QQA92" s="15" t="n"/>
      <c r="QQB92" s="15" t="n"/>
      <c r="QQC92" s="248" t="n"/>
      <c r="QQD92" s="248" t="n"/>
      <c r="QQE92" s="240" t="n"/>
      <c r="QQF92" s="240" t="n"/>
      <c r="QQH92" s="15" t="n"/>
      <c r="QQI92" s="15" t="n"/>
      <c r="QQJ92" s="248" t="n"/>
      <c r="QQK92" s="248" t="n"/>
      <c r="QQL92" s="240" t="n"/>
      <c r="QQM92" s="240" t="n"/>
      <c r="QQO92" s="15" t="n"/>
      <c r="QQP92" s="15" t="n"/>
      <c r="QQQ92" s="248" t="n"/>
      <c r="QQR92" s="248" t="n"/>
      <c r="QQS92" s="240" t="n"/>
      <c r="QQT92" s="240" t="n"/>
      <c r="QQV92" s="15" t="n"/>
      <c r="QQW92" s="15" t="n"/>
      <c r="QQX92" s="248" t="n"/>
      <c r="QQY92" s="248" t="n"/>
      <c r="QQZ92" s="240" t="n"/>
      <c r="QRA92" s="240" t="n"/>
      <c r="QRC92" s="15" t="n"/>
      <c r="QRD92" s="15" t="n"/>
      <c r="QRE92" s="248" t="n"/>
      <c r="QRF92" s="248" t="n"/>
      <c r="QRG92" s="240" t="n"/>
      <c r="QRH92" s="240" t="n"/>
      <c r="QRJ92" s="15" t="n"/>
      <c r="QRK92" s="15" t="n"/>
      <c r="QRL92" s="248" t="n"/>
      <c r="QRM92" s="248" t="n"/>
      <c r="QRN92" s="240" t="n"/>
      <c r="QRO92" s="240" t="n"/>
      <c r="QRQ92" s="15" t="n"/>
      <c r="QRR92" s="15" t="n"/>
      <c r="QRS92" s="248" t="n"/>
      <c r="QRT92" s="248" t="n"/>
      <c r="QRU92" s="240" t="n"/>
      <c r="QRV92" s="240" t="n"/>
      <c r="QRX92" s="15" t="n"/>
      <c r="QRY92" s="15" t="n"/>
      <c r="QRZ92" s="248" t="n"/>
      <c r="QSA92" s="248" t="n"/>
      <c r="QSB92" s="240" t="n"/>
      <c r="QSC92" s="240" t="n"/>
      <c r="QSE92" s="15" t="n"/>
      <c r="QSF92" s="15" t="n"/>
      <c r="QSG92" s="248" t="n"/>
      <c r="QSH92" s="248" t="n"/>
      <c r="QSI92" s="240" t="n"/>
      <c r="QSJ92" s="240" t="n"/>
      <c r="QSL92" s="15" t="n"/>
      <c r="QSM92" s="15" t="n"/>
      <c r="QSN92" s="248" t="n"/>
      <c r="QSO92" s="248" t="n"/>
      <c r="QSP92" s="240" t="n"/>
      <c r="QSQ92" s="240" t="n"/>
      <c r="QSS92" s="15" t="n"/>
      <c r="QST92" s="15" t="n"/>
      <c r="QSU92" s="248" t="n"/>
      <c r="QSV92" s="248" t="n"/>
      <c r="QSW92" s="240" t="n"/>
      <c r="QSX92" s="240" t="n"/>
      <c r="QSZ92" s="15" t="n"/>
      <c r="QTA92" s="15" t="n"/>
      <c r="QTB92" s="248" t="n"/>
      <c r="QTC92" s="248" t="n"/>
      <c r="QTD92" s="240" t="n"/>
      <c r="QTE92" s="240" t="n"/>
      <c r="QTG92" s="15" t="n"/>
      <c r="QTH92" s="15" t="n"/>
      <c r="QTI92" s="248" t="n"/>
      <c r="QTJ92" s="248" t="n"/>
      <c r="QTK92" s="240" t="n"/>
      <c r="QTL92" s="240" t="n"/>
      <c r="QTN92" s="15" t="n"/>
      <c r="QTO92" s="15" t="n"/>
      <c r="QTP92" s="248" t="n"/>
      <c r="QTQ92" s="248" t="n"/>
      <c r="QTR92" s="240" t="n"/>
      <c r="QTS92" s="240" t="n"/>
      <c r="QTU92" s="15" t="n"/>
      <c r="QTV92" s="15" t="n"/>
      <c r="QTW92" s="248" t="n"/>
      <c r="QTX92" s="248" t="n"/>
      <c r="QTY92" s="240" t="n"/>
      <c r="QTZ92" s="240" t="n"/>
      <c r="QUB92" s="15" t="n"/>
      <c r="QUC92" s="15" t="n"/>
      <c r="QUD92" s="248" t="n"/>
      <c r="QUE92" s="248" t="n"/>
      <c r="QUF92" s="240" t="n"/>
      <c r="QUG92" s="240" t="n"/>
      <c r="QUI92" s="15" t="n"/>
      <c r="QUJ92" s="15" t="n"/>
      <c r="QUK92" s="248" t="n"/>
      <c r="QUL92" s="248" t="n"/>
      <c r="QUM92" s="240" t="n"/>
      <c r="QUN92" s="240" t="n"/>
      <c r="QUP92" s="15" t="n"/>
      <c r="QUQ92" s="15" t="n"/>
      <c r="QUR92" s="248" t="n"/>
      <c r="QUS92" s="248" t="n"/>
      <c r="QUT92" s="240" t="n"/>
      <c r="QUU92" s="240" t="n"/>
      <c r="QUW92" s="15" t="n"/>
      <c r="QUX92" s="15" t="n"/>
      <c r="QUY92" s="248" t="n"/>
      <c r="QUZ92" s="248" t="n"/>
      <c r="QVA92" s="240" t="n"/>
      <c r="QVB92" s="240" t="n"/>
      <c r="QVD92" s="15" t="n"/>
      <c r="QVE92" s="15" t="n"/>
      <c r="QVF92" s="248" t="n"/>
      <c r="QVG92" s="248" t="n"/>
      <c r="QVH92" s="240" t="n"/>
      <c r="QVI92" s="240" t="n"/>
      <c r="QVK92" s="15" t="n"/>
      <c r="QVL92" s="15" t="n"/>
      <c r="QVM92" s="248" t="n"/>
      <c r="QVN92" s="248" t="n"/>
      <c r="QVO92" s="240" t="n"/>
      <c r="QVP92" s="240" t="n"/>
      <c r="QVR92" s="15" t="n"/>
      <c r="QVS92" s="15" t="n"/>
      <c r="QVT92" s="248" t="n"/>
      <c r="QVU92" s="248" t="n"/>
      <c r="QVV92" s="240" t="n"/>
      <c r="QVW92" s="240" t="n"/>
      <c r="QVY92" s="15" t="n"/>
      <c r="QVZ92" s="15" t="n"/>
      <c r="QWA92" s="248" t="n"/>
      <c r="QWB92" s="248" t="n"/>
      <c r="QWC92" s="240" t="n"/>
      <c r="QWD92" s="240" t="n"/>
      <c r="QWF92" s="15" t="n"/>
      <c r="QWG92" s="15" t="n"/>
      <c r="QWH92" s="248" t="n"/>
      <c r="QWI92" s="248" t="n"/>
      <c r="QWJ92" s="240" t="n"/>
      <c r="QWK92" s="240" t="n"/>
      <c r="QWM92" s="15" t="n"/>
      <c r="QWN92" s="15" t="n"/>
      <c r="QWO92" s="248" t="n"/>
      <c r="QWP92" s="248" t="n"/>
      <c r="QWQ92" s="240" t="n"/>
      <c r="QWR92" s="240" t="n"/>
      <c r="QWT92" s="15" t="n"/>
      <c r="QWU92" s="15" t="n"/>
      <c r="QWV92" s="248" t="n"/>
      <c r="QWW92" s="248" t="n"/>
      <c r="QWX92" s="240" t="n"/>
      <c r="QWY92" s="240" t="n"/>
      <c r="QXA92" s="15" t="n"/>
      <c r="QXB92" s="15" t="n"/>
      <c r="QXC92" s="248" t="n"/>
      <c r="QXD92" s="248" t="n"/>
      <c r="QXE92" s="240" t="n"/>
      <c r="QXF92" s="240" t="n"/>
      <c r="QXH92" s="15" t="n"/>
      <c r="QXI92" s="15" t="n"/>
      <c r="QXJ92" s="248" t="n"/>
      <c r="QXK92" s="248" t="n"/>
      <c r="QXL92" s="240" t="n"/>
      <c r="QXM92" s="240" t="n"/>
      <c r="QXO92" s="15" t="n"/>
      <c r="QXP92" s="15" t="n"/>
      <c r="QXQ92" s="248" t="n"/>
      <c r="QXR92" s="248" t="n"/>
      <c r="QXS92" s="240" t="n"/>
      <c r="QXT92" s="240" t="n"/>
      <c r="QXV92" s="15" t="n"/>
      <c r="QXW92" s="15" t="n"/>
      <c r="QXX92" s="248" t="n"/>
      <c r="QXY92" s="248" t="n"/>
      <c r="QXZ92" s="240" t="n"/>
      <c r="QYA92" s="240" t="n"/>
      <c r="QYC92" s="15" t="n"/>
      <c r="QYD92" s="15" t="n"/>
      <c r="QYE92" s="248" t="n"/>
      <c r="QYF92" s="248" t="n"/>
      <c r="QYG92" s="240" t="n"/>
      <c r="QYH92" s="240" t="n"/>
      <c r="QYJ92" s="15" t="n"/>
      <c r="QYK92" s="15" t="n"/>
      <c r="QYL92" s="248" t="n"/>
      <c r="QYM92" s="248" t="n"/>
      <c r="QYN92" s="240" t="n"/>
      <c r="QYO92" s="240" t="n"/>
      <c r="QYQ92" s="15" t="n"/>
      <c r="QYR92" s="15" t="n"/>
      <c r="QYS92" s="248" t="n"/>
      <c r="QYT92" s="248" t="n"/>
      <c r="QYU92" s="240" t="n"/>
      <c r="QYV92" s="240" t="n"/>
      <c r="QYX92" s="15" t="n"/>
      <c r="QYY92" s="15" t="n"/>
      <c r="QYZ92" s="248" t="n"/>
      <c r="QZA92" s="248" t="n"/>
      <c r="QZB92" s="240" t="n"/>
      <c r="QZC92" s="240" t="n"/>
      <c r="QZE92" s="15" t="n"/>
      <c r="QZF92" s="15" t="n"/>
      <c r="QZG92" s="248" t="n"/>
      <c r="QZH92" s="248" t="n"/>
      <c r="QZI92" s="240" t="n"/>
      <c r="QZJ92" s="240" t="n"/>
      <c r="QZL92" s="15" t="n"/>
      <c r="QZM92" s="15" t="n"/>
      <c r="QZN92" s="248" t="n"/>
      <c r="QZO92" s="248" t="n"/>
      <c r="QZP92" s="240" t="n"/>
      <c r="QZQ92" s="240" t="n"/>
      <c r="QZS92" s="15" t="n"/>
      <c r="QZT92" s="15" t="n"/>
      <c r="QZU92" s="248" t="n"/>
      <c r="QZV92" s="248" t="n"/>
      <c r="QZW92" s="240" t="n"/>
      <c r="QZX92" s="240" t="n"/>
      <c r="QZZ92" s="15" t="n"/>
      <c r="RAA92" s="15" t="n"/>
      <c r="RAB92" s="248" t="n"/>
      <c r="RAC92" s="248" t="n"/>
      <c r="RAD92" s="240" t="n"/>
      <c r="RAE92" s="240" t="n"/>
      <c r="RAG92" s="15" t="n"/>
      <c r="RAH92" s="15" t="n"/>
      <c r="RAI92" s="248" t="n"/>
      <c r="RAJ92" s="248" t="n"/>
      <c r="RAK92" s="240" t="n"/>
      <c r="RAL92" s="240" t="n"/>
      <c r="RAN92" s="15" t="n"/>
      <c r="RAO92" s="15" t="n"/>
      <c r="RAP92" s="248" t="n"/>
      <c r="RAQ92" s="248" t="n"/>
      <c r="RAR92" s="240" t="n"/>
      <c r="RAS92" s="240" t="n"/>
      <c r="RAU92" s="15" t="n"/>
      <c r="RAV92" s="15" t="n"/>
      <c r="RAW92" s="248" t="n"/>
      <c r="RAX92" s="248" t="n"/>
      <c r="RAY92" s="240" t="n"/>
      <c r="RAZ92" s="240" t="n"/>
      <c r="RBB92" s="15" t="n"/>
      <c r="RBC92" s="15" t="n"/>
      <c r="RBD92" s="248" t="n"/>
      <c r="RBE92" s="248" t="n"/>
      <c r="RBF92" s="240" t="n"/>
      <c r="RBG92" s="240" t="n"/>
      <c r="RBI92" s="15" t="n"/>
      <c r="RBJ92" s="15" t="n"/>
      <c r="RBK92" s="248" t="n"/>
      <c r="RBL92" s="248" t="n"/>
      <c r="RBM92" s="240" t="n"/>
      <c r="RBN92" s="240" t="n"/>
      <c r="RBP92" s="15" t="n"/>
      <c r="RBQ92" s="15" t="n"/>
      <c r="RBR92" s="248" t="n"/>
      <c r="RBS92" s="248" t="n"/>
      <c r="RBT92" s="240" t="n"/>
      <c r="RBU92" s="240" t="n"/>
      <c r="RBW92" s="15" t="n"/>
      <c r="RBX92" s="15" t="n"/>
      <c r="RBY92" s="248" t="n"/>
      <c r="RBZ92" s="248" t="n"/>
      <c r="RCA92" s="240" t="n"/>
      <c r="RCB92" s="240" t="n"/>
      <c r="RCD92" s="15" t="n"/>
      <c r="RCE92" s="15" t="n"/>
      <c r="RCF92" s="248" t="n"/>
      <c r="RCG92" s="248" t="n"/>
      <c r="RCH92" s="240" t="n"/>
      <c r="RCI92" s="240" t="n"/>
      <c r="RCK92" s="15" t="n"/>
      <c r="RCL92" s="15" t="n"/>
      <c r="RCM92" s="248" t="n"/>
      <c r="RCN92" s="248" t="n"/>
      <c r="RCO92" s="240" t="n"/>
      <c r="RCP92" s="240" t="n"/>
      <c r="RCR92" s="15" t="n"/>
      <c r="RCS92" s="15" t="n"/>
      <c r="RCT92" s="248" t="n"/>
      <c r="RCU92" s="248" t="n"/>
      <c r="RCV92" s="240" t="n"/>
      <c r="RCW92" s="240" t="n"/>
      <c r="RCY92" s="15" t="n"/>
      <c r="RCZ92" s="15" t="n"/>
      <c r="RDA92" s="248" t="n"/>
      <c r="RDB92" s="248" t="n"/>
      <c r="RDC92" s="240" t="n"/>
      <c r="RDD92" s="240" t="n"/>
      <c r="RDF92" s="15" t="n"/>
      <c r="RDG92" s="15" t="n"/>
      <c r="RDH92" s="248" t="n"/>
      <c r="RDI92" s="248" t="n"/>
      <c r="RDJ92" s="240" t="n"/>
      <c r="RDK92" s="240" t="n"/>
      <c r="RDM92" s="15" t="n"/>
      <c r="RDN92" s="15" t="n"/>
      <c r="RDO92" s="248" t="n"/>
      <c r="RDP92" s="248" t="n"/>
      <c r="RDQ92" s="240" t="n"/>
      <c r="RDR92" s="240" t="n"/>
      <c r="RDT92" s="15" t="n"/>
      <c r="RDU92" s="15" t="n"/>
      <c r="RDV92" s="248" t="n"/>
      <c r="RDW92" s="248" t="n"/>
      <c r="RDX92" s="240" t="n"/>
      <c r="RDY92" s="240" t="n"/>
      <c r="REA92" s="15" t="n"/>
      <c r="REB92" s="15" t="n"/>
      <c r="REC92" s="248" t="n"/>
      <c r="RED92" s="248" t="n"/>
      <c r="REE92" s="240" t="n"/>
      <c r="REF92" s="240" t="n"/>
      <c r="REH92" s="15" t="n"/>
      <c r="REI92" s="15" t="n"/>
      <c r="REJ92" s="248" t="n"/>
      <c r="REK92" s="248" t="n"/>
      <c r="REL92" s="240" t="n"/>
      <c r="REM92" s="240" t="n"/>
      <c r="REO92" s="15" t="n"/>
      <c r="REP92" s="15" t="n"/>
      <c r="REQ92" s="248" t="n"/>
      <c r="RER92" s="248" t="n"/>
      <c r="RES92" s="240" t="n"/>
      <c r="RET92" s="240" t="n"/>
      <c r="REV92" s="15" t="n"/>
      <c r="REW92" s="15" t="n"/>
      <c r="REX92" s="248" t="n"/>
      <c r="REY92" s="248" t="n"/>
      <c r="REZ92" s="240" t="n"/>
      <c r="RFA92" s="240" t="n"/>
      <c r="RFC92" s="15" t="n"/>
      <c r="RFD92" s="15" t="n"/>
      <c r="RFE92" s="248" t="n"/>
      <c r="RFF92" s="248" t="n"/>
      <c r="RFG92" s="240" t="n"/>
      <c r="RFH92" s="240" t="n"/>
      <c r="RFJ92" s="15" t="n"/>
      <c r="RFK92" s="15" t="n"/>
      <c r="RFL92" s="248" t="n"/>
      <c r="RFM92" s="248" t="n"/>
      <c r="RFN92" s="240" t="n"/>
      <c r="RFO92" s="240" t="n"/>
      <c r="RFQ92" s="15" t="n"/>
      <c r="RFR92" s="15" t="n"/>
      <c r="RFS92" s="248" t="n"/>
      <c r="RFT92" s="248" t="n"/>
      <c r="RFU92" s="240" t="n"/>
      <c r="RFV92" s="240" t="n"/>
      <c r="RFX92" s="15" t="n"/>
      <c r="RFY92" s="15" t="n"/>
      <c r="RFZ92" s="248" t="n"/>
      <c r="RGA92" s="248" t="n"/>
      <c r="RGB92" s="240" t="n"/>
      <c r="RGC92" s="240" t="n"/>
      <c r="RGE92" s="15" t="n"/>
      <c r="RGF92" s="15" t="n"/>
      <c r="RGG92" s="248" t="n"/>
      <c r="RGH92" s="248" t="n"/>
      <c r="RGI92" s="240" t="n"/>
      <c r="RGJ92" s="240" t="n"/>
      <c r="RGL92" s="15" t="n"/>
      <c r="RGM92" s="15" t="n"/>
      <c r="RGN92" s="248" t="n"/>
      <c r="RGO92" s="248" t="n"/>
      <c r="RGP92" s="240" t="n"/>
      <c r="RGQ92" s="240" t="n"/>
      <c r="RGS92" s="15" t="n"/>
      <c r="RGT92" s="15" t="n"/>
      <c r="RGU92" s="248" t="n"/>
      <c r="RGV92" s="248" t="n"/>
      <c r="RGW92" s="240" t="n"/>
      <c r="RGX92" s="240" t="n"/>
      <c r="RGZ92" s="15" t="n"/>
      <c r="RHA92" s="15" t="n"/>
      <c r="RHB92" s="248" t="n"/>
      <c r="RHC92" s="248" t="n"/>
      <c r="RHD92" s="240" t="n"/>
      <c r="RHE92" s="240" t="n"/>
      <c r="RHG92" s="15" t="n"/>
      <c r="RHH92" s="15" t="n"/>
      <c r="RHI92" s="248" t="n"/>
      <c r="RHJ92" s="248" t="n"/>
      <c r="RHK92" s="240" t="n"/>
      <c r="RHL92" s="240" t="n"/>
      <c r="RHN92" s="15" t="n"/>
      <c r="RHO92" s="15" t="n"/>
      <c r="RHP92" s="248" t="n"/>
      <c r="RHQ92" s="248" t="n"/>
      <c r="RHR92" s="240" t="n"/>
      <c r="RHS92" s="240" t="n"/>
      <c r="RHU92" s="15" t="n"/>
      <c r="RHV92" s="15" t="n"/>
      <c r="RHW92" s="248" t="n"/>
      <c r="RHX92" s="248" t="n"/>
      <c r="RHY92" s="240" t="n"/>
      <c r="RHZ92" s="240" t="n"/>
      <c r="RIB92" s="15" t="n"/>
      <c r="RIC92" s="15" t="n"/>
      <c r="RID92" s="248" t="n"/>
      <c r="RIE92" s="248" t="n"/>
      <c r="RIF92" s="240" t="n"/>
      <c r="RIG92" s="240" t="n"/>
      <c r="RII92" s="15" t="n"/>
      <c r="RIJ92" s="15" t="n"/>
      <c r="RIK92" s="248" t="n"/>
      <c r="RIL92" s="248" t="n"/>
      <c r="RIM92" s="240" t="n"/>
      <c r="RIN92" s="240" t="n"/>
      <c r="RIP92" s="15" t="n"/>
      <c r="RIQ92" s="15" t="n"/>
      <c r="RIR92" s="248" t="n"/>
      <c r="RIS92" s="248" t="n"/>
      <c r="RIT92" s="240" t="n"/>
      <c r="RIU92" s="240" t="n"/>
      <c r="RIW92" s="15" t="n"/>
      <c r="RIX92" s="15" t="n"/>
      <c r="RIY92" s="248" t="n"/>
      <c r="RIZ92" s="248" t="n"/>
      <c r="RJA92" s="240" t="n"/>
      <c r="RJB92" s="240" t="n"/>
      <c r="RJD92" s="15" t="n"/>
      <c r="RJE92" s="15" t="n"/>
      <c r="RJF92" s="248" t="n"/>
      <c r="RJG92" s="248" t="n"/>
      <c r="RJH92" s="240" t="n"/>
      <c r="RJI92" s="240" t="n"/>
      <c r="RJK92" s="15" t="n"/>
      <c r="RJL92" s="15" t="n"/>
      <c r="RJM92" s="248" t="n"/>
      <c r="RJN92" s="248" t="n"/>
      <c r="RJO92" s="240" t="n"/>
      <c r="RJP92" s="240" t="n"/>
      <c r="RJR92" s="15" t="n"/>
      <c r="RJS92" s="15" t="n"/>
      <c r="RJT92" s="248" t="n"/>
      <c r="RJU92" s="248" t="n"/>
      <c r="RJV92" s="240" t="n"/>
      <c r="RJW92" s="240" t="n"/>
      <c r="RJY92" s="15" t="n"/>
      <c r="RJZ92" s="15" t="n"/>
      <c r="RKA92" s="248" t="n"/>
      <c r="RKB92" s="248" t="n"/>
      <c r="RKC92" s="240" t="n"/>
      <c r="RKD92" s="240" t="n"/>
      <c r="RKF92" s="15" t="n"/>
      <c r="RKG92" s="15" t="n"/>
      <c r="RKH92" s="248" t="n"/>
      <c r="RKI92" s="248" t="n"/>
      <c r="RKJ92" s="240" t="n"/>
      <c r="RKK92" s="240" t="n"/>
      <c r="RKM92" s="15" t="n"/>
      <c r="RKN92" s="15" t="n"/>
      <c r="RKO92" s="248" t="n"/>
      <c r="RKP92" s="248" t="n"/>
      <c r="RKQ92" s="240" t="n"/>
      <c r="RKR92" s="240" t="n"/>
      <c r="RKT92" s="15" t="n"/>
      <c r="RKU92" s="15" t="n"/>
      <c r="RKV92" s="248" t="n"/>
      <c r="RKW92" s="248" t="n"/>
      <c r="RKX92" s="240" t="n"/>
      <c r="RKY92" s="240" t="n"/>
      <c r="RLA92" s="15" t="n"/>
      <c r="RLB92" s="15" t="n"/>
      <c r="RLC92" s="248" t="n"/>
      <c r="RLD92" s="248" t="n"/>
      <c r="RLE92" s="240" t="n"/>
      <c r="RLF92" s="240" t="n"/>
      <c r="RLH92" s="15" t="n"/>
      <c r="RLI92" s="15" t="n"/>
      <c r="RLJ92" s="248" t="n"/>
      <c r="RLK92" s="248" t="n"/>
      <c r="RLL92" s="240" t="n"/>
      <c r="RLM92" s="240" t="n"/>
      <c r="RLO92" s="15" t="n"/>
      <c r="RLP92" s="15" t="n"/>
      <c r="RLQ92" s="248" t="n"/>
      <c r="RLR92" s="248" t="n"/>
      <c r="RLS92" s="240" t="n"/>
      <c r="RLT92" s="240" t="n"/>
      <c r="RLV92" s="15" t="n"/>
      <c r="RLW92" s="15" t="n"/>
      <c r="RLX92" s="248" t="n"/>
      <c r="RLY92" s="248" t="n"/>
      <c r="RLZ92" s="240" t="n"/>
      <c r="RMA92" s="240" t="n"/>
      <c r="RMC92" s="15" t="n"/>
      <c r="RMD92" s="15" t="n"/>
      <c r="RME92" s="248" t="n"/>
      <c r="RMF92" s="248" t="n"/>
      <c r="RMG92" s="240" t="n"/>
      <c r="RMH92" s="240" t="n"/>
      <c r="RMJ92" s="15" t="n"/>
      <c r="RMK92" s="15" t="n"/>
      <c r="RML92" s="248" t="n"/>
      <c r="RMM92" s="248" t="n"/>
      <c r="RMN92" s="240" t="n"/>
      <c r="RMO92" s="240" t="n"/>
      <c r="RMQ92" s="15" t="n"/>
      <c r="RMR92" s="15" t="n"/>
      <c r="RMS92" s="248" t="n"/>
      <c r="RMT92" s="248" t="n"/>
      <c r="RMU92" s="240" t="n"/>
      <c r="RMV92" s="240" t="n"/>
      <c r="RMX92" s="15" t="n"/>
      <c r="RMY92" s="15" t="n"/>
      <c r="RMZ92" s="248" t="n"/>
      <c r="RNA92" s="248" t="n"/>
      <c r="RNB92" s="240" t="n"/>
      <c r="RNC92" s="240" t="n"/>
      <c r="RNE92" s="15" t="n"/>
      <c r="RNF92" s="15" t="n"/>
      <c r="RNG92" s="248" t="n"/>
      <c r="RNH92" s="248" t="n"/>
      <c r="RNI92" s="240" t="n"/>
      <c r="RNJ92" s="240" t="n"/>
      <c r="RNL92" s="15" t="n"/>
      <c r="RNM92" s="15" t="n"/>
      <c r="RNN92" s="248" t="n"/>
      <c r="RNO92" s="248" t="n"/>
      <c r="RNP92" s="240" t="n"/>
      <c r="RNQ92" s="240" t="n"/>
      <c r="RNS92" s="15" t="n"/>
      <c r="RNT92" s="15" t="n"/>
      <c r="RNU92" s="248" t="n"/>
      <c r="RNV92" s="248" t="n"/>
      <c r="RNW92" s="240" t="n"/>
      <c r="RNX92" s="240" t="n"/>
      <c r="RNZ92" s="15" t="n"/>
      <c r="ROA92" s="15" t="n"/>
      <c r="ROB92" s="248" t="n"/>
      <c r="ROC92" s="248" t="n"/>
      <c r="ROD92" s="240" t="n"/>
      <c r="ROE92" s="240" t="n"/>
      <c r="ROG92" s="15" t="n"/>
      <c r="ROH92" s="15" t="n"/>
      <c r="ROI92" s="248" t="n"/>
      <c r="ROJ92" s="248" t="n"/>
      <c r="ROK92" s="240" t="n"/>
      <c r="ROL92" s="240" t="n"/>
      <c r="RON92" s="15" t="n"/>
      <c r="ROO92" s="15" t="n"/>
      <c r="ROP92" s="248" t="n"/>
      <c r="ROQ92" s="248" t="n"/>
      <c r="ROR92" s="240" t="n"/>
      <c r="ROS92" s="240" t="n"/>
      <c r="ROU92" s="15" t="n"/>
      <c r="ROV92" s="15" t="n"/>
      <c r="ROW92" s="248" t="n"/>
      <c r="ROX92" s="248" t="n"/>
      <c r="ROY92" s="240" t="n"/>
      <c r="ROZ92" s="240" t="n"/>
      <c r="RPB92" s="15" t="n"/>
      <c r="RPC92" s="15" t="n"/>
      <c r="RPD92" s="248" t="n"/>
      <c r="RPE92" s="248" t="n"/>
      <c r="RPF92" s="240" t="n"/>
      <c r="RPG92" s="240" t="n"/>
      <c r="RPI92" s="15" t="n"/>
      <c r="RPJ92" s="15" t="n"/>
      <c r="RPK92" s="248" t="n"/>
      <c r="RPL92" s="248" t="n"/>
      <c r="RPM92" s="240" t="n"/>
      <c r="RPN92" s="240" t="n"/>
      <c r="RPP92" s="15" t="n"/>
      <c r="RPQ92" s="15" t="n"/>
      <c r="RPR92" s="248" t="n"/>
      <c r="RPS92" s="248" t="n"/>
      <c r="RPT92" s="240" t="n"/>
      <c r="RPU92" s="240" t="n"/>
      <c r="RPW92" s="15" t="n"/>
      <c r="RPX92" s="15" t="n"/>
      <c r="RPY92" s="248" t="n"/>
      <c r="RPZ92" s="248" t="n"/>
      <c r="RQA92" s="240" t="n"/>
      <c r="RQB92" s="240" t="n"/>
      <c r="RQD92" s="15" t="n"/>
      <c r="RQE92" s="15" t="n"/>
      <c r="RQF92" s="248" t="n"/>
      <c r="RQG92" s="248" t="n"/>
      <c r="RQH92" s="240" t="n"/>
      <c r="RQI92" s="240" t="n"/>
      <c r="RQK92" s="15" t="n"/>
      <c r="RQL92" s="15" t="n"/>
      <c r="RQM92" s="248" t="n"/>
      <c r="RQN92" s="248" t="n"/>
      <c r="RQO92" s="240" t="n"/>
      <c r="RQP92" s="240" t="n"/>
      <c r="RQR92" s="15" t="n"/>
      <c r="RQS92" s="15" t="n"/>
      <c r="RQT92" s="248" t="n"/>
      <c r="RQU92" s="248" t="n"/>
      <c r="RQV92" s="240" t="n"/>
      <c r="RQW92" s="240" t="n"/>
      <c r="RQY92" s="15" t="n"/>
      <c r="RQZ92" s="15" t="n"/>
      <c r="RRA92" s="248" t="n"/>
      <c r="RRB92" s="248" t="n"/>
      <c r="RRC92" s="240" t="n"/>
      <c r="RRD92" s="240" t="n"/>
      <c r="RRF92" s="15" t="n"/>
      <c r="RRG92" s="15" t="n"/>
      <c r="RRH92" s="248" t="n"/>
      <c r="RRI92" s="248" t="n"/>
      <c r="RRJ92" s="240" t="n"/>
      <c r="RRK92" s="240" t="n"/>
      <c r="RRM92" s="15" t="n"/>
      <c r="RRN92" s="15" t="n"/>
      <c r="RRO92" s="248" t="n"/>
      <c r="RRP92" s="248" t="n"/>
      <c r="RRQ92" s="240" t="n"/>
      <c r="RRR92" s="240" t="n"/>
      <c r="RRT92" s="15" t="n"/>
      <c r="RRU92" s="15" t="n"/>
      <c r="RRV92" s="248" t="n"/>
      <c r="RRW92" s="248" t="n"/>
      <c r="RRX92" s="240" t="n"/>
      <c r="RRY92" s="240" t="n"/>
      <c r="RSA92" s="15" t="n"/>
      <c r="RSB92" s="15" t="n"/>
      <c r="RSC92" s="248" t="n"/>
      <c r="RSD92" s="248" t="n"/>
      <c r="RSE92" s="240" t="n"/>
      <c r="RSF92" s="240" t="n"/>
      <c r="RSH92" s="15" t="n"/>
      <c r="RSI92" s="15" t="n"/>
      <c r="RSJ92" s="248" t="n"/>
      <c r="RSK92" s="248" t="n"/>
      <c r="RSL92" s="240" t="n"/>
      <c r="RSM92" s="240" t="n"/>
      <c r="RSO92" s="15" t="n"/>
      <c r="RSP92" s="15" t="n"/>
      <c r="RSQ92" s="248" t="n"/>
      <c r="RSR92" s="248" t="n"/>
      <c r="RSS92" s="240" t="n"/>
      <c r="RST92" s="240" t="n"/>
      <c r="RSV92" s="15" t="n"/>
      <c r="RSW92" s="15" t="n"/>
      <c r="RSX92" s="248" t="n"/>
      <c r="RSY92" s="248" t="n"/>
      <c r="RSZ92" s="240" t="n"/>
      <c r="RTA92" s="240" t="n"/>
      <c r="RTC92" s="15" t="n"/>
      <c r="RTD92" s="15" t="n"/>
      <c r="RTE92" s="248" t="n"/>
      <c r="RTF92" s="248" t="n"/>
      <c r="RTG92" s="240" t="n"/>
      <c r="RTH92" s="240" t="n"/>
      <c r="RTJ92" s="15" t="n"/>
      <c r="RTK92" s="15" t="n"/>
      <c r="RTL92" s="248" t="n"/>
      <c r="RTM92" s="248" t="n"/>
      <c r="RTN92" s="240" t="n"/>
      <c r="RTO92" s="240" t="n"/>
      <c r="RTQ92" s="15" t="n"/>
      <c r="RTR92" s="15" t="n"/>
      <c r="RTS92" s="248" t="n"/>
      <c r="RTT92" s="248" t="n"/>
      <c r="RTU92" s="240" t="n"/>
      <c r="RTV92" s="240" t="n"/>
      <c r="RTX92" s="15" t="n"/>
      <c r="RTY92" s="15" t="n"/>
      <c r="RTZ92" s="248" t="n"/>
      <c r="RUA92" s="248" t="n"/>
      <c r="RUB92" s="240" t="n"/>
      <c r="RUC92" s="240" t="n"/>
      <c r="RUE92" s="15" t="n"/>
      <c r="RUF92" s="15" t="n"/>
      <c r="RUG92" s="248" t="n"/>
      <c r="RUH92" s="248" t="n"/>
      <c r="RUI92" s="240" t="n"/>
      <c r="RUJ92" s="240" t="n"/>
      <c r="RUL92" s="15" t="n"/>
      <c r="RUM92" s="15" t="n"/>
      <c r="RUN92" s="248" t="n"/>
      <c r="RUO92" s="248" t="n"/>
      <c r="RUP92" s="240" t="n"/>
      <c r="RUQ92" s="240" t="n"/>
      <c r="RUS92" s="15" t="n"/>
      <c r="RUT92" s="15" t="n"/>
      <c r="RUU92" s="248" t="n"/>
      <c r="RUV92" s="248" t="n"/>
      <c r="RUW92" s="240" t="n"/>
      <c r="RUX92" s="240" t="n"/>
      <c r="RUZ92" s="15" t="n"/>
      <c r="RVA92" s="15" t="n"/>
      <c r="RVB92" s="248" t="n"/>
      <c r="RVC92" s="248" t="n"/>
      <c r="RVD92" s="240" t="n"/>
      <c r="RVE92" s="240" t="n"/>
      <c r="RVG92" s="15" t="n"/>
      <c r="RVH92" s="15" t="n"/>
      <c r="RVI92" s="248" t="n"/>
      <c r="RVJ92" s="248" t="n"/>
      <c r="RVK92" s="240" t="n"/>
      <c r="RVL92" s="240" t="n"/>
      <c r="RVN92" s="15" t="n"/>
      <c r="RVO92" s="15" t="n"/>
      <c r="RVP92" s="248" t="n"/>
      <c r="RVQ92" s="248" t="n"/>
      <c r="RVR92" s="240" t="n"/>
      <c r="RVS92" s="240" t="n"/>
      <c r="RVU92" s="15" t="n"/>
      <c r="RVV92" s="15" t="n"/>
      <c r="RVW92" s="248" t="n"/>
      <c r="RVX92" s="248" t="n"/>
      <c r="RVY92" s="240" t="n"/>
      <c r="RVZ92" s="240" t="n"/>
      <c r="RWB92" s="15" t="n"/>
      <c r="RWC92" s="15" t="n"/>
      <c r="RWD92" s="248" t="n"/>
      <c r="RWE92" s="248" t="n"/>
      <c r="RWF92" s="240" t="n"/>
      <c r="RWG92" s="240" t="n"/>
      <c r="RWI92" s="15" t="n"/>
      <c r="RWJ92" s="15" t="n"/>
      <c r="RWK92" s="248" t="n"/>
      <c r="RWL92" s="248" t="n"/>
      <c r="RWM92" s="240" t="n"/>
      <c r="RWN92" s="240" t="n"/>
      <c r="RWP92" s="15" t="n"/>
      <c r="RWQ92" s="15" t="n"/>
      <c r="RWR92" s="248" t="n"/>
      <c r="RWS92" s="248" t="n"/>
      <c r="RWT92" s="240" t="n"/>
      <c r="RWU92" s="240" t="n"/>
      <c r="RWW92" s="15" t="n"/>
      <c r="RWX92" s="15" t="n"/>
      <c r="RWY92" s="248" t="n"/>
      <c r="RWZ92" s="248" t="n"/>
      <c r="RXA92" s="240" t="n"/>
      <c r="RXB92" s="240" t="n"/>
      <c r="RXD92" s="15" t="n"/>
      <c r="RXE92" s="15" t="n"/>
      <c r="RXF92" s="248" t="n"/>
      <c r="RXG92" s="248" t="n"/>
      <c r="RXH92" s="240" t="n"/>
      <c r="RXI92" s="240" t="n"/>
      <c r="RXK92" s="15" t="n"/>
      <c r="RXL92" s="15" t="n"/>
      <c r="RXM92" s="248" t="n"/>
      <c r="RXN92" s="248" t="n"/>
      <c r="RXO92" s="240" t="n"/>
      <c r="RXP92" s="240" t="n"/>
      <c r="RXR92" s="15" t="n"/>
      <c r="RXS92" s="15" t="n"/>
      <c r="RXT92" s="248" t="n"/>
      <c r="RXU92" s="248" t="n"/>
      <c r="RXV92" s="240" t="n"/>
      <c r="RXW92" s="240" t="n"/>
      <c r="RXY92" s="15" t="n"/>
      <c r="RXZ92" s="15" t="n"/>
      <c r="RYA92" s="248" t="n"/>
      <c r="RYB92" s="248" t="n"/>
      <c r="RYC92" s="240" t="n"/>
      <c r="RYD92" s="240" t="n"/>
      <c r="RYF92" s="15" t="n"/>
      <c r="RYG92" s="15" t="n"/>
      <c r="RYH92" s="248" t="n"/>
      <c r="RYI92" s="248" t="n"/>
      <c r="RYJ92" s="240" t="n"/>
      <c r="RYK92" s="240" t="n"/>
      <c r="RYM92" s="15" t="n"/>
      <c r="RYN92" s="15" t="n"/>
      <c r="RYO92" s="248" t="n"/>
      <c r="RYP92" s="248" t="n"/>
      <c r="RYQ92" s="240" t="n"/>
      <c r="RYR92" s="240" t="n"/>
      <c r="RYT92" s="15" t="n"/>
      <c r="RYU92" s="15" t="n"/>
      <c r="RYV92" s="248" t="n"/>
      <c r="RYW92" s="248" t="n"/>
      <c r="RYX92" s="240" t="n"/>
      <c r="RYY92" s="240" t="n"/>
      <c r="RZA92" s="15" t="n"/>
      <c r="RZB92" s="15" t="n"/>
      <c r="RZC92" s="248" t="n"/>
      <c r="RZD92" s="248" t="n"/>
      <c r="RZE92" s="240" t="n"/>
      <c r="RZF92" s="240" t="n"/>
      <c r="RZH92" s="15" t="n"/>
      <c r="RZI92" s="15" t="n"/>
      <c r="RZJ92" s="248" t="n"/>
      <c r="RZK92" s="248" t="n"/>
      <c r="RZL92" s="240" t="n"/>
      <c r="RZM92" s="240" t="n"/>
      <c r="RZO92" s="15" t="n"/>
      <c r="RZP92" s="15" t="n"/>
      <c r="RZQ92" s="248" t="n"/>
      <c r="RZR92" s="248" t="n"/>
      <c r="RZS92" s="240" t="n"/>
      <c r="RZT92" s="240" t="n"/>
      <c r="RZV92" s="15" t="n"/>
      <c r="RZW92" s="15" t="n"/>
      <c r="RZX92" s="248" t="n"/>
      <c r="RZY92" s="248" t="n"/>
      <c r="RZZ92" s="240" t="n"/>
      <c r="SAA92" s="240" t="n"/>
      <c r="SAC92" s="15" t="n"/>
      <c r="SAD92" s="15" t="n"/>
      <c r="SAE92" s="248" t="n"/>
      <c r="SAF92" s="248" t="n"/>
      <c r="SAG92" s="240" t="n"/>
      <c r="SAH92" s="240" t="n"/>
      <c r="SAJ92" s="15" t="n"/>
      <c r="SAK92" s="15" t="n"/>
      <c r="SAL92" s="248" t="n"/>
      <c r="SAM92" s="248" t="n"/>
      <c r="SAN92" s="240" t="n"/>
      <c r="SAO92" s="240" t="n"/>
      <c r="SAQ92" s="15" t="n"/>
      <c r="SAR92" s="15" t="n"/>
      <c r="SAS92" s="248" t="n"/>
      <c r="SAT92" s="248" t="n"/>
      <c r="SAU92" s="240" t="n"/>
      <c r="SAV92" s="240" t="n"/>
      <c r="SAX92" s="15" t="n"/>
      <c r="SAY92" s="15" t="n"/>
      <c r="SAZ92" s="248" t="n"/>
      <c r="SBA92" s="248" t="n"/>
      <c r="SBB92" s="240" t="n"/>
      <c r="SBC92" s="240" t="n"/>
      <c r="SBE92" s="15" t="n"/>
      <c r="SBF92" s="15" t="n"/>
      <c r="SBG92" s="248" t="n"/>
      <c r="SBH92" s="248" t="n"/>
      <c r="SBI92" s="240" t="n"/>
      <c r="SBJ92" s="240" t="n"/>
      <c r="SBL92" s="15" t="n"/>
      <c r="SBM92" s="15" t="n"/>
      <c r="SBN92" s="248" t="n"/>
      <c r="SBO92" s="248" t="n"/>
      <c r="SBP92" s="240" t="n"/>
      <c r="SBQ92" s="240" t="n"/>
      <c r="SBS92" s="15" t="n"/>
      <c r="SBT92" s="15" t="n"/>
      <c r="SBU92" s="248" t="n"/>
      <c r="SBV92" s="248" t="n"/>
      <c r="SBW92" s="240" t="n"/>
      <c r="SBX92" s="240" t="n"/>
      <c r="SBZ92" s="15" t="n"/>
      <c r="SCA92" s="15" t="n"/>
      <c r="SCB92" s="248" t="n"/>
      <c r="SCC92" s="248" t="n"/>
      <c r="SCD92" s="240" t="n"/>
      <c r="SCE92" s="240" t="n"/>
      <c r="SCG92" s="15" t="n"/>
      <c r="SCH92" s="15" t="n"/>
      <c r="SCI92" s="248" t="n"/>
      <c r="SCJ92" s="248" t="n"/>
      <c r="SCK92" s="240" t="n"/>
      <c r="SCL92" s="240" t="n"/>
      <c r="SCN92" s="15" t="n"/>
      <c r="SCO92" s="15" t="n"/>
      <c r="SCP92" s="248" t="n"/>
      <c r="SCQ92" s="248" t="n"/>
      <c r="SCR92" s="240" t="n"/>
      <c r="SCS92" s="240" t="n"/>
      <c r="SCU92" s="15" t="n"/>
      <c r="SCV92" s="15" t="n"/>
      <c r="SCW92" s="248" t="n"/>
      <c r="SCX92" s="248" t="n"/>
      <c r="SCY92" s="240" t="n"/>
      <c r="SCZ92" s="240" t="n"/>
      <c r="SDB92" s="15" t="n"/>
      <c r="SDC92" s="15" t="n"/>
      <c r="SDD92" s="248" t="n"/>
      <c r="SDE92" s="248" t="n"/>
      <c r="SDF92" s="240" t="n"/>
      <c r="SDG92" s="240" t="n"/>
      <c r="SDI92" s="15" t="n"/>
      <c r="SDJ92" s="15" t="n"/>
      <c r="SDK92" s="248" t="n"/>
      <c r="SDL92" s="248" t="n"/>
      <c r="SDM92" s="240" t="n"/>
      <c r="SDN92" s="240" t="n"/>
      <c r="SDP92" s="15" t="n"/>
      <c r="SDQ92" s="15" t="n"/>
      <c r="SDR92" s="248" t="n"/>
      <c r="SDS92" s="248" t="n"/>
      <c r="SDT92" s="240" t="n"/>
      <c r="SDU92" s="240" t="n"/>
      <c r="SDW92" s="15" t="n"/>
      <c r="SDX92" s="15" t="n"/>
      <c r="SDY92" s="248" t="n"/>
      <c r="SDZ92" s="248" t="n"/>
      <c r="SEA92" s="240" t="n"/>
      <c r="SEB92" s="240" t="n"/>
      <c r="SED92" s="15" t="n"/>
      <c r="SEE92" s="15" t="n"/>
      <c r="SEF92" s="248" t="n"/>
      <c r="SEG92" s="248" t="n"/>
      <c r="SEH92" s="240" t="n"/>
      <c r="SEI92" s="240" t="n"/>
      <c r="SEK92" s="15" t="n"/>
      <c r="SEL92" s="15" t="n"/>
      <c r="SEM92" s="248" t="n"/>
      <c r="SEN92" s="248" t="n"/>
      <c r="SEO92" s="240" t="n"/>
      <c r="SEP92" s="240" t="n"/>
      <c r="SER92" s="15" t="n"/>
      <c r="SES92" s="15" t="n"/>
      <c r="SET92" s="248" t="n"/>
      <c r="SEU92" s="248" t="n"/>
      <c r="SEV92" s="240" t="n"/>
      <c r="SEW92" s="240" t="n"/>
      <c r="SEY92" s="15" t="n"/>
      <c r="SEZ92" s="15" t="n"/>
      <c r="SFA92" s="248" t="n"/>
      <c r="SFB92" s="248" t="n"/>
      <c r="SFC92" s="240" t="n"/>
      <c r="SFD92" s="240" t="n"/>
      <c r="SFF92" s="15" t="n"/>
      <c r="SFG92" s="15" t="n"/>
      <c r="SFH92" s="248" t="n"/>
      <c r="SFI92" s="248" t="n"/>
      <c r="SFJ92" s="240" t="n"/>
      <c r="SFK92" s="240" t="n"/>
      <c r="SFM92" s="15" t="n"/>
      <c r="SFN92" s="15" t="n"/>
      <c r="SFO92" s="248" t="n"/>
      <c r="SFP92" s="248" t="n"/>
      <c r="SFQ92" s="240" t="n"/>
      <c r="SFR92" s="240" t="n"/>
      <c r="SFT92" s="15" t="n"/>
      <c r="SFU92" s="15" t="n"/>
      <c r="SFV92" s="248" t="n"/>
      <c r="SFW92" s="248" t="n"/>
      <c r="SFX92" s="240" t="n"/>
      <c r="SFY92" s="240" t="n"/>
      <c r="SGA92" s="15" t="n"/>
      <c r="SGB92" s="15" t="n"/>
      <c r="SGC92" s="248" t="n"/>
      <c r="SGD92" s="248" t="n"/>
      <c r="SGE92" s="240" t="n"/>
      <c r="SGF92" s="240" t="n"/>
      <c r="SGH92" s="15" t="n"/>
      <c r="SGI92" s="15" t="n"/>
      <c r="SGJ92" s="248" t="n"/>
      <c r="SGK92" s="248" t="n"/>
      <c r="SGL92" s="240" t="n"/>
      <c r="SGM92" s="240" t="n"/>
      <c r="SGO92" s="15" t="n"/>
      <c r="SGP92" s="15" t="n"/>
      <c r="SGQ92" s="248" t="n"/>
      <c r="SGR92" s="248" t="n"/>
      <c r="SGS92" s="240" t="n"/>
      <c r="SGT92" s="240" t="n"/>
      <c r="SGV92" s="15" t="n"/>
      <c r="SGW92" s="15" t="n"/>
      <c r="SGX92" s="248" t="n"/>
      <c r="SGY92" s="248" t="n"/>
      <c r="SGZ92" s="240" t="n"/>
      <c r="SHA92" s="240" t="n"/>
      <c r="SHC92" s="15" t="n"/>
      <c r="SHD92" s="15" t="n"/>
      <c r="SHE92" s="248" t="n"/>
      <c r="SHF92" s="248" t="n"/>
      <c r="SHG92" s="240" t="n"/>
      <c r="SHH92" s="240" t="n"/>
      <c r="SHJ92" s="15" t="n"/>
      <c r="SHK92" s="15" t="n"/>
      <c r="SHL92" s="248" t="n"/>
      <c r="SHM92" s="248" t="n"/>
      <c r="SHN92" s="240" t="n"/>
      <c r="SHO92" s="240" t="n"/>
      <c r="SHQ92" s="15" t="n"/>
      <c r="SHR92" s="15" t="n"/>
      <c r="SHS92" s="248" t="n"/>
      <c r="SHT92" s="248" t="n"/>
      <c r="SHU92" s="240" t="n"/>
      <c r="SHV92" s="240" t="n"/>
      <c r="SHX92" s="15" t="n"/>
      <c r="SHY92" s="15" t="n"/>
      <c r="SHZ92" s="248" t="n"/>
      <c r="SIA92" s="248" t="n"/>
      <c r="SIB92" s="240" t="n"/>
      <c r="SIC92" s="240" t="n"/>
      <c r="SIE92" s="15" t="n"/>
      <c r="SIF92" s="15" t="n"/>
      <c r="SIG92" s="248" t="n"/>
      <c r="SIH92" s="248" t="n"/>
      <c r="SII92" s="240" t="n"/>
      <c r="SIJ92" s="240" t="n"/>
      <c r="SIL92" s="15" t="n"/>
      <c r="SIM92" s="15" t="n"/>
      <c r="SIN92" s="248" t="n"/>
      <c r="SIO92" s="248" t="n"/>
      <c r="SIP92" s="240" t="n"/>
      <c r="SIQ92" s="240" t="n"/>
      <c r="SIS92" s="15" t="n"/>
      <c r="SIT92" s="15" t="n"/>
      <c r="SIU92" s="248" t="n"/>
      <c r="SIV92" s="248" t="n"/>
      <c r="SIW92" s="240" t="n"/>
      <c r="SIX92" s="240" t="n"/>
      <c r="SIZ92" s="15" t="n"/>
      <c r="SJA92" s="15" t="n"/>
      <c r="SJB92" s="248" t="n"/>
      <c r="SJC92" s="248" t="n"/>
      <c r="SJD92" s="240" t="n"/>
      <c r="SJE92" s="240" t="n"/>
      <c r="SJG92" s="15" t="n"/>
      <c r="SJH92" s="15" t="n"/>
      <c r="SJI92" s="248" t="n"/>
      <c r="SJJ92" s="248" t="n"/>
      <c r="SJK92" s="240" t="n"/>
      <c r="SJL92" s="240" t="n"/>
      <c r="SJN92" s="15" t="n"/>
      <c r="SJO92" s="15" t="n"/>
      <c r="SJP92" s="248" t="n"/>
      <c r="SJQ92" s="248" t="n"/>
      <c r="SJR92" s="240" t="n"/>
      <c r="SJS92" s="240" t="n"/>
      <c r="SJU92" s="15" t="n"/>
      <c r="SJV92" s="15" t="n"/>
      <c r="SJW92" s="248" t="n"/>
      <c r="SJX92" s="248" t="n"/>
      <c r="SJY92" s="240" t="n"/>
      <c r="SJZ92" s="240" t="n"/>
      <c r="SKB92" s="15" t="n"/>
      <c r="SKC92" s="15" t="n"/>
      <c r="SKD92" s="248" t="n"/>
      <c r="SKE92" s="248" t="n"/>
      <c r="SKF92" s="240" t="n"/>
      <c r="SKG92" s="240" t="n"/>
      <c r="SKI92" s="15" t="n"/>
      <c r="SKJ92" s="15" t="n"/>
      <c r="SKK92" s="248" t="n"/>
      <c r="SKL92" s="248" t="n"/>
      <c r="SKM92" s="240" t="n"/>
      <c r="SKN92" s="240" t="n"/>
      <c r="SKP92" s="15" t="n"/>
      <c r="SKQ92" s="15" t="n"/>
      <c r="SKR92" s="248" t="n"/>
      <c r="SKS92" s="248" t="n"/>
      <c r="SKT92" s="240" t="n"/>
      <c r="SKU92" s="240" t="n"/>
      <c r="SKW92" s="15" t="n"/>
      <c r="SKX92" s="15" t="n"/>
      <c r="SKY92" s="248" t="n"/>
      <c r="SKZ92" s="248" t="n"/>
      <c r="SLA92" s="240" t="n"/>
      <c r="SLB92" s="240" t="n"/>
      <c r="SLD92" s="15" t="n"/>
      <c r="SLE92" s="15" t="n"/>
      <c r="SLF92" s="248" t="n"/>
      <c r="SLG92" s="248" t="n"/>
      <c r="SLH92" s="240" t="n"/>
      <c r="SLI92" s="240" t="n"/>
      <c r="SLK92" s="15" t="n"/>
      <c r="SLL92" s="15" t="n"/>
      <c r="SLM92" s="248" t="n"/>
      <c r="SLN92" s="248" t="n"/>
      <c r="SLO92" s="240" t="n"/>
      <c r="SLP92" s="240" t="n"/>
      <c r="SLR92" s="15" t="n"/>
      <c r="SLS92" s="15" t="n"/>
      <c r="SLT92" s="248" t="n"/>
      <c r="SLU92" s="248" t="n"/>
      <c r="SLV92" s="240" t="n"/>
      <c r="SLW92" s="240" t="n"/>
      <c r="SLY92" s="15" t="n"/>
      <c r="SLZ92" s="15" t="n"/>
      <c r="SMA92" s="248" t="n"/>
      <c r="SMB92" s="248" t="n"/>
      <c r="SMC92" s="240" t="n"/>
      <c r="SMD92" s="240" t="n"/>
      <c r="SMF92" s="15" t="n"/>
      <c r="SMG92" s="15" t="n"/>
      <c r="SMH92" s="248" t="n"/>
      <c r="SMI92" s="248" t="n"/>
      <c r="SMJ92" s="240" t="n"/>
      <c r="SMK92" s="240" t="n"/>
      <c r="SMM92" s="15" t="n"/>
      <c r="SMN92" s="15" t="n"/>
      <c r="SMO92" s="248" t="n"/>
      <c r="SMP92" s="248" t="n"/>
      <c r="SMQ92" s="240" t="n"/>
      <c r="SMR92" s="240" t="n"/>
      <c r="SMT92" s="15" t="n"/>
      <c r="SMU92" s="15" t="n"/>
      <c r="SMV92" s="248" t="n"/>
      <c r="SMW92" s="248" t="n"/>
      <c r="SMX92" s="240" t="n"/>
      <c r="SMY92" s="240" t="n"/>
      <c r="SNA92" s="15" t="n"/>
      <c r="SNB92" s="15" t="n"/>
      <c r="SNC92" s="248" t="n"/>
      <c r="SND92" s="248" t="n"/>
      <c r="SNE92" s="240" t="n"/>
      <c r="SNF92" s="240" t="n"/>
      <c r="SNH92" s="15" t="n"/>
      <c r="SNI92" s="15" t="n"/>
      <c r="SNJ92" s="248" t="n"/>
      <c r="SNK92" s="248" t="n"/>
      <c r="SNL92" s="240" t="n"/>
      <c r="SNM92" s="240" t="n"/>
      <c r="SNO92" s="15" t="n"/>
      <c r="SNP92" s="15" t="n"/>
      <c r="SNQ92" s="248" t="n"/>
      <c r="SNR92" s="248" t="n"/>
      <c r="SNS92" s="240" t="n"/>
      <c r="SNT92" s="240" t="n"/>
      <c r="SNV92" s="15" t="n"/>
      <c r="SNW92" s="15" t="n"/>
      <c r="SNX92" s="248" t="n"/>
      <c r="SNY92" s="248" t="n"/>
      <c r="SNZ92" s="240" t="n"/>
      <c r="SOA92" s="240" t="n"/>
      <c r="SOC92" s="15" t="n"/>
      <c r="SOD92" s="15" t="n"/>
      <c r="SOE92" s="248" t="n"/>
      <c r="SOF92" s="248" t="n"/>
      <c r="SOG92" s="240" t="n"/>
      <c r="SOH92" s="240" t="n"/>
      <c r="SOJ92" s="15" t="n"/>
      <c r="SOK92" s="15" t="n"/>
      <c r="SOL92" s="248" t="n"/>
      <c r="SOM92" s="248" t="n"/>
      <c r="SON92" s="240" t="n"/>
      <c r="SOO92" s="240" t="n"/>
      <c r="SOQ92" s="15" t="n"/>
      <c r="SOR92" s="15" t="n"/>
      <c r="SOS92" s="248" t="n"/>
      <c r="SOT92" s="248" t="n"/>
      <c r="SOU92" s="240" t="n"/>
      <c r="SOV92" s="240" t="n"/>
      <c r="SOX92" s="15" t="n"/>
      <c r="SOY92" s="15" t="n"/>
      <c r="SOZ92" s="248" t="n"/>
      <c r="SPA92" s="248" t="n"/>
      <c r="SPB92" s="240" t="n"/>
      <c r="SPC92" s="240" t="n"/>
      <c r="SPE92" s="15" t="n"/>
      <c r="SPF92" s="15" t="n"/>
      <c r="SPG92" s="248" t="n"/>
      <c r="SPH92" s="248" t="n"/>
      <c r="SPI92" s="240" t="n"/>
      <c r="SPJ92" s="240" t="n"/>
      <c r="SPL92" s="15" t="n"/>
      <c r="SPM92" s="15" t="n"/>
      <c r="SPN92" s="248" t="n"/>
      <c r="SPO92" s="248" t="n"/>
      <c r="SPP92" s="240" t="n"/>
      <c r="SPQ92" s="240" t="n"/>
      <c r="SPS92" s="15" t="n"/>
      <c r="SPT92" s="15" t="n"/>
      <c r="SPU92" s="248" t="n"/>
      <c r="SPV92" s="248" t="n"/>
      <c r="SPW92" s="240" t="n"/>
      <c r="SPX92" s="240" t="n"/>
      <c r="SPZ92" s="15" t="n"/>
      <c r="SQA92" s="15" t="n"/>
      <c r="SQB92" s="248" t="n"/>
      <c r="SQC92" s="248" t="n"/>
      <c r="SQD92" s="240" t="n"/>
      <c r="SQE92" s="240" t="n"/>
      <c r="SQG92" s="15" t="n"/>
      <c r="SQH92" s="15" t="n"/>
      <c r="SQI92" s="248" t="n"/>
      <c r="SQJ92" s="248" t="n"/>
      <c r="SQK92" s="240" t="n"/>
      <c r="SQL92" s="240" t="n"/>
      <c r="SQN92" s="15" t="n"/>
      <c r="SQO92" s="15" t="n"/>
      <c r="SQP92" s="248" t="n"/>
      <c r="SQQ92" s="248" t="n"/>
      <c r="SQR92" s="240" t="n"/>
      <c r="SQS92" s="240" t="n"/>
      <c r="SQU92" s="15" t="n"/>
      <c r="SQV92" s="15" t="n"/>
      <c r="SQW92" s="248" t="n"/>
      <c r="SQX92" s="248" t="n"/>
      <c r="SQY92" s="240" t="n"/>
      <c r="SQZ92" s="240" t="n"/>
      <c r="SRB92" s="15" t="n"/>
      <c r="SRC92" s="15" t="n"/>
      <c r="SRD92" s="248" t="n"/>
      <c r="SRE92" s="248" t="n"/>
      <c r="SRF92" s="240" t="n"/>
      <c r="SRG92" s="240" t="n"/>
      <c r="SRI92" s="15" t="n"/>
      <c r="SRJ92" s="15" t="n"/>
      <c r="SRK92" s="248" t="n"/>
      <c r="SRL92" s="248" t="n"/>
      <c r="SRM92" s="240" t="n"/>
      <c r="SRN92" s="240" t="n"/>
      <c r="SRP92" s="15" t="n"/>
      <c r="SRQ92" s="15" t="n"/>
      <c r="SRR92" s="248" t="n"/>
      <c r="SRS92" s="248" t="n"/>
      <c r="SRT92" s="240" t="n"/>
      <c r="SRU92" s="240" t="n"/>
      <c r="SRW92" s="15" t="n"/>
      <c r="SRX92" s="15" t="n"/>
      <c r="SRY92" s="248" t="n"/>
      <c r="SRZ92" s="248" t="n"/>
      <c r="SSA92" s="240" t="n"/>
      <c r="SSB92" s="240" t="n"/>
      <c r="SSD92" s="15" t="n"/>
      <c r="SSE92" s="15" t="n"/>
      <c r="SSF92" s="248" t="n"/>
      <c r="SSG92" s="248" t="n"/>
      <c r="SSH92" s="240" t="n"/>
      <c r="SSI92" s="240" t="n"/>
      <c r="SSK92" s="15" t="n"/>
      <c r="SSL92" s="15" t="n"/>
      <c r="SSM92" s="248" t="n"/>
      <c r="SSN92" s="248" t="n"/>
      <c r="SSO92" s="240" t="n"/>
      <c r="SSP92" s="240" t="n"/>
      <c r="SSR92" s="15" t="n"/>
      <c r="SSS92" s="15" t="n"/>
      <c r="SST92" s="248" t="n"/>
      <c r="SSU92" s="248" t="n"/>
      <c r="SSV92" s="240" t="n"/>
      <c r="SSW92" s="240" t="n"/>
      <c r="SSY92" s="15" t="n"/>
      <c r="SSZ92" s="15" t="n"/>
      <c r="STA92" s="248" t="n"/>
      <c r="STB92" s="248" t="n"/>
      <c r="STC92" s="240" t="n"/>
      <c r="STD92" s="240" t="n"/>
      <c r="STF92" s="15" t="n"/>
      <c r="STG92" s="15" t="n"/>
      <c r="STH92" s="248" t="n"/>
      <c r="STI92" s="248" t="n"/>
      <c r="STJ92" s="240" t="n"/>
      <c r="STK92" s="240" t="n"/>
      <c r="STM92" s="15" t="n"/>
      <c r="STN92" s="15" t="n"/>
      <c r="STO92" s="248" t="n"/>
      <c r="STP92" s="248" t="n"/>
      <c r="STQ92" s="240" t="n"/>
      <c r="STR92" s="240" t="n"/>
      <c r="STT92" s="15" t="n"/>
      <c r="STU92" s="15" t="n"/>
      <c r="STV92" s="248" t="n"/>
      <c r="STW92" s="248" t="n"/>
      <c r="STX92" s="240" t="n"/>
      <c r="STY92" s="240" t="n"/>
      <c r="SUA92" s="15" t="n"/>
      <c r="SUB92" s="15" t="n"/>
      <c r="SUC92" s="248" t="n"/>
      <c r="SUD92" s="248" t="n"/>
      <c r="SUE92" s="240" t="n"/>
      <c r="SUF92" s="240" t="n"/>
      <c r="SUH92" s="15" t="n"/>
      <c r="SUI92" s="15" t="n"/>
      <c r="SUJ92" s="248" t="n"/>
      <c r="SUK92" s="248" t="n"/>
      <c r="SUL92" s="240" t="n"/>
      <c r="SUM92" s="240" t="n"/>
      <c r="SUO92" s="15" t="n"/>
      <c r="SUP92" s="15" t="n"/>
      <c r="SUQ92" s="248" t="n"/>
      <c r="SUR92" s="248" t="n"/>
      <c r="SUS92" s="240" t="n"/>
      <c r="SUT92" s="240" t="n"/>
      <c r="SUV92" s="15" t="n"/>
      <c r="SUW92" s="15" t="n"/>
      <c r="SUX92" s="248" t="n"/>
      <c r="SUY92" s="248" t="n"/>
      <c r="SUZ92" s="240" t="n"/>
      <c r="SVA92" s="240" t="n"/>
      <c r="SVC92" s="15" t="n"/>
      <c r="SVD92" s="15" t="n"/>
      <c r="SVE92" s="248" t="n"/>
      <c r="SVF92" s="248" t="n"/>
      <c r="SVG92" s="240" t="n"/>
      <c r="SVH92" s="240" t="n"/>
      <c r="SVJ92" s="15" t="n"/>
      <c r="SVK92" s="15" t="n"/>
      <c r="SVL92" s="248" t="n"/>
      <c r="SVM92" s="248" t="n"/>
      <c r="SVN92" s="240" t="n"/>
      <c r="SVO92" s="240" t="n"/>
      <c r="SVQ92" s="15" t="n"/>
      <c r="SVR92" s="15" t="n"/>
      <c r="SVS92" s="248" t="n"/>
      <c r="SVT92" s="248" t="n"/>
      <c r="SVU92" s="240" t="n"/>
      <c r="SVV92" s="240" t="n"/>
      <c r="SVX92" s="15" t="n"/>
      <c r="SVY92" s="15" t="n"/>
      <c r="SVZ92" s="248" t="n"/>
      <c r="SWA92" s="248" t="n"/>
      <c r="SWB92" s="240" t="n"/>
      <c r="SWC92" s="240" t="n"/>
      <c r="SWE92" s="15" t="n"/>
      <c r="SWF92" s="15" t="n"/>
      <c r="SWG92" s="248" t="n"/>
      <c r="SWH92" s="248" t="n"/>
      <c r="SWI92" s="240" t="n"/>
      <c r="SWJ92" s="240" t="n"/>
      <c r="SWL92" s="15" t="n"/>
      <c r="SWM92" s="15" t="n"/>
      <c r="SWN92" s="248" t="n"/>
      <c r="SWO92" s="248" t="n"/>
      <c r="SWP92" s="240" t="n"/>
      <c r="SWQ92" s="240" t="n"/>
      <c r="SWS92" s="15" t="n"/>
      <c r="SWT92" s="15" t="n"/>
      <c r="SWU92" s="248" t="n"/>
      <c r="SWV92" s="248" t="n"/>
      <c r="SWW92" s="240" t="n"/>
      <c r="SWX92" s="240" t="n"/>
      <c r="SWZ92" s="15" t="n"/>
      <c r="SXA92" s="15" t="n"/>
      <c r="SXB92" s="248" t="n"/>
      <c r="SXC92" s="248" t="n"/>
      <c r="SXD92" s="240" t="n"/>
      <c r="SXE92" s="240" t="n"/>
      <c r="SXG92" s="15" t="n"/>
      <c r="SXH92" s="15" t="n"/>
      <c r="SXI92" s="248" t="n"/>
      <c r="SXJ92" s="248" t="n"/>
      <c r="SXK92" s="240" t="n"/>
      <c r="SXL92" s="240" t="n"/>
      <c r="SXN92" s="15" t="n"/>
      <c r="SXO92" s="15" t="n"/>
      <c r="SXP92" s="248" t="n"/>
      <c r="SXQ92" s="248" t="n"/>
      <c r="SXR92" s="240" t="n"/>
      <c r="SXS92" s="240" t="n"/>
      <c r="SXU92" s="15" t="n"/>
      <c r="SXV92" s="15" t="n"/>
      <c r="SXW92" s="248" t="n"/>
      <c r="SXX92" s="248" t="n"/>
      <c r="SXY92" s="240" t="n"/>
      <c r="SXZ92" s="240" t="n"/>
      <c r="SYB92" s="15" t="n"/>
      <c r="SYC92" s="15" t="n"/>
      <c r="SYD92" s="248" t="n"/>
      <c r="SYE92" s="248" t="n"/>
      <c r="SYF92" s="240" t="n"/>
      <c r="SYG92" s="240" t="n"/>
      <c r="SYI92" s="15" t="n"/>
      <c r="SYJ92" s="15" t="n"/>
      <c r="SYK92" s="248" t="n"/>
      <c r="SYL92" s="248" t="n"/>
      <c r="SYM92" s="240" t="n"/>
      <c r="SYN92" s="240" t="n"/>
      <c r="SYP92" s="15" t="n"/>
      <c r="SYQ92" s="15" t="n"/>
      <c r="SYR92" s="248" t="n"/>
      <c r="SYS92" s="248" t="n"/>
      <c r="SYT92" s="240" t="n"/>
      <c r="SYU92" s="240" t="n"/>
      <c r="SYW92" s="15" t="n"/>
      <c r="SYX92" s="15" t="n"/>
      <c r="SYY92" s="248" t="n"/>
      <c r="SYZ92" s="248" t="n"/>
      <c r="SZA92" s="240" t="n"/>
      <c r="SZB92" s="240" t="n"/>
      <c r="SZD92" s="15" t="n"/>
      <c r="SZE92" s="15" t="n"/>
      <c r="SZF92" s="248" t="n"/>
      <c r="SZG92" s="248" t="n"/>
      <c r="SZH92" s="240" t="n"/>
      <c r="SZI92" s="240" t="n"/>
      <c r="SZK92" s="15" t="n"/>
      <c r="SZL92" s="15" t="n"/>
      <c r="SZM92" s="248" t="n"/>
      <c r="SZN92" s="248" t="n"/>
      <c r="SZO92" s="240" t="n"/>
      <c r="SZP92" s="240" t="n"/>
      <c r="SZR92" s="15" t="n"/>
      <c r="SZS92" s="15" t="n"/>
      <c r="SZT92" s="248" t="n"/>
      <c r="SZU92" s="248" t="n"/>
      <c r="SZV92" s="240" t="n"/>
      <c r="SZW92" s="240" t="n"/>
      <c r="SZY92" s="15" t="n"/>
      <c r="SZZ92" s="15" t="n"/>
      <c r="TAA92" s="248" t="n"/>
      <c r="TAB92" s="248" t="n"/>
      <c r="TAC92" s="240" t="n"/>
      <c r="TAD92" s="240" t="n"/>
      <c r="TAF92" s="15" t="n"/>
      <c r="TAG92" s="15" t="n"/>
      <c r="TAH92" s="248" t="n"/>
      <c r="TAI92" s="248" t="n"/>
      <c r="TAJ92" s="240" t="n"/>
      <c r="TAK92" s="240" t="n"/>
      <c r="TAM92" s="15" t="n"/>
      <c r="TAN92" s="15" t="n"/>
      <c r="TAO92" s="248" t="n"/>
      <c r="TAP92" s="248" t="n"/>
      <c r="TAQ92" s="240" t="n"/>
      <c r="TAR92" s="240" t="n"/>
      <c r="TAT92" s="15" t="n"/>
      <c r="TAU92" s="15" t="n"/>
      <c r="TAV92" s="248" t="n"/>
      <c r="TAW92" s="248" t="n"/>
      <c r="TAX92" s="240" t="n"/>
      <c r="TAY92" s="240" t="n"/>
      <c r="TBA92" s="15" t="n"/>
      <c r="TBB92" s="15" t="n"/>
      <c r="TBC92" s="248" t="n"/>
      <c r="TBD92" s="248" t="n"/>
      <c r="TBE92" s="240" t="n"/>
      <c r="TBF92" s="240" t="n"/>
      <c r="TBH92" s="15" t="n"/>
      <c r="TBI92" s="15" t="n"/>
      <c r="TBJ92" s="248" t="n"/>
      <c r="TBK92" s="248" t="n"/>
      <c r="TBL92" s="240" t="n"/>
      <c r="TBM92" s="240" t="n"/>
      <c r="TBO92" s="15" t="n"/>
      <c r="TBP92" s="15" t="n"/>
      <c r="TBQ92" s="248" t="n"/>
      <c r="TBR92" s="248" t="n"/>
      <c r="TBS92" s="240" t="n"/>
      <c r="TBT92" s="240" t="n"/>
      <c r="TBV92" s="15" t="n"/>
      <c r="TBW92" s="15" t="n"/>
      <c r="TBX92" s="248" t="n"/>
      <c r="TBY92" s="248" t="n"/>
      <c r="TBZ92" s="240" t="n"/>
      <c r="TCA92" s="240" t="n"/>
      <c r="TCC92" s="15" t="n"/>
      <c r="TCD92" s="15" t="n"/>
      <c r="TCE92" s="248" t="n"/>
      <c r="TCF92" s="248" t="n"/>
      <c r="TCG92" s="240" t="n"/>
      <c r="TCH92" s="240" t="n"/>
      <c r="TCJ92" s="15" t="n"/>
      <c r="TCK92" s="15" t="n"/>
      <c r="TCL92" s="248" t="n"/>
      <c r="TCM92" s="248" t="n"/>
      <c r="TCN92" s="240" t="n"/>
      <c r="TCO92" s="240" t="n"/>
      <c r="TCQ92" s="15" t="n"/>
      <c r="TCR92" s="15" t="n"/>
      <c r="TCS92" s="248" t="n"/>
      <c r="TCT92" s="248" t="n"/>
      <c r="TCU92" s="240" t="n"/>
      <c r="TCV92" s="240" t="n"/>
      <c r="TCX92" s="15" t="n"/>
      <c r="TCY92" s="15" t="n"/>
      <c r="TCZ92" s="248" t="n"/>
      <c r="TDA92" s="248" t="n"/>
      <c r="TDB92" s="240" t="n"/>
      <c r="TDC92" s="240" t="n"/>
      <c r="TDE92" s="15" t="n"/>
      <c r="TDF92" s="15" t="n"/>
      <c r="TDG92" s="248" t="n"/>
      <c r="TDH92" s="248" t="n"/>
      <c r="TDI92" s="240" t="n"/>
      <c r="TDJ92" s="240" t="n"/>
      <c r="TDL92" s="15" t="n"/>
      <c r="TDM92" s="15" t="n"/>
      <c r="TDN92" s="248" t="n"/>
      <c r="TDO92" s="248" t="n"/>
      <c r="TDP92" s="240" t="n"/>
      <c r="TDQ92" s="240" t="n"/>
      <c r="TDS92" s="15" t="n"/>
      <c r="TDT92" s="15" t="n"/>
      <c r="TDU92" s="248" t="n"/>
      <c r="TDV92" s="248" t="n"/>
      <c r="TDW92" s="240" t="n"/>
      <c r="TDX92" s="240" t="n"/>
      <c r="TDZ92" s="15" t="n"/>
      <c r="TEA92" s="15" t="n"/>
      <c r="TEB92" s="248" t="n"/>
      <c r="TEC92" s="248" t="n"/>
      <c r="TED92" s="240" t="n"/>
      <c r="TEE92" s="240" t="n"/>
      <c r="TEG92" s="15" t="n"/>
      <c r="TEH92" s="15" t="n"/>
      <c r="TEI92" s="248" t="n"/>
      <c r="TEJ92" s="248" t="n"/>
      <c r="TEK92" s="240" t="n"/>
      <c r="TEL92" s="240" t="n"/>
      <c r="TEN92" s="15" t="n"/>
      <c r="TEO92" s="15" t="n"/>
      <c r="TEP92" s="248" t="n"/>
      <c r="TEQ92" s="248" t="n"/>
      <c r="TER92" s="240" t="n"/>
      <c r="TES92" s="240" t="n"/>
      <c r="TEU92" s="15" t="n"/>
      <c r="TEV92" s="15" t="n"/>
      <c r="TEW92" s="248" t="n"/>
      <c r="TEX92" s="248" t="n"/>
      <c r="TEY92" s="240" t="n"/>
      <c r="TEZ92" s="240" t="n"/>
      <c r="TFB92" s="15" t="n"/>
      <c r="TFC92" s="15" t="n"/>
      <c r="TFD92" s="248" t="n"/>
      <c r="TFE92" s="248" t="n"/>
      <c r="TFF92" s="240" t="n"/>
      <c r="TFG92" s="240" t="n"/>
      <c r="TFI92" s="15" t="n"/>
      <c r="TFJ92" s="15" t="n"/>
      <c r="TFK92" s="248" t="n"/>
      <c r="TFL92" s="248" t="n"/>
      <c r="TFM92" s="240" t="n"/>
      <c r="TFN92" s="240" t="n"/>
      <c r="TFP92" s="15" t="n"/>
      <c r="TFQ92" s="15" t="n"/>
      <c r="TFR92" s="248" t="n"/>
      <c r="TFS92" s="248" t="n"/>
      <c r="TFT92" s="240" t="n"/>
      <c r="TFU92" s="240" t="n"/>
      <c r="TFW92" s="15" t="n"/>
      <c r="TFX92" s="15" t="n"/>
      <c r="TFY92" s="248" t="n"/>
      <c r="TFZ92" s="248" t="n"/>
      <c r="TGA92" s="240" t="n"/>
      <c r="TGB92" s="240" t="n"/>
      <c r="TGD92" s="15" t="n"/>
      <c r="TGE92" s="15" t="n"/>
      <c r="TGF92" s="248" t="n"/>
      <c r="TGG92" s="248" t="n"/>
      <c r="TGH92" s="240" t="n"/>
      <c r="TGI92" s="240" t="n"/>
      <c r="TGK92" s="15" t="n"/>
      <c r="TGL92" s="15" t="n"/>
      <c r="TGM92" s="248" t="n"/>
      <c r="TGN92" s="248" t="n"/>
      <c r="TGO92" s="240" t="n"/>
      <c r="TGP92" s="240" t="n"/>
      <c r="TGR92" s="15" t="n"/>
      <c r="TGS92" s="15" t="n"/>
      <c r="TGT92" s="248" t="n"/>
      <c r="TGU92" s="248" t="n"/>
      <c r="TGV92" s="240" t="n"/>
      <c r="TGW92" s="240" t="n"/>
      <c r="TGY92" s="15" t="n"/>
      <c r="TGZ92" s="15" t="n"/>
      <c r="THA92" s="248" t="n"/>
      <c r="THB92" s="248" t="n"/>
      <c r="THC92" s="240" t="n"/>
      <c r="THD92" s="240" t="n"/>
      <c r="THF92" s="15" t="n"/>
      <c r="THG92" s="15" t="n"/>
      <c r="THH92" s="248" t="n"/>
      <c r="THI92" s="248" t="n"/>
      <c r="THJ92" s="240" t="n"/>
      <c r="THK92" s="240" t="n"/>
      <c r="THM92" s="15" t="n"/>
      <c r="THN92" s="15" t="n"/>
      <c r="THO92" s="248" t="n"/>
      <c r="THP92" s="248" t="n"/>
      <c r="THQ92" s="240" t="n"/>
      <c r="THR92" s="240" t="n"/>
      <c r="THT92" s="15" t="n"/>
      <c r="THU92" s="15" t="n"/>
      <c r="THV92" s="248" t="n"/>
      <c r="THW92" s="248" t="n"/>
      <c r="THX92" s="240" t="n"/>
      <c r="THY92" s="240" t="n"/>
      <c r="TIA92" s="15" t="n"/>
      <c r="TIB92" s="15" t="n"/>
      <c r="TIC92" s="248" t="n"/>
      <c r="TID92" s="248" t="n"/>
      <c r="TIE92" s="240" t="n"/>
      <c r="TIF92" s="240" t="n"/>
      <c r="TIH92" s="15" t="n"/>
      <c r="TII92" s="15" t="n"/>
      <c r="TIJ92" s="248" t="n"/>
      <c r="TIK92" s="248" t="n"/>
      <c r="TIL92" s="240" t="n"/>
      <c r="TIM92" s="240" t="n"/>
      <c r="TIO92" s="15" t="n"/>
      <c r="TIP92" s="15" t="n"/>
      <c r="TIQ92" s="248" t="n"/>
      <c r="TIR92" s="248" t="n"/>
      <c r="TIS92" s="240" t="n"/>
      <c r="TIT92" s="240" t="n"/>
      <c r="TIV92" s="15" t="n"/>
      <c r="TIW92" s="15" t="n"/>
      <c r="TIX92" s="248" t="n"/>
      <c r="TIY92" s="248" t="n"/>
      <c r="TIZ92" s="240" t="n"/>
      <c r="TJA92" s="240" t="n"/>
      <c r="TJC92" s="15" t="n"/>
      <c r="TJD92" s="15" t="n"/>
      <c r="TJE92" s="248" t="n"/>
      <c r="TJF92" s="248" t="n"/>
      <c r="TJG92" s="240" t="n"/>
      <c r="TJH92" s="240" t="n"/>
      <c r="TJJ92" s="15" t="n"/>
      <c r="TJK92" s="15" t="n"/>
      <c r="TJL92" s="248" t="n"/>
      <c r="TJM92" s="248" t="n"/>
      <c r="TJN92" s="240" t="n"/>
      <c r="TJO92" s="240" t="n"/>
      <c r="TJQ92" s="15" t="n"/>
      <c r="TJR92" s="15" t="n"/>
      <c r="TJS92" s="248" t="n"/>
      <c r="TJT92" s="248" t="n"/>
      <c r="TJU92" s="240" t="n"/>
      <c r="TJV92" s="240" t="n"/>
      <c r="TJX92" s="15" t="n"/>
      <c r="TJY92" s="15" t="n"/>
      <c r="TJZ92" s="248" t="n"/>
      <c r="TKA92" s="248" t="n"/>
      <c r="TKB92" s="240" t="n"/>
      <c r="TKC92" s="240" t="n"/>
      <c r="TKE92" s="15" t="n"/>
      <c r="TKF92" s="15" t="n"/>
      <c r="TKG92" s="248" t="n"/>
      <c r="TKH92" s="248" t="n"/>
      <c r="TKI92" s="240" t="n"/>
      <c r="TKJ92" s="240" t="n"/>
      <c r="TKL92" s="15" t="n"/>
      <c r="TKM92" s="15" t="n"/>
      <c r="TKN92" s="248" t="n"/>
      <c r="TKO92" s="248" t="n"/>
      <c r="TKP92" s="240" t="n"/>
      <c r="TKQ92" s="240" t="n"/>
      <c r="TKS92" s="15" t="n"/>
      <c r="TKT92" s="15" t="n"/>
      <c r="TKU92" s="248" t="n"/>
      <c r="TKV92" s="248" t="n"/>
      <c r="TKW92" s="240" t="n"/>
      <c r="TKX92" s="240" t="n"/>
      <c r="TKZ92" s="15" t="n"/>
      <c r="TLA92" s="15" t="n"/>
      <c r="TLB92" s="248" t="n"/>
      <c r="TLC92" s="248" t="n"/>
      <c r="TLD92" s="240" t="n"/>
      <c r="TLE92" s="240" t="n"/>
      <c r="TLG92" s="15" t="n"/>
      <c r="TLH92" s="15" t="n"/>
      <c r="TLI92" s="248" t="n"/>
      <c r="TLJ92" s="248" t="n"/>
      <c r="TLK92" s="240" t="n"/>
      <c r="TLL92" s="240" t="n"/>
      <c r="TLN92" s="15" t="n"/>
      <c r="TLO92" s="15" t="n"/>
      <c r="TLP92" s="248" t="n"/>
      <c r="TLQ92" s="248" t="n"/>
      <c r="TLR92" s="240" t="n"/>
      <c r="TLS92" s="240" t="n"/>
      <c r="TLU92" s="15" t="n"/>
      <c r="TLV92" s="15" t="n"/>
      <c r="TLW92" s="248" t="n"/>
      <c r="TLX92" s="248" t="n"/>
      <c r="TLY92" s="240" t="n"/>
      <c r="TLZ92" s="240" t="n"/>
      <c r="TMB92" s="15" t="n"/>
      <c r="TMC92" s="15" t="n"/>
      <c r="TMD92" s="248" t="n"/>
      <c r="TME92" s="248" t="n"/>
      <c r="TMF92" s="240" t="n"/>
      <c r="TMG92" s="240" t="n"/>
      <c r="TMI92" s="15" t="n"/>
      <c r="TMJ92" s="15" t="n"/>
      <c r="TMK92" s="248" t="n"/>
      <c r="TML92" s="248" t="n"/>
      <c r="TMM92" s="240" t="n"/>
      <c r="TMN92" s="240" t="n"/>
      <c r="TMP92" s="15" t="n"/>
      <c r="TMQ92" s="15" t="n"/>
      <c r="TMR92" s="248" t="n"/>
      <c r="TMS92" s="248" t="n"/>
      <c r="TMT92" s="240" t="n"/>
      <c r="TMU92" s="240" t="n"/>
      <c r="TMW92" s="15" t="n"/>
      <c r="TMX92" s="15" t="n"/>
      <c r="TMY92" s="248" t="n"/>
      <c r="TMZ92" s="248" t="n"/>
      <c r="TNA92" s="240" t="n"/>
      <c r="TNB92" s="240" t="n"/>
      <c r="TND92" s="15" t="n"/>
      <c r="TNE92" s="15" t="n"/>
      <c r="TNF92" s="248" t="n"/>
      <c r="TNG92" s="248" t="n"/>
      <c r="TNH92" s="240" t="n"/>
      <c r="TNI92" s="240" t="n"/>
      <c r="TNK92" s="15" t="n"/>
      <c r="TNL92" s="15" t="n"/>
      <c r="TNM92" s="248" t="n"/>
      <c r="TNN92" s="248" t="n"/>
      <c r="TNO92" s="240" t="n"/>
      <c r="TNP92" s="240" t="n"/>
      <c r="TNR92" s="15" t="n"/>
      <c r="TNS92" s="15" t="n"/>
      <c r="TNT92" s="248" t="n"/>
      <c r="TNU92" s="248" t="n"/>
      <c r="TNV92" s="240" t="n"/>
      <c r="TNW92" s="240" t="n"/>
      <c r="TNY92" s="15" t="n"/>
      <c r="TNZ92" s="15" t="n"/>
      <c r="TOA92" s="248" t="n"/>
      <c r="TOB92" s="248" t="n"/>
      <c r="TOC92" s="240" t="n"/>
      <c r="TOD92" s="240" t="n"/>
      <c r="TOF92" s="15" t="n"/>
      <c r="TOG92" s="15" t="n"/>
      <c r="TOH92" s="248" t="n"/>
      <c r="TOI92" s="248" t="n"/>
      <c r="TOJ92" s="240" t="n"/>
      <c r="TOK92" s="240" t="n"/>
      <c r="TOM92" s="15" t="n"/>
      <c r="TON92" s="15" t="n"/>
      <c r="TOO92" s="248" t="n"/>
      <c r="TOP92" s="248" t="n"/>
      <c r="TOQ92" s="240" t="n"/>
      <c r="TOR92" s="240" t="n"/>
      <c r="TOT92" s="15" t="n"/>
      <c r="TOU92" s="15" t="n"/>
      <c r="TOV92" s="248" t="n"/>
      <c r="TOW92" s="248" t="n"/>
      <c r="TOX92" s="240" t="n"/>
      <c r="TOY92" s="240" t="n"/>
      <c r="TPA92" s="15" t="n"/>
      <c r="TPB92" s="15" t="n"/>
      <c r="TPC92" s="248" t="n"/>
      <c r="TPD92" s="248" t="n"/>
      <c r="TPE92" s="240" t="n"/>
      <c r="TPF92" s="240" t="n"/>
      <c r="TPH92" s="15" t="n"/>
      <c r="TPI92" s="15" t="n"/>
      <c r="TPJ92" s="248" t="n"/>
      <c r="TPK92" s="248" t="n"/>
      <c r="TPL92" s="240" t="n"/>
      <c r="TPM92" s="240" t="n"/>
      <c r="TPO92" s="15" t="n"/>
      <c r="TPP92" s="15" t="n"/>
      <c r="TPQ92" s="248" t="n"/>
      <c r="TPR92" s="248" t="n"/>
      <c r="TPS92" s="240" t="n"/>
      <c r="TPT92" s="240" t="n"/>
      <c r="TPV92" s="15" t="n"/>
      <c r="TPW92" s="15" t="n"/>
      <c r="TPX92" s="248" t="n"/>
      <c r="TPY92" s="248" t="n"/>
      <c r="TPZ92" s="240" t="n"/>
      <c r="TQA92" s="240" t="n"/>
      <c r="TQC92" s="15" t="n"/>
      <c r="TQD92" s="15" t="n"/>
      <c r="TQE92" s="248" t="n"/>
      <c r="TQF92" s="248" t="n"/>
      <c r="TQG92" s="240" t="n"/>
      <c r="TQH92" s="240" t="n"/>
      <c r="TQJ92" s="15" t="n"/>
      <c r="TQK92" s="15" t="n"/>
      <c r="TQL92" s="248" t="n"/>
      <c r="TQM92" s="248" t="n"/>
      <c r="TQN92" s="240" t="n"/>
      <c r="TQO92" s="240" t="n"/>
      <c r="TQQ92" s="15" t="n"/>
      <c r="TQR92" s="15" t="n"/>
      <c r="TQS92" s="248" t="n"/>
      <c r="TQT92" s="248" t="n"/>
      <c r="TQU92" s="240" t="n"/>
      <c r="TQV92" s="240" t="n"/>
      <c r="TQX92" s="15" t="n"/>
      <c r="TQY92" s="15" t="n"/>
      <c r="TQZ92" s="248" t="n"/>
      <c r="TRA92" s="248" t="n"/>
      <c r="TRB92" s="240" t="n"/>
      <c r="TRC92" s="240" t="n"/>
      <c r="TRE92" s="15" t="n"/>
      <c r="TRF92" s="15" t="n"/>
      <c r="TRG92" s="248" t="n"/>
      <c r="TRH92" s="248" t="n"/>
      <c r="TRI92" s="240" t="n"/>
      <c r="TRJ92" s="240" t="n"/>
      <c r="TRL92" s="15" t="n"/>
      <c r="TRM92" s="15" t="n"/>
      <c r="TRN92" s="248" t="n"/>
      <c r="TRO92" s="248" t="n"/>
      <c r="TRP92" s="240" t="n"/>
      <c r="TRQ92" s="240" t="n"/>
      <c r="TRS92" s="15" t="n"/>
      <c r="TRT92" s="15" t="n"/>
      <c r="TRU92" s="248" t="n"/>
      <c r="TRV92" s="248" t="n"/>
      <c r="TRW92" s="240" t="n"/>
      <c r="TRX92" s="240" t="n"/>
      <c r="TRZ92" s="15" t="n"/>
      <c r="TSA92" s="15" t="n"/>
      <c r="TSB92" s="248" t="n"/>
      <c r="TSC92" s="248" t="n"/>
      <c r="TSD92" s="240" t="n"/>
      <c r="TSE92" s="240" t="n"/>
      <c r="TSG92" s="15" t="n"/>
      <c r="TSH92" s="15" t="n"/>
      <c r="TSI92" s="248" t="n"/>
      <c r="TSJ92" s="248" t="n"/>
      <c r="TSK92" s="240" t="n"/>
      <c r="TSL92" s="240" t="n"/>
      <c r="TSN92" s="15" t="n"/>
      <c r="TSO92" s="15" t="n"/>
      <c r="TSP92" s="248" t="n"/>
      <c r="TSQ92" s="248" t="n"/>
      <c r="TSR92" s="240" t="n"/>
      <c r="TSS92" s="240" t="n"/>
      <c r="TSU92" s="15" t="n"/>
      <c r="TSV92" s="15" t="n"/>
      <c r="TSW92" s="248" t="n"/>
      <c r="TSX92" s="248" t="n"/>
      <c r="TSY92" s="240" t="n"/>
      <c r="TSZ92" s="240" t="n"/>
      <c r="TTB92" s="15" t="n"/>
      <c r="TTC92" s="15" t="n"/>
      <c r="TTD92" s="248" t="n"/>
      <c r="TTE92" s="248" t="n"/>
      <c r="TTF92" s="240" t="n"/>
      <c r="TTG92" s="240" t="n"/>
      <c r="TTI92" s="15" t="n"/>
      <c r="TTJ92" s="15" t="n"/>
      <c r="TTK92" s="248" t="n"/>
      <c r="TTL92" s="248" t="n"/>
      <c r="TTM92" s="240" t="n"/>
      <c r="TTN92" s="240" t="n"/>
      <c r="TTP92" s="15" t="n"/>
      <c r="TTQ92" s="15" t="n"/>
      <c r="TTR92" s="248" t="n"/>
      <c r="TTS92" s="248" t="n"/>
      <c r="TTT92" s="240" t="n"/>
      <c r="TTU92" s="240" t="n"/>
      <c r="TTW92" s="15" t="n"/>
      <c r="TTX92" s="15" t="n"/>
      <c r="TTY92" s="248" t="n"/>
      <c r="TTZ92" s="248" t="n"/>
      <c r="TUA92" s="240" t="n"/>
      <c r="TUB92" s="240" t="n"/>
      <c r="TUD92" s="15" t="n"/>
      <c r="TUE92" s="15" t="n"/>
      <c r="TUF92" s="248" t="n"/>
      <c r="TUG92" s="248" t="n"/>
      <c r="TUH92" s="240" t="n"/>
      <c r="TUI92" s="240" t="n"/>
      <c r="TUK92" s="15" t="n"/>
      <c r="TUL92" s="15" t="n"/>
      <c r="TUM92" s="248" t="n"/>
      <c r="TUN92" s="248" t="n"/>
      <c r="TUO92" s="240" t="n"/>
      <c r="TUP92" s="240" t="n"/>
      <c r="TUR92" s="15" t="n"/>
      <c r="TUS92" s="15" t="n"/>
      <c r="TUT92" s="248" t="n"/>
      <c r="TUU92" s="248" t="n"/>
      <c r="TUV92" s="240" t="n"/>
      <c r="TUW92" s="240" t="n"/>
      <c r="TUY92" s="15" t="n"/>
      <c r="TUZ92" s="15" t="n"/>
      <c r="TVA92" s="248" t="n"/>
      <c r="TVB92" s="248" t="n"/>
      <c r="TVC92" s="240" t="n"/>
      <c r="TVD92" s="240" t="n"/>
      <c r="TVF92" s="15" t="n"/>
      <c r="TVG92" s="15" t="n"/>
      <c r="TVH92" s="248" t="n"/>
      <c r="TVI92" s="248" t="n"/>
      <c r="TVJ92" s="240" t="n"/>
      <c r="TVK92" s="240" t="n"/>
      <c r="TVM92" s="15" t="n"/>
      <c r="TVN92" s="15" t="n"/>
      <c r="TVO92" s="248" t="n"/>
      <c r="TVP92" s="248" t="n"/>
      <c r="TVQ92" s="240" t="n"/>
      <c r="TVR92" s="240" t="n"/>
      <c r="TVT92" s="15" t="n"/>
      <c r="TVU92" s="15" t="n"/>
      <c r="TVV92" s="248" t="n"/>
      <c r="TVW92" s="248" t="n"/>
      <c r="TVX92" s="240" t="n"/>
      <c r="TVY92" s="240" t="n"/>
      <c r="TWA92" s="15" t="n"/>
      <c r="TWB92" s="15" t="n"/>
      <c r="TWC92" s="248" t="n"/>
      <c r="TWD92" s="248" t="n"/>
      <c r="TWE92" s="240" t="n"/>
      <c r="TWF92" s="240" t="n"/>
      <c r="TWH92" s="15" t="n"/>
      <c r="TWI92" s="15" t="n"/>
      <c r="TWJ92" s="248" t="n"/>
      <c r="TWK92" s="248" t="n"/>
      <c r="TWL92" s="240" t="n"/>
      <c r="TWM92" s="240" t="n"/>
      <c r="TWO92" s="15" t="n"/>
      <c r="TWP92" s="15" t="n"/>
      <c r="TWQ92" s="248" t="n"/>
      <c r="TWR92" s="248" t="n"/>
      <c r="TWS92" s="240" t="n"/>
      <c r="TWT92" s="240" t="n"/>
      <c r="TWV92" s="15" t="n"/>
      <c r="TWW92" s="15" t="n"/>
      <c r="TWX92" s="248" t="n"/>
      <c r="TWY92" s="248" t="n"/>
      <c r="TWZ92" s="240" t="n"/>
      <c r="TXA92" s="240" t="n"/>
      <c r="TXC92" s="15" t="n"/>
      <c r="TXD92" s="15" t="n"/>
      <c r="TXE92" s="248" t="n"/>
      <c r="TXF92" s="248" t="n"/>
      <c r="TXG92" s="240" t="n"/>
      <c r="TXH92" s="240" t="n"/>
      <c r="TXJ92" s="15" t="n"/>
      <c r="TXK92" s="15" t="n"/>
      <c r="TXL92" s="248" t="n"/>
      <c r="TXM92" s="248" t="n"/>
      <c r="TXN92" s="240" t="n"/>
      <c r="TXO92" s="240" t="n"/>
      <c r="TXQ92" s="15" t="n"/>
      <c r="TXR92" s="15" t="n"/>
      <c r="TXS92" s="248" t="n"/>
      <c r="TXT92" s="248" t="n"/>
      <c r="TXU92" s="240" t="n"/>
      <c r="TXV92" s="240" t="n"/>
      <c r="TXX92" s="15" t="n"/>
      <c r="TXY92" s="15" t="n"/>
      <c r="TXZ92" s="248" t="n"/>
      <c r="TYA92" s="248" t="n"/>
      <c r="TYB92" s="240" t="n"/>
      <c r="TYC92" s="240" t="n"/>
      <c r="TYE92" s="15" t="n"/>
      <c r="TYF92" s="15" t="n"/>
      <c r="TYG92" s="248" t="n"/>
      <c r="TYH92" s="248" t="n"/>
      <c r="TYI92" s="240" t="n"/>
      <c r="TYJ92" s="240" t="n"/>
      <c r="TYL92" s="15" t="n"/>
      <c r="TYM92" s="15" t="n"/>
      <c r="TYN92" s="248" t="n"/>
      <c r="TYO92" s="248" t="n"/>
      <c r="TYP92" s="240" t="n"/>
      <c r="TYQ92" s="240" t="n"/>
      <c r="TYS92" s="15" t="n"/>
      <c r="TYT92" s="15" t="n"/>
      <c r="TYU92" s="248" t="n"/>
      <c r="TYV92" s="248" t="n"/>
      <c r="TYW92" s="240" t="n"/>
      <c r="TYX92" s="240" t="n"/>
      <c r="TYZ92" s="15" t="n"/>
      <c r="TZA92" s="15" t="n"/>
      <c r="TZB92" s="248" t="n"/>
      <c r="TZC92" s="248" t="n"/>
      <c r="TZD92" s="240" t="n"/>
      <c r="TZE92" s="240" t="n"/>
      <c r="TZG92" s="15" t="n"/>
      <c r="TZH92" s="15" t="n"/>
      <c r="TZI92" s="248" t="n"/>
      <c r="TZJ92" s="248" t="n"/>
      <c r="TZK92" s="240" t="n"/>
      <c r="TZL92" s="240" t="n"/>
      <c r="TZN92" s="15" t="n"/>
      <c r="TZO92" s="15" t="n"/>
      <c r="TZP92" s="248" t="n"/>
      <c r="TZQ92" s="248" t="n"/>
      <c r="TZR92" s="240" t="n"/>
      <c r="TZS92" s="240" t="n"/>
      <c r="TZU92" s="15" t="n"/>
      <c r="TZV92" s="15" t="n"/>
      <c r="TZW92" s="248" t="n"/>
      <c r="TZX92" s="248" t="n"/>
      <c r="TZY92" s="240" t="n"/>
      <c r="TZZ92" s="240" t="n"/>
      <c r="UAB92" s="15" t="n"/>
      <c r="UAC92" s="15" t="n"/>
      <c r="UAD92" s="248" t="n"/>
      <c r="UAE92" s="248" t="n"/>
      <c r="UAF92" s="240" t="n"/>
      <c r="UAG92" s="240" t="n"/>
      <c r="UAI92" s="15" t="n"/>
      <c r="UAJ92" s="15" t="n"/>
      <c r="UAK92" s="248" t="n"/>
      <c r="UAL92" s="248" t="n"/>
      <c r="UAM92" s="240" t="n"/>
      <c r="UAN92" s="240" t="n"/>
      <c r="UAP92" s="15" t="n"/>
      <c r="UAQ92" s="15" t="n"/>
      <c r="UAR92" s="248" t="n"/>
      <c r="UAS92" s="248" t="n"/>
      <c r="UAT92" s="240" t="n"/>
      <c r="UAU92" s="240" t="n"/>
      <c r="UAW92" s="15" t="n"/>
      <c r="UAX92" s="15" t="n"/>
      <c r="UAY92" s="248" t="n"/>
      <c r="UAZ92" s="248" t="n"/>
      <c r="UBA92" s="240" t="n"/>
      <c r="UBB92" s="240" t="n"/>
      <c r="UBD92" s="15" t="n"/>
      <c r="UBE92" s="15" t="n"/>
      <c r="UBF92" s="248" t="n"/>
      <c r="UBG92" s="248" t="n"/>
      <c r="UBH92" s="240" t="n"/>
      <c r="UBI92" s="240" t="n"/>
      <c r="UBK92" s="15" t="n"/>
      <c r="UBL92" s="15" t="n"/>
      <c r="UBM92" s="248" t="n"/>
      <c r="UBN92" s="248" t="n"/>
      <c r="UBO92" s="240" t="n"/>
      <c r="UBP92" s="240" t="n"/>
      <c r="UBR92" s="15" t="n"/>
      <c r="UBS92" s="15" t="n"/>
      <c r="UBT92" s="248" t="n"/>
      <c r="UBU92" s="248" t="n"/>
      <c r="UBV92" s="240" t="n"/>
      <c r="UBW92" s="240" t="n"/>
      <c r="UBY92" s="15" t="n"/>
      <c r="UBZ92" s="15" t="n"/>
      <c r="UCA92" s="248" t="n"/>
      <c r="UCB92" s="248" t="n"/>
      <c r="UCC92" s="240" t="n"/>
      <c r="UCD92" s="240" t="n"/>
      <c r="UCF92" s="15" t="n"/>
      <c r="UCG92" s="15" t="n"/>
      <c r="UCH92" s="248" t="n"/>
      <c r="UCI92" s="248" t="n"/>
      <c r="UCJ92" s="240" t="n"/>
      <c r="UCK92" s="240" t="n"/>
      <c r="UCM92" s="15" t="n"/>
      <c r="UCN92" s="15" t="n"/>
      <c r="UCO92" s="248" t="n"/>
      <c r="UCP92" s="248" t="n"/>
      <c r="UCQ92" s="240" t="n"/>
      <c r="UCR92" s="240" t="n"/>
      <c r="UCT92" s="15" t="n"/>
      <c r="UCU92" s="15" t="n"/>
      <c r="UCV92" s="248" t="n"/>
      <c r="UCW92" s="248" t="n"/>
      <c r="UCX92" s="240" t="n"/>
      <c r="UCY92" s="240" t="n"/>
      <c r="UDA92" s="15" t="n"/>
      <c r="UDB92" s="15" t="n"/>
      <c r="UDC92" s="248" t="n"/>
      <c r="UDD92" s="248" t="n"/>
      <c r="UDE92" s="240" t="n"/>
      <c r="UDF92" s="240" t="n"/>
      <c r="UDH92" s="15" t="n"/>
      <c r="UDI92" s="15" t="n"/>
      <c r="UDJ92" s="248" t="n"/>
      <c r="UDK92" s="248" t="n"/>
      <c r="UDL92" s="240" t="n"/>
      <c r="UDM92" s="240" t="n"/>
      <c r="UDO92" s="15" t="n"/>
      <c r="UDP92" s="15" t="n"/>
      <c r="UDQ92" s="248" t="n"/>
      <c r="UDR92" s="248" t="n"/>
      <c r="UDS92" s="240" t="n"/>
      <c r="UDT92" s="240" t="n"/>
      <c r="UDV92" s="15" t="n"/>
      <c r="UDW92" s="15" t="n"/>
      <c r="UDX92" s="248" t="n"/>
      <c r="UDY92" s="248" t="n"/>
      <c r="UDZ92" s="240" t="n"/>
      <c r="UEA92" s="240" t="n"/>
      <c r="UEC92" s="15" t="n"/>
      <c r="UED92" s="15" t="n"/>
      <c r="UEE92" s="248" t="n"/>
      <c r="UEF92" s="248" t="n"/>
      <c r="UEG92" s="240" t="n"/>
      <c r="UEH92" s="240" t="n"/>
      <c r="UEJ92" s="15" t="n"/>
      <c r="UEK92" s="15" t="n"/>
      <c r="UEL92" s="248" t="n"/>
      <c r="UEM92" s="248" t="n"/>
      <c r="UEN92" s="240" t="n"/>
      <c r="UEO92" s="240" t="n"/>
      <c r="UEQ92" s="15" t="n"/>
      <c r="UER92" s="15" t="n"/>
      <c r="UES92" s="248" t="n"/>
      <c r="UET92" s="248" t="n"/>
      <c r="UEU92" s="240" t="n"/>
      <c r="UEV92" s="240" t="n"/>
      <c r="UEX92" s="15" t="n"/>
      <c r="UEY92" s="15" t="n"/>
      <c r="UEZ92" s="248" t="n"/>
      <c r="UFA92" s="248" t="n"/>
      <c r="UFB92" s="240" t="n"/>
      <c r="UFC92" s="240" t="n"/>
      <c r="UFE92" s="15" t="n"/>
      <c r="UFF92" s="15" t="n"/>
      <c r="UFG92" s="248" t="n"/>
      <c r="UFH92" s="248" t="n"/>
      <c r="UFI92" s="240" t="n"/>
      <c r="UFJ92" s="240" t="n"/>
      <c r="UFL92" s="15" t="n"/>
      <c r="UFM92" s="15" t="n"/>
      <c r="UFN92" s="248" t="n"/>
      <c r="UFO92" s="248" t="n"/>
      <c r="UFP92" s="240" t="n"/>
      <c r="UFQ92" s="240" t="n"/>
      <c r="UFS92" s="15" t="n"/>
      <c r="UFT92" s="15" t="n"/>
      <c r="UFU92" s="248" t="n"/>
      <c r="UFV92" s="248" t="n"/>
      <c r="UFW92" s="240" t="n"/>
      <c r="UFX92" s="240" t="n"/>
      <c r="UFZ92" s="15" t="n"/>
      <c r="UGA92" s="15" t="n"/>
      <c r="UGB92" s="248" t="n"/>
      <c r="UGC92" s="248" t="n"/>
      <c r="UGD92" s="240" t="n"/>
      <c r="UGE92" s="240" t="n"/>
      <c r="UGG92" s="15" t="n"/>
      <c r="UGH92" s="15" t="n"/>
      <c r="UGI92" s="248" t="n"/>
      <c r="UGJ92" s="248" t="n"/>
      <c r="UGK92" s="240" t="n"/>
      <c r="UGL92" s="240" t="n"/>
      <c r="UGN92" s="15" t="n"/>
      <c r="UGO92" s="15" t="n"/>
      <c r="UGP92" s="248" t="n"/>
      <c r="UGQ92" s="248" t="n"/>
      <c r="UGR92" s="240" t="n"/>
      <c r="UGS92" s="240" t="n"/>
      <c r="UGU92" s="15" t="n"/>
      <c r="UGV92" s="15" t="n"/>
      <c r="UGW92" s="248" t="n"/>
      <c r="UGX92" s="248" t="n"/>
      <c r="UGY92" s="240" t="n"/>
      <c r="UGZ92" s="240" t="n"/>
      <c r="UHB92" s="15" t="n"/>
      <c r="UHC92" s="15" t="n"/>
      <c r="UHD92" s="248" t="n"/>
      <c r="UHE92" s="248" t="n"/>
      <c r="UHF92" s="240" t="n"/>
      <c r="UHG92" s="240" t="n"/>
      <c r="UHI92" s="15" t="n"/>
      <c r="UHJ92" s="15" t="n"/>
      <c r="UHK92" s="248" t="n"/>
      <c r="UHL92" s="248" t="n"/>
      <c r="UHM92" s="240" t="n"/>
      <c r="UHN92" s="240" t="n"/>
      <c r="UHP92" s="15" t="n"/>
      <c r="UHQ92" s="15" t="n"/>
      <c r="UHR92" s="248" t="n"/>
      <c r="UHS92" s="248" t="n"/>
      <c r="UHT92" s="240" t="n"/>
      <c r="UHU92" s="240" t="n"/>
      <c r="UHW92" s="15" t="n"/>
      <c r="UHX92" s="15" t="n"/>
      <c r="UHY92" s="248" t="n"/>
      <c r="UHZ92" s="248" t="n"/>
      <c r="UIA92" s="240" t="n"/>
      <c r="UIB92" s="240" t="n"/>
      <c r="UID92" s="15" t="n"/>
      <c r="UIE92" s="15" t="n"/>
      <c r="UIF92" s="248" t="n"/>
      <c r="UIG92" s="248" t="n"/>
      <c r="UIH92" s="240" t="n"/>
      <c r="UII92" s="240" t="n"/>
      <c r="UIK92" s="15" t="n"/>
      <c r="UIL92" s="15" t="n"/>
      <c r="UIM92" s="248" t="n"/>
      <c r="UIN92" s="248" t="n"/>
      <c r="UIO92" s="240" t="n"/>
      <c r="UIP92" s="240" t="n"/>
      <c r="UIR92" s="15" t="n"/>
      <c r="UIS92" s="15" t="n"/>
      <c r="UIT92" s="248" t="n"/>
      <c r="UIU92" s="248" t="n"/>
      <c r="UIV92" s="240" t="n"/>
      <c r="UIW92" s="240" t="n"/>
      <c r="UIY92" s="15" t="n"/>
      <c r="UIZ92" s="15" t="n"/>
      <c r="UJA92" s="248" t="n"/>
      <c r="UJB92" s="248" t="n"/>
      <c r="UJC92" s="240" t="n"/>
      <c r="UJD92" s="240" t="n"/>
      <c r="UJF92" s="15" t="n"/>
      <c r="UJG92" s="15" t="n"/>
      <c r="UJH92" s="248" t="n"/>
      <c r="UJI92" s="248" t="n"/>
      <c r="UJJ92" s="240" t="n"/>
      <c r="UJK92" s="240" t="n"/>
      <c r="UJM92" s="15" t="n"/>
      <c r="UJN92" s="15" t="n"/>
      <c r="UJO92" s="248" t="n"/>
      <c r="UJP92" s="248" t="n"/>
      <c r="UJQ92" s="240" t="n"/>
      <c r="UJR92" s="240" t="n"/>
      <c r="UJT92" s="15" t="n"/>
      <c r="UJU92" s="15" t="n"/>
      <c r="UJV92" s="248" t="n"/>
      <c r="UJW92" s="248" t="n"/>
      <c r="UJX92" s="240" t="n"/>
      <c r="UJY92" s="240" t="n"/>
      <c r="UKA92" s="15" t="n"/>
      <c r="UKB92" s="15" t="n"/>
      <c r="UKC92" s="248" t="n"/>
      <c r="UKD92" s="248" t="n"/>
      <c r="UKE92" s="240" t="n"/>
      <c r="UKF92" s="240" t="n"/>
      <c r="UKH92" s="15" t="n"/>
      <c r="UKI92" s="15" t="n"/>
      <c r="UKJ92" s="248" t="n"/>
      <c r="UKK92" s="248" t="n"/>
      <c r="UKL92" s="240" t="n"/>
      <c r="UKM92" s="240" t="n"/>
      <c r="UKO92" s="15" t="n"/>
      <c r="UKP92" s="15" t="n"/>
      <c r="UKQ92" s="248" t="n"/>
      <c r="UKR92" s="248" t="n"/>
      <c r="UKS92" s="240" t="n"/>
      <c r="UKT92" s="240" t="n"/>
      <c r="UKV92" s="15" t="n"/>
      <c r="UKW92" s="15" t="n"/>
      <c r="UKX92" s="248" t="n"/>
      <c r="UKY92" s="248" t="n"/>
      <c r="UKZ92" s="240" t="n"/>
      <c r="ULA92" s="240" t="n"/>
      <c r="ULC92" s="15" t="n"/>
      <c r="ULD92" s="15" t="n"/>
      <c r="ULE92" s="248" t="n"/>
      <c r="ULF92" s="248" t="n"/>
      <c r="ULG92" s="240" t="n"/>
      <c r="ULH92" s="240" t="n"/>
      <c r="ULJ92" s="15" t="n"/>
      <c r="ULK92" s="15" t="n"/>
      <c r="ULL92" s="248" t="n"/>
      <c r="ULM92" s="248" t="n"/>
      <c r="ULN92" s="240" t="n"/>
      <c r="ULO92" s="240" t="n"/>
      <c r="ULQ92" s="15" t="n"/>
      <c r="ULR92" s="15" t="n"/>
      <c r="ULS92" s="248" t="n"/>
      <c r="ULT92" s="248" t="n"/>
      <c r="ULU92" s="240" t="n"/>
      <c r="ULV92" s="240" t="n"/>
      <c r="ULX92" s="15" t="n"/>
      <c r="ULY92" s="15" t="n"/>
      <c r="ULZ92" s="248" t="n"/>
      <c r="UMA92" s="248" t="n"/>
      <c r="UMB92" s="240" t="n"/>
      <c r="UMC92" s="240" t="n"/>
      <c r="UME92" s="15" t="n"/>
      <c r="UMF92" s="15" t="n"/>
      <c r="UMG92" s="248" t="n"/>
      <c r="UMH92" s="248" t="n"/>
      <c r="UMI92" s="240" t="n"/>
      <c r="UMJ92" s="240" t="n"/>
      <c r="UML92" s="15" t="n"/>
      <c r="UMM92" s="15" t="n"/>
      <c r="UMN92" s="248" t="n"/>
      <c r="UMO92" s="248" t="n"/>
      <c r="UMP92" s="240" t="n"/>
      <c r="UMQ92" s="240" t="n"/>
      <c r="UMS92" s="15" t="n"/>
      <c r="UMT92" s="15" t="n"/>
      <c r="UMU92" s="248" t="n"/>
      <c r="UMV92" s="248" t="n"/>
      <c r="UMW92" s="240" t="n"/>
      <c r="UMX92" s="240" t="n"/>
      <c r="UMZ92" s="15" t="n"/>
      <c r="UNA92" s="15" t="n"/>
      <c r="UNB92" s="248" t="n"/>
      <c r="UNC92" s="248" t="n"/>
      <c r="UND92" s="240" t="n"/>
      <c r="UNE92" s="240" t="n"/>
      <c r="UNG92" s="15" t="n"/>
      <c r="UNH92" s="15" t="n"/>
      <c r="UNI92" s="248" t="n"/>
      <c r="UNJ92" s="248" t="n"/>
      <c r="UNK92" s="240" t="n"/>
      <c r="UNL92" s="240" t="n"/>
      <c r="UNN92" s="15" t="n"/>
      <c r="UNO92" s="15" t="n"/>
      <c r="UNP92" s="248" t="n"/>
      <c r="UNQ92" s="248" t="n"/>
      <c r="UNR92" s="240" t="n"/>
      <c r="UNS92" s="240" t="n"/>
      <c r="UNU92" s="15" t="n"/>
      <c r="UNV92" s="15" t="n"/>
      <c r="UNW92" s="248" t="n"/>
      <c r="UNX92" s="248" t="n"/>
      <c r="UNY92" s="240" t="n"/>
      <c r="UNZ92" s="240" t="n"/>
      <c r="UOB92" s="15" t="n"/>
      <c r="UOC92" s="15" t="n"/>
      <c r="UOD92" s="248" t="n"/>
      <c r="UOE92" s="248" t="n"/>
      <c r="UOF92" s="240" t="n"/>
      <c r="UOG92" s="240" t="n"/>
      <c r="UOI92" s="15" t="n"/>
      <c r="UOJ92" s="15" t="n"/>
      <c r="UOK92" s="248" t="n"/>
      <c r="UOL92" s="248" t="n"/>
      <c r="UOM92" s="240" t="n"/>
      <c r="UON92" s="240" t="n"/>
      <c r="UOP92" s="15" t="n"/>
      <c r="UOQ92" s="15" t="n"/>
      <c r="UOR92" s="248" t="n"/>
      <c r="UOS92" s="248" t="n"/>
      <c r="UOT92" s="240" t="n"/>
      <c r="UOU92" s="240" t="n"/>
      <c r="UOW92" s="15" t="n"/>
      <c r="UOX92" s="15" t="n"/>
      <c r="UOY92" s="248" t="n"/>
      <c r="UOZ92" s="248" t="n"/>
      <c r="UPA92" s="240" t="n"/>
      <c r="UPB92" s="240" t="n"/>
      <c r="UPD92" s="15" t="n"/>
      <c r="UPE92" s="15" t="n"/>
      <c r="UPF92" s="248" t="n"/>
      <c r="UPG92" s="248" t="n"/>
      <c r="UPH92" s="240" t="n"/>
      <c r="UPI92" s="240" t="n"/>
      <c r="UPK92" s="15" t="n"/>
      <c r="UPL92" s="15" t="n"/>
      <c r="UPM92" s="248" t="n"/>
      <c r="UPN92" s="248" t="n"/>
      <c r="UPO92" s="240" t="n"/>
      <c r="UPP92" s="240" t="n"/>
      <c r="UPR92" s="15" t="n"/>
      <c r="UPS92" s="15" t="n"/>
      <c r="UPT92" s="248" t="n"/>
      <c r="UPU92" s="248" t="n"/>
      <c r="UPV92" s="240" t="n"/>
      <c r="UPW92" s="240" t="n"/>
      <c r="UPY92" s="15" t="n"/>
      <c r="UPZ92" s="15" t="n"/>
      <c r="UQA92" s="248" t="n"/>
      <c r="UQB92" s="248" t="n"/>
      <c r="UQC92" s="240" t="n"/>
      <c r="UQD92" s="240" t="n"/>
      <c r="UQF92" s="15" t="n"/>
      <c r="UQG92" s="15" t="n"/>
      <c r="UQH92" s="248" t="n"/>
      <c r="UQI92" s="248" t="n"/>
      <c r="UQJ92" s="240" t="n"/>
      <c r="UQK92" s="240" t="n"/>
      <c r="UQM92" s="15" t="n"/>
      <c r="UQN92" s="15" t="n"/>
      <c r="UQO92" s="248" t="n"/>
      <c r="UQP92" s="248" t="n"/>
      <c r="UQQ92" s="240" t="n"/>
      <c r="UQR92" s="240" t="n"/>
      <c r="UQT92" s="15" t="n"/>
      <c r="UQU92" s="15" t="n"/>
      <c r="UQV92" s="248" t="n"/>
      <c r="UQW92" s="248" t="n"/>
      <c r="UQX92" s="240" t="n"/>
      <c r="UQY92" s="240" t="n"/>
      <c r="URA92" s="15" t="n"/>
      <c r="URB92" s="15" t="n"/>
      <c r="URC92" s="248" t="n"/>
      <c r="URD92" s="248" t="n"/>
      <c r="URE92" s="240" t="n"/>
      <c r="URF92" s="240" t="n"/>
      <c r="URH92" s="15" t="n"/>
      <c r="URI92" s="15" t="n"/>
      <c r="URJ92" s="248" t="n"/>
      <c r="URK92" s="248" t="n"/>
      <c r="URL92" s="240" t="n"/>
      <c r="URM92" s="240" t="n"/>
      <c r="URO92" s="15" t="n"/>
      <c r="URP92" s="15" t="n"/>
      <c r="URQ92" s="248" t="n"/>
      <c r="URR92" s="248" t="n"/>
      <c r="URS92" s="240" t="n"/>
      <c r="URT92" s="240" t="n"/>
      <c r="URV92" s="15" t="n"/>
      <c r="URW92" s="15" t="n"/>
      <c r="URX92" s="248" t="n"/>
      <c r="URY92" s="248" t="n"/>
      <c r="URZ92" s="240" t="n"/>
      <c r="USA92" s="240" t="n"/>
      <c r="USC92" s="15" t="n"/>
      <c r="USD92" s="15" t="n"/>
      <c r="USE92" s="248" t="n"/>
      <c r="USF92" s="248" t="n"/>
      <c r="USG92" s="240" t="n"/>
      <c r="USH92" s="240" t="n"/>
      <c r="USJ92" s="15" t="n"/>
      <c r="USK92" s="15" t="n"/>
      <c r="USL92" s="248" t="n"/>
      <c r="USM92" s="248" t="n"/>
      <c r="USN92" s="240" t="n"/>
      <c r="USO92" s="240" t="n"/>
      <c r="USQ92" s="15" t="n"/>
      <c r="USR92" s="15" t="n"/>
      <c r="USS92" s="248" t="n"/>
      <c r="UST92" s="248" t="n"/>
      <c r="USU92" s="240" t="n"/>
      <c r="USV92" s="240" t="n"/>
      <c r="USX92" s="15" t="n"/>
      <c r="USY92" s="15" t="n"/>
      <c r="USZ92" s="248" t="n"/>
      <c r="UTA92" s="248" t="n"/>
      <c r="UTB92" s="240" t="n"/>
      <c r="UTC92" s="240" t="n"/>
      <c r="UTE92" s="15" t="n"/>
      <c r="UTF92" s="15" t="n"/>
      <c r="UTG92" s="248" t="n"/>
      <c r="UTH92" s="248" t="n"/>
      <c r="UTI92" s="240" t="n"/>
      <c r="UTJ92" s="240" t="n"/>
      <c r="UTL92" s="15" t="n"/>
      <c r="UTM92" s="15" t="n"/>
      <c r="UTN92" s="248" t="n"/>
      <c r="UTO92" s="248" t="n"/>
      <c r="UTP92" s="240" t="n"/>
      <c r="UTQ92" s="240" t="n"/>
      <c r="UTS92" s="15" t="n"/>
      <c r="UTT92" s="15" t="n"/>
      <c r="UTU92" s="248" t="n"/>
      <c r="UTV92" s="248" t="n"/>
      <c r="UTW92" s="240" t="n"/>
      <c r="UTX92" s="240" t="n"/>
      <c r="UTZ92" s="15" t="n"/>
      <c r="UUA92" s="15" t="n"/>
      <c r="UUB92" s="248" t="n"/>
      <c r="UUC92" s="248" t="n"/>
      <c r="UUD92" s="240" t="n"/>
      <c r="UUE92" s="240" t="n"/>
      <c r="UUG92" s="15" t="n"/>
      <c r="UUH92" s="15" t="n"/>
      <c r="UUI92" s="248" t="n"/>
      <c r="UUJ92" s="248" t="n"/>
      <c r="UUK92" s="240" t="n"/>
      <c r="UUL92" s="240" t="n"/>
      <c r="UUN92" s="15" t="n"/>
      <c r="UUO92" s="15" t="n"/>
      <c r="UUP92" s="248" t="n"/>
      <c r="UUQ92" s="248" t="n"/>
      <c r="UUR92" s="240" t="n"/>
      <c r="UUS92" s="240" t="n"/>
      <c r="UUU92" s="15" t="n"/>
      <c r="UUV92" s="15" t="n"/>
      <c r="UUW92" s="248" t="n"/>
      <c r="UUX92" s="248" t="n"/>
      <c r="UUY92" s="240" t="n"/>
      <c r="UUZ92" s="240" t="n"/>
      <c r="UVB92" s="15" t="n"/>
      <c r="UVC92" s="15" t="n"/>
      <c r="UVD92" s="248" t="n"/>
      <c r="UVE92" s="248" t="n"/>
      <c r="UVF92" s="240" t="n"/>
      <c r="UVG92" s="240" t="n"/>
      <c r="UVI92" s="15" t="n"/>
      <c r="UVJ92" s="15" t="n"/>
      <c r="UVK92" s="248" t="n"/>
      <c r="UVL92" s="248" t="n"/>
      <c r="UVM92" s="240" t="n"/>
      <c r="UVN92" s="240" t="n"/>
      <c r="UVP92" s="15" t="n"/>
      <c r="UVQ92" s="15" t="n"/>
      <c r="UVR92" s="248" t="n"/>
      <c r="UVS92" s="248" t="n"/>
      <c r="UVT92" s="240" t="n"/>
      <c r="UVU92" s="240" t="n"/>
      <c r="UVW92" s="15" t="n"/>
      <c r="UVX92" s="15" t="n"/>
      <c r="UVY92" s="248" t="n"/>
      <c r="UVZ92" s="248" t="n"/>
      <c r="UWA92" s="240" t="n"/>
      <c r="UWB92" s="240" t="n"/>
      <c r="UWD92" s="15" t="n"/>
      <c r="UWE92" s="15" t="n"/>
      <c r="UWF92" s="248" t="n"/>
      <c r="UWG92" s="248" t="n"/>
      <c r="UWH92" s="240" t="n"/>
      <c r="UWI92" s="240" t="n"/>
      <c r="UWK92" s="15" t="n"/>
      <c r="UWL92" s="15" t="n"/>
      <c r="UWM92" s="248" t="n"/>
      <c r="UWN92" s="248" t="n"/>
      <c r="UWO92" s="240" t="n"/>
      <c r="UWP92" s="240" t="n"/>
      <c r="UWR92" s="15" t="n"/>
      <c r="UWS92" s="15" t="n"/>
      <c r="UWT92" s="248" t="n"/>
      <c r="UWU92" s="248" t="n"/>
      <c r="UWV92" s="240" t="n"/>
      <c r="UWW92" s="240" t="n"/>
      <c r="UWY92" s="15" t="n"/>
      <c r="UWZ92" s="15" t="n"/>
      <c r="UXA92" s="248" t="n"/>
      <c r="UXB92" s="248" t="n"/>
      <c r="UXC92" s="240" t="n"/>
      <c r="UXD92" s="240" t="n"/>
      <c r="UXF92" s="15" t="n"/>
      <c r="UXG92" s="15" t="n"/>
      <c r="UXH92" s="248" t="n"/>
      <c r="UXI92" s="248" t="n"/>
      <c r="UXJ92" s="240" t="n"/>
      <c r="UXK92" s="240" t="n"/>
      <c r="UXM92" s="15" t="n"/>
      <c r="UXN92" s="15" t="n"/>
      <c r="UXO92" s="248" t="n"/>
      <c r="UXP92" s="248" t="n"/>
      <c r="UXQ92" s="240" t="n"/>
      <c r="UXR92" s="240" t="n"/>
      <c r="UXT92" s="15" t="n"/>
      <c r="UXU92" s="15" t="n"/>
      <c r="UXV92" s="248" t="n"/>
      <c r="UXW92" s="248" t="n"/>
      <c r="UXX92" s="240" t="n"/>
      <c r="UXY92" s="240" t="n"/>
      <c r="UYA92" s="15" t="n"/>
      <c r="UYB92" s="15" t="n"/>
      <c r="UYC92" s="248" t="n"/>
      <c r="UYD92" s="248" t="n"/>
      <c r="UYE92" s="240" t="n"/>
      <c r="UYF92" s="240" t="n"/>
      <c r="UYH92" s="15" t="n"/>
      <c r="UYI92" s="15" t="n"/>
      <c r="UYJ92" s="248" t="n"/>
      <c r="UYK92" s="248" t="n"/>
      <c r="UYL92" s="240" t="n"/>
      <c r="UYM92" s="240" t="n"/>
      <c r="UYO92" s="15" t="n"/>
      <c r="UYP92" s="15" t="n"/>
      <c r="UYQ92" s="248" t="n"/>
      <c r="UYR92" s="248" t="n"/>
      <c r="UYS92" s="240" t="n"/>
      <c r="UYT92" s="240" t="n"/>
      <c r="UYV92" s="15" t="n"/>
      <c r="UYW92" s="15" t="n"/>
      <c r="UYX92" s="248" t="n"/>
      <c r="UYY92" s="248" t="n"/>
      <c r="UYZ92" s="240" t="n"/>
      <c r="UZA92" s="240" t="n"/>
      <c r="UZC92" s="15" t="n"/>
      <c r="UZD92" s="15" t="n"/>
      <c r="UZE92" s="248" t="n"/>
      <c r="UZF92" s="248" t="n"/>
      <c r="UZG92" s="240" t="n"/>
      <c r="UZH92" s="240" t="n"/>
      <c r="UZJ92" s="15" t="n"/>
      <c r="UZK92" s="15" t="n"/>
      <c r="UZL92" s="248" t="n"/>
      <c r="UZM92" s="248" t="n"/>
      <c r="UZN92" s="240" t="n"/>
      <c r="UZO92" s="240" t="n"/>
      <c r="UZQ92" s="15" t="n"/>
      <c r="UZR92" s="15" t="n"/>
      <c r="UZS92" s="248" t="n"/>
      <c r="UZT92" s="248" t="n"/>
      <c r="UZU92" s="240" t="n"/>
      <c r="UZV92" s="240" t="n"/>
      <c r="UZX92" s="15" t="n"/>
      <c r="UZY92" s="15" t="n"/>
      <c r="UZZ92" s="248" t="n"/>
      <c r="VAA92" s="248" t="n"/>
      <c r="VAB92" s="240" t="n"/>
      <c r="VAC92" s="240" t="n"/>
      <c r="VAE92" s="15" t="n"/>
      <c r="VAF92" s="15" t="n"/>
      <c r="VAG92" s="248" t="n"/>
      <c r="VAH92" s="248" t="n"/>
      <c r="VAI92" s="240" t="n"/>
      <c r="VAJ92" s="240" t="n"/>
      <c r="VAL92" s="15" t="n"/>
      <c r="VAM92" s="15" t="n"/>
      <c r="VAN92" s="248" t="n"/>
      <c r="VAO92" s="248" t="n"/>
      <c r="VAP92" s="240" t="n"/>
      <c r="VAQ92" s="240" t="n"/>
      <c r="VAS92" s="15" t="n"/>
      <c r="VAT92" s="15" t="n"/>
      <c r="VAU92" s="248" t="n"/>
      <c r="VAV92" s="248" t="n"/>
      <c r="VAW92" s="240" t="n"/>
      <c r="VAX92" s="240" t="n"/>
      <c r="VAZ92" s="15" t="n"/>
      <c r="VBA92" s="15" t="n"/>
      <c r="VBB92" s="248" t="n"/>
      <c r="VBC92" s="248" t="n"/>
      <c r="VBD92" s="240" t="n"/>
      <c r="VBE92" s="240" t="n"/>
      <c r="VBG92" s="15" t="n"/>
      <c r="VBH92" s="15" t="n"/>
      <c r="VBI92" s="248" t="n"/>
      <c r="VBJ92" s="248" t="n"/>
      <c r="VBK92" s="240" t="n"/>
      <c r="VBL92" s="240" t="n"/>
      <c r="VBN92" s="15" t="n"/>
      <c r="VBO92" s="15" t="n"/>
      <c r="VBP92" s="248" t="n"/>
      <c r="VBQ92" s="248" t="n"/>
      <c r="VBR92" s="240" t="n"/>
      <c r="VBS92" s="240" t="n"/>
      <c r="VBU92" s="15" t="n"/>
      <c r="VBV92" s="15" t="n"/>
      <c r="VBW92" s="248" t="n"/>
      <c r="VBX92" s="248" t="n"/>
      <c r="VBY92" s="240" t="n"/>
      <c r="VBZ92" s="240" t="n"/>
      <c r="VCB92" s="15" t="n"/>
      <c r="VCC92" s="15" t="n"/>
      <c r="VCD92" s="248" t="n"/>
      <c r="VCE92" s="248" t="n"/>
      <c r="VCF92" s="240" t="n"/>
      <c r="VCG92" s="240" t="n"/>
      <c r="VCI92" s="15" t="n"/>
      <c r="VCJ92" s="15" t="n"/>
      <c r="VCK92" s="248" t="n"/>
      <c r="VCL92" s="248" t="n"/>
      <c r="VCM92" s="240" t="n"/>
      <c r="VCN92" s="240" t="n"/>
      <c r="VCP92" s="15" t="n"/>
      <c r="VCQ92" s="15" t="n"/>
      <c r="VCR92" s="248" t="n"/>
      <c r="VCS92" s="248" t="n"/>
      <c r="VCT92" s="240" t="n"/>
      <c r="VCU92" s="240" t="n"/>
      <c r="VCW92" s="15" t="n"/>
      <c r="VCX92" s="15" t="n"/>
      <c r="VCY92" s="248" t="n"/>
      <c r="VCZ92" s="248" t="n"/>
      <c r="VDA92" s="240" t="n"/>
      <c r="VDB92" s="240" t="n"/>
      <c r="VDD92" s="15" t="n"/>
      <c r="VDE92" s="15" t="n"/>
      <c r="VDF92" s="248" t="n"/>
      <c r="VDG92" s="248" t="n"/>
      <c r="VDH92" s="240" t="n"/>
      <c r="VDI92" s="240" t="n"/>
      <c r="VDK92" s="15" t="n"/>
      <c r="VDL92" s="15" t="n"/>
      <c r="VDM92" s="248" t="n"/>
      <c r="VDN92" s="248" t="n"/>
      <c r="VDO92" s="240" t="n"/>
      <c r="VDP92" s="240" t="n"/>
      <c r="VDR92" s="15" t="n"/>
      <c r="VDS92" s="15" t="n"/>
      <c r="VDT92" s="248" t="n"/>
      <c r="VDU92" s="248" t="n"/>
      <c r="VDV92" s="240" t="n"/>
      <c r="VDW92" s="240" t="n"/>
      <c r="VDY92" s="15" t="n"/>
      <c r="VDZ92" s="15" t="n"/>
      <c r="VEA92" s="248" t="n"/>
      <c r="VEB92" s="248" t="n"/>
      <c r="VEC92" s="240" t="n"/>
      <c r="VED92" s="240" t="n"/>
      <c r="VEF92" s="15" t="n"/>
      <c r="VEG92" s="15" t="n"/>
      <c r="VEH92" s="248" t="n"/>
      <c r="VEI92" s="248" t="n"/>
      <c r="VEJ92" s="240" t="n"/>
      <c r="VEK92" s="240" t="n"/>
      <c r="VEM92" s="15" t="n"/>
      <c r="VEN92" s="15" t="n"/>
      <c r="VEO92" s="248" t="n"/>
      <c r="VEP92" s="248" t="n"/>
      <c r="VEQ92" s="240" t="n"/>
      <c r="VER92" s="240" t="n"/>
      <c r="VET92" s="15" t="n"/>
      <c r="VEU92" s="15" t="n"/>
      <c r="VEV92" s="248" t="n"/>
      <c r="VEW92" s="248" t="n"/>
      <c r="VEX92" s="240" t="n"/>
      <c r="VEY92" s="240" t="n"/>
      <c r="VFA92" s="15" t="n"/>
      <c r="VFB92" s="15" t="n"/>
      <c r="VFC92" s="248" t="n"/>
      <c r="VFD92" s="248" t="n"/>
      <c r="VFE92" s="240" t="n"/>
      <c r="VFF92" s="240" t="n"/>
      <c r="VFH92" s="15" t="n"/>
      <c r="VFI92" s="15" t="n"/>
      <c r="VFJ92" s="248" t="n"/>
      <c r="VFK92" s="248" t="n"/>
      <c r="VFL92" s="240" t="n"/>
      <c r="VFM92" s="240" t="n"/>
      <c r="VFO92" s="15" t="n"/>
      <c r="VFP92" s="15" t="n"/>
      <c r="VFQ92" s="248" t="n"/>
      <c r="VFR92" s="248" t="n"/>
      <c r="VFS92" s="240" t="n"/>
      <c r="VFT92" s="240" t="n"/>
      <c r="VFV92" s="15" t="n"/>
      <c r="VFW92" s="15" t="n"/>
      <c r="VFX92" s="248" t="n"/>
      <c r="VFY92" s="248" t="n"/>
      <c r="VFZ92" s="240" t="n"/>
      <c r="VGA92" s="240" t="n"/>
      <c r="VGC92" s="15" t="n"/>
      <c r="VGD92" s="15" t="n"/>
      <c r="VGE92" s="248" t="n"/>
      <c r="VGF92" s="248" t="n"/>
      <c r="VGG92" s="240" t="n"/>
      <c r="VGH92" s="240" t="n"/>
      <c r="VGJ92" s="15" t="n"/>
      <c r="VGK92" s="15" t="n"/>
      <c r="VGL92" s="248" t="n"/>
      <c r="VGM92" s="248" t="n"/>
      <c r="VGN92" s="240" t="n"/>
      <c r="VGO92" s="240" t="n"/>
      <c r="VGQ92" s="15" t="n"/>
      <c r="VGR92" s="15" t="n"/>
      <c r="VGS92" s="248" t="n"/>
      <c r="VGT92" s="248" t="n"/>
      <c r="VGU92" s="240" t="n"/>
      <c r="VGV92" s="240" t="n"/>
      <c r="VGX92" s="15" t="n"/>
      <c r="VGY92" s="15" t="n"/>
      <c r="VGZ92" s="248" t="n"/>
      <c r="VHA92" s="248" t="n"/>
      <c r="VHB92" s="240" t="n"/>
      <c r="VHC92" s="240" t="n"/>
      <c r="VHE92" s="15" t="n"/>
      <c r="VHF92" s="15" t="n"/>
      <c r="VHG92" s="248" t="n"/>
      <c r="VHH92" s="248" t="n"/>
      <c r="VHI92" s="240" t="n"/>
      <c r="VHJ92" s="240" t="n"/>
      <c r="VHL92" s="15" t="n"/>
      <c r="VHM92" s="15" t="n"/>
      <c r="VHN92" s="248" t="n"/>
      <c r="VHO92" s="248" t="n"/>
      <c r="VHP92" s="240" t="n"/>
      <c r="VHQ92" s="240" t="n"/>
      <c r="VHS92" s="15" t="n"/>
      <c r="VHT92" s="15" t="n"/>
      <c r="VHU92" s="248" t="n"/>
      <c r="VHV92" s="248" t="n"/>
      <c r="VHW92" s="240" t="n"/>
      <c r="VHX92" s="240" t="n"/>
      <c r="VHZ92" s="15" t="n"/>
      <c r="VIA92" s="15" t="n"/>
      <c r="VIB92" s="248" t="n"/>
      <c r="VIC92" s="248" t="n"/>
      <c r="VID92" s="240" t="n"/>
      <c r="VIE92" s="240" t="n"/>
      <c r="VIG92" s="15" t="n"/>
      <c r="VIH92" s="15" t="n"/>
      <c r="VII92" s="248" t="n"/>
      <c r="VIJ92" s="248" t="n"/>
      <c r="VIK92" s="240" t="n"/>
      <c r="VIL92" s="240" t="n"/>
      <c r="VIN92" s="15" t="n"/>
      <c r="VIO92" s="15" t="n"/>
      <c r="VIP92" s="248" t="n"/>
      <c r="VIQ92" s="248" t="n"/>
      <c r="VIR92" s="240" t="n"/>
      <c r="VIS92" s="240" t="n"/>
      <c r="VIU92" s="15" t="n"/>
      <c r="VIV92" s="15" t="n"/>
      <c r="VIW92" s="248" t="n"/>
      <c r="VIX92" s="248" t="n"/>
      <c r="VIY92" s="240" t="n"/>
      <c r="VIZ92" s="240" t="n"/>
      <c r="VJB92" s="15" t="n"/>
      <c r="VJC92" s="15" t="n"/>
      <c r="VJD92" s="248" t="n"/>
      <c r="VJE92" s="248" t="n"/>
      <c r="VJF92" s="240" t="n"/>
      <c r="VJG92" s="240" t="n"/>
      <c r="VJI92" s="15" t="n"/>
      <c r="VJJ92" s="15" t="n"/>
      <c r="VJK92" s="248" t="n"/>
      <c r="VJL92" s="248" t="n"/>
      <c r="VJM92" s="240" t="n"/>
      <c r="VJN92" s="240" t="n"/>
      <c r="VJP92" s="15" t="n"/>
      <c r="VJQ92" s="15" t="n"/>
      <c r="VJR92" s="248" t="n"/>
      <c r="VJS92" s="248" t="n"/>
      <c r="VJT92" s="240" t="n"/>
      <c r="VJU92" s="240" t="n"/>
      <c r="VJW92" s="15" t="n"/>
      <c r="VJX92" s="15" t="n"/>
      <c r="VJY92" s="248" t="n"/>
      <c r="VJZ92" s="248" t="n"/>
      <c r="VKA92" s="240" t="n"/>
      <c r="VKB92" s="240" t="n"/>
      <c r="VKD92" s="15" t="n"/>
      <c r="VKE92" s="15" t="n"/>
      <c r="VKF92" s="248" t="n"/>
      <c r="VKG92" s="248" t="n"/>
      <c r="VKH92" s="240" t="n"/>
      <c r="VKI92" s="240" t="n"/>
      <c r="VKK92" s="15" t="n"/>
      <c r="VKL92" s="15" t="n"/>
      <c r="VKM92" s="248" t="n"/>
      <c r="VKN92" s="248" t="n"/>
      <c r="VKO92" s="240" t="n"/>
      <c r="VKP92" s="240" t="n"/>
      <c r="VKR92" s="15" t="n"/>
      <c r="VKS92" s="15" t="n"/>
      <c r="VKT92" s="248" t="n"/>
      <c r="VKU92" s="248" t="n"/>
      <c r="VKV92" s="240" t="n"/>
      <c r="VKW92" s="240" t="n"/>
      <c r="VKY92" s="15" t="n"/>
      <c r="VKZ92" s="15" t="n"/>
      <c r="VLA92" s="248" t="n"/>
      <c r="VLB92" s="248" t="n"/>
      <c r="VLC92" s="240" t="n"/>
      <c r="VLD92" s="240" t="n"/>
      <c r="VLF92" s="15" t="n"/>
      <c r="VLG92" s="15" t="n"/>
      <c r="VLH92" s="248" t="n"/>
      <c r="VLI92" s="248" t="n"/>
      <c r="VLJ92" s="240" t="n"/>
      <c r="VLK92" s="240" t="n"/>
      <c r="VLM92" s="15" t="n"/>
      <c r="VLN92" s="15" t="n"/>
      <c r="VLO92" s="248" t="n"/>
      <c r="VLP92" s="248" t="n"/>
      <c r="VLQ92" s="240" t="n"/>
      <c r="VLR92" s="240" t="n"/>
      <c r="VLT92" s="15" t="n"/>
      <c r="VLU92" s="15" t="n"/>
      <c r="VLV92" s="248" t="n"/>
      <c r="VLW92" s="248" t="n"/>
      <c r="VLX92" s="240" t="n"/>
      <c r="VLY92" s="240" t="n"/>
      <c r="VMA92" s="15" t="n"/>
      <c r="VMB92" s="15" t="n"/>
      <c r="VMC92" s="248" t="n"/>
      <c r="VMD92" s="248" t="n"/>
      <c r="VME92" s="240" t="n"/>
      <c r="VMF92" s="240" t="n"/>
      <c r="VMH92" s="15" t="n"/>
      <c r="VMI92" s="15" t="n"/>
      <c r="VMJ92" s="248" t="n"/>
      <c r="VMK92" s="248" t="n"/>
      <c r="VML92" s="240" t="n"/>
      <c r="VMM92" s="240" t="n"/>
      <c r="VMO92" s="15" t="n"/>
      <c r="VMP92" s="15" t="n"/>
      <c r="VMQ92" s="248" t="n"/>
      <c r="VMR92" s="248" t="n"/>
      <c r="VMS92" s="240" t="n"/>
      <c r="VMT92" s="240" t="n"/>
      <c r="VMV92" s="15" t="n"/>
      <c r="VMW92" s="15" t="n"/>
      <c r="VMX92" s="248" t="n"/>
      <c r="VMY92" s="248" t="n"/>
      <c r="VMZ92" s="240" t="n"/>
      <c r="VNA92" s="240" t="n"/>
      <c r="VNC92" s="15" t="n"/>
      <c r="VND92" s="15" t="n"/>
      <c r="VNE92" s="248" t="n"/>
      <c r="VNF92" s="248" t="n"/>
      <c r="VNG92" s="240" t="n"/>
      <c r="VNH92" s="240" t="n"/>
      <c r="VNJ92" s="15" t="n"/>
      <c r="VNK92" s="15" t="n"/>
      <c r="VNL92" s="248" t="n"/>
      <c r="VNM92" s="248" t="n"/>
      <c r="VNN92" s="240" t="n"/>
      <c r="VNO92" s="240" t="n"/>
      <c r="VNQ92" s="15" t="n"/>
      <c r="VNR92" s="15" t="n"/>
      <c r="VNS92" s="248" t="n"/>
      <c r="VNT92" s="248" t="n"/>
      <c r="VNU92" s="240" t="n"/>
      <c r="VNV92" s="240" t="n"/>
      <c r="VNX92" s="15" t="n"/>
      <c r="VNY92" s="15" t="n"/>
      <c r="VNZ92" s="248" t="n"/>
      <c r="VOA92" s="248" t="n"/>
      <c r="VOB92" s="240" t="n"/>
      <c r="VOC92" s="240" t="n"/>
      <c r="VOE92" s="15" t="n"/>
      <c r="VOF92" s="15" t="n"/>
      <c r="VOG92" s="248" t="n"/>
      <c r="VOH92" s="248" t="n"/>
      <c r="VOI92" s="240" t="n"/>
      <c r="VOJ92" s="240" t="n"/>
      <c r="VOL92" s="15" t="n"/>
      <c r="VOM92" s="15" t="n"/>
      <c r="VON92" s="248" t="n"/>
      <c r="VOO92" s="248" t="n"/>
      <c r="VOP92" s="240" t="n"/>
      <c r="VOQ92" s="240" t="n"/>
      <c r="VOS92" s="15" t="n"/>
      <c r="VOT92" s="15" t="n"/>
      <c r="VOU92" s="248" t="n"/>
      <c r="VOV92" s="248" t="n"/>
      <c r="VOW92" s="240" t="n"/>
      <c r="VOX92" s="240" t="n"/>
      <c r="VOZ92" s="15" t="n"/>
      <c r="VPA92" s="15" t="n"/>
      <c r="VPB92" s="248" t="n"/>
      <c r="VPC92" s="248" t="n"/>
      <c r="VPD92" s="240" t="n"/>
      <c r="VPE92" s="240" t="n"/>
      <c r="VPG92" s="15" t="n"/>
      <c r="VPH92" s="15" t="n"/>
      <c r="VPI92" s="248" t="n"/>
      <c r="VPJ92" s="248" t="n"/>
      <c r="VPK92" s="240" t="n"/>
      <c r="VPL92" s="240" t="n"/>
      <c r="VPN92" s="15" t="n"/>
      <c r="VPO92" s="15" t="n"/>
      <c r="VPP92" s="248" t="n"/>
      <c r="VPQ92" s="248" t="n"/>
      <c r="VPR92" s="240" t="n"/>
      <c r="VPS92" s="240" t="n"/>
      <c r="VPU92" s="15" t="n"/>
      <c r="VPV92" s="15" t="n"/>
      <c r="VPW92" s="248" t="n"/>
      <c r="VPX92" s="248" t="n"/>
      <c r="VPY92" s="240" t="n"/>
      <c r="VPZ92" s="240" t="n"/>
      <c r="VQB92" s="15" t="n"/>
      <c r="VQC92" s="15" t="n"/>
      <c r="VQD92" s="248" t="n"/>
      <c r="VQE92" s="248" t="n"/>
      <c r="VQF92" s="240" t="n"/>
      <c r="VQG92" s="240" t="n"/>
      <c r="VQI92" s="15" t="n"/>
      <c r="VQJ92" s="15" t="n"/>
      <c r="VQK92" s="248" t="n"/>
      <c r="VQL92" s="248" t="n"/>
      <c r="VQM92" s="240" t="n"/>
      <c r="VQN92" s="240" t="n"/>
      <c r="VQP92" s="15" t="n"/>
      <c r="VQQ92" s="15" t="n"/>
      <c r="VQR92" s="248" t="n"/>
      <c r="VQS92" s="248" t="n"/>
      <c r="VQT92" s="240" t="n"/>
      <c r="VQU92" s="240" t="n"/>
      <c r="VQW92" s="15" t="n"/>
      <c r="VQX92" s="15" t="n"/>
      <c r="VQY92" s="248" t="n"/>
      <c r="VQZ92" s="248" t="n"/>
      <c r="VRA92" s="240" t="n"/>
      <c r="VRB92" s="240" t="n"/>
      <c r="VRD92" s="15" t="n"/>
      <c r="VRE92" s="15" t="n"/>
      <c r="VRF92" s="248" t="n"/>
      <c r="VRG92" s="248" t="n"/>
      <c r="VRH92" s="240" t="n"/>
      <c r="VRI92" s="240" t="n"/>
      <c r="VRK92" s="15" t="n"/>
      <c r="VRL92" s="15" t="n"/>
      <c r="VRM92" s="248" t="n"/>
      <c r="VRN92" s="248" t="n"/>
      <c r="VRO92" s="240" t="n"/>
      <c r="VRP92" s="240" t="n"/>
      <c r="VRR92" s="15" t="n"/>
      <c r="VRS92" s="15" t="n"/>
      <c r="VRT92" s="248" t="n"/>
      <c r="VRU92" s="248" t="n"/>
      <c r="VRV92" s="240" t="n"/>
      <c r="VRW92" s="240" t="n"/>
      <c r="VRY92" s="15" t="n"/>
      <c r="VRZ92" s="15" t="n"/>
      <c r="VSA92" s="248" t="n"/>
      <c r="VSB92" s="248" t="n"/>
      <c r="VSC92" s="240" t="n"/>
      <c r="VSD92" s="240" t="n"/>
      <c r="VSF92" s="15" t="n"/>
      <c r="VSG92" s="15" t="n"/>
      <c r="VSH92" s="248" t="n"/>
      <c r="VSI92" s="248" t="n"/>
      <c r="VSJ92" s="240" t="n"/>
      <c r="VSK92" s="240" t="n"/>
      <c r="VSM92" s="15" t="n"/>
      <c r="VSN92" s="15" t="n"/>
      <c r="VSO92" s="248" t="n"/>
      <c r="VSP92" s="248" t="n"/>
      <c r="VSQ92" s="240" t="n"/>
      <c r="VSR92" s="240" t="n"/>
      <c r="VST92" s="15" t="n"/>
      <c r="VSU92" s="15" t="n"/>
      <c r="VSV92" s="248" t="n"/>
      <c r="VSW92" s="248" t="n"/>
      <c r="VSX92" s="240" t="n"/>
      <c r="VSY92" s="240" t="n"/>
      <c r="VTA92" s="15" t="n"/>
      <c r="VTB92" s="15" t="n"/>
      <c r="VTC92" s="248" t="n"/>
      <c r="VTD92" s="248" t="n"/>
      <c r="VTE92" s="240" t="n"/>
      <c r="VTF92" s="240" t="n"/>
      <c r="VTH92" s="15" t="n"/>
      <c r="VTI92" s="15" t="n"/>
      <c r="VTJ92" s="248" t="n"/>
      <c r="VTK92" s="248" t="n"/>
      <c r="VTL92" s="240" t="n"/>
      <c r="VTM92" s="240" t="n"/>
      <c r="VTO92" s="15" t="n"/>
      <c r="VTP92" s="15" t="n"/>
      <c r="VTQ92" s="248" t="n"/>
      <c r="VTR92" s="248" t="n"/>
      <c r="VTS92" s="240" t="n"/>
      <c r="VTT92" s="240" t="n"/>
      <c r="VTV92" s="15" t="n"/>
      <c r="VTW92" s="15" t="n"/>
      <c r="VTX92" s="248" t="n"/>
      <c r="VTY92" s="248" t="n"/>
      <c r="VTZ92" s="240" t="n"/>
      <c r="VUA92" s="240" t="n"/>
      <c r="VUC92" s="15" t="n"/>
      <c r="VUD92" s="15" t="n"/>
      <c r="VUE92" s="248" t="n"/>
      <c r="VUF92" s="248" t="n"/>
      <c r="VUG92" s="240" t="n"/>
      <c r="VUH92" s="240" t="n"/>
      <c r="VUJ92" s="15" t="n"/>
      <c r="VUK92" s="15" t="n"/>
      <c r="VUL92" s="248" t="n"/>
      <c r="VUM92" s="248" t="n"/>
      <c r="VUN92" s="240" t="n"/>
      <c r="VUO92" s="240" t="n"/>
      <c r="VUQ92" s="15" t="n"/>
      <c r="VUR92" s="15" t="n"/>
      <c r="VUS92" s="248" t="n"/>
      <c r="VUT92" s="248" t="n"/>
      <c r="VUU92" s="240" t="n"/>
      <c r="VUV92" s="240" t="n"/>
      <c r="VUX92" s="15" t="n"/>
      <c r="VUY92" s="15" t="n"/>
      <c r="VUZ92" s="248" t="n"/>
      <c r="VVA92" s="248" t="n"/>
      <c r="VVB92" s="240" t="n"/>
      <c r="VVC92" s="240" t="n"/>
      <c r="VVE92" s="15" t="n"/>
      <c r="VVF92" s="15" t="n"/>
      <c r="VVG92" s="248" t="n"/>
      <c r="VVH92" s="248" t="n"/>
      <c r="VVI92" s="240" t="n"/>
      <c r="VVJ92" s="240" t="n"/>
      <c r="VVL92" s="15" t="n"/>
      <c r="VVM92" s="15" t="n"/>
      <c r="VVN92" s="248" t="n"/>
      <c r="VVO92" s="248" t="n"/>
      <c r="VVP92" s="240" t="n"/>
      <c r="VVQ92" s="240" t="n"/>
      <c r="VVS92" s="15" t="n"/>
      <c r="VVT92" s="15" t="n"/>
      <c r="VVU92" s="248" t="n"/>
      <c r="VVV92" s="248" t="n"/>
      <c r="VVW92" s="240" t="n"/>
      <c r="VVX92" s="240" t="n"/>
      <c r="VVZ92" s="15" t="n"/>
      <c r="VWA92" s="15" t="n"/>
      <c r="VWB92" s="248" t="n"/>
      <c r="VWC92" s="248" t="n"/>
      <c r="VWD92" s="240" t="n"/>
      <c r="VWE92" s="240" t="n"/>
      <c r="VWG92" s="15" t="n"/>
      <c r="VWH92" s="15" t="n"/>
      <c r="VWI92" s="248" t="n"/>
      <c r="VWJ92" s="248" t="n"/>
      <c r="VWK92" s="240" t="n"/>
      <c r="VWL92" s="240" t="n"/>
      <c r="VWN92" s="15" t="n"/>
      <c r="VWO92" s="15" t="n"/>
      <c r="VWP92" s="248" t="n"/>
      <c r="VWQ92" s="248" t="n"/>
      <c r="VWR92" s="240" t="n"/>
      <c r="VWS92" s="240" t="n"/>
      <c r="VWU92" s="15" t="n"/>
      <c r="VWV92" s="15" t="n"/>
      <c r="VWW92" s="248" t="n"/>
      <c r="VWX92" s="248" t="n"/>
      <c r="VWY92" s="240" t="n"/>
      <c r="VWZ92" s="240" t="n"/>
      <c r="VXB92" s="15" t="n"/>
      <c r="VXC92" s="15" t="n"/>
      <c r="VXD92" s="248" t="n"/>
      <c r="VXE92" s="248" t="n"/>
      <c r="VXF92" s="240" t="n"/>
      <c r="VXG92" s="240" t="n"/>
      <c r="VXI92" s="15" t="n"/>
      <c r="VXJ92" s="15" t="n"/>
      <c r="VXK92" s="248" t="n"/>
      <c r="VXL92" s="248" t="n"/>
      <c r="VXM92" s="240" t="n"/>
      <c r="VXN92" s="240" t="n"/>
      <c r="VXP92" s="15" t="n"/>
      <c r="VXQ92" s="15" t="n"/>
      <c r="VXR92" s="248" t="n"/>
      <c r="VXS92" s="248" t="n"/>
      <c r="VXT92" s="240" t="n"/>
      <c r="VXU92" s="240" t="n"/>
      <c r="VXW92" s="15" t="n"/>
      <c r="VXX92" s="15" t="n"/>
      <c r="VXY92" s="248" t="n"/>
      <c r="VXZ92" s="248" t="n"/>
      <c r="VYA92" s="240" t="n"/>
      <c r="VYB92" s="240" t="n"/>
      <c r="VYD92" s="15" t="n"/>
      <c r="VYE92" s="15" t="n"/>
      <c r="VYF92" s="248" t="n"/>
      <c r="VYG92" s="248" t="n"/>
      <c r="VYH92" s="240" t="n"/>
      <c r="VYI92" s="240" t="n"/>
      <c r="VYK92" s="15" t="n"/>
      <c r="VYL92" s="15" t="n"/>
      <c r="VYM92" s="248" t="n"/>
      <c r="VYN92" s="248" t="n"/>
      <c r="VYO92" s="240" t="n"/>
      <c r="VYP92" s="240" t="n"/>
      <c r="VYR92" s="15" t="n"/>
      <c r="VYS92" s="15" t="n"/>
      <c r="VYT92" s="248" t="n"/>
      <c r="VYU92" s="248" t="n"/>
      <c r="VYV92" s="240" t="n"/>
      <c r="VYW92" s="240" t="n"/>
      <c r="VYY92" s="15" t="n"/>
      <c r="VYZ92" s="15" t="n"/>
      <c r="VZA92" s="248" t="n"/>
      <c r="VZB92" s="248" t="n"/>
      <c r="VZC92" s="240" t="n"/>
      <c r="VZD92" s="240" t="n"/>
      <c r="VZF92" s="15" t="n"/>
      <c r="VZG92" s="15" t="n"/>
      <c r="VZH92" s="248" t="n"/>
      <c r="VZI92" s="248" t="n"/>
      <c r="VZJ92" s="240" t="n"/>
      <c r="VZK92" s="240" t="n"/>
      <c r="VZM92" s="15" t="n"/>
      <c r="VZN92" s="15" t="n"/>
      <c r="VZO92" s="248" t="n"/>
      <c r="VZP92" s="248" t="n"/>
      <c r="VZQ92" s="240" t="n"/>
      <c r="VZR92" s="240" t="n"/>
      <c r="VZT92" s="15" t="n"/>
      <c r="VZU92" s="15" t="n"/>
      <c r="VZV92" s="248" t="n"/>
      <c r="VZW92" s="248" t="n"/>
      <c r="VZX92" s="240" t="n"/>
      <c r="VZY92" s="240" t="n"/>
      <c r="WAA92" s="15" t="n"/>
      <c r="WAB92" s="15" t="n"/>
      <c r="WAC92" s="248" t="n"/>
      <c r="WAD92" s="248" t="n"/>
      <c r="WAE92" s="240" t="n"/>
      <c r="WAF92" s="240" t="n"/>
      <c r="WAH92" s="15" t="n"/>
      <c r="WAI92" s="15" t="n"/>
      <c r="WAJ92" s="248" t="n"/>
      <c r="WAK92" s="248" t="n"/>
      <c r="WAL92" s="240" t="n"/>
      <c r="WAM92" s="240" t="n"/>
      <c r="WAO92" s="15" t="n"/>
      <c r="WAP92" s="15" t="n"/>
      <c r="WAQ92" s="248" t="n"/>
      <c r="WAR92" s="248" t="n"/>
      <c r="WAS92" s="240" t="n"/>
      <c r="WAT92" s="240" t="n"/>
      <c r="WAV92" s="15" t="n"/>
      <c r="WAW92" s="15" t="n"/>
      <c r="WAX92" s="248" t="n"/>
      <c r="WAY92" s="248" t="n"/>
      <c r="WAZ92" s="240" t="n"/>
      <c r="WBA92" s="240" t="n"/>
      <c r="WBC92" s="15" t="n"/>
      <c r="WBD92" s="15" t="n"/>
      <c r="WBE92" s="248" t="n"/>
      <c r="WBF92" s="248" t="n"/>
      <c r="WBG92" s="240" t="n"/>
      <c r="WBH92" s="240" t="n"/>
      <c r="WBJ92" s="15" t="n"/>
      <c r="WBK92" s="15" t="n"/>
      <c r="WBL92" s="248" t="n"/>
      <c r="WBM92" s="248" t="n"/>
      <c r="WBN92" s="240" t="n"/>
      <c r="WBO92" s="240" t="n"/>
      <c r="WBQ92" s="15" t="n"/>
      <c r="WBR92" s="15" t="n"/>
      <c r="WBS92" s="248" t="n"/>
      <c r="WBT92" s="248" t="n"/>
      <c r="WBU92" s="240" t="n"/>
      <c r="WBV92" s="240" t="n"/>
      <c r="WBX92" s="15" t="n"/>
      <c r="WBY92" s="15" t="n"/>
      <c r="WBZ92" s="248" t="n"/>
      <c r="WCA92" s="248" t="n"/>
      <c r="WCB92" s="240" t="n"/>
      <c r="WCC92" s="240" t="n"/>
      <c r="WCE92" s="15" t="n"/>
      <c r="WCF92" s="15" t="n"/>
      <c r="WCG92" s="248" t="n"/>
      <c r="WCH92" s="248" t="n"/>
      <c r="WCI92" s="240" t="n"/>
      <c r="WCJ92" s="240" t="n"/>
      <c r="WCL92" s="15" t="n"/>
      <c r="WCM92" s="15" t="n"/>
      <c r="WCN92" s="248" t="n"/>
      <c r="WCO92" s="248" t="n"/>
      <c r="WCP92" s="240" t="n"/>
      <c r="WCQ92" s="240" t="n"/>
      <c r="WCS92" s="15" t="n"/>
      <c r="WCT92" s="15" t="n"/>
      <c r="WCU92" s="248" t="n"/>
      <c r="WCV92" s="248" t="n"/>
      <c r="WCW92" s="240" t="n"/>
      <c r="WCX92" s="240" t="n"/>
      <c r="WCZ92" s="15" t="n"/>
      <c r="WDA92" s="15" t="n"/>
      <c r="WDB92" s="248" t="n"/>
      <c r="WDC92" s="248" t="n"/>
      <c r="WDD92" s="240" t="n"/>
      <c r="WDE92" s="240" t="n"/>
      <c r="WDG92" s="15" t="n"/>
      <c r="WDH92" s="15" t="n"/>
      <c r="WDI92" s="248" t="n"/>
      <c r="WDJ92" s="248" t="n"/>
      <c r="WDK92" s="240" t="n"/>
      <c r="WDL92" s="240" t="n"/>
      <c r="WDN92" s="15" t="n"/>
      <c r="WDO92" s="15" t="n"/>
      <c r="WDP92" s="248" t="n"/>
      <c r="WDQ92" s="248" t="n"/>
      <c r="WDR92" s="240" t="n"/>
      <c r="WDS92" s="240" t="n"/>
      <c r="WDU92" s="15" t="n"/>
      <c r="WDV92" s="15" t="n"/>
      <c r="WDW92" s="248" t="n"/>
      <c r="WDX92" s="248" t="n"/>
      <c r="WDY92" s="240" t="n"/>
      <c r="WDZ92" s="240" t="n"/>
      <c r="WEB92" s="15" t="n"/>
      <c r="WEC92" s="15" t="n"/>
      <c r="WED92" s="248" t="n"/>
      <c r="WEE92" s="248" t="n"/>
      <c r="WEF92" s="240" t="n"/>
      <c r="WEG92" s="240" t="n"/>
      <c r="WEI92" s="15" t="n"/>
      <c r="WEJ92" s="15" t="n"/>
      <c r="WEK92" s="248" t="n"/>
      <c r="WEL92" s="248" t="n"/>
      <c r="WEM92" s="240" t="n"/>
      <c r="WEN92" s="240" t="n"/>
      <c r="WEP92" s="15" t="n"/>
      <c r="WEQ92" s="15" t="n"/>
      <c r="WER92" s="248" t="n"/>
      <c r="WES92" s="248" t="n"/>
      <c r="WET92" s="240" t="n"/>
      <c r="WEU92" s="240" t="n"/>
      <c r="WEW92" s="15" t="n"/>
      <c r="WEX92" s="15" t="n"/>
      <c r="WEY92" s="248" t="n"/>
      <c r="WEZ92" s="248" t="n"/>
      <c r="WFA92" s="240" t="n"/>
      <c r="WFB92" s="240" t="n"/>
      <c r="WFD92" s="15" t="n"/>
      <c r="WFE92" s="15" t="n"/>
      <c r="WFF92" s="248" t="n"/>
      <c r="WFG92" s="248" t="n"/>
      <c r="WFH92" s="240" t="n"/>
      <c r="WFI92" s="240" t="n"/>
      <c r="WFK92" s="15" t="n"/>
      <c r="WFL92" s="15" t="n"/>
      <c r="WFM92" s="248" t="n"/>
      <c r="WFN92" s="248" t="n"/>
      <c r="WFO92" s="240" t="n"/>
      <c r="WFP92" s="240" t="n"/>
      <c r="WFR92" s="15" t="n"/>
      <c r="WFS92" s="15" t="n"/>
      <c r="WFT92" s="248" t="n"/>
      <c r="WFU92" s="248" t="n"/>
      <c r="WFV92" s="240" t="n"/>
      <c r="WFW92" s="240" t="n"/>
      <c r="WFY92" s="15" t="n"/>
      <c r="WFZ92" s="15" t="n"/>
      <c r="WGA92" s="248" t="n"/>
      <c r="WGB92" s="248" t="n"/>
      <c r="WGC92" s="240" t="n"/>
      <c r="WGD92" s="240" t="n"/>
      <c r="WGF92" s="15" t="n"/>
      <c r="WGG92" s="15" t="n"/>
      <c r="WGH92" s="248" t="n"/>
      <c r="WGI92" s="248" t="n"/>
      <c r="WGJ92" s="240" t="n"/>
      <c r="WGK92" s="240" t="n"/>
      <c r="WGM92" s="15" t="n"/>
      <c r="WGN92" s="15" t="n"/>
      <c r="WGO92" s="248" t="n"/>
      <c r="WGP92" s="248" t="n"/>
      <c r="WGQ92" s="240" t="n"/>
      <c r="WGR92" s="240" t="n"/>
      <c r="WGT92" s="15" t="n"/>
      <c r="WGU92" s="15" t="n"/>
      <c r="WGV92" s="248" t="n"/>
      <c r="WGW92" s="248" t="n"/>
      <c r="WGX92" s="240" t="n"/>
      <c r="WGY92" s="240" t="n"/>
      <c r="WHA92" s="15" t="n"/>
      <c r="WHB92" s="15" t="n"/>
      <c r="WHC92" s="248" t="n"/>
      <c r="WHD92" s="248" t="n"/>
      <c r="WHE92" s="240" t="n"/>
      <c r="WHF92" s="240" t="n"/>
      <c r="WHH92" s="15" t="n"/>
      <c r="WHI92" s="15" t="n"/>
      <c r="WHJ92" s="248" t="n"/>
      <c r="WHK92" s="248" t="n"/>
      <c r="WHL92" s="240" t="n"/>
      <c r="WHM92" s="240" t="n"/>
      <c r="WHO92" s="15" t="n"/>
      <c r="WHP92" s="15" t="n"/>
      <c r="WHQ92" s="248" t="n"/>
      <c r="WHR92" s="248" t="n"/>
      <c r="WHS92" s="240" t="n"/>
      <c r="WHT92" s="240" t="n"/>
      <c r="WHV92" s="15" t="n"/>
      <c r="WHW92" s="15" t="n"/>
      <c r="WHX92" s="248" t="n"/>
      <c r="WHY92" s="248" t="n"/>
      <c r="WHZ92" s="240" t="n"/>
      <c r="WIA92" s="240" t="n"/>
      <c r="WIC92" s="15" t="n"/>
      <c r="WID92" s="15" t="n"/>
      <c r="WIE92" s="248" t="n"/>
      <c r="WIF92" s="248" t="n"/>
      <c r="WIG92" s="240" t="n"/>
      <c r="WIH92" s="240" t="n"/>
      <c r="WIJ92" s="15" t="n"/>
      <c r="WIK92" s="15" t="n"/>
      <c r="WIL92" s="248" t="n"/>
      <c r="WIM92" s="248" t="n"/>
      <c r="WIN92" s="240" t="n"/>
      <c r="WIO92" s="240" t="n"/>
      <c r="WIQ92" s="15" t="n"/>
      <c r="WIR92" s="15" t="n"/>
      <c r="WIS92" s="248" t="n"/>
      <c r="WIT92" s="248" t="n"/>
      <c r="WIU92" s="240" t="n"/>
      <c r="WIV92" s="240" t="n"/>
      <c r="WIX92" s="15" t="n"/>
      <c r="WIY92" s="15" t="n"/>
      <c r="WIZ92" s="248" t="n"/>
      <c r="WJA92" s="248" t="n"/>
      <c r="WJB92" s="240" t="n"/>
      <c r="WJC92" s="240" t="n"/>
      <c r="WJE92" s="15" t="n"/>
      <c r="WJF92" s="15" t="n"/>
      <c r="WJG92" s="248" t="n"/>
      <c r="WJH92" s="248" t="n"/>
      <c r="WJI92" s="240" t="n"/>
      <c r="WJJ92" s="240" t="n"/>
      <c r="WJL92" s="15" t="n"/>
      <c r="WJM92" s="15" t="n"/>
      <c r="WJN92" s="248" t="n"/>
      <c r="WJO92" s="248" t="n"/>
      <c r="WJP92" s="240" t="n"/>
      <c r="WJQ92" s="240" t="n"/>
      <c r="WJS92" s="15" t="n"/>
      <c r="WJT92" s="15" t="n"/>
      <c r="WJU92" s="248" t="n"/>
      <c r="WJV92" s="248" t="n"/>
      <c r="WJW92" s="240" t="n"/>
      <c r="WJX92" s="240" t="n"/>
      <c r="WJZ92" s="15" t="n"/>
      <c r="WKA92" s="15" t="n"/>
      <c r="WKB92" s="248" t="n"/>
      <c r="WKC92" s="248" t="n"/>
      <c r="WKD92" s="240" t="n"/>
      <c r="WKE92" s="240" t="n"/>
      <c r="WKG92" s="15" t="n"/>
      <c r="WKH92" s="15" t="n"/>
      <c r="WKI92" s="248" t="n"/>
      <c r="WKJ92" s="248" t="n"/>
      <c r="WKK92" s="240" t="n"/>
      <c r="WKL92" s="240" t="n"/>
      <c r="WKN92" s="15" t="n"/>
      <c r="WKO92" s="15" t="n"/>
      <c r="WKP92" s="248" t="n"/>
      <c r="WKQ92" s="248" t="n"/>
      <c r="WKR92" s="240" t="n"/>
      <c r="WKS92" s="240" t="n"/>
      <c r="WKU92" s="15" t="n"/>
      <c r="WKV92" s="15" t="n"/>
      <c r="WKW92" s="248" t="n"/>
      <c r="WKX92" s="248" t="n"/>
      <c r="WKY92" s="240" t="n"/>
      <c r="WKZ92" s="240" t="n"/>
      <c r="WLB92" s="15" t="n"/>
      <c r="WLC92" s="15" t="n"/>
      <c r="WLD92" s="248" t="n"/>
      <c r="WLE92" s="248" t="n"/>
      <c r="WLF92" s="240" t="n"/>
      <c r="WLG92" s="240" t="n"/>
      <c r="WLI92" s="15" t="n"/>
      <c r="WLJ92" s="15" t="n"/>
      <c r="WLK92" s="248" t="n"/>
      <c r="WLL92" s="248" t="n"/>
      <c r="WLM92" s="240" t="n"/>
      <c r="WLN92" s="240" t="n"/>
      <c r="WLP92" s="15" t="n"/>
      <c r="WLQ92" s="15" t="n"/>
      <c r="WLR92" s="248" t="n"/>
      <c r="WLS92" s="248" t="n"/>
      <c r="WLT92" s="240" t="n"/>
      <c r="WLU92" s="240" t="n"/>
      <c r="WLW92" s="15" t="n"/>
      <c r="WLX92" s="15" t="n"/>
      <c r="WLY92" s="248" t="n"/>
      <c r="WLZ92" s="248" t="n"/>
      <c r="WMA92" s="240" t="n"/>
      <c r="WMB92" s="240" t="n"/>
      <c r="WMD92" s="15" t="n"/>
      <c r="WME92" s="15" t="n"/>
      <c r="WMF92" s="248" t="n"/>
      <c r="WMG92" s="248" t="n"/>
      <c r="WMH92" s="240" t="n"/>
      <c r="WMI92" s="240" t="n"/>
      <c r="WMK92" s="15" t="n"/>
      <c r="WML92" s="15" t="n"/>
      <c r="WMM92" s="248" t="n"/>
      <c r="WMN92" s="248" t="n"/>
      <c r="WMO92" s="240" t="n"/>
      <c r="WMP92" s="240" t="n"/>
      <c r="WMR92" s="15" t="n"/>
      <c r="WMS92" s="15" t="n"/>
      <c r="WMT92" s="248" t="n"/>
      <c r="WMU92" s="248" t="n"/>
      <c r="WMV92" s="240" t="n"/>
      <c r="WMW92" s="240" t="n"/>
      <c r="WMY92" s="15" t="n"/>
      <c r="WMZ92" s="15" t="n"/>
      <c r="WNA92" s="248" t="n"/>
      <c r="WNB92" s="248" t="n"/>
      <c r="WNC92" s="240" t="n"/>
      <c r="WND92" s="240" t="n"/>
      <c r="WNF92" s="15" t="n"/>
      <c r="WNG92" s="15" t="n"/>
      <c r="WNH92" s="248" t="n"/>
      <c r="WNI92" s="248" t="n"/>
      <c r="WNJ92" s="240" t="n"/>
      <c r="WNK92" s="240" t="n"/>
      <c r="WNM92" s="15" t="n"/>
      <c r="WNN92" s="15" t="n"/>
      <c r="WNO92" s="248" t="n"/>
      <c r="WNP92" s="248" t="n"/>
      <c r="WNQ92" s="240" t="n"/>
      <c r="WNR92" s="240" t="n"/>
      <c r="WNT92" s="15" t="n"/>
      <c r="WNU92" s="15" t="n"/>
      <c r="WNV92" s="248" t="n"/>
      <c r="WNW92" s="248" t="n"/>
      <c r="WNX92" s="240" t="n"/>
      <c r="WNY92" s="240" t="n"/>
      <c r="WOA92" s="15" t="n"/>
      <c r="WOB92" s="15" t="n"/>
      <c r="WOC92" s="248" t="n"/>
      <c r="WOD92" s="248" t="n"/>
      <c r="WOE92" s="240" t="n"/>
      <c r="WOF92" s="240" t="n"/>
      <c r="WOH92" s="15" t="n"/>
      <c r="WOI92" s="15" t="n"/>
      <c r="WOJ92" s="248" t="n"/>
      <c r="WOK92" s="248" t="n"/>
      <c r="WOL92" s="240" t="n"/>
      <c r="WOM92" s="240" t="n"/>
      <c r="WOO92" s="15" t="n"/>
      <c r="WOP92" s="15" t="n"/>
      <c r="WOQ92" s="248" t="n"/>
      <c r="WOR92" s="248" t="n"/>
      <c r="WOS92" s="240" t="n"/>
      <c r="WOT92" s="240" t="n"/>
      <c r="WOV92" s="15" t="n"/>
      <c r="WOW92" s="15" t="n"/>
      <c r="WOX92" s="248" t="n"/>
      <c r="WOY92" s="248" t="n"/>
      <c r="WOZ92" s="240" t="n"/>
      <c r="WPA92" s="240" t="n"/>
      <c r="WPC92" s="15" t="n"/>
      <c r="WPD92" s="15" t="n"/>
      <c r="WPE92" s="248" t="n"/>
      <c r="WPF92" s="248" t="n"/>
      <c r="WPG92" s="240" t="n"/>
      <c r="WPH92" s="240" t="n"/>
      <c r="WPJ92" s="15" t="n"/>
      <c r="WPK92" s="15" t="n"/>
      <c r="WPL92" s="248" t="n"/>
      <c r="WPM92" s="248" t="n"/>
      <c r="WPN92" s="240" t="n"/>
      <c r="WPO92" s="240" t="n"/>
      <c r="WPQ92" s="15" t="n"/>
      <c r="WPR92" s="15" t="n"/>
      <c r="WPS92" s="248" t="n"/>
      <c r="WPT92" s="248" t="n"/>
      <c r="WPU92" s="240" t="n"/>
      <c r="WPV92" s="240" t="n"/>
      <c r="WPX92" s="15" t="n"/>
      <c r="WPY92" s="15" t="n"/>
      <c r="WPZ92" s="248" t="n"/>
      <c r="WQA92" s="248" t="n"/>
      <c r="WQB92" s="240" t="n"/>
      <c r="WQC92" s="240" t="n"/>
      <c r="WQE92" s="15" t="n"/>
      <c r="WQF92" s="15" t="n"/>
      <c r="WQG92" s="248" t="n"/>
      <c r="WQH92" s="248" t="n"/>
      <c r="WQI92" s="240" t="n"/>
      <c r="WQJ92" s="240" t="n"/>
      <c r="WQL92" s="15" t="n"/>
      <c r="WQM92" s="15" t="n"/>
      <c r="WQN92" s="248" t="n"/>
      <c r="WQO92" s="248" t="n"/>
      <c r="WQP92" s="240" t="n"/>
      <c r="WQQ92" s="240" t="n"/>
      <c r="WQS92" s="15" t="n"/>
      <c r="WQT92" s="15" t="n"/>
      <c r="WQU92" s="248" t="n"/>
      <c r="WQV92" s="248" t="n"/>
      <c r="WQW92" s="240" t="n"/>
      <c r="WQX92" s="240" t="n"/>
      <c r="WQZ92" s="15" t="n"/>
      <c r="WRA92" s="15" t="n"/>
      <c r="WRB92" s="248" t="n"/>
      <c r="WRC92" s="248" t="n"/>
      <c r="WRD92" s="240" t="n"/>
      <c r="WRE92" s="240" t="n"/>
      <c r="WRG92" s="15" t="n"/>
      <c r="WRH92" s="15" t="n"/>
      <c r="WRI92" s="248" t="n"/>
      <c r="WRJ92" s="248" t="n"/>
      <c r="WRK92" s="240" t="n"/>
      <c r="WRL92" s="240" t="n"/>
      <c r="WRN92" s="15" t="n"/>
      <c r="WRO92" s="15" t="n"/>
      <c r="WRP92" s="248" t="n"/>
      <c r="WRQ92" s="248" t="n"/>
      <c r="WRR92" s="240" t="n"/>
      <c r="WRS92" s="240" t="n"/>
      <c r="WRU92" s="15" t="n"/>
      <c r="WRV92" s="15" t="n"/>
      <c r="WRW92" s="248" t="n"/>
      <c r="WRX92" s="248" t="n"/>
      <c r="WRY92" s="240" t="n"/>
      <c r="WRZ92" s="240" t="n"/>
      <c r="WSB92" s="15" t="n"/>
      <c r="WSC92" s="15" t="n"/>
      <c r="WSD92" s="248" t="n"/>
      <c r="WSE92" s="248" t="n"/>
      <c r="WSF92" s="240" t="n"/>
      <c r="WSG92" s="240" t="n"/>
      <c r="WSI92" s="15" t="n"/>
      <c r="WSJ92" s="15" t="n"/>
      <c r="WSK92" s="248" t="n"/>
      <c r="WSL92" s="248" t="n"/>
      <c r="WSM92" s="240" t="n"/>
      <c r="WSN92" s="240" t="n"/>
      <c r="WSP92" s="15" t="n"/>
      <c r="WSQ92" s="15" t="n"/>
      <c r="WSR92" s="248" t="n"/>
      <c r="WSS92" s="248" t="n"/>
      <c r="WST92" s="240" t="n"/>
      <c r="WSU92" s="240" t="n"/>
      <c r="WSW92" s="15" t="n"/>
      <c r="WSX92" s="15" t="n"/>
      <c r="WSY92" s="248" t="n"/>
      <c r="WSZ92" s="248" t="n"/>
      <c r="WTA92" s="240" t="n"/>
      <c r="WTB92" s="240" t="n"/>
      <c r="WTD92" s="15" t="n"/>
      <c r="WTE92" s="15" t="n"/>
      <c r="WTF92" s="248" t="n"/>
      <c r="WTG92" s="248" t="n"/>
      <c r="WTH92" s="240" t="n"/>
      <c r="WTI92" s="240" t="n"/>
      <c r="WTK92" s="15" t="n"/>
      <c r="WTL92" s="15" t="n"/>
      <c r="WTM92" s="248" t="n"/>
      <c r="WTN92" s="248" t="n"/>
      <c r="WTO92" s="240" t="n"/>
      <c r="WTP92" s="240" t="n"/>
      <c r="WTR92" s="15" t="n"/>
      <c r="WTS92" s="15" t="n"/>
      <c r="WTT92" s="248" t="n"/>
      <c r="WTU92" s="248" t="n"/>
      <c r="WTV92" s="240" t="n"/>
      <c r="WTW92" s="240" t="n"/>
      <c r="WTY92" s="15" t="n"/>
      <c r="WTZ92" s="15" t="n"/>
      <c r="WUA92" s="248" t="n"/>
      <c r="WUB92" s="248" t="n"/>
      <c r="WUC92" s="240" t="n"/>
      <c r="WUD92" s="240" t="n"/>
      <c r="WUF92" s="15" t="n"/>
      <c r="WUG92" s="15" t="n"/>
      <c r="WUH92" s="248" t="n"/>
      <c r="WUI92" s="248" t="n"/>
      <c r="WUJ92" s="240" t="n"/>
      <c r="WUK92" s="240" t="n"/>
      <c r="WUM92" s="15" t="n"/>
      <c r="WUN92" s="15" t="n"/>
      <c r="WUO92" s="248" t="n"/>
      <c r="WUP92" s="248" t="n"/>
      <c r="WUQ92" s="240" t="n"/>
      <c r="WUR92" s="240" t="n"/>
      <c r="WUT92" s="15" t="n"/>
      <c r="WUU92" s="15" t="n"/>
      <c r="WUV92" s="248" t="n"/>
      <c r="WUW92" s="248" t="n"/>
      <c r="WUX92" s="240" t="n"/>
      <c r="WUY92" s="240" t="n"/>
      <c r="WVA92" s="15" t="n"/>
      <c r="WVB92" s="15" t="n"/>
      <c r="WVC92" s="248" t="n"/>
      <c r="WVD92" s="248" t="n"/>
      <c r="WVE92" s="240" t="n"/>
      <c r="WVF92" s="240" t="n"/>
      <c r="WVH92" s="15" t="n"/>
      <c r="WVI92" s="15" t="n"/>
      <c r="WVJ92" s="248" t="n"/>
      <c r="WVK92" s="248" t="n"/>
      <c r="WVL92" s="240" t="n"/>
      <c r="WVM92" s="240" t="n"/>
      <c r="WVO92" s="15" t="n"/>
      <c r="WVP92" s="15" t="n"/>
      <c r="WVQ92" s="248" t="n"/>
      <c r="WVR92" s="248" t="n"/>
      <c r="WVS92" s="240" t="n"/>
      <c r="WVT92" s="240" t="n"/>
      <c r="WVV92" s="15" t="n"/>
      <c r="WVW92" s="15" t="n"/>
      <c r="WVX92" s="248" t="n"/>
      <c r="WVY92" s="248" t="n"/>
      <c r="WVZ92" s="240" t="n"/>
      <c r="WWA92" s="240" t="n"/>
      <c r="WWC92" s="15" t="n"/>
      <c r="WWD92" s="15" t="n"/>
      <c r="WWE92" s="248" t="n"/>
      <c r="WWF92" s="248" t="n"/>
      <c r="WWG92" s="240" t="n"/>
      <c r="WWH92" s="240" t="n"/>
      <c r="WWJ92" s="15" t="n"/>
      <c r="WWK92" s="15" t="n"/>
      <c r="WWL92" s="248" t="n"/>
      <c r="WWM92" s="248" t="n"/>
      <c r="WWN92" s="240" t="n"/>
      <c r="WWO92" s="240" t="n"/>
      <c r="WWQ92" s="15" t="n"/>
      <c r="WWR92" s="15" t="n"/>
      <c r="WWS92" s="248" t="n"/>
      <c r="WWT92" s="248" t="n"/>
      <c r="WWU92" s="240" t="n"/>
      <c r="WWV92" s="240" t="n"/>
      <c r="WWX92" s="15" t="n"/>
      <c r="WWY92" s="15" t="n"/>
      <c r="WWZ92" s="248" t="n"/>
      <c r="WXA92" s="248" t="n"/>
      <c r="WXB92" s="240" t="n"/>
      <c r="WXC92" s="240" t="n"/>
      <c r="WXE92" s="15" t="n"/>
      <c r="WXF92" s="15" t="n"/>
      <c r="WXG92" s="248" t="n"/>
      <c r="WXH92" s="248" t="n"/>
      <c r="WXI92" s="240" t="n"/>
      <c r="WXJ92" s="240" t="n"/>
      <c r="WXL92" s="15" t="n"/>
      <c r="WXM92" s="15" t="n"/>
      <c r="WXN92" s="248" t="n"/>
      <c r="WXO92" s="248" t="n"/>
      <c r="WXP92" s="240" t="n"/>
      <c r="WXQ92" s="240" t="n"/>
      <c r="WXS92" s="15" t="n"/>
      <c r="WXT92" s="15" t="n"/>
      <c r="WXU92" s="248" t="n"/>
      <c r="WXV92" s="248" t="n"/>
      <c r="WXW92" s="240" t="n"/>
      <c r="WXX92" s="240" t="n"/>
      <c r="WXZ92" s="15" t="n"/>
      <c r="WYA92" s="15" t="n"/>
      <c r="WYB92" s="248" t="n"/>
      <c r="WYC92" s="248" t="n"/>
      <c r="WYD92" s="240" t="n"/>
      <c r="WYE92" s="240" t="n"/>
      <c r="WYG92" s="15" t="n"/>
      <c r="WYH92" s="15" t="n"/>
      <c r="WYI92" s="248" t="n"/>
      <c r="WYJ92" s="248" t="n"/>
      <c r="WYK92" s="240" t="n"/>
      <c r="WYL92" s="240" t="n"/>
      <c r="WYN92" s="15" t="n"/>
      <c r="WYO92" s="15" t="n"/>
      <c r="WYP92" s="248" t="n"/>
      <c r="WYQ92" s="248" t="n"/>
      <c r="WYR92" s="240" t="n"/>
      <c r="WYS92" s="240" t="n"/>
      <c r="WYU92" s="15" t="n"/>
      <c r="WYV92" s="15" t="n"/>
      <c r="WYW92" s="248" t="n"/>
      <c r="WYX92" s="248" t="n"/>
      <c r="WYY92" s="240" t="n"/>
      <c r="WYZ92" s="240" t="n"/>
      <c r="WZB92" s="15" t="n"/>
      <c r="WZC92" s="15" t="n"/>
      <c r="WZD92" s="248" t="n"/>
      <c r="WZE92" s="248" t="n"/>
      <c r="WZF92" s="240" t="n"/>
      <c r="WZG92" s="240" t="n"/>
      <c r="WZI92" s="15" t="n"/>
      <c r="WZJ92" s="15" t="n"/>
      <c r="WZK92" s="248" t="n"/>
      <c r="WZL92" s="248" t="n"/>
      <c r="WZM92" s="240" t="n"/>
      <c r="WZN92" s="240" t="n"/>
      <c r="WZP92" s="15" t="n"/>
      <c r="WZQ92" s="15" t="n"/>
      <c r="WZR92" s="248" t="n"/>
      <c r="WZS92" s="248" t="n"/>
      <c r="WZT92" s="240" t="n"/>
      <c r="WZU92" s="240" t="n"/>
      <c r="WZW92" s="15" t="n"/>
      <c r="WZX92" s="15" t="n"/>
      <c r="WZY92" s="248" t="n"/>
      <c r="WZZ92" s="248" t="n"/>
      <c r="XAA92" s="240" t="n"/>
      <c r="XAB92" s="240" t="n"/>
      <c r="XAD92" s="15" t="n"/>
      <c r="XAE92" s="15" t="n"/>
      <c r="XAF92" s="248" t="n"/>
      <c r="XAG92" s="248" t="n"/>
      <c r="XAH92" s="240" t="n"/>
      <c r="XAI92" s="240" t="n"/>
      <c r="XAK92" s="15" t="n"/>
      <c r="XAL92" s="15" t="n"/>
      <c r="XAM92" s="248" t="n"/>
      <c r="XAN92" s="248" t="n"/>
      <c r="XAO92" s="240" t="n"/>
      <c r="XAP92" s="240" t="n"/>
      <c r="XAR92" s="15" t="n"/>
      <c r="XAS92" s="15" t="n"/>
      <c r="XAT92" s="248" t="n"/>
      <c r="XAU92" s="248" t="n"/>
      <c r="XAV92" s="240" t="n"/>
      <c r="XAW92" s="240" t="n"/>
      <c r="XAY92" s="15" t="n"/>
      <c r="XAZ92" s="15" t="n"/>
      <c r="XBA92" s="248" t="n"/>
      <c r="XBB92" s="248" t="n"/>
      <c r="XBC92" s="240" t="n"/>
      <c r="XBD92" s="240" t="n"/>
      <c r="XBF92" s="15" t="n"/>
      <c r="XBG92" s="15" t="n"/>
      <c r="XBH92" s="248" t="n"/>
      <c r="XBI92" s="248" t="n"/>
      <c r="XBJ92" s="240" t="n"/>
      <c r="XBK92" s="240" t="n"/>
      <c r="XBM92" s="15" t="n"/>
      <c r="XBN92" s="15" t="n"/>
      <c r="XBO92" s="248" t="n"/>
      <c r="XBP92" s="248" t="n"/>
      <c r="XBQ92" s="240" t="n"/>
      <c r="XBR92" s="240" t="n"/>
      <c r="XBT92" s="15" t="n"/>
      <c r="XBU92" s="15" t="n"/>
      <c r="XBV92" s="248" t="n"/>
      <c r="XBW92" s="248" t="n"/>
      <c r="XBX92" s="240" t="n"/>
      <c r="XBY92" s="240" t="n"/>
      <c r="XCA92" s="15" t="n"/>
      <c r="XCB92" s="15" t="n"/>
      <c r="XCC92" s="248" t="n"/>
      <c r="XCD92" s="248" t="n"/>
      <c r="XCE92" s="240" t="n"/>
      <c r="XCF92" s="240" t="n"/>
      <c r="XCH92" s="15" t="n"/>
      <c r="XCI92" s="15" t="n"/>
      <c r="XCJ92" s="248" t="n"/>
      <c r="XCK92" s="248" t="n"/>
      <c r="XCL92" s="240" t="n"/>
      <c r="XCM92" s="240" t="n"/>
      <c r="XCO92" s="15" t="n"/>
      <c r="XCP92" s="15" t="n"/>
      <c r="XCQ92" s="248" t="n"/>
      <c r="XCR92" s="248" t="n"/>
      <c r="XCS92" s="240" t="n"/>
      <c r="XCT92" s="240" t="n"/>
      <c r="XCV92" s="15" t="n"/>
      <c r="XCW92" s="15" t="n"/>
      <c r="XCX92" s="248" t="n"/>
      <c r="XCY92" s="248" t="n"/>
      <c r="XCZ92" s="240" t="n"/>
      <c r="XDA92" s="240" t="n"/>
      <c r="XDC92" s="15" t="n"/>
      <c r="XDD92" s="15" t="n"/>
      <c r="XDE92" s="248" t="n"/>
      <c r="XDF92" s="248" t="n"/>
      <c r="XDG92" s="240" t="n"/>
      <c r="XDH92" s="240" t="n"/>
      <c r="XDJ92" s="15" t="n"/>
      <c r="XDK92" s="15" t="n"/>
      <c r="XDL92" s="248" t="n"/>
      <c r="XDM92" s="248" t="n"/>
      <c r="XDN92" s="240" t="n"/>
      <c r="XDO92" s="240" t="n"/>
      <c r="XDQ92" s="15" t="n"/>
      <c r="XDR92" s="15" t="n"/>
      <c r="XDS92" s="248" t="n"/>
      <c r="XDT92" s="248" t="n"/>
      <c r="XDU92" s="240" t="n"/>
      <c r="XDV92" s="240" t="n"/>
      <c r="XDX92" s="15" t="n"/>
      <c r="XDY92" s="15" t="n"/>
      <c r="XDZ92" s="248" t="n"/>
      <c r="XEA92" s="248" t="n"/>
      <c r="XEB92" s="240" t="n"/>
      <c r="XEC92" s="240" t="n"/>
      <c r="XEE92" s="15" t="n"/>
      <c r="XEF92" s="15" t="n"/>
      <c r="XEG92" s="248" t="n"/>
      <c r="XEH92" s="248" t="n"/>
      <c r="XEI92" s="240" t="n"/>
      <c r="XEJ92" s="240" t="n"/>
      <c r="XEL92" s="15" t="n"/>
      <c r="XEM92" s="15" t="n"/>
      <c r="XEN92" s="248" t="n"/>
      <c r="XEO92" s="248" t="n"/>
      <c r="XEP92" s="240" t="n"/>
      <c r="XEQ92" s="240" t="n"/>
      <c r="XES92" s="15" t="n"/>
      <c r="XET92" s="15" t="n"/>
      <c r="XEU92" s="248" t="n"/>
      <c r="XEV92" s="248" t="n"/>
      <c r="XEW92" s="240" t="n"/>
      <c r="XEX92" s="240" t="n"/>
      <c r="XEZ92" s="15" t="n"/>
      <c r="XFA92" s="15" t="n"/>
      <c r="XFB92" s="248" t="n"/>
      <c r="XFC92" s="248" t="n"/>
      <c r="XFD92" s="240" t="n"/>
    </row>
    <row r="93">
      <c r="A93" s="41" t="inlineStr">
        <is>
          <t>Coverage K</t>
        </is>
      </c>
      <c r="B93" s="42" t="inlineStr">
        <is>
          <t>Farm Employees Medical Payment</t>
        </is>
      </c>
      <c r="C93" s="42" t="n"/>
      <c r="D93" s="42" t="n"/>
      <c r="E93" s="253" t="n">
        <v>5000</v>
      </c>
      <c r="F93" s="253" t="n"/>
      <c r="G93" s="253" t="n"/>
      <c r="H93" s="253" t="n"/>
      <c r="I93" s="253" t="n"/>
      <c r="J93" s="253" t="n"/>
      <c r="K93" s="154" t="inlineStr">
        <is>
          <t>Included</t>
        </is>
      </c>
      <c r="L93" s="142" t="inlineStr">
        <is>
          <t>Included</t>
        </is>
      </c>
      <c r="M93" s="254" t="n"/>
      <c r="N93" s="93" t="n"/>
      <c r="O93" s="15" t="n"/>
      <c r="P93" s="248" t="n"/>
      <c r="Q93" s="248" t="n"/>
      <c r="R93" s="240" t="n"/>
      <c r="S93" s="240" t="n"/>
      <c r="U93" s="15" t="n"/>
      <c r="V93" s="15" t="n"/>
      <c r="W93" s="248" t="n"/>
      <c r="X93" s="248" t="n"/>
      <c r="Y93" s="240" t="n"/>
      <c r="Z93" s="240" t="n"/>
      <c r="AB93" s="15" t="n"/>
      <c r="AC93" s="15" t="n"/>
      <c r="AD93" s="248" t="n"/>
      <c r="AE93" s="248" t="n"/>
      <c r="AF93" s="240" t="n"/>
      <c r="AG93" s="240" t="n"/>
      <c r="AI93" s="15" t="n"/>
      <c r="AJ93" s="15" t="n"/>
      <c r="AK93" s="248" t="n"/>
      <c r="AL93" s="248" t="n"/>
      <c r="AM93" s="240" t="n"/>
      <c r="AN93" s="240" t="n"/>
      <c r="AP93" s="15" t="n"/>
      <c r="AQ93" s="15" t="n"/>
      <c r="AR93" s="248" t="n"/>
      <c r="AS93" s="248" t="n"/>
      <c r="AT93" s="240" t="n"/>
      <c r="AU93" s="240" t="n"/>
      <c r="AW93" s="15" t="n"/>
      <c r="AX93" s="15" t="n"/>
      <c r="AY93" s="248" t="n"/>
      <c r="AZ93" s="248" t="n"/>
      <c r="BA93" s="240" t="n"/>
      <c r="BB93" s="240" t="n"/>
      <c r="BD93" s="15" t="n"/>
      <c r="BE93" s="15" t="n"/>
      <c r="BF93" s="248" t="n"/>
      <c r="BG93" s="248" t="n"/>
      <c r="BH93" s="240" t="n"/>
      <c r="BI93" s="240" t="n"/>
      <c r="BK93" s="15" t="n"/>
      <c r="BL93" s="15" t="n"/>
      <c r="BM93" s="248" t="n"/>
      <c r="BN93" s="248" t="n"/>
      <c r="BO93" s="240" t="n"/>
      <c r="BP93" s="240" t="n"/>
      <c r="BR93" s="15" t="n"/>
      <c r="BS93" s="15" t="n"/>
      <c r="BT93" s="248" t="n"/>
      <c r="BU93" s="248" t="n"/>
      <c r="BV93" s="240" t="n"/>
      <c r="BW93" s="240" t="n"/>
      <c r="BY93" s="15" t="n"/>
      <c r="BZ93" s="15" t="n"/>
      <c r="CA93" s="248" t="n"/>
      <c r="CB93" s="248" t="n"/>
      <c r="CC93" s="240" t="n"/>
      <c r="CD93" s="240" t="n"/>
      <c r="CF93" s="15" t="n"/>
      <c r="CG93" s="15" t="n"/>
      <c r="CH93" s="248" t="n"/>
      <c r="CI93" s="248" t="n"/>
      <c r="CJ93" s="240" t="n"/>
      <c r="CK93" s="240" t="n"/>
      <c r="CM93" s="15" t="n"/>
      <c r="CN93" s="15" t="n"/>
      <c r="CO93" s="248" t="n"/>
      <c r="CP93" s="248" t="n"/>
      <c r="CQ93" s="240" t="n"/>
      <c r="CR93" s="240" t="n"/>
      <c r="CT93" s="15" t="n"/>
      <c r="CU93" s="15" t="n"/>
      <c r="CV93" s="248" t="n"/>
      <c r="CW93" s="248" t="n"/>
      <c r="CX93" s="240" t="n"/>
      <c r="CY93" s="240" t="n"/>
      <c r="DA93" s="15" t="n"/>
      <c r="DB93" s="15" t="n"/>
      <c r="DC93" s="248" t="n"/>
      <c r="DD93" s="248" t="n"/>
      <c r="DE93" s="240" t="n"/>
      <c r="DF93" s="240" t="n"/>
      <c r="DH93" s="15" t="n"/>
      <c r="DI93" s="15" t="n"/>
      <c r="DJ93" s="248" t="n"/>
      <c r="DK93" s="248" t="n"/>
      <c r="DL93" s="240" t="n"/>
      <c r="DM93" s="240" t="n"/>
      <c r="DO93" s="15" t="n"/>
      <c r="DP93" s="15" t="n"/>
      <c r="DQ93" s="248" t="n"/>
      <c r="DR93" s="248" t="n"/>
      <c r="DS93" s="240" t="n"/>
      <c r="DT93" s="240" t="n"/>
      <c r="DV93" s="15" t="n"/>
      <c r="DW93" s="15" t="n"/>
      <c r="DX93" s="248" t="n"/>
      <c r="DY93" s="248" t="n"/>
      <c r="DZ93" s="240" t="n"/>
      <c r="EA93" s="240" t="n"/>
      <c r="EC93" s="15" t="n"/>
      <c r="ED93" s="15" t="n"/>
      <c r="EE93" s="248" t="n"/>
      <c r="EF93" s="248" t="n"/>
      <c r="EG93" s="240" t="n"/>
      <c r="EH93" s="240" t="n"/>
      <c r="EJ93" s="15" t="n"/>
      <c r="EK93" s="15" t="n"/>
      <c r="EL93" s="248" t="n"/>
      <c r="EM93" s="248" t="n"/>
      <c r="EN93" s="240" t="n"/>
      <c r="EO93" s="240" t="n"/>
      <c r="EQ93" s="15" t="n"/>
      <c r="ER93" s="15" t="n"/>
      <c r="ES93" s="248" t="n"/>
      <c r="ET93" s="248" t="n"/>
      <c r="EU93" s="240" t="n"/>
      <c r="EV93" s="240" t="n"/>
      <c r="EX93" s="15" t="n"/>
      <c r="EY93" s="15" t="n"/>
      <c r="EZ93" s="248" t="n"/>
      <c r="FA93" s="248" t="n"/>
      <c r="FB93" s="240" t="n"/>
      <c r="FC93" s="240" t="n"/>
      <c r="FE93" s="15" t="n"/>
      <c r="FF93" s="15" t="n"/>
      <c r="FG93" s="248" t="n"/>
      <c r="FH93" s="248" t="n"/>
      <c r="FI93" s="240" t="n"/>
      <c r="FJ93" s="240" t="n"/>
      <c r="FL93" s="15" t="n"/>
      <c r="FM93" s="15" t="n"/>
      <c r="FN93" s="248" t="n"/>
      <c r="FO93" s="248" t="n"/>
      <c r="FP93" s="240" t="n"/>
      <c r="FQ93" s="240" t="n"/>
      <c r="FS93" s="15" t="n"/>
      <c r="FT93" s="15" t="n"/>
      <c r="FU93" s="248" t="n"/>
      <c r="FV93" s="248" t="n"/>
      <c r="FW93" s="240" t="n"/>
      <c r="FX93" s="240" t="n"/>
      <c r="FZ93" s="15" t="n"/>
      <c r="GA93" s="15" t="n"/>
      <c r="GB93" s="248" t="n"/>
      <c r="GC93" s="248" t="n"/>
      <c r="GD93" s="240" t="n"/>
      <c r="GE93" s="240" t="n"/>
      <c r="GG93" s="15" t="n"/>
      <c r="GH93" s="15" t="n"/>
      <c r="GI93" s="248" t="n"/>
      <c r="GJ93" s="248" t="n"/>
      <c r="GK93" s="240" t="n"/>
      <c r="GL93" s="240" t="n"/>
      <c r="GN93" s="15" t="n"/>
      <c r="GO93" s="15" t="n"/>
      <c r="GP93" s="248" t="n"/>
      <c r="GQ93" s="248" t="n"/>
      <c r="GR93" s="240" t="n"/>
      <c r="GS93" s="240" t="n"/>
      <c r="GU93" s="15" t="n"/>
      <c r="GV93" s="15" t="n"/>
      <c r="GW93" s="248" t="n"/>
      <c r="GX93" s="248" t="n"/>
      <c r="GY93" s="240" t="n"/>
      <c r="GZ93" s="240" t="n"/>
      <c r="HB93" s="15" t="n"/>
      <c r="HC93" s="15" t="n"/>
      <c r="HD93" s="248" t="n"/>
      <c r="HE93" s="248" t="n"/>
      <c r="HF93" s="240" t="n"/>
      <c r="HG93" s="240" t="n"/>
      <c r="HI93" s="15" t="n"/>
      <c r="HJ93" s="15" t="n"/>
      <c r="HK93" s="248" t="n"/>
      <c r="HL93" s="248" t="n"/>
      <c r="HM93" s="240" t="n"/>
      <c r="HN93" s="240" t="n"/>
      <c r="HP93" s="15" t="n"/>
      <c r="HQ93" s="15" t="n"/>
      <c r="HR93" s="248" t="n"/>
      <c r="HS93" s="248" t="n"/>
      <c r="HT93" s="240" t="n"/>
      <c r="HU93" s="240" t="n"/>
      <c r="HW93" s="15" t="n"/>
      <c r="HX93" s="15" t="n"/>
      <c r="HY93" s="248" t="n"/>
      <c r="HZ93" s="248" t="n"/>
      <c r="IA93" s="240" t="n"/>
      <c r="IB93" s="240" t="n"/>
      <c r="ID93" s="15" t="n"/>
      <c r="IE93" s="15" t="n"/>
      <c r="IF93" s="248" t="n"/>
      <c r="IG93" s="248" t="n"/>
      <c r="IH93" s="240" t="n"/>
      <c r="II93" s="240" t="n"/>
      <c r="IK93" s="15" t="n"/>
      <c r="IL93" s="15" t="n"/>
      <c r="IM93" s="248" t="n"/>
      <c r="IN93" s="248" t="n"/>
      <c r="IO93" s="240" t="n"/>
      <c r="IP93" s="240" t="n"/>
      <c r="IR93" s="15" t="n"/>
      <c r="IS93" s="15" t="n"/>
      <c r="IT93" s="248" t="n"/>
      <c r="IU93" s="248" t="n"/>
      <c r="IV93" s="240" t="n"/>
      <c r="IW93" s="240" t="n"/>
      <c r="IY93" s="15" t="n"/>
      <c r="IZ93" s="15" t="n"/>
      <c r="JA93" s="248" t="n"/>
      <c r="JB93" s="248" t="n"/>
      <c r="JC93" s="240" t="n"/>
      <c r="JD93" s="240" t="n"/>
      <c r="JF93" s="15" t="n"/>
      <c r="JG93" s="15" t="n"/>
      <c r="JH93" s="248" t="n"/>
      <c r="JI93" s="248" t="n"/>
      <c r="JJ93" s="240" t="n"/>
      <c r="JK93" s="240" t="n"/>
      <c r="JM93" s="15" t="n"/>
      <c r="JN93" s="15" t="n"/>
      <c r="JO93" s="248" t="n"/>
      <c r="JP93" s="248" t="n"/>
      <c r="JQ93" s="240" t="n"/>
      <c r="JR93" s="240" t="n"/>
      <c r="JT93" s="15" t="n"/>
      <c r="JU93" s="15" t="n"/>
      <c r="JV93" s="248" t="n"/>
      <c r="JW93" s="248" t="n"/>
      <c r="JX93" s="240" t="n"/>
      <c r="JY93" s="240" t="n"/>
      <c r="KA93" s="15" t="n"/>
      <c r="KB93" s="15" t="n"/>
      <c r="KC93" s="248" t="n"/>
      <c r="KD93" s="248" t="n"/>
      <c r="KE93" s="240" t="n"/>
      <c r="KF93" s="240" t="n"/>
      <c r="KH93" s="15" t="n"/>
      <c r="KI93" s="15" t="n"/>
      <c r="KJ93" s="248" t="n"/>
      <c r="KK93" s="248" t="n"/>
      <c r="KL93" s="240" t="n"/>
      <c r="KM93" s="240" t="n"/>
      <c r="KO93" s="15" t="n"/>
      <c r="KP93" s="15" t="n"/>
      <c r="KQ93" s="248" t="n"/>
      <c r="KR93" s="248" t="n"/>
      <c r="KS93" s="240" t="n"/>
      <c r="KT93" s="240" t="n"/>
      <c r="KV93" s="15" t="n"/>
      <c r="KW93" s="15" t="n"/>
      <c r="KX93" s="248" t="n"/>
      <c r="KY93" s="248" t="n"/>
      <c r="KZ93" s="240" t="n"/>
      <c r="LA93" s="240" t="n"/>
      <c r="LC93" s="15" t="n"/>
      <c r="LD93" s="15" t="n"/>
      <c r="LE93" s="248" t="n"/>
      <c r="LF93" s="248" t="n"/>
      <c r="LG93" s="240" t="n"/>
      <c r="LH93" s="240" t="n"/>
      <c r="LJ93" s="15" t="n"/>
      <c r="LK93" s="15" t="n"/>
      <c r="LL93" s="248" t="n"/>
      <c r="LM93" s="248" t="n"/>
      <c r="LN93" s="240" t="n"/>
      <c r="LO93" s="240" t="n"/>
      <c r="LQ93" s="15" t="n"/>
      <c r="LR93" s="15" t="n"/>
      <c r="LS93" s="248" t="n"/>
      <c r="LT93" s="248" t="n"/>
      <c r="LU93" s="240" t="n"/>
      <c r="LV93" s="240" t="n"/>
      <c r="LX93" s="15" t="n"/>
      <c r="LY93" s="15" t="n"/>
      <c r="LZ93" s="248" t="n"/>
      <c r="MA93" s="248" t="n"/>
      <c r="MB93" s="240" t="n"/>
      <c r="MC93" s="240" t="n"/>
      <c r="ME93" s="15" t="n"/>
      <c r="MF93" s="15" t="n"/>
      <c r="MG93" s="248" t="n"/>
      <c r="MH93" s="248" t="n"/>
      <c r="MI93" s="240" t="n"/>
      <c r="MJ93" s="240" t="n"/>
      <c r="ML93" s="15" t="n"/>
      <c r="MM93" s="15" t="n"/>
      <c r="MN93" s="248" t="n"/>
      <c r="MO93" s="248" t="n"/>
      <c r="MP93" s="240" t="n"/>
      <c r="MQ93" s="240" t="n"/>
      <c r="MS93" s="15" t="n"/>
      <c r="MT93" s="15" t="n"/>
      <c r="MU93" s="248" t="n"/>
      <c r="MV93" s="248" t="n"/>
      <c r="MW93" s="240" t="n"/>
      <c r="MX93" s="240" t="n"/>
      <c r="MZ93" s="15" t="n"/>
      <c r="NA93" s="15" t="n"/>
      <c r="NB93" s="248" t="n"/>
      <c r="NC93" s="248" t="n"/>
      <c r="ND93" s="240" t="n"/>
      <c r="NE93" s="240" t="n"/>
      <c r="NG93" s="15" t="n"/>
      <c r="NH93" s="15" t="n"/>
      <c r="NI93" s="248" t="n"/>
      <c r="NJ93" s="248" t="n"/>
      <c r="NK93" s="240" t="n"/>
      <c r="NL93" s="240" t="n"/>
      <c r="NN93" s="15" t="n"/>
      <c r="NO93" s="15" t="n"/>
      <c r="NP93" s="248" t="n"/>
      <c r="NQ93" s="248" t="n"/>
      <c r="NR93" s="240" t="n"/>
      <c r="NS93" s="240" t="n"/>
      <c r="NU93" s="15" t="n"/>
      <c r="NV93" s="15" t="n"/>
      <c r="NW93" s="248" t="n"/>
      <c r="NX93" s="248" t="n"/>
      <c r="NY93" s="240" t="n"/>
      <c r="NZ93" s="240" t="n"/>
      <c r="OB93" s="15" t="n"/>
      <c r="OC93" s="15" t="n"/>
      <c r="OD93" s="248" t="n"/>
      <c r="OE93" s="248" t="n"/>
      <c r="OF93" s="240" t="n"/>
      <c r="OG93" s="240" t="n"/>
      <c r="OI93" s="15" t="n"/>
      <c r="OJ93" s="15" t="n"/>
      <c r="OK93" s="248" t="n"/>
      <c r="OL93" s="248" t="n"/>
      <c r="OM93" s="240" t="n"/>
      <c r="ON93" s="240" t="n"/>
      <c r="OP93" s="15" t="n"/>
      <c r="OQ93" s="15" t="n"/>
      <c r="OR93" s="248" t="n"/>
      <c r="OS93" s="248" t="n"/>
      <c r="OT93" s="240" t="n"/>
      <c r="OU93" s="240" t="n"/>
      <c r="OW93" s="15" t="n"/>
      <c r="OX93" s="15" t="n"/>
      <c r="OY93" s="248" t="n"/>
      <c r="OZ93" s="248" t="n"/>
      <c r="PA93" s="240" t="n"/>
      <c r="PB93" s="240" t="n"/>
      <c r="PD93" s="15" t="n"/>
      <c r="PE93" s="15" t="n"/>
      <c r="PF93" s="248" t="n"/>
      <c r="PG93" s="248" t="n"/>
      <c r="PH93" s="240" t="n"/>
      <c r="PI93" s="240" t="n"/>
      <c r="PK93" s="15" t="n"/>
      <c r="PL93" s="15" t="n"/>
      <c r="PM93" s="248" t="n"/>
      <c r="PN93" s="248" t="n"/>
      <c r="PO93" s="240" t="n"/>
      <c r="PP93" s="240" t="n"/>
      <c r="PR93" s="15" t="n"/>
      <c r="PS93" s="15" t="n"/>
      <c r="PT93" s="248" t="n"/>
      <c r="PU93" s="248" t="n"/>
      <c r="PV93" s="240" t="n"/>
      <c r="PW93" s="240" t="n"/>
      <c r="PY93" s="15" t="n"/>
      <c r="PZ93" s="15" t="n"/>
      <c r="QA93" s="248" t="n"/>
      <c r="QB93" s="248" t="n"/>
      <c r="QC93" s="240" t="n"/>
      <c r="QD93" s="240" t="n"/>
      <c r="QF93" s="15" t="n"/>
      <c r="QG93" s="15" t="n"/>
      <c r="QH93" s="248" t="n"/>
      <c r="QI93" s="248" t="n"/>
      <c r="QJ93" s="240" t="n"/>
      <c r="QK93" s="240" t="n"/>
      <c r="QM93" s="15" t="n"/>
      <c r="QN93" s="15" t="n"/>
      <c r="QO93" s="248" t="n"/>
      <c r="QP93" s="248" t="n"/>
      <c r="QQ93" s="240" t="n"/>
      <c r="QR93" s="240" t="n"/>
      <c r="QT93" s="15" t="n"/>
      <c r="QU93" s="15" t="n"/>
      <c r="QV93" s="248" t="n"/>
      <c r="QW93" s="248" t="n"/>
      <c r="QX93" s="240" t="n"/>
      <c r="QY93" s="240" t="n"/>
      <c r="RA93" s="15" t="n"/>
      <c r="RB93" s="15" t="n"/>
      <c r="RC93" s="248" t="n"/>
      <c r="RD93" s="248" t="n"/>
      <c r="RE93" s="240" t="n"/>
      <c r="RF93" s="240" t="n"/>
      <c r="RH93" s="15" t="n"/>
      <c r="RI93" s="15" t="n"/>
      <c r="RJ93" s="248" t="n"/>
      <c r="RK93" s="248" t="n"/>
      <c r="RL93" s="240" t="n"/>
      <c r="RM93" s="240" t="n"/>
      <c r="RO93" s="15" t="n"/>
      <c r="RP93" s="15" t="n"/>
      <c r="RQ93" s="248" t="n"/>
      <c r="RR93" s="248" t="n"/>
      <c r="RS93" s="240" t="n"/>
      <c r="RT93" s="240" t="n"/>
      <c r="RV93" s="15" t="n"/>
      <c r="RW93" s="15" t="n"/>
      <c r="RX93" s="248" t="n"/>
      <c r="RY93" s="248" t="n"/>
      <c r="RZ93" s="240" t="n"/>
      <c r="SA93" s="240" t="n"/>
      <c r="SC93" s="15" t="n"/>
      <c r="SD93" s="15" t="n"/>
      <c r="SE93" s="248" t="n"/>
      <c r="SF93" s="248" t="n"/>
      <c r="SG93" s="240" t="n"/>
      <c r="SH93" s="240" t="n"/>
      <c r="SJ93" s="15" t="n"/>
      <c r="SK93" s="15" t="n"/>
      <c r="SL93" s="248" t="n"/>
      <c r="SM93" s="248" t="n"/>
      <c r="SN93" s="240" t="n"/>
      <c r="SO93" s="240" t="n"/>
      <c r="SQ93" s="15" t="n"/>
      <c r="SR93" s="15" t="n"/>
      <c r="SS93" s="248" t="n"/>
      <c r="ST93" s="248" t="n"/>
      <c r="SU93" s="240" t="n"/>
      <c r="SV93" s="240" t="n"/>
      <c r="SX93" s="15" t="n"/>
      <c r="SY93" s="15" t="n"/>
      <c r="SZ93" s="248" t="n"/>
      <c r="TA93" s="248" t="n"/>
      <c r="TB93" s="240" t="n"/>
      <c r="TC93" s="240" t="n"/>
      <c r="TE93" s="15" t="n"/>
      <c r="TF93" s="15" t="n"/>
      <c r="TG93" s="248" t="n"/>
      <c r="TH93" s="248" t="n"/>
      <c r="TI93" s="240" t="n"/>
      <c r="TJ93" s="240" t="n"/>
      <c r="TL93" s="15" t="n"/>
      <c r="TM93" s="15" t="n"/>
      <c r="TN93" s="248" t="n"/>
      <c r="TO93" s="248" t="n"/>
      <c r="TP93" s="240" t="n"/>
      <c r="TQ93" s="240" t="n"/>
      <c r="TS93" s="15" t="n"/>
      <c r="TT93" s="15" t="n"/>
      <c r="TU93" s="248" t="n"/>
      <c r="TV93" s="248" t="n"/>
      <c r="TW93" s="240" t="n"/>
      <c r="TX93" s="240" t="n"/>
      <c r="TZ93" s="15" t="n"/>
      <c r="UA93" s="15" t="n"/>
      <c r="UB93" s="248" t="n"/>
      <c r="UC93" s="248" t="n"/>
      <c r="UD93" s="240" t="n"/>
      <c r="UE93" s="240" t="n"/>
      <c r="UG93" s="15" t="n"/>
      <c r="UH93" s="15" t="n"/>
      <c r="UI93" s="248" t="n"/>
      <c r="UJ93" s="248" t="n"/>
      <c r="UK93" s="240" t="n"/>
      <c r="UL93" s="240" t="n"/>
      <c r="UN93" s="15" t="n"/>
      <c r="UO93" s="15" t="n"/>
      <c r="UP93" s="248" t="n"/>
      <c r="UQ93" s="248" t="n"/>
      <c r="UR93" s="240" t="n"/>
      <c r="US93" s="240" t="n"/>
      <c r="UU93" s="15" t="n"/>
      <c r="UV93" s="15" t="n"/>
      <c r="UW93" s="248" t="n"/>
      <c r="UX93" s="248" t="n"/>
      <c r="UY93" s="240" t="n"/>
      <c r="UZ93" s="240" t="n"/>
      <c r="VB93" s="15" t="n"/>
      <c r="VC93" s="15" t="n"/>
      <c r="VD93" s="248" t="n"/>
      <c r="VE93" s="248" t="n"/>
      <c r="VF93" s="240" t="n"/>
      <c r="VG93" s="240" t="n"/>
      <c r="VI93" s="15" t="n"/>
      <c r="VJ93" s="15" t="n"/>
      <c r="VK93" s="248" t="n"/>
      <c r="VL93" s="248" t="n"/>
      <c r="VM93" s="240" t="n"/>
      <c r="VN93" s="240" t="n"/>
      <c r="VP93" s="15" t="n"/>
      <c r="VQ93" s="15" t="n"/>
      <c r="VR93" s="248" t="n"/>
      <c r="VS93" s="248" t="n"/>
      <c r="VT93" s="240" t="n"/>
      <c r="VU93" s="240" t="n"/>
      <c r="VW93" s="15" t="n"/>
      <c r="VX93" s="15" t="n"/>
      <c r="VY93" s="248" t="n"/>
      <c r="VZ93" s="248" t="n"/>
      <c r="WA93" s="240" t="n"/>
      <c r="WB93" s="240" t="n"/>
      <c r="WD93" s="15" t="n"/>
      <c r="WE93" s="15" t="n"/>
      <c r="WF93" s="248" t="n"/>
      <c r="WG93" s="248" t="n"/>
      <c r="WH93" s="240" t="n"/>
      <c r="WI93" s="240" t="n"/>
      <c r="WK93" s="15" t="n"/>
      <c r="WL93" s="15" t="n"/>
      <c r="WM93" s="248" t="n"/>
      <c r="WN93" s="248" t="n"/>
      <c r="WO93" s="240" t="n"/>
      <c r="WP93" s="240" t="n"/>
      <c r="WR93" s="15" t="n"/>
      <c r="WS93" s="15" t="n"/>
      <c r="WT93" s="248" t="n"/>
      <c r="WU93" s="248" t="n"/>
      <c r="WV93" s="240" t="n"/>
      <c r="WW93" s="240" t="n"/>
      <c r="WY93" s="15" t="n"/>
      <c r="WZ93" s="15" t="n"/>
      <c r="XA93" s="248" t="n"/>
      <c r="XB93" s="248" t="n"/>
      <c r="XC93" s="240" t="n"/>
      <c r="XD93" s="240" t="n"/>
      <c r="XF93" s="15" t="n"/>
      <c r="XG93" s="15" t="n"/>
      <c r="XH93" s="248" t="n"/>
      <c r="XI93" s="248" t="n"/>
      <c r="XJ93" s="240" t="n"/>
      <c r="XK93" s="240" t="n"/>
      <c r="XM93" s="15" t="n"/>
      <c r="XN93" s="15" t="n"/>
      <c r="XO93" s="248" t="n"/>
      <c r="XP93" s="248" t="n"/>
      <c r="XQ93" s="240" t="n"/>
      <c r="XR93" s="240" t="n"/>
      <c r="XT93" s="15" t="n"/>
      <c r="XU93" s="15" t="n"/>
      <c r="XV93" s="248" t="n"/>
      <c r="XW93" s="248" t="n"/>
      <c r="XX93" s="240" t="n"/>
      <c r="XY93" s="240" t="n"/>
      <c r="YA93" s="15" t="n"/>
      <c r="YB93" s="15" t="n"/>
      <c r="YC93" s="248" t="n"/>
      <c r="YD93" s="248" t="n"/>
      <c r="YE93" s="240" t="n"/>
      <c r="YF93" s="240" t="n"/>
      <c r="YH93" s="15" t="n"/>
      <c r="YI93" s="15" t="n"/>
      <c r="YJ93" s="248" t="n"/>
      <c r="YK93" s="248" t="n"/>
      <c r="YL93" s="240" t="n"/>
      <c r="YM93" s="240" t="n"/>
      <c r="YO93" s="15" t="n"/>
      <c r="YP93" s="15" t="n"/>
      <c r="YQ93" s="248" t="n"/>
      <c r="YR93" s="248" t="n"/>
      <c r="YS93" s="240" t="n"/>
      <c r="YT93" s="240" t="n"/>
      <c r="YV93" s="15" t="n"/>
      <c r="YW93" s="15" t="n"/>
      <c r="YX93" s="248" t="n"/>
      <c r="YY93" s="248" t="n"/>
      <c r="YZ93" s="240" t="n"/>
      <c r="ZA93" s="240" t="n"/>
      <c r="ZC93" s="15" t="n"/>
      <c r="ZD93" s="15" t="n"/>
      <c r="ZE93" s="248" t="n"/>
      <c r="ZF93" s="248" t="n"/>
      <c r="ZG93" s="240" t="n"/>
      <c r="ZH93" s="240" t="n"/>
      <c r="ZJ93" s="15" t="n"/>
      <c r="ZK93" s="15" t="n"/>
      <c r="ZL93" s="248" t="n"/>
      <c r="ZM93" s="248" t="n"/>
      <c r="ZN93" s="240" t="n"/>
      <c r="ZO93" s="240" t="n"/>
      <c r="ZQ93" s="15" t="n"/>
      <c r="ZR93" s="15" t="n"/>
      <c r="ZS93" s="248" t="n"/>
      <c r="ZT93" s="248" t="n"/>
      <c r="ZU93" s="240" t="n"/>
      <c r="ZV93" s="240" t="n"/>
      <c r="ZX93" s="15" t="n"/>
      <c r="ZY93" s="15" t="n"/>
      <c r="ZZ93" s="248" t="n"/>
      <c r="AAA93" s="248" t="n"/>
      <c r="AAB93" s="240" t="n"/>
      <c r="AAC93" s="240" t="n"/>
      <c r="AAE93" s="15" t="n"/>
      <c r="AAF93" s="15" t="n"/>
      <c r="AAG93" s="248" t="n"/>
      <c r="AAH93" s="248" t="n"/>
      <c r="AAI93" s="240" t="n"/>
      <c r="AAJ93" s="240" t="n"/>
      <c r="AAL93" s="15" t="n"/>
      <c r="AAM93" s="15" t="n"/>
      <c r="AAN93" s="248" t="n"/>
      <c r="AAO93" s="248" t="n"/>
      <c r="AAP93" s="240" t="n"/>
      <c r="AAQ93" s="240" t="n"/>
      <c r="AAS93" s="15" t="n"/>
      <c r="AAT93" s="15" t="n"/>
      <c r="AAU93" s="248" t="n"/>
      <c r="AAV93" s="248" t="n"/>
      <c r="AAW93" s="240" t="n"/>
      <c r="AAX93" s="240" t="n"/>
      <c r="AAZ93" s="15" t="n"/>
      <c r="ABA93" s="15" t="n"/>
      <c r="ABB93" s="248" t="n"/>
      <c r="ABC93" s="248" t="n"/>
      <c r="ABD93" s="240" t="n"/>
      <c r="ABE93" s="240" t="n"/>
      <c r="ABG93" s="15" t="n"/>
      <c r="ABH93" s="15" t="n"/>
      <c r="ABI93" s="248" t="n"/>
      <c r="ABJ93" s="248" t="n"/>
      <c r="ABK93" s="240" t="n"/>
      <c r="ABL93" s="240" t="n"/>
      <c r="ABN93" s="15" t="n"/>
      <c r="ABO93" s="15" t="n"/>
      <c r="ABP93" s="248" t="n"/>
      <c r="ABQ93" s="248" t="n"/>
      <c r="ABR93" s="240" t="n"/>
      <c r="ABS93" s="240" t="n"/>
      <c r="ABU93" s="15" t="n"/>
      <c r="ABV93" s="15" t="n"/>
      <c r="ABW93" s="248" t="n"/>
      <c r="ABX93" s="248" t="n"/>
      <c r="ABY93" s="240" t="n"/>
      <c r="ABZ93" s="240" t="n"/>
      <c r="ACB93" s="15" t="n"/>
      <c r="ACC93" s="15" t="n"/>
      <c r="ACD93" s="248" t="n"/>
      <c r="ACE93" s="248" t="n"/>
      <c r="ACF93" s="240" t="n"/>
      <c r="ACG93" s="240" t="n"/>
      <c r="ACI93" s="15" t="n"/>
      <c r="ACJ93" s="15" t="n"/>
      <c r="ACK93" s="248" t="n"/>
      <c r="ACL93" s="248" t="n"/>
      <c r="ACM93" s="240" t="n"/>
      <c r="ACN93" s="240" t="n"/>
      <c r="ACP93" s="15" t="n"/>
      <c r="ACQ93" s="15" t="n"/>
      <c r="ACR93" s="248" t="n"/>
      <c r="ACS93" s="248" t="n"/>
      <c r="ACT93" s="240" t="n"/>
      <c r="ACU93" s="240" t="n"/>
      <c r="ACW93" s="15" t="n"/>
      <c r="ACX93" s="15" t="n"/>
      <c r="ACY93" s="248" t="n"/>
      <c r="ACZ93" s="248" t="n"/>
      <c r="ADA93" s="240" t="n"/>
      <c r="ADB93" s="240" t="n"/>
      <c r="ADD93" s="15" t="n"/>
      <c r="ADE93" s="15" t="n"/>
      <c r="ADF93" s="248" t="n"/>
      <c r="ADG93" s="248" t="n"/>
      <c r="ADH93" s="240" t="n"/>
      <c r="ADI93" s="240" t="n"/>
      <c r="ADK93" s="15" t="n"/>
      <c r="ADL93" s="15" t="n"/>
      <c r="ADM93" s="248" t="n"/>
      <c r="ADN93" s="248" t="n"/>
      <c r="ADO93" s="240" t="n"/>
      <c r="ADP93" s="240" t="n"/>
      <c r="ADR93" s="15" t="n"/>
      <c r="ADS93" s="15" t="n"/>
      <c r="ADT93" s="248" t="n"/>
      <c r="ADU93" s="248" t="n"/>
      <c r="ADV93" s="240" t="n"/>
      <c r="ADW93" s="240" t="n"/>
      <c r="ADY93" s="15" t="n"/>
      <c r="ADZ93" s="15" t="n"/>
      <c r="AEA93" s="248" t="n"/>
      <c r="AEB93" s="248" t="n"/>
      <c r="AEC93" s="240" t="n"/>
      <c r="AED93" s="240" t="n"/>
      <c r="AEF93" s="15" t="n"/>
      <c r="AEG93" s="15" t="n"/>
      <c r="AEH93" s="248" t="n"/>
      <c r="AEI93" s="248" t="n"/>
      <c r="AEJ93" s="240" t="n"/>
      <c r="AEK93" s="240" t="n"/>
      <c r="AEM93" s="15" t="n"/>
      <c r="AEN93" s="15" t="n"/>
      <c r="AEO93" s="248" t="n"/>
      <c r="AEP93" s="248" t="n"/>
      <c r="AEQ93" s="240" t="n"/>
      <c r="AER93" s="240" t="n"/>
      <c r="AET93" s="15" t="n"/>
      <c r="AEU93" s="15" t="n"/>
      <c r="AEV93" s="248" t="n"/>
      <c r="AEW93" s="248" t="n"/>
      <c r="AEX93" s="240" t="n"/>
      <c r="AEY93" s="240" t="n"/>
      <c r="AFA93" s="15" t="n"/>
      <c r="AFB93" s="15" t="n"/>
      <c r="AFC93" s="248" t="n"/>
      <c r="AFD93" s="248" t="n"/>
      <c r="AFE93" s="240" t="n"/>
      <c r="AFF93" s="240" t="n"/>
      <c r="AFH93" s="15" t="n"/>
      <c r="AFI93" s="15" t="n"/>
      <c r="AFJ93" s="248" t="n"/>
      <c r="AFK93" s="248" t="n"/>
      <c r="AFL93" s="240" t="n"/>
      <c r="AFM93" s="240" t="n"/>
      <c r="AFO93" s="15" t="n"/>
      <c r="AFP93" s="15" t="n"/>
      <c r="AFQ93" s="248" t="n"/>
      <c r="AFR93" s="248" t="n"/>
      <c r="AFS93" s="240" t="n"/>
      <c r="AFT93" s="240" t="n"/>
      <c r="AFV93" s="15" t="n"/>
      <c r="AFW93" s="15" t="n"/>
      <c r="AFX93" s="248" t="n"/>
      <c r="AFY93" s="248" t="n"/>
      <c r="AFZ93" s="240" t="n"/>
      <c r="AGA93" s="240" t="n"/>
      <c r="AGC93" s="15" t="n"/>
      <c r="AGD93" s="15" t="n"/>
      <c r="AGE93" s="248" t="n"/>
      <c r="AGF93" s="248" t="n"/>
      <c r="AGG93" s="240" t="n"/>
      <c r="AGH93" s="240" t="n"/>
      <c r="AGJ93" s="15" t="n"/>
      <c r="AGK93" s="15" t="n"/>
      <c r="AGL93" s="248" t="n"/>
      <c r="AGM93" s="248" t="n"/>
      <c r="AGN93" s="240" t="n"/>
      <c r="AGO93" s="240" t="n"/>
      <c r="AGQ93" s="15" t="n"/>
      <c r="AGR93" s="15" t="n"/>
      <c r="AGS93" s="248" t="n"/>
      <c r="AGT93" s="248" t="n"/>
      <c r="AGU93" s="240" t="n"/>
      <c r="AGV93" s="240" t="n"/>
      <c r="AGX93" s="15" t="n"/>
      <c r="AGY93" s="15" t="n"/>
      <c r="AGZ93" s="248" t="n"/>
      <c r="AHA93" s="248" t="n"/>
      <c r="AHB93" s="240" t="n"/>
      <c r="AHC93" s="240" t="n"/>
      <c r="AHE93" s="15" t="n"/>
      <c r="AHF93" s="15" t="n"/>
      <c r="AHG93" s="248" t="n"/>
      <c r="AHH93" s="248" t="n"/>
      <c r="AHI93" s="240" t="n"/>
      <c r="AHJ93" s="240" t="n"/>
      <c r="AHL93" s="15" t="n"/>
      <c r="AHM93" s="15" t="n"/>
      <c r="AHN93" s="248" t="n"/>
      <c r="AHO93" s="248" t="n"/>
      <c r="AHP93" s="240" t="n"/>
      <c r="AHQ93" s="240" t="n"/>
      <c r="AHS93" s="15" t="n"/>
      <c r="AHT93" s="15" t="n"/>
      <c r="AHU93" s="248" t="n"/>
      <c r="AHV93" s="248" t="n"/>
      <c r="AHW93" s="240" t="n"/>
      <c r="AHX93" s="240" t="n"/>
      <c r="AHZ93" s="15" t="n"/>
      <c r="AIA93" s="15" t="n"/>
      <c r="AIB93" s="248" t="n"/>
      <c r="AIC93" s="248" t="n"/>
      <c r="AID93" s="240" t="n"/>
      <c r="AIE93" s="240" t="n"/>
      <c r="AIG93" s="15" t="n"/>
      <c r="AIH93" s="15" t="n"/>
      <c r="AII93" s="248" t="n"/>
      <c r="AIJ93" s="248" t="n"/>
      <c r="AIK93" s="240" t="n"/>
      <c r="AIL93" s="240" t="n"/>
      <c r="AIN93" s="15" t="n"/>
      <c r="AIO93" s="15" t="n"/>
      <c r="AIP93" s="248" t="n"/>
      <c r="AIQ93" s="248" t="n"/>
      <c r="AIR93" s="240" t="n"/>
      <c r="AIS93" s="240" t="n"/>
      <c r="AIU93" s="15" t="n"/>
      <c r="AIV93" s="15" t="n"/>
      <c r="AIW93" s="248" t="n"/>
      <c r="AIX93" s="248" t="n"/>
      <c r="AIY93" s="240" t="n"/>
      <c r="AIZ93" s="240" t="n"/>
      <c r="AJB93" s="15" t="n"/>
      <c r="AJC93" s="15" t="n"/>
      <c r="AJD93" s="248" t="n"/>
      <c r="AJE93" s="248" t="n"/>
      <c r="AJF93" s="240" t="n"/>
      <c r="AJG93" s="240" t="n"/>
      <c r="AJI93" s="15" t="n"/>
      <c r="AJJ93" s="15" t="n"/>
      <c r="AJK93" s="248" t="n"/>
      <c r="AJL93" s="248" t="n"/>
      <c r="AJM93" s="240" t="n"/>
      <c r="AJN93" s="240" t="n"/>
      <c r="AJP93" s="15" t="n"/>
      <c r="AJQ93" s="15" t="n"/>
      <c r="AJR93" s="248" t="n"/>
      <c r="AJS93" s="248" t="n"/>
      <c r="AJT93" s="240" t="n"/>
      <c r="AJU93" s="240" t="n"/>
      <c r="AJW93" s="15" t="n"/>
      <c r="AJX93" s="15" t="n"/>
      <c r="AJY93" s="248" t="n"/>
      <c r="AJZ93" s="248" t="n"/>
      <c r="AKA93" s="240" t="n"/>
      <c r="AKB93" s="240" t="n"/>
      <c r="AKD93" s="15" t="n"/>
      <c r="AKE93" s="15" t="n"/>
      <c r="AKF93" s="248" t="n"/>
      <c r="AKG93" s="248" t="n"/>
      <c r="AKH93" s="240" t="n"/>
      <c r="AKI93" s="240" t="n"/>
      <c r="AKK93" s="15" t="n"/>
      <c r="AKL93" s="15" t="n"/>
      <c r="AKM93" s="248" t="n"/>
      <c r="AKN93" s="248" t="n"/>
      <c r="AKO93" s="240" t="n"/>
      <c r="AKP93" s="240" t="n"/>
      <c r="AKR93" s="15" t="n"/>
      <c r="AKS93" s="15" t="n"/>
      <c r="AKT93" s="248" t="n"/>
      <c r="AKU93" s="248" t="n"/>
      <c r="AKV93" s="240" t="n"/>
      <c r="AKW93" s="240" t="n"/>
      <c r="AKY93" s="15" t="n"/>
      <c r="AKZ93" s="15" t="n"/>
      <c r="ALA93" s="248" t="n"/>
      <c r="ALB93" s="248" t="n"/>
      <c r="ALC93" s="240" t="n"/>
      <c r="ALD93" s="240" t="n"/>
      <c r="ALF93" s="15" t="n"/>
      <c r="ALG93" s="15" t="n"/>
      <c r="ALH93" s="248" t="n"/>
      <c r="ALI93" s="248" t="n"/>
      <c r="ALJ93" s="240" t="n"/>
      <c r="ALK93" s="240" t="n"/>
      <c r="ALM93" s="15" t="n"/>
      <c r="ALN93" s="15" t="n"/>
      <c r="ALO93" s="248" t="n"/>
      <c r="ALP93" s="248" t="n"/>
      <c r="ALQ93" s="240" t="n"/>
      <c r="ALR93" s="240" t="n"/>
      <c r="ALT93" s="15" t="n"/>
      <c r="ALU93" s="15" t="n"/>
      <c r="ALV93" s="248" t="n"/>
      <c r="ALW93" s="248" t="n"/>
      <c r="ALX93" s="240" t="n"/>
      <c r="ALY93" s="240" t="n"/>
      <c r="AMA93" s="15" t="n"/>
      <c r="AMB93" s="15" t="n"/>
      <c r="AMC93" s="248" t="n"/>
      <c r="AMD93" s="248" t="n"/>
      <c r="AME93" s="240" t="n"/>
      <c r="AMF93" s="240" t="n"/>
      <c r="AMH93" s="15" t="n"/>
      <c r="AMI93" s="15" t="n"/>
      <c r="AMJ93" s="248" t="n"/>
      <c r="AMK93" s="248" t="n"/>
      <c r="AML93" s="240" t="n"/>
      <c r="AMM93" s="240" t="n"/>
      <c r="AMO93" s="15" t="n"/>
      <c r="AMP93" s="15" t="n"/>
      <c r="AMQ93" s="248" t="n"/>
      <c r="AMR93" s="248" t="n"/>
      <c r="AMS93" s="240" t="n"/>
      <c r="AMT93" s="240" t="n"/>
      <c r="AMV93" s="15" t="n"/>
      <c r="AMW93" s="15" t="n"/>
      <c r="AMX93" s="248" t="n"/>
      <c r="AMY93" s="248" t="n"/>
      <c r="AMZ93" s="240" t="n"/>
      <c r="ANA93" s="240" t="n"/>
      <c r="ANC93" s="15" t="n"/>
      <c r="AND93" s="15" t="n"/>
      <c r="ANE93" s="248" t="n"/>
      <c r="ANF93" s="248" t="n"/>
      <c r="ANG93" s="240" t="n"/>
      <c r="ANH93" s="240" t="n"/>
      <c r="ANJ93" s="15" t="n"/>
      <c r="ANK93" s="15" t="n"/>
      <c r="ANL93" s="248" t="n"/>
      <c r="ANM93" s="248" t="n"/>
      <c r="ANN93" s="240" t="n"/>
      <c r="ANO93" s="240" t="n"/>
      <c r="ANQ93" s="15" t="n"/>
      <c r="ANR93" s="15" t="n"/>
      <c r="ANS93" s="248" t="n"/>
      <c r="ANT93" s="248" t="n"/>
      <c r="ANU93" s="240" t="n"/>
      <c r="ANV93" s="240" t="n"/>
      <c r="ANX93" s="15" t="n"/>
      <c r="ANY93" s="15" t="n"/>
      <c r="ANZ93" s="248" t="n"/>
      <c r="AOA93" s="248" t="n"/>
      <c r="AOB93" s="240" t="n"/>
      <c r="AOC93" s="240" t="n"/>
      <c r="AOE93" s="15" t="n"/>
      <c r="AOF93" s="15" t="n"/>
      <c r="AOG93" s="248" t="n"/>
      <c r="AOH93" s="248" t="n"/>
      <c r="AOI93" s="240" t="n"/>
      <c r="AOJ93" s="240" t="n"/>
      <c r="AOL93" s="15" t="n"/>
      <c r="AOM93" s="15" t="n"/>
      <c r="AON93" s="248" t="n"/>
      <c r="AOO93" s="248" t="n"/>
      <c r="AOP93" s="240" t="n"/>
      <c r="AOQ93" s="240" t="n"/>
      <c r="AOS93" s="15" t="n"/>
      <c r="AOT93" s="15" t="n"/>
      <c r="AOU93" s="248" t="n"/>
      <c r="AOV93" s="248" t="n"/>
      <c r="AOW93" s="240" t="n"/>
      <c r="AOX93" s="240" t="n"/>
      <c r="AOZ93" s="15" t="n"/>
      <c r="APA93" s="15" t="n"/>
      <c r="APB93" s="248" t="n"/>
      <c r="APC93" s="248" t="n"/>
      <c r="APD93" s="240" t="n"/>
      <c r="APE93" s="240" t="n"/>
      <c r="APG93" s="15" t="n"/>
      <c r="APH93" s="15" t="n"/>
      <c r="API93" s="248" t="n"/>
      <c r="APJ93" s="248" t="n"/>
      <c r="APK93" s="240" t="n"/>
      <c r="APL93" s="240" t="n"/>
      <c r="APN93" s="15" t="n"/>
      <c r="APO93" s="15" t="n"/>
      <c r="APP93" s="248" t="n"/>
      <c r="APQ93" s="248" t="n"/>
      <c r="APR93" s="240" t="n"/>
      <c r="APS93" s="240" t="n"/>
      <c r="APU93" s="15" t="n"/>
      <c r="APV93" s="15" t="n"/>
      <c r="APW93" s="248" t="n"/>
      <c r="APX93" s="248" t="n"/>
      <c r="APY93" s="240" t="n"/>
      <c r="APZ93" s="240" t="n"/>
      <c r="AQB93" s="15" t="n"/>
      <c r="AQC93" s="15" t="n"/>
      <c r="AQD93" s="248" t="n"/>
      <c r="AQE93" s="248" t="n"/>
      <c r="AQF93" s="240" t="n"/>
      <c r="AQG93" s="240" t="n"/>
      <c r="AQI93" s="15" t="n"/>
      <c r="AQJ93" s="15" t="n"/>
      <c r="AQK93" s="248" t="n"/>
      <c r="AQL93" s="248" t="n"/>
      <c r="AQM93" s="240" t="n"/>
      <c r="AQN93" s="240" t="n"/>
      <c r="AQP93" s="15" t="n"/>
      <c r="AQQ93" s="15" t="n"/>
      <c r="AQR93" s="248" t="n"/>
      <c r="AQS93" s="248" t="n"/>
      <c r="AQT93" s="240" t="n"/>
      <c r="AQU93" s="240" t="n"/>
      <c r="AQW93" s="15" t="n"/>
      <c r="AQX93" s="15" t="n"/>
      <c r="AQY93" s="248" t="n"/>
      <c r="AQZ93" s="248" t="n"/>
      <c r="ARA93" s="240" t="n"/>
      <c r="ARB93" s="240" t="n"/>
      <c r="ARD93" s="15" t="n"/>
      <c r="ARE93" s="15" t="n"/>
      <c r="ARF93" s="248" t="n"/>
      <c r="ARG93" s="248" t="n"/>
      <c r="ARH93" s="240" t="n"/>
      <c r="ARI93" s="240" t="n"/>
      <c r="ARK93" s="15" t="n"/>
      <c r="ARL93" s="15" t="n"/>
      <c r="ARM93" s="248" t="n"/>
      <c r="ARN93" s="248" t="n"/>
      <c r="ARO93" s="240" t="n"/>
      <c r="ARP93" s="240" t="n"/>
      <c r="ARR93" s="15" t="n"/>
      <c r="ARS93" s="15" t="n"/>
      <c r="ART93" s="248" t="n"/>
      <c r="ARU93" s="248" t="n"/>
      <c r="ARV93" s="240" t="n"/>
      <c r="ARW93" s="240" t="n"/>
      <c r="ARY93" s="15" t="n"/>
      <c r="ARZ93" s="15" t="n"/>
      <c r="ASA93" s="248" t="n"/>
      <c r="ASB93" s="248" t="n"/>
      <c r="ASC93" s="240" t="n"/>
      <c r="ASD93" s="240" t="n"/>
      <c r="ASF93" s="15" t="n"/>
      <c r="ASG93" s="15" t="n"/>
      <c r="ASH93" s="248" t="n"/>
      <c r="ASI93" s="248" t="n"/>
      <c r="ASJ93" s="240" t="n"/>
      <c r="ASK93" s="240" t="n"/>
      <c r="ASM93" s="15" t="n"/>
      <c r="ASN93" s="15" t="n"/>
      <c r="ASO93" s="248" t="n"/>
      <c r="ASP93" s="248" t="n"/>
      <c r="ASQ93" s="240" t="n"/>
      <c r="ASR93" s="240" t="n"/>
      <c r="AST93" s="15" t="n"/>
      <c r="ASU93" s="15" t="n"/>
      <c r="ASV93" s="248" t="n"/>
      <c r="ASW93" s="248" t="n"/>
      <c r="ASX93" s="240" t="n"/>
      <c r="ASY93" s="240" t="n"/>
      <c r="ATA93" s="15" t="n"/>
      <c r="ATB93" s="15" t="n"/>
      <c r="ATC93" s="248" t="n"/>
      <c r="ATD93" s="248" t="n"/>
      <c r="ATE93" s="240" t="n"/>
      <c r="ATF93" s="240" t="n"/>
      <c r="ATH93" s="15" t="n"/>
      <c r="ATI93" s="15" t="n"/>
      <c r="ATJ93" s="248" t="n"/>
      <c r="ATK93" s="248" t="n"/>
      <c r="ATL93" s="240" t="n"/>
      <c r="ATM93" s="240" t="n"/>
      <c r="ATO93" s="15" t="n"/>
      <c r="ATP93" s="15" t="n"/>
      <c r="ATQ93" s="248" t="n"/>
      <c r="ATR93" s="248" t="n"/>
      <c r="ATS93" s="240" t="n"/>
      <c r="ATT93" s="240" t="n"/>
      <c r="ATV93" s="15" t="n"/>
      <c r="ATW93" s="15" t="n"/>
      <c r="ATX93" s="248" t="n"/>
      <c r="ATY93" s="248" t="n"/>
      <c r="ATZ93" s="240" t="n"/>
      <c r="AUA93" s="240" t="n"/>
      <c r="AUC93" s="15" t="n"/>
      <c r="AUD93" s="15" t="n"/>
      <c r="AUE93" s="248" t="n"/>
      <c r="AUF93" s="248" t="n"/>
      <c r="AUG93" s="240" t="n"/>
      <c r="AUH93" s="240" t="n"/>
      <c r="AUJ93" s="15" t="n"/>
      <c r="AUK93" s="15" t="n"/>
      <c r="AUL93" s="248" t="n"/>
      <c r="AUM93" s="248" t="n"/>
      <c r="AUN93" s="240" t="n"/>
      <c r="AUO93" s="240" t="n"/>
      <c r="AUQ93" s="15" t="n"/>
      <c r="AUR93" s="15" t="n"/>
      <c r="AUS93" s="248" t="n"/>
      <c r="AUT93" s="248" t="n"/>
      <c r="AUU93" s="240" t="n"/>
      <c r="AUV93" s="240" t="n"/>
      <c r="AUX93" s="15" t="n"/>
      <c r="AUY93" s="15" t="n"/>
      <c r="AUZ93" s="248" t="n"/>
      <c r="AVA93" s="248" t="n"/>
      <c r="AVB93" s="240" t="n"/>
      <c r="AVC93" s="240" t="n"/>
      <c r="AVE93" s="15" t="n"/>
      <c r="AVF93" s="15" t="n"/>
      <c r="AVG93" s="248" t="n"/>
      <c r="AVH93" s="248" t="n"/>
      <c r="AVI93" s="240" t="n"/>
      <c r="AVJ93" s="240" t="n"/>
      <c r="AVL93" s="15" t="n"/>
      <c r="AVM93" s="15" t="n"/>
      <c r="AVN93" s="248" t="n"/>
      <c r="AVO93" s="248" t="n"/>
      <c r="AVP93" s="240" t="n"/>
      <c r="AVQ93" s="240" t="n"/>
      <c r="AVS93" s="15" t="n"/>
      <c r="AVT93" s="15" t="n"/>
      <c r="AVU93" s="248" t="n"/>
      <c r="AVV93" s="248" t="n"/>
      <c r="AVW93" s="240" t="n"/>
      <c r="AVX93" s="240" t="n"/>
      <c r="AVZ93" s="15" t="n"/>
      <c r="AWA93" s="15" t="n"/>
      <c r="AWB93" s="248" t="n"/>
      <c r="AWC93" s="248" t="n"/>
      <c r="AWD93" s="240" t="n"/>
      <c r="AWE93" s="240" t="n"/>
      <c r="AWG93" s="15" t="n"/>
      <c r="AWH93" s="15" t="n"/>
      <c r="AWI93" s="248" t="n"/>
      <c r="AWJ93" s="248" t="n"/>
      <c r="AWK93" s="240" t="n"/>
      <c r="AWL93" s="240" t="n"/>
      <c r="AWN93" s="15" t="n"/>
      <c r="AWO93" s="15" t="n"/>
      <c r="AWP93" s="248" t="n"/>
      <c r="AWQ93" s="248" t="n"/>
      <c r="AWR93" s="240" t="n"/>
      <c r="AWS93" s="240" t="n"/>
      <c r="AWU93" s="15" t="n"/>
      <c r="AWV93" s="15" t="n"/>
      <c r="AWW93" s="248" t="n"/>
      <c r="AWX93" s="248" t="n"/>
      <c r="AWY93" s="240" t="n"/>
      <c r="AWZ93" s="240" t="n"/>
      <c r="AXB93" s="15" t="n"/>
      <c r="AXC93" s="15" t="n"/>
      <c r="AXD93" s="248" t="n"/>
      <c r="AXE93" s="248" t="n"/>
      <c r="AXF93" s="240" t="n"/>
      <c r="AXG93" s="240" t="n"/>
      <c r="AXI93" s="15" t="n"/>
      <c r="AXJ93" s="15" t="n"/>
      <c r="AXK93" s="248" t="n"/>
      <c r="AXL93" s="248" t="n"/>
      <c r="AXM93" s="240" t="n"/>
      <c r="AXN93" s="240" t="n"/>
      <c r="AXP93" s="15" t="n"/>
      <c r="AXQ93" s="15" t="n"/>
      <c r="AXR93" s="248" t="n"/>
      <c r="AXS93" s="248" t="n"/>
      <c r="AXT93" s="240" t="n"/>
      <c r="AXU93" s="240" t="n"/>
      <c r="AXW93" s="15" t="n"/>
      <c r="AXX93" s="15" t="n"/>
      <c r="AXY93" s="248" t="n"/>
      <c r="AXZ93" s="248" t="n"/>
      <c r="AYA93" s="240" t="n"/>
      <c r="AYB93" s="240" t="n"/>
      <c r="AYD93" s="15" t="n"/>
      <c r="AYE93" s="15" t="n"/>
      <c r="AYF93" s="248" t="n"/>
      <c r="AYG93" s="248" t="n"/>
      <c r="AYH93" s="240" t="n"/>
      <c r="AYI93" s="240" t="n"/>
      <c r="AYK93" s="15" t="n"/>
      <c r="AYL93" s="15" t="n"/>
      <c r="AYM93" s="248" t="n"/>
      <c r="AYN93" s="248" t="n"/>
      <c r="AYO93" s="240" t="n"/>
      <c r="AYP93" s="240" t="n"/>
      <c r="AYR93" s="15" t="n"/>
      <c r="AYS93" s="15" t="n"/>
      <c r="AYT93" s="248" t="n"/>
      <c r="AYU93" s="248" t="n"/>
      <c r="AYV93" s="240" t="n"/>
      <c r="AYW93" s="240" t="n"/>
      <c r="AYY93" s="15" t="n"/>
      <c r="AYZ93" s="15" t="n"/>
      <c r="AZA93" s="248" t="n"/>
      <c r="AZB93" s="248" t="n"/>
      <c r="AZC93" s="240" t="n"/>
      <c r="AZD93" s="240" t="n"/>
      <c r="AZF93" s="15" t="n"/>
      <c r="AZG93" s="15" t="n"/>
      <c r="AZH93" s="248" t="n"/>
      <c r="AZI93" s="248" t="n"/>
      <c r="AZJ93" s="240" t="n"/>
      <c r="AZK93" s="240" t="n"/>
      <c r="AZM93" s="15" t="n"/>
      <c r="AZN93" s="15" t="n"/>
      <c r="AZO93" s="248" t="n"/>
      <c r="AZP93" s="248" t="n"/>
      <c r="AZQ93" s="240" t="n"/>
      <c r="AZR93" s="240" t="n"/>
      <c r="AZT93" s="15" t="n"/>
      <c r="AZU93" s="15" t="n"/>
      <c r="AZV93" s="248" t="n"/>
      <c r="AZW93" s="248" t="n"/>
      <c r="AZX93" s="240" t="n"/>
      <c r="AZY93" s="240" t="n"/>
      <c r="BAA93" s="15" t="n"/>
      <c r="BAB93" s="15" t="n"/>
      <c r="BAC93" s="248" t="n"/>
      <c r="BAD93" s="248" t="n"/>
      <c r="BAE93" s="240" t="n"/>
      <c r="BAF93" s="240" t="n"/>
      <c r="BAH93" s="15" t="n"/>
      <c r="BAI93" s="15" t="n"/>
      <c r="BAJ93" s="248" t="n"/>
      <c r="BAK93" s="248" t="n"/>
      <c r="BAL93" s="240" t="n"/>
      <c r="BAM93" s="240" t="n"/>
      <c r="BAO93" s="15" t="n"/>
      <c r="BAP93" s="15" t="n"/>
      <c r="BAQ93" s="248" t="n"/>
      <c r="BAR93" s="248" t="n"/>
      <c r="BAS93" s="240" t="n"/>
      <c r="BAT93" s="240" t="n"/>
      <c r="BAV93" s="15" t="n"/>
      <c r="BAW93" s="15" t="n"/>
      <c r="BAX93" s="248" t="n"/>
      <c r="BAY93" s="248" t="n"/>
      <c r="BAZ93" s="240" t="n"/>
      <c r="BBA93" s="240" t="n"/>
      <c r="BBC93" s="15" t="n"/>
      <c r="BBD93" s="15" t="n"/>
      <c r="BBE93" s="248" t="n"/>
      <c r="BBF93" s="248" t="n"/>
      <c r="BBG93" s="240" t="n"/>
      <c r="BBH93" s="240" t="n"/>
      <c r="BBJ93" s="15" t="n"/>
      <c r="BBK93" s="15" t="n"/>
      <c r="BBL93" s="248" t="n"/>
      <c r="BBM93" s="248" t="n"/>
      <c r="BBN93" s="240" t="n"/>
      <c r="BBO93" s="240" t="n"/>
      <c r="BBQ93" s="15" t="n"/>
      <c r="BBR93" s="15" t="n"/>
      <c r="BBS93" s="248" t="n"/>
      <c r="BBT93" s="248" t="n"/>
      <c r="BBU93" s="240" t="n"/>
      <c r="BBV93" s="240" t="n"/>
      <c r="BBX93" s="15" t="n"/>
      <c r="BBY93" s="15" t="n"/>
      <c r="BBZ93" s="248" t="n"/>
      <c r="BCA93" s="248" t="n"/>
      <c r="BCB93" s="240" t="n"/>
      <c r="BCC93" s="240" t="n"/>
      <c r="BCE93" s="15" t="n"/>
      <c r="BCF93" s="15" t="n"/>
      <c r="BCG93" s="248" t="n"/>
      <c r="BCH93" s="248" t="n"/>
      <c r="BCI93" s="240" t="n"/>
      <c r="BCJ93" s="240" t="n"/>
      <c r="BCL93" s="15" t="n"/>
      <c r="BCM93" s="15" t="n"/>
      <c r="BCN93" s="248" t="n"/>
      <c r="BCO93" s="248" t="n"/>
      <c r="BCP93" s="240" t="n"/>
      <c r="BCQ93" s="240" t="n"/>
      <c r="BCS93" s="15" t="n"/>
      <c r="BCT93" s="15" t="n"/>
      <c r="BCU93" s="248" t="n"/>
      <c r="BCV93" s="248" t="n"/>
      <c r="BCW93" s="240" t="n"/>
      <c r="BCX93" s="240" t="n"/>
      <c r="BCZ93" s="15" t="n"/>
      <c r="BDA93" s="15" t="n"/>
      <c r="BDB93" s="248" t="n"/>
      <c r="BDC93" s="248" t="n"/>
      <c r="BDD93" s="240" t="n"/>
      <c r="BDE93" s="240" t="n"/>
      <c r="BDG93" s="15" t="n"/>
      <c r="BDH93" s="15" t="n"/>
      <c r="BDI93" s="248" t="n"/>
      <c r="BDJ93" s="248" t="n"/>
      <c r="BDK93" s="240" t="n"/>
      <c r="BDL93" s="240" t="n"/>
      <c r="BDN93" s="15" t="n"/>
      <c r="BDO93" s="15" t="n"/>
      <c r="BDP93" s="248" t="n"/>
      <c r="BDQ93" s="248" t="n"/>
      <c r="BDR93" s="240" t="n"/>
      <c r="BDS93" s="240" t="n"/>
      <c r="BDU93" s="15" t="n"/>
      <c r="BDV93" s="15" t="n"/>
      <c r="BDW93" s="248" t="n"/>
      <c r="BDX93" s="248" t="n"/>
      <c r="BDY93" s="240" t="n"/>
      <c r="BDZ93" s="240" t="n"/>
      <c r="BEB93" s="15" t="n"/>
      <c r="BEC93" s="15" t="n"/>
      <c r="BED93" s="248" t="n"/>
      <c r="BEE93" s="248" t="n"/>
      <c r="BEF93" s="240" t="n"/>
      <c r="BEG93" s="240" t="n"/>
      <c r="BEI93" s="15" t="n"/>
      <c r="BEJ93" s="15" t="n"/>
      <c r="BEK93" s="248" t="n"/>
      <c r="BEL93" s="248" t="n"/>
      <c r="BEM93" s="240" t="n"/>
      <c r="BEN93" s="240" t="n"/>
      <c r="BEP93" s="15" t="n"/>
      <c r="BEQ93" s="15" t="n"/>
      <c r="BER93" s="248" t="n"/>
      <c r="BES93" s="248" t="n"/>
      <c r="BET93" s="240" t="n"/>
      <c r="BEU93" s="240" t="n"/>
      <c r="BEW93" s="15" t="n"/>
      <c r="BEX93" s="15" t="n"/>
      <c r="BEY93" s="248" t="n"/>
      <c r="BEZ93" s="248" t="n"/>
      <c r="BFA93" s="240" t="n"/>
      <c r="BFB93" s="240" t="n"/>
      <c r="BFD93" s="15" t="n"/>
      <c r="BFE93" s="15" t="n"/>
      <c r="BFF93" s="248" t="n"/>
      <c r="BFG93" s="248" t="n"/>
      <c r="BFH93" s="240" t="n"/>
      <c r="BFI93" s="240" t="n"/>
      <c r="BFK93" s="15" t="n"/>
      <c r="BFL93" s="15" t="n"/>
      <c r="BFM93" s="248" t="n"/>
      <c r="BFN93" s="248" t="n"/>
      <c r="BFO93" s="240" t="n"/>
      <c r="BFP93" s="240" t="n"/>
      <c r="BFR93" s="15" t="n"/>
      <c r="BFS93" s="15" t="n"/>
      <c r="BFT93" s="248" t="n"/>
      <c r="BFU93" s="248" t="n"/>
      <c r="BFV93" s="240" t="n"/>
      <c r="BFW93" s="240" t="n"/>
      <c r="BFY93" s="15" t="n"/>
      <c r="BFZ93" s="15" t="n"/>
      <c r="BGA93" s="248" t="n"/>
      <c r="BGB93" s="248" t="n"/>
      <c r="BGC93" s="240" t="n"/>
      <c r="BGD93" s="240" t="n"/>
      <c r="BGF93" s="15" t="n"/>
      <c r="BGG93" s="15" t="n"/>
      <c r="BGH93" s="248" t="n"/>
      <c r="BGI93" s="248" t="n"/>
      <c r="BGJ93" s="240" t="n"/>
      <c r="BGK93" s="240" t="n"/>
      <c r="BGM93" s="15" t="n"/>
      <c r="BGN93" s="15" t="n"/>
      <c r="BGO93" s="248" t="n"/>
      <c r="BGP93" s="248" t="n"/>
      <c r="BGQ93" s="240" t="n"/>
      <c r="BGR93" s="240" t="n"/>
      <c r="BGT93" s="15" t="n"/>
      <c r="BGU93" s="15" t="n"/>
      <c r="BGV93" s="248" t="n"/>
      <c r="BGW93" s="248" t="n"/>
      <c r="BGX93" s="240" t="n"/>
      <c r="BGY93" s="240" t="n"/>
      <c r="BHA93" s="15" t="n"/>
      <c r="BHB93" s="15" t="n"/>
      <c r="BHC93" s="248" t="n"/>
      <c r="BHD93" s="248" t="n"/>
      <c r="BHE93" s="240" t="n"/>
      <c r="BHF93" s="240" t="n"/>
      <c r="BHH93" s="15" t="n"/>
      <c r="BHI93" s="15" t="n"/>
      <c r="BHJ93" s="248" t="n"/>
      <c r="BHK93" s="248" t="n"/>
      <c r="BHL93" s="240" t="n"/>
      <c r="BHM93" s="240" t="n"/>
      <c r="BHO93" s="15" t="n"/>
      <c r="BHP93" s="15" t="n"/>
      <c r="BHQ93" s="248" t="n"/>
      <c r="BHR93" s="248" t="n"/>
      <c r="BHS93" s="240" t="n"/>
      <c r="BHT93" s="240" t="n"/>
      <c r="BHV93" s="15" t="n"/>
      <c r="BHW93" s="15" t="n"/>
      <c r="BHX93" s="248" t="n"/>
      <c r="BHY93" s="248" t="n"/>
      <c r="BHZ93" s="240" t="n"/>
      <c r="BIA93" s="240" t="n"/>
      <c r="BIC93" s="15" t="n"/>
      <c r="BID93" s="15" t="n"/>
      <c r="BIE93" s="248" t="n"/>
      <c r="BIF93" s="248" t="n"/>
      <c r="BIG93" s="240" t="n"/>
      <c r="BIH93" s="240" t="n"/>
      <c r="BIJ93" s="15" t="n"/>
      <c r="BIK93" s="15" t="n"/>
      <c r="BIL93" s="248" t="n"/>
      <c r="BIM93" s="248" t="n"/>
      <c r="BIN93" s="240" t="n"/>
      <c r="BIO93" s="240" t="n"/>
      <c r="BIQ93" s="15" t="n"/>
      <c r="BIR93" s="15" t="n"/>
      <c r="BIS93" s="248" t="n"/>
      <c r="BIT93" s="248" t="n"/>
      <c r="BIU93" s="240" t="n"/>
      <c r="BIV93" s="240" t="n"/>
      <c r="BIX93" s="15" t="n"/>
      <c r="BIY93" s="15" t="n"/>
      <c r="BIZ93" s="248" t="n"/>
      <c r="BJA93" s="248" t="n"/>
      <c r="BJB93" s="240" t="n"/>
      <c r="BJC93" s="240" t="n"/>
      <c r="BJE93" s="15" t="n"/>
      <c r="BJF93" s="15" t="n"/>
      <c r="BJG93" s="248" t="n"/>
      <c r="BJH93" s="248" t="n"/>
      <c r="BJI93" s="240" t="n"/>
      <c r="BJJ93" s="240" t="n"/>
      <c r="BJL93" s="15" t="n"/>
      <c r="BJM93" s="15" t="n"/>
      <c r="BJN93" s="248" t="n"/>
      <c r="BJO93" s="248" t="n"/>
      <c r="BJP93" s="240" t="n"/>
      <c r="BJQ93" s="240" t="n"/>
      <c r="BJS93" s="15" t="n"/>
      <c r="BJT93" s="15" t="n"/>
      <c r="BJU93" s="248" t="n"/>
      <c r="BJV93" s="248" t="n"/>
      <c r="BJW93" s="240" t="n"/>
      <c r="BJX93" s="240" t="n"/>
      <c r="BJZ93" s="15" t="n"/>
      <c r="BKA93" s="15" t="n"/>
      <c r="BKB93" s="248" t="n"/>
      <c r="BKC93" s="248" t="n"/>
      <c r="BKD93" s="240" t="n"/>
      <c r="BKE93" s="240" t="n"/>
      <c r="BKG93" s="15" t="n"/>
      <c r="BKH93" s="15" t="n"/>
      <c r="BKI93" s="248" t="n"/>
      <c r="BKJ93" s="248" t="n"/>
      <c r="BKK93" s="240" t="n"/>
      <c r="BKL93" s="240" t="n"/>
      <c r="BKN93" s="15" t="n"/>
      <c r="BKO93" s="15" t="n"/>
      <c r="BKP93" s="248" t="n"/>
      <c r="BKQ93" s="248" t="n"/>
      <c r="BKR93" s="240" t="n"/>
      <c r="BKS93" s="240" t="n"/>
      <c r="BKU93" s="15" t="n"/>
      <c r="BKV93" s="15" t="n"/>
      <c r="BKW93" s="248" t="n"/>
      <c r="BKX93" s="248" t="n"/>
      <c r="BKY93" s="240" t="n"/>
      <c r="BKZ93" s="240" t="n"/>
      <c r="BLB93" s="15" t="n"/>
      <c r="BLC93" s="15" t="n"/>
      <c r="BLD93" s="248" t="n"/>
      <c r="BLE93" s="248" t="n"/>
      <c r="BLF93" s="240" t="n"/>
      <c r="BLG93" s="240" t="n"/>
      <c r="BLI93" s="15" t="n"/>
      <c r="BLJ93" s="15" t="n"/>
      <c r="BLK93" s="248" t="n"/>
      <c r="BLL93" s="248" t="n"/>
      <c r="BLM93" s="240" t="n"/>
      <c r="BLN93" s="240" t="n"/>
      <c r="BLP93" s="15" t="n"/>
      <c r="BLQ93" s="15" t="n"/>
      <c r="BLR93" s="248" t="n"/>
      <c r="BLS93" s="248" t="n"/>
      <c r="BLT93" s="240" t="n"/>
      <c r="BLU93" s="240" t="n"/>
      <c r="BLW93" s="15" t="n"/>
      <c r="BLX93" s="15" t="n"/>
      <c r="BLY93" s="248" t="n"/>
      <c r="BLZ93" s="248" t="n"/>
      <c r="BMA93" s="240" t="n"/>
      <c r="BMB93" s="240" t="n"/>
      <c r="BMD93" s="15" t="n"/>
      <c r="BME93" s="15" t="n"/>
      <c r="BMF93" s="248" t="n"/>
      <c r="BMG93" s="248" t="n"/>
      <c r="BMH93" s="240" t="n"/>
      <c r="BMI93" s="240" t="n"/>
      <c r="BMK93" s="15" t="n"/>
      <c r="BML93" s="15" t="n"/>
      <c r="BMM93" s="248" t="n"/>
      <c r="BMN93" s="248" t="n"/>
      <c r="BMO93" s="240" t="n"/>
      <c r="BMP93" s="240" t="n"/>
      <c r="BMR93" s="15" t="n"/>
      <c r="BMS93" s="15" t="n"/>
      <c r="BMT93" s="248" t="n"/>
      <c r="BMU93" s="248" t="n"/>
      <c r="BMV93" s="240" t="n"/>
      <c r="BMW93" s="240" t="n"/>
      <c r="BMY93" s="15" t="n"/>
      <c r="BMZ93" s="15" t="n"/>
      <c r="BNA93" s="248" t="n"/>
      <c r="BNB93" s="248" t="n"/>
      <c r="BNC93" s="240" t="n"/>
      <c r="BND93" s="240" t="n"/>
      <c r="BNF93" s="15" t="n"/>
      <c r="BNG93" s="15" t="n"/>
      <c r="BNH93" s="248" t="n"/>
      <c r="BNI93" s="248" t="n"/>
      <c r="BNJ93" s="240" t="n"/>
      <c r="BNK93" s="240" t="n"/>
      <c r="BNM93" s="15" t="n"/>
      <c r="BNN93" s="15" t="n"/>
      <c r="BNO93" s="248" t="n"/>
      <c r="BNP93" s="248" t="n"/>
      <c r="BNQ93" s="240" t="n"/>
      <c r="BNR93" s="240" t="n"/>
      <c r="BNT93" s="15" t="n"/>
      <c r="BNU93" s="15" t="n"/>
      <c r="BNV93" s="248" t="n"/>
      <c r="BNW93" s="248" t="n"/>
      <c r="BNX93" s="240" t="n"/>
      <c r="BNY93" s="240" t="n"/>
      <c r="BOA93" s="15" t="n"/>
      <c r="BOB93" s="15" t="n"/>
      <c r="BOC93" s="248" t="n"/>
      <c r="BOD93" s="248" t="n"/>
      <c r="BOE93" s="240" t="n"/>
      <c r="BOF93" s="240" t="n"/>
      <c r="BOH93" s="15" t="n"/>
      <c r="BOI93" s="15" t="n"/>
      <c r="BOJ93" s="248" t="n"/>
      <c r="BOK93" s="248" t="n"/>
      <c r="BOL93" s="240" t="n"/>
      <c r="BOM93" s="240" t="n"/>
      <c r="BOO93" s="15" t="n"/>
      <c r="BOP93" s="15" t="n"/>
      <c r="BOQ93" s="248" t="n"/>
      <c r="BOR93" s="248" t="n"/>
      <c r="BOS93" s="240" t="n"/>
      <c r="BOT93" s="240" t="n"/>
      <c r="BOV93" s="15" t="n"/>
      <c r="BOW93" s="15" t="n"/>
      <c r="BOX93" s="248" t="n"/>
      <c r="BOY93" s="248" t="n"/>
      <c r="BOZ93" s="240" t="n"/>
      <c r="BPA93" s="240" t="n"/>
      <c r="BPC93" s="15" t="n"/>
      <c r="BPD93" s="15" t="n"/>
      <c r="BPE93" s="248" t="n"/>
      <c r="BPF93" s="248" t="n"/>
      <c r="BPG93" s="240" t="n"/>
      <c r="BPH93" s="240" t="n"/>
      <c r="BPJ93" s="15" t="n"/>
      <c r="BPK93" s="15" t="n"/>
      <c r="BPL93" s="248" t="n"/>
      <c r="BPM93" s="248" t="n"/>
      <c r="BPN93" s="240" t="n"/>
      <c r="BPO93" s="240" t="n"/>
      <c r="BPQ93" s="15" t="n"/>
      <c r="BPR93" s="15" t="n"/>
      <c r="BPS93" s="248" t="n"/>
      <c r="BPT93" s="248" t="n"/>
      <c r="BPU93" s="240" t="n"/>
      <c r="BPV93" s="240" t="n"/>
      <c r="BPX93" s="15" t="n"/>
      <c r="BPY93" s="15" t="n"/>
      <c r="BPZ93" s="248" t="n"/>
      <c r="BQA93" s="248" t="n"/>
      <c r="BQB93" s="240" t="n"/>
      <c r="BQC93" s="240" t="n"/>
      <c r="BQE93" s="15" t="n"/>
      <c r="BQF93" s="15" t="n"/>
      <c r="BQG93" s="248" t="n"/>
      <c r="BQH93" s="248" t="n"/>
      <c r="BQI93" s="240" t="n"/>
      <c r="BQJ93" s="240" t="n"/>
      <c r="BQL93" s="15" t="n"/>
      <c r="BQM93" s="15" t="n"/>
      <c r="BQN93" s="248" t="n"/>
      <c r="BQO93" s="248" t="n"/>
      <c r="BQP93" s="240" t="n"/>
      <c r="BQQ93" s="240" t="n"/>
      <c r="BQS93" s="15" t="n"/>
      <c r="BQT93" s="15" t="n"/>
      <c r="BQU93" s="248" t="n"/>
      <c r="BQV93" s="248" t="n"/>
      <c r="BQW93" s="240" t="n"/>
      <c r="BQX93" s="240" t="n"/>
      <c r="BQZ93" s="15" t="n"/>
      <c r="BRA93" s="15" t="n"/>
      <c r="BRB93" s="248" t="n"/>
      <c r="BRC93" s="248" t="n"/>
      <c r="BRD93" s="240" t="n"/>
      <c r="BRE93" s="240" t="n"/>
      <c r="BRG93" s="15" t="n"/>
      <c r="BRH93" s="15" t="n"/>
      <c r="BRI93" s="248" t="n"/>
      <c r="BRJ93" s="248" t="n"/>
      <c r="BRK93" s="240" t="n"/>
      <c r="BRL93" s="240" t="n"/>
      <c r="BRN93" s="15" t="n"/>
      <c r="BRO93" s="15" t="n"/>
      <c r="BRP93" s="248" t="n"/>
      <c r="BRQ93" s="248" t="n"/>
      <c r="BRR93" s="240" t="n"/>
      <c r="BRS93" s="240" t="n"/>
      <c r="BRU93" s="15" t="n"/>
      <c r="BRV93" s="15" t="n"/>
      <c r="BRW93" s="248" t="n"/>
      <c r="BRX93" s="248" t="n"/>
      <c r="BRY93" s="240" t="n"/>
      <c r="BRZ93" s="240" t="n"/>
      <c r="BSB93" s="15" t="n"/>
      <c r="BSC93" s="15" t="n"/>
      <c r="BSD93" s="248" t="n"/>
      <c r="BSE93" s="248" t="n"/>
      <c r="BSF93" s="240" t="n"/>
      <c r="BSG93" s="240" t="n"/>
      <c r="BSI93" s="15" t="n"/>
      <c r="BSJ93" s="15" t="n"/>
      <c r="BSK93" s="248" t="n"/>
      <c r="BSL93" s="248" t="n"/>
      <c r="BSM93" s="240" t="n"/>
      <c r="BSN93" s="240" t="n"/>
      <c r="BSP93" s="15" t="n"/>
      <c r="BSQ93" s="15" t="n"/>
      <c r="BSR93" s="248" t="n"/>
      <c r="BSS93" s="248" t="n"/>
      <c r="BST93" s="240" t="n"/>
      <c r="BSU93" s="240" t="n"/>
      <c r="BSW93" s="15" t="n"/>
      <c r="BSX93" s="15" t="n"/>
      <c r="BSY93" s="248" t="n"/>
      <c r="BSZ93" s="248" t="n"/>
      <c r="BTA93" s="240" t="n"/>
      <c r="BTB93" s="240" t="n"/>
      <c r="BTD93" s="15" t="n"/>
      <c r="BTE93" s="15" t="n"/>
      <c r="BTF93" s="248" t="n"/>
      <c r="BTG93" s="248" t="n"/>
      <c r="BTH93" s="240" t="n"/>
      <c r="BTI93" s="240" t="n"/>
      <c r="BTK93" s="15" t="n"/>
      <c r="BTL93" s="15" t="n"/>
      <c r="BTM93" s="248" t="n"/>
      <c r="BTN93" s="248" t="n"/>
      <c r="BTO93" s="240" t="n"/>
      <c r="BTP93" s="240" t="n"/>
      <c r="BTR93" s="15" t="n"/>
      <c r="BTS93" s="15" t="n"/>
      <c r="BTT93" s="248" t="n"/>
      <c r="BTU93" s="248" t="n"/>
      <c r="BTV93" s="240" t="n"/>
      <c r="BTW93" s="240" t="n"/>
      <c r="BTY93" s="15" t="n"/>
      <c r="BTZ93" s="15" t="n"/>
      <c r="BUA93" s="248" t="n"/>
      <c r="BUB93" s="248" t="n"/>
      <c r="BUC93" s="240" t="n"/>
      <c r="BUD93" s="240" t="n"/>
      <c r="BUF93" s="15" t="n"/>
      <c r="BUG93" s="15" t="n"/>
      <c r="BUH93" s="248" t="n"/>
      <c r="BUI93" s="248" t="n"/>
      <c r="BUJ93" s="240" t="n"/>
      <c r="BUK93" s="240" t="n"/>
      <c r="BUM93" s="15" t="n"/>
      <c r="BUN93" s="15" t="n"/>
      <c r="BUO93" s="248" t="n"/>
      <c r="BUP93" s="248" t="n"/>
      <c r="BUQ93" s="240" t="n"/>
      <c r="BUR93" s="240" t="n"/>
      <c r="BUT93" s="15" t="n"/>
      <c r="BUU93" s="15" t="n"/>
      <c r="BUV93" s="248" t="n"/>
      <c r="BUW93" s="248" t="n"/>
      <c r="BUX93" s="240" t="n"/>
      <c r="BUY93" s="240" t="n"/>
      <c r="BVA93" s="15" t="n"/>
      <c r="BVB93" s="15" t="n"/>
      <c r="BVC93" s="248" t="n"/>
      <c r="BVD93" s="248" t="n"/>
      <c r="BVE93" s="240" t="n"/>
      <c r="BVF93" s="240" t="n"/>
      <c r="BVH93" s="15" t="n"/>
      <c r="BVI93" s="15" t="n"/>
      <c r="BVJ93" s="248" t="n"/>
      <c r="BVK93" s="248" t="n"/>
      <c r="BVL93" s="240" t="n"/>
      <c r="BVM93" s="240" t="n"/>
      <c r="BVO93" s="15" t="n"/>
      <c r="BVP93" s="15" t="n"/>
      <c r="BVQ93" s="248" t="n"/>
      <c r="BVR93" s="248" t="n"/>
      <c r="BVS93" s="240" t="n"/>
      <c r="BVT93" s="240" t="n"/>
      <c r="BVV93" s="15" t="n"/>
      <c r="BVW93" s="15" t="n"/>
      <c r="BVX93" s="248" t="n"/>
      <c r="BVY93" s="248" t="n"/>
      <c r="BVZ93" s="240" t="n"/>
      <c r="BWA93" s="240" t="n"/>
      <c r="BWC93" s="15" t="n"/>
      <c r="BWD93" s="15" t="n"/>
      <c r="BWE93" s="248" t="n"/>
      <c r="BWF93" s="248" t="n"/>
      <c r="BWG93" s="240" t="n"/>
      <c r="BWH93" s="240" t="n"/>
      <c r="BWJ93" s="15" t="n"/>
      <c r="BWK93" s="15" t="n"/>
      <c r="BWL93" s="248" t="n"/>
      <c r="BWM93" s="248" t="n"/>
      <c r="BWN93" s="240" t="n"/>
      <c r="BWO93" s="240" t="n"/>
      <c r="BWQ93" s="15" t="n"/>
      <c r="BWR93" s="15" t="n"/>
      <c r="BWS93" s="248" t="n"/>
      <c r="BWT93" s="248" t="n"/>
      <c r="BWU93" s="240" t="n"/>
      <c r="BWV93" s="240" t="n"/>
      <c r="BWX93" s="15" t="n"/>
      <c r="BWY93" s="15" t="n"/>
      <c r="BWZ93" s="248" t="n"/>
      <c r="BXA93" s="248" t="n"/>
      <c r="BXB93" s="240" t="n"/>
      <c r="BXC93" s="240" t="n"/>
      <c r="BXE93" s="15" t="n"/>
      <c r="BXF93" s="15" t="n"/>
      <c r="BXG93" s="248" t="n"/>
      <c r="BXH93" s="248" t="n"/>
      <c r="BXI93" s="240" t="n"/>
      <c r="BXJ93" s="240" t="n"/>
      <c r="BXL93" s="15" t="n"/>
      <c r="BXM93" s="15" t="n"/>
      <c r="BXN93" s="248" t="n"/>
      <c r="BXO93" s="248" t="n"/>
      <c r="BXP93" s="240" t="n"/>
      <c r="BXQ93" s="240" t="n"/>
      <c r="BXS93" s="15" t="n"/>
      <c r="BXT93" s="15" t="n"/>
      <c r="BXU93" s="248" t="n"/>
      <c r="BXV93" s="248" t="n"/>
      <c r="BXW93" s="240" t="n"/>
      <c r="BXX93" s="240" t="n"/>
      <c r="BXZ93" s="15" t="n"/>
      <c r="BYA93" s="15" t="n"/>
      <c r="BYB93" s="248" t="n"/>
      <c r="BYC93" s="248" t="n"/>
      <c r="BYD93" s="240" t="n"/>
      <c r="BYE93" s="240" t="n"/>
      <c r="BYG93" s="15" t="n"/>
      <c r="BYH93" s="15" t="n"/>
      <c r="BYI93" s="248" t="n"/>
      <c r="BYJ93" s="248" t="n"/>
      <c r="BYK93" s="240" t="n"/>
      <c r="BYL93" s="240" t="n"/>
      <c r="BYN93" s="15" t="n"/>
      <c r="BYO93" s="15" t="n"/>
      <c r="BYP93" s="248" t="n"/>
      <c r="BYQ93" s="248" t="n"/>
      <c r="BYR93" s="240" t="n"/>
      <c r="BYS93" s="240" t="n"/>
      <c r="BYU93" s="15" t="n"/>
      <c r="BYV93" s="15" t="n"/>
      <c r="BYW93" s="248" t="n"/>
      <c r="BYX93" s="248" t="n"/>
      <c r="BYY93" s="240" t="n"/>
      <c r="BYZ93" s="240" t="n"/>
      <c r="BZB93" s="15" t="n"/>
      <c r="BZC93" s="15" t="n"/>
      <c r="BZD93" s="248" t="n"/>
      <c r="BZE93" s="248" t="n"/>
      <c r="BZF93" s="240" t="n"/>
      <c r="BZG93" s="240" t="n"/>
      <c r="BZI93" s="15" t="n"/>
      <c r="BZJ93" s="15" t="n"/>
      <c r="BZK93" s="248" t="n"/>
      <c r="BZL93" s="248" t="n"/>
      <c r="BZM93" s="240" t="n"/>
      <c r="BZN93" s="240" t="n"/>
      <c r="BZP93" s="15" t="n"/>
      <c r="BZQ93" s="15" t="n"/>
      <c r="BZR93" s="248" t="n"/>
      <c r="BZS93" s="248" t="n"/>
      <c r="BZT93" s="240" t="n"/>
      <c r="BZU93" s="240" t="n"/>
      <c r="BZW93" s="15" t="n"/>
      <c r="BZX93" s="15" t="n"/>
      <c r="BZY93" s="248" t="n"/>
      <c r="BZZ93" s="248" t="n"/>
      <c r="CAA93" s="240" t="n"/>
      <c r="CAB93" s="240" t="n"/>
      <c r="CAD93" s="15" t="n"/>
      <c r="CAE93" s="15" t="n"/>
      <c r="CAF93" s="248" t="n"/>
      <c r="CAG93" s="248" t="n"/>
      <c r="CAH93" s="240" t="n"/>
      <c r="CAI93" s="240" t="n"/>
      <c r="CAK93" s="15" t="n"/>
      <c r="CAL93" s="15" t="n"/>
      <c r="CAM93" s="248" t="n"/>
      <c r="CAN93" s="248" t="n"/>
      <c r="CAO93" s="240" t="n"/>
      <c r="CAP93" s="240" t="n"/>
      <c r="CAR93" s="15" t="n"/>
      <c r="CAS93" s="15" t="n"/>
      <c r="CAT93" s="248" t="n"/>
      <c r="CAU93" s="248" t="n"/>
      <c r="CAV93" s="240" t="n"/>
      <c r="CAW93" s="240" t="n"/>
      <c r="CAY93" s="15" t="n"/>
      <c r="CAZ93" s="15" t="n"/>
      <c r="CBA93" s="248" t="n"/>
      <c r="CBB93" s="248" t="n"/>
      <c r="CBC93" s="240" t="n"/>
      <c r="CBD93" s="240" t="n"/>
      <c r="CBF93" s="15" t="n"/>
      <c r="CBG93" s="15" t="n"/>
      <c r="CBH93" s="248" t="n"/>
      <c r="CBI93" s="248" t="n"/>
      <c r="CBJ93" s="240" t="n"/>
      <c r="CBK93" s="240" t="n"/>
      <c r="CBM93" s="15" t="n"/>
      <c r="CBN93" s="15" t="n"/>
      <c r="CBO93" s="248" t="n"/>
      <c r="CBP93" s="248" t="n"/>
      <c r="CBQ93" s="240" t="n"/>
      <c r="CBR93" s="240" t="n"/>
      <c r="CBT93" s="15" t="n"/>
      <c r="CBU93" s="15" t="n"/>
      <c r="CBV93" s="248" t="n"/>
      <c r="CBW93" s="248" t="n"/>
      <c r="CBX93" s="240" t="n"/>
      <c r="CBY93" s="240" t="n"/>
      <c r="CCA93" s="15" t="n"/>
      <c r="CCB93" s="15" t="n"/>
      <c r="CCC93" s="248" t="n"/>
      <c r="CCD93" s="248" t="n"/>
      <c r="CCE93" s="240" t="n"/>
      <c r="CCF93" s="240" t="n"/>
      <c r="CCH93" s="15" t="n"/>
      <c r="CCI93" s="15" t="n"/>
      <c r="CCJ93" s="248" t="n"/>
      <c r="CCK93" s="248" t="n"/>
      <c r="CCL93" s="240" t="n"/>
      <c r="CCM93" s="240" t="n"/>
      <c r="CCO93" s="15" t="n"/>
      <c r="CCP93" s="15" t="n"/>
      <c r="CCQ93" s="248" t="n"/>
      <c r="CCR93" s="248" t="n"/>
      <c r="CCS93" s="240" t="n"/>
      <c r="CCT93" s="240" t="n"/>
      <c r="CCV93" s="15" t="n"/>
      <c r="CCW93" s="15" t="n"/>
      <c r="CCX93" s="248" t="n"/>
      <c r="CCY93" s="248" t="n"/>
      <c r="CCZ93" s="240" t="n"/>
      <c r="CDA93" s="240" t="n"/>
      <c r="CDC93" s="15" t="n"/>
      <c r="CDD93" s="15" t="n"/>
      <c r="CDE93" s="248" t="n"/>
      <c r="CDF93" s="248" t="n"/>
      <c r="CDG93" s="240" t="n"/>
      <c r="CDH93" s="240" t="n"/>
      <c r="CDJ93" s="15" t="n"/>
      <c r="CDK93" s="15" t="n"/>
      <c r="CDL93" s="248" t="n"/>
      <c r="CDM93" s="248" t="n"/>
      <c r="CDN93" s="240" t="n"/>
      <c r="CDO93" s="240" t="n"/>
      <c r="CDQ93" s="15" t="n"/>
      <c r="CDR93" s="15" t="n"/>
      <c r="CDS93" s="248" t="n"/>
      <c r="CDT93" s="248" t="n"/>
      <c r="CDU93" s="240" t="n"/>
      <c r="CDV93" s="240" t="n"/>
      <c r="CDX93" s="15" t="n"/>
      <c r="CDY93" s="15" t="n"/>
      <c r="CDZ93" s="248" t="n"/>
      <c r="CEA93" s="248" t="n"/>
      <c r="CEB93" s="240" t="n"/>
      <c r="CEC93" s="240" t="n"/>
      <c r="CEE93" s="15" t="n"/>
      <c r="CEF93" s="15" t="n"/>
      <c r="CEG93" s="248" t="n"/>
      <c r="CEH93" s="248" t="n"/>
      <c r="CEI93" s="240" t="n"/>
      <c r="CEJ93" s="240" t="n"/>
      <c r="CEL93" s="15" t="n"/>
      <c r="CEM93" s="15" t="n"/>
      <c r="CEN93" s="248" t="n"/>
      <c r="CEO93" s="248" t="n"/>
      <c r="CEP93" s="240" t="n"/>
      <c r="CEQ93" s="240" t="n"/>
      <c r="CES93" s="15" t="n"/>
      <c r="CET93" s="15" t="n"/>
      <c r="CEU93" s="248" t="n"/>
      <c r="CEV93" s="248" t="n"/>
      <c r="CEW93" s="240" t="n"/>
      <c r="CEX93" s="240" t="n"/>
      <c r="CEZ93" s="15" t="n"/>
      <c r="CFA93" s="15" t="n"/>
      <c r="CFB93" s="248" t="n"/>
      <c r="CFC93" s="248" t="n"/>
      <c r="CFD93" s="240" t="n"/>
      <c r="CFE93" s="240" t="n"/>
      <c r="CFG93" s="15" t="n"/>
      <c r="CFH93" s="15" t="n"/>
      <c r="CFI93" s="248" t="n"/>
      <c r="CFJ93" s="248" t="n"/>
      <c r="CFK93" s="240" t="n"/>
      <c r="CFL93" s="240" t="n"/>
      <c r="CFN93" s="15" t="n"/>
      <c r="CFO93" s="15" t="n"/>
      <c r="CFP93" s="248" t="n"/>
      <c r="CFQ93" s="248" t="n"/>
      <c r="CFR93" s="240" t="n"/>
      <c r="CFS93" s="240" t="n"/>
      <c r="CFU93" s="15" t="n"/>
      <c r="CFV93" s="15" t="n"/>
      <c r="CFW93" s="248" t="n"/>
      <c r="CFX93" s="248" t="n"/>
      <c r="CFY93" s="240" t="n"/>
      <c r="CFZ93" s="240" t="n"/>
      <c r="CGB93" s="15" t="n"/>
      <c r="CGC93" s="15" t="n"/>
      <c r="CGD93" s="248" t="n"/>
      <c r="CGE93" s="248" t="n"/>
      <c r="CGF93" s="240" t="n"/>
      <c r="CGG93" s="240" t="n"/>
      <c r="CGI93" s="15" t="n"/>
      <c r="CGJ93" s="15" t="n"/>
      <c r="CGK93" s="248" t="n"/>
      <c r="CGL93" s="248" t="n"/>
      <c r="CGM93" s="240" t="n"/>
      <c r="CGN93" s="240" t="n"/>
      <c r="CGP93" s="15" t="n"/>
      <c r="CGQ93" s="15" t="n"/>
      <c r="CGR93" s="248" t="n"/>
      <c r="CGS93" s="248" t="n"/>
      <c r="CGT93" s="240" t="n"/>
      <c r="CGU93" s="240" t="n"/>
      <c r="CGW93" s="15" t="n"/>
      <c r="CGX93" s="15" t="n"/>
      <c r="CGY93" s="248" t="n"/>
      <c r="CGZ93" s="248" t="n"/>
      <c r="CHA93" s="240" t="n"/>
      <c r="CHB93" s="240" t="n"/>
      <c r="CHD93" s="15" t="n"/>
      <c r="CHE93" s="15" t="n"/>
      <c r="CHF93" s="248" t="n"/>
      <c r="CHG93" s="248" t="n"/>
      <c r="CHH93" s="240" t="n"/>
      <c r="CHI93" s="240" t="n"/>
      <c r="CHK93" s="15" t="n"/>
      <c r="CHL93" s="15" t="n"/>
      <c r="CHM93" s="248" t="n"/>
      <c r="CHN93" s="248" t="n"/>
      <c r="CHO93" s="240" t="n"/>
      <c r="CHP93" s="240" t="n"/>
      <c r="CHR93" s="15" t="n"/>
      <c r="CHS93" s="15" t="n"/>
      <c r="CHT93" s="248" t="n"/>
      <c r="CHU93" s="248" t="n"/>
      <c r="CHV93" s="240" t="n"/>
      <c r="CHW93" s="240" t="n"/>
      <c r="CHY93" s="15" t="n"/>
      <c r="CHZ93" s="15" t="n"/>
      <c r="CIA93" s="248" t="n"/>
      <c r="CIB93" s="248" t="n"/>
      <c r="CIC93" s="240" t="n"/>
      <c r="CID93" s="240" t="n"/>
      <c r="CIF93" s="15" t="n"/>
      <c r="CIG93" s="15" t="n"/>
      <c r="CIH93" s="248" t="n"/>
      <c r="CII93" s="248" t="n"/>
      <c r="CIJ93" s="240" t="n"/>
      <c r="CIK93" s="240" t="n"/>
      <c r="CIM93" s="15" t="n"/>
      <c r="CIN93" s="15" t="n"/>
      <c r="CIO93" s="248" t="n"/>
      <c r="CIP93" s="248" t="n"/>
      <c r="CIQ93" s="240" t="n"/>
      <c r="CIR93" s="240" t="n"/>
      <c r="CIT93" s="15" t="n"/>
      <c r="CIU93" s="15" t="n"/>
      <c r="CIV93" s="248" t="n"/>
      <c r="CIW93" s="248" t="n"/>
      <c r="CIX93" s="240" t="n"/>
      <c r="CIY93" s="240" t="n"/>
      <c r="CJA93" s="15" t="n"/>
      <c r="CJB93" s="15" t="n"/>
      <c r="CJC93" s="248" t="n"/>
      <c r="CJD93" s="248" t="n"/>
      <c r="CJE93" s="240" t="n"/>
      <c r="CJF93" s="240" t="n"/>
      <c r="CJH93" s="15" t="n"/>
      <c r="CJI93" s="15" t="n"/>
      <c r="CJJ93" s="248" t="n"/>
      <c r="CJK93" s="248" t="n"/>
      <c r="CJL93" s="240" t="n"/>
      <c r="CJM93" s="240" t="n"/>
      <c r="CJO93" s="15" t="n"/>
      <c r="CJP93" s="15" t="n"/>
      <c r="CJQ93" s="248" t="n"/>
      <c r="CJR93" s="248" t="n"/>
      <c r="CJS93" s="240" t="n"/>
      <c r="CJT93" s="240" t="n"/>
      <c r="CJV93" s="15" t="n"/>
      <c r="CJW93" s="15" t="n"/>
      <c r="CJX93" s="248" t="n"/>
      <c r="CJY93" s="248" t="n"/>
      <c r="CJZ93" s="240" t="n"/>
      <c r="CKA93" s="240" t="n"/>
      <c r="CKC93" s="15" t="n"/>
      <c r="CKD93" s="15" t="n"/>
      <c r="CKE93" s="248" t="n"/>
      <c r="CKF93" s="248" t="n"/>
      <c r="CKG93" s="240" t="n"/>
      <c r="CKH93" s="240" t="n"/>
      <c r="CKJ93" s="15" t="n"/>
      <c r="CKK93" s="15" t="n"/>
      <c r="CKL93" s="248" t="n"/>
      <c r="CKM93" s="248" t="n"/>
      <c r="CKN93" s="240" t="n"/>
      <c r="CKO93" s="240" t="n"/>
      <c r="CKQ93" s="15" t="n"/>
      <c r="CKR93" s="15" t="n"/>
      <c r="CKS93" s="248" t="n"/>
      <c r="CKT93" s="248" t="n"/>
      <c r="CKU93" s="240" t="n"/>
      <c r="CKV93" s="240" t="n"/>
      <c r="CKX93" s="15" t="n"/>
      <c r="CKY93" s="15" t="n"/>
      <c r="CKZ93" s="248" t="n"/>
      <c r="CLA93" s="248" t="n"/>
      <c r="CLB93" s="240" t="n"/>
      <c r="CLC93" s="240" t="n"/>
      <c r="CLE93" s="15" t="n"/>
      <c r="CLF93" s="15" t="n"/>
      <c r="CLG93" s="248" t="n"/>
      <c r="CLH93" s="248" t="n"/>
      <c r="CLI93" s="240" t="n"/>
      <c r="CLJ93" s="240" t="n"/>
      <c r="CLL93" s="15" t="n"/>
      <c r="CLM93" s="15" t="n"/>
      <c r="CLN93" s="248" t="n"/>
      <c r="CLO93" s="248" t="n"/>
      <c r="CLP93" s="240" t="n"/>
      <c r="CLQ93" s="240" t="n"/>
      <c r="CLS93" s="15" t="n"/>
      <c r="CLT93" s="15" t="n"/>
      <c r="CLU93" s="248" t="n"/>
      <c r="CLV93" s="248" t="n"/>
      <c r="CLW93" s="240" t="n"/>
      <c r="CLX93" s="240" t="n"/>
      <c r="CLZ93" s="15" t="n"/>
      <c r="CMA93" s="15" t="n"/>
      <c r="CMB93" s="248" t="n"/>
      <c r="CMC93" s="248" t="n"/>
      <c r="CMD93" s="240" t="n"/>
      <c r="CME93" s="240" t="n"/>
      <c r="CMG93" s="15" t="n"/>
      <c r="CMH93" s="15" t="n"/>
      <c r="CMI93" s="248" t="n"/>
      <c r="CMJ93" s="248" t="n"/>
      <c r="CMK93" s="240" t="n"/>
      <c r="CML93" s="240" t="n"/>
      <c r="CMN93" s="15" t="n"/>
      <c r="CMO93" s="15" t="n"/>
      <c r="CMP93" s="248" t="n"/>
      <c r="CMQ93" s="248" t="n"/>
      <c r="CMR93" s="240" t="n"/>
      <c r="CMS93" s="240" t="n"/>
      <c r="CMU93" s="15" t="n"/>
      <c r="CMV93" s="15" t="n"/>
      <c r="CMW93" s="248" t="n"/>
      <c r="CMX93" s="248" t="n"/>
      <c r="CMY93" s="240" t="n"/>
      <c r="CMZ93" s="240" t="n"/>
      <c r="CNB93" s="15" t="n"/>
      <c r="CNC93" s="15" t="n"/>
      <c r="CND93" s="248" t="n"/>
      <c r="CNE93" s="248" t="n"/>
      <c r="CNF93" s="240" t="n"/>
      <c r="CNG93" s="240" t="n"/>
      <c r="CNI93" s="15" t="n"/>
      <c r="CNJ93" s="15" t="n"/>
      <c r="CNK93" s="248" t="n"/>
      <c r="CNL93" s="248" t="n"/>
      <c r="CNM93" s="240" t="n"/>
      <c r="CNN93" s="240" t="n"/>
      <c r="CNP93" s="15" t="n"/>
      <c r="CNQ93" s="15" t="n"/>
      <c r="CNR93" s="248" t="n"/>
      <c r="CNS93" s="248" t="n"/>
      <c r="CNT93" s="240" t="n"/>
      <c r="CNU93" s="240" t="n"/>
      <c r="CNW93" s="15" t="n"/>
      <c r="CNX93" s="15" t="n"/>
      <c r="CNY93" s="248" t="n"/>
      <c r="CNZ93" s="248" t="n"/>
      <c r="COA93" s="240" t="n"/>
      <c r="COB93" s="240" t="n"/>
      <c r="COD93" s="15" t="n"/>
      <c r="COE93" s="15" t="n"/>
      <c r="COF93" s="248" t="n"/>
      <c r="COG93" s="248" t="n"/>
      <c r="COH93" s="240" t="n"/>
      <c r="COI93" s="240" t="n"/>
      <c r="COK93" s="15" t="n"/>
      <c r="COL93" s="15" t="n"/>
      <c r="COM93" s="248" t="n"/>
      <c r="CON93" s="248" t="n"/>
      <c r="COO93" s="240" t="n"/>
      <c r="COP93" s="240" t="n"/>
      <c r="COR93" s="15" t="n"/>
      <c r="COS93" s="15" t="n"/>
      <c r="COT93" s="248" t="n"/>
      <c r="COU93" s="248" t="n"/>
      <c r="COV93" s="240" t="n"/>
      <c r="COW93" s="240" t="n"/>
      <c r="COY93" s="15" t="n"/>
      <c r="COZ93" s="15" t="n"/>
      <c r="CPA93" s="248" t="n"/>
      <c r="CPB93" s="248" t="n"/>
      <c r="CPC93" s="240" t="n"/>
      <c r="CPD93" s="240" t="n"/>
      <c r="CPF93" s="15" t="n"/>
      <c r="CPG93" s="15" t="n"/>
      <c r="CPH93" s="248" t="n"/>
      <c r="CPI93" s="248" t="n"/>
      <c r="CPJ93" s="240" t="n"/>
      <c r="CPK93" s="240" t="n"/>
      <c r="CPM93" s="15" t="n"/>
      <c r="CPN93" s="15" t="n"/>
      <c r="CPO93" s="248" t="n"/>
      <c r="CPP93" s="248" t="n"/>
      <c r="CPQ93" s="240" t="n"/>
      <c r="CPR93" s="240" t="n"/>
      <c r="CPT93" s="15" t="n"/>
      <c r="CPU93" s="15" t="n"/>
      <c r="CPV93" s="248" t="n"/>
      <c r="CPW93" s="248" t="n"/>
      <c r="CPX93" s="240" t="n"/>
      <c r="CPY93" s="240" t="n"/>
      <c r="CQA93" s="15" t="n"/>
      <c r="CQB93" s="15" t="n"/>
      <c r="CQC93" s="248" t="n"/>
      <c r="CQD93" s="248" t="n"/>
      <c r="CQE93" s="240" t="n"/>
      <c r="CQF93" s="240" t="n"/>
      <c r="CQH93" s="15" t="n"/>
      <c r="CQI93" s="15" t="n"/>
      <c r="CQJ93" s="248" t="n"/>
      <c r="CQK93" s="248" t="n"/>
      <c r="CQL93" s="240" t="n"/>
      <c r="CQM93" s="240" t="n"/>
      <c r="CQO93" s="15" t="n"/>
      <c r="CQP93" s="15" t="n"/>
      <c r="CQQ93" s="248" t="n"/>
      <c r="CQR93" s="248" t="n"/>
      <c r="CQS93" s="240" t="n"/>
      <c r="CQT93" s="240" t="n"/>
      <c r="CQV93" s="15" t="n"/>
      <c r="CQW93" s="15" t="n"/>
      <c r="CQX93" s="248" t="n"/>
      <c r="CQY93" s="248" t="n"/>
      <c r="CQZ93" s="240" t="n"/>
      <c r="CRA93" s="240" t="n"/>
      <c r="CRC93" s="15" t="n"/>
      <c r="CRD93" s="15" t="n"/>
      <c r="CRE93" s="248" t="n"/>
      <c r="CRF93" s="248" t="n"/>
      <c r="CRG93" s="240" t="n"/>
      <c r="CRH93" s="240" t="n"/>
      <c r="CRJ93" s="15" t="n"/>
      <c r="CRK93" s="15" t="n"/>
      <c r="CRL93" s="248" t="n"/>
      <c r="CRM93" s="248" t="n"/>
      <c r="CRN93" s="240" t="n"/>
      <c r="CRO93" s="240" t="n"/>
      <c r="CRQ93" s="15" t="n"/>
      <c r="CRR93" s="15" t="n"/>
      <c r="CRS93" s="248" t="n"/>
      <c r="CRT93" s="248" t="n"/>
      <c r="CRU93" s="240" t="n"/>
      <c r="CRV93" s="240" t="n"/>
      <c r="CRX93" s="15" t="n"/>
      <c r="CRY93" s="15" t="n"/>
      <c r="CRZ93" s="248" t="n"/>
      <c r="CSA93" s="248" t="n"/>
      <c r="CSB93" s="240" t="n"/>
      <c r="CSC93" s="240" t="n"/>
      <c r="CSE93" s="15" t="n"/>
      <c r="CSF93" s="15" t="n"/>
      <c r="CSG93" s="248" t="n"/>
      <c r="CSH93" s="248" t="n"/>
      <c r="CSI93" s="240" t="n"/>
      <c r="CSJ93" s="240" t="n"/>
      <c r="CSL93" s="15" t="n"/>
      <c r="CSM93" s="15" t="n"/>
      <c r="CSN93" s="248" t="n"/>
      <c r="CSO93" s="248" t="n"/>
      <c r="CSP93" s="240" t="n"/>
      <c r="CSQ93" s="240" t="n"/>
      <c r="CSS93" s="15" t="n"/>
      <c r="CST93" s="15" t="n"/>
      <c r="CSU93" s="248" t="n"/>
      <c r="CSV93" s="248" t="n"/>
      <c r="CSW93" s="240" t="n"/>
      <c r="CSX93" s="240" t="n"/>
      <c r="CSZ93" s="15" t="n"/>
      <c r="CTA93" s="15" t="n"/>
      <c r="CTB93" s="248" t="n"/>
      <c r="CTC93" s="248" t="n"/>
      <c r="CTD93" s="240" t="n"/>
      <c r="CTE93" s="240" t="n"/>
      <c r="CTG93" s="15" t="n"/>
      <c r="CTH93" s="15" t="n"/>
      <c r="CTI93" s="248" t="n"/>
      <c r="CTJ93" s="248" t="n"/>
      <c r="CTK93" s="240" t="n"/>
      <c r="CTL93" s="240" t="n"/>
      <c r="CTN93" s="15" t="n"/>
      <c r="CTO93" s="15" t="n"/>
      <c r="CTP93" s="248" t="n"/>
      <c r="CTQ93" s="248" t="n"/>
      <c r="CTR93" s="240" t="n"/>
      <c r="CTS93" s="240" t="n"/>
      <c r="CTU93" s="15" t="n"/>
      <c r="CTV93" s="15" t="n"/>
      <c r="CTW93" s="248" t="n"/>
      <c r="CTX93" s="248" t="n"/>
      <c r="CTY93" s="240" t="n"/>
      <c r="CTZ93" s="240" t="n"/>
      <c r="CUB93" s="15" t="n"/>
      <c r="CUC93" s="15" t="n"/>
      <c r="CUD93" s="248" t="n"/>
      <c r="CUE93" s="248" t="n"/>
      <c r="CUF93" s="240" t="n"/>
      <c r="CUG93" s="240" t="n"/>
      <c r="CUI93" s="15" t="n"/>
      <c r="CUJ93" s="15" t="n"/>
      <c r="CUK93" s="248" t="n"/>
      <c r="CUL93" s="248" t="n"/>
      <c r="CUM93" s="240" t="n"/>
      <c r="CUN93" s="240" t="n"/>
      <c r="CUP93" s="15" t="n"/>
      <c r="CUQ93" s="15" t="n"/>
      <c r="CUR93" s="248" t="n"/>
      <c r="CUS93" s="248" t="n"/>
      <c r="CUT93" s="240" t="n"/>
      <c r="CUU93" s="240" t="n"/>
      <c r="CUW93" s="15" t="n"/>
      <c r="CUX93" s="15" t="n"/>
      <c r="CUY93" s="248" t="n"/>
      <c r="CUZ93" s="248" t="n"/>
      <c r="CVA93" s="240" t="n"/>
      <c r="CVB93" s="240" t="n"/>
      <c r="CVD93" s="15" t="n"/>
      <c r="CVE93" s="15" t="n"/>
      <c r="CVF93" s="248" t="n"/>
      <c r="CVG93" s="248" t="n"/>
      <c r="CVH93" s="240" t="n"/>
      <c r="CVI93" s="240" t="n"/>
      <c r="CVK93" s="15" t="n"/>
      <c r="CVL93" s="15" t="n"/>
      <c r="CVM93" s="248" t="n"/>
      <c r="CVN93" s="248" t="n"/>
      <c r="CVO93" s="240" t="n"/>
      <c r="CVP93" s="240" t="n"/>
      <c r="CVR93" s="15" t="n"/>
      <c r="CVS93" s="15" t="n"/>
      <c r="CVT93" s="248" t="n"/>
      <c r="CVU93" s="248" t="n"/>
      <c r="CVV93" s="240" t="n"/>
      <c r="CVW93" s="240" t="n"/>
      <c r="CVY93" s="15" t="n"/>
      <c r="CVZ93" s="15" t="n"/>
      <c r="CWA93" s="248" t="n"/>
      <c r="CWB93" s="248" t="n"/>
      <c r="CWC93" s="240" t="n"/>
      <c r="CWD93" s="240" t="n"/>
      <c r="CWF93" s="15" t="n"/>
      <c r="CWG93" s="15" t="n"/>
      <c r="CWH93" s="248" t="n"/>
      <c r="CWI93" s="248" t="n"/>
      <c r="CWJ93" s="240" t="n"/>
      <c r="CWK93" s="240" t="n"/>
      <c r="CWM93" s="15" t="n"/>
      <c r="CWN93" s="15" t="n"/>
      <c r="CWO93" s="248" t="n"/>
      <c r="CWP93" s="248" t="n"/>
      <c r="CWQ93" s="240" t="n"/>
      <c r="CWR93" s="240" t="n"/>
      <c r="CWT93" s="15" t="n"/>
      <c r="CWU93" s="15" t="n"/>
      <c r="CWV93" s="248" t="n"/>
      <c r="CWW93" s="248" t="n"/>
      <c r="CWX93" s="240" t="n"/>
      <c r="CWY93" s="240" t="n"/>
      <c r="CXA93" s="15" t="n"/>
      <c r="CXB93" s="15" t="n"/>
      <c r="CXC93" s="248" t="n"/>
      <c r="CXD93" s="248" t="n"/>
      <c r="CXE93" s="240" t="n"/>
      <c r="CXF93" s="240" t="n"/>
      <c r="CXH93" s="15" t="n"/>
      <c r="CXI93" s="15" t="n"/>
      <c r="CXJ93" s="248" t="n"/>
      <c r="CXK93" s="248" t="n"/>
      <c r="CXL93" s="240" t="n"/>
      <c r="CXM93" s="240" t="n"/>
      <c r="CXO93" s="15" t="n"/>
      <c r="CXP93" s="15" t="n"/>
      <c r="CXQ93" s="248" t="n"/>
      <c r="CXR93" s="248" t="n"/>
      <c r="CXS93" s="240" t="n"/>
      <c r="CXT93" s="240" t="n"/>
      <c r="CXV93" s="15" t="n"/>
      <c r="CXW93" s="15" t="n"/>
      <c r="CXX93" s="248" t="n"/>
      <c r="CXY93" s="248" t="n"/>
      <c r="CXZ93" s="240" t="n"/>
      <c r="CYA93" s="240" t="n"/>
      <c r="CYC93" s="15" t="n"/>
      <c r="CYD93" s="15" t="n"/>
      <c r="CYE93" s="248" t="n"/>
      <c r="CYF93" s="248" t="n"/>
      <c r="CYG93" s="240" t="n"/>
      <c r="CYH93" s="240" t="n"/>
      <c r="CYJ93" s="15" t="n"/>
      <c r="CYK93" s="15" t="n"/>
      <c r="CYL93" s="248" t="n"/>
      <c r="CYM93" s="248" t="n"/>
      <c r="CYN93" s="240" t="n"/>
      <c r="CYO93" s="240" t="n"/>
      <c r="CYQ93" s="15" t="n"/>
      <c r="CYR93" s="15" t="n"/>
      <c r="CYS93" s="248" t="n"/>
      <c r="CYT93" s="248" t="n"/>
      <c r="CYU93" s="240" t="n"/>
      <c r="CYV93" s="240" t="n"/>
      <c r="CYX93" s="15" t="n"/>
      <c r="CYY93" s="15" t="n"/>
      <c r="CYZ93" s="248" t="n"/>
      <c r="CZA93" s="248" t="n"/>
      <c r="CZB93" s="240" t="n"/>
      <c r="CZC93" s="240" t="n"/>
      <c r="CZE93" s="15" t="n"/>
      <c r="CZF93" s="15" t="n"/>
      <c r="CZG93" s="248" t="n"/>
      <c r="CZH93" s="248" t="n"/>
      <c r="CZI93" s="240" t="n"/>
      <c r="CZJ93" s="240" t="n"/>
      <c r="CZL93" s="15" t="n"/>
      <c r="CZM93" s="15" t="n"/>
      <c r="CZN93" s="248" t="n"/>
      <c r="CZO93" s="248" t="n"/>
      <c r="CZP93" s="240" t="n"/>
      <c r="CZQ93" s="240" t="n"/>
      <c r="CZS93" s="15" t="n"/>
      <c r="CZT93" s="15" t="n"/>
      <c r="CZU93" s="248" t="n"/>
      <c r="CZV93" s="248" t="n"/>
      <c r="CZW93" s="240" t="n"/>
      <c r="CZX93" s="240" t="n"/>
      <c r="CZZ93" s="15" t="n"/>
      <c r="DAA93" s="15" t="n"/>
      <c r="DAB93" s="248" t="n"/>
      <c r="DAC93" s="248" t="n"/>
      <c r="DAD93" s="240" t="n"/>
      <c r="DAE93" s="240" t="n"/>
      <c r="DAG93" s="15" t="n"/>
      <c r="DAH93" s="15" t="n"/>
      <c r="DAI93" s="248" t="n"/>
      <c r="DAJ93" s="248" t="n"/>
      <c r="DAK93" s="240" t="n"/>
      <c r="DAL93" s="240" t="n"/>
      <c r="DAN93" s="15" t="n"/>
      <c r="DAO93" s="15" t="n"/>
      <c r="DAP93" s="248" t="n"/>
      <c r="DAQ93" s="248" t="n"/>
      <c r="DAR93" s="240" t="n"/>
      <c r="DAS93" s="240" t="n"/>
      <c r="DAU93" s="15" t="n"/>
      <c r="DAV93" s="15" t="n"/>
      <c r="DAW93" s="248" t="n"/>
      <c r="DAX93" s="248" t="n"/>
      <c r="DAY93" s="240" t="n"/>
      <c r="DAZ93" s="240" t="n"/>
      <c r="DBB93" s="15" t="n"/>
      <c r="DBC93" s="15" t="n"/>
      <c r="DBD93" s="248" t="n"/>
      <c r="DBE93" s="248" t="n"/>
      <c r="DBF93" s="240" t="n"/>
      <c r="DBG93" s="240" t="n"/>
      <c r="DBI93" s="15" t="n"/>
      <c r="DBJ93" s="15" t="n"/>
      <c r="DBK93" s="248" t="n"/>
      <c r="DBL93" s="248" t="n"/>
      <c r="DBM93" s="240" t="n"/>
      <c r="DBN93" s="240" t="n"/>
      <c r="DBP93" s="15" t="n"/>
      <c r="DBQ93" s="15" t="n"/>
      <c r="DBR93" s="248" t="n"/>
      <c r="DBS93" s="248" t="n"/>
      <c r="DBT93" s="240" t="n"/>
      <c r="DBU93" s="240" t="n"/>
      <c r="DBW93" s="15" t="n"/>
      <c r="DBX93" s="15" t="n"/>
      <c r="DBY93" s="248" t="n"/>
      <c r="DBZ93" s="248" t="n"/>
      <c r="DCA93" s="240" t="n"/>
      <c r="DCB93" s="240" t="n"/>
      <c r="DCD93" s="15" t="n"/>
      <c r="DCE93" s="15" t="n"/>
      <c r="DCF93" s="248" t="n"/>
      <c r="DCG93" s="248" t="n"/>
      <c r="DCH93" s="240" t="n"/>
      <c r="DCI93" s="240" t="n"/>
      <c r="DCK93" s="15" t="n"/>
      <c r="DCL93" s="15" t="n"/>
      <c r="DCM93" s="248" t="n"/>
      <c r="DCN93" s="248" t="n"/>
      <c r="DCO93" s="240" t="n"/>
      <c r="DCP93" s="240" t="n"/>
      <c r="DCR93" s="15" t="n"/>
      <c r="DCS93" s="15" t="n"/>
      <c r="DCT93" s="248" t="n"/>
      <c r="DCU93" s="248" t="n"/>
      <c r="DCV93" s="240" t="n"/>
      <c r="DCW93" s="240" t="n"/>
      <c r="DCY93" s="15" t="n"/>
      <c r="DCZ93" s="15" t="n"/>
      <c r="DDA93" s="248" t="n"/>
      <c r="DDB93" s="248" t="n"/>
      <c r="DDC93" s="240" t="n"/>
      <c r="DDD93" s="240" t="n"/>
      <c r="DDF93" s="15" t="n"/>
      <c r="DDG93" s="15" t="n"/>
      <c r="DDH93" s="248" t="n"/>
      <c r="DDI93" s="248" t="n"/>
      <c r="DDJ93" s="240" t="n"/>
      <c r="DDK93" s="240" t="n"/>
      <c r="DDM93" s="15" t="n"/>
      <c r="DDN93" s="15" t="n"/>
      <c r="DDO93" s="248" t="n"/>
      <c r="DDP93" s="248" t="n"/>
      <c r="DDQ93" s="240" t="n"/>
      <c r="DDR93" s="240" t="n"/>
      <c r="DDT93" s="15" t="n"/>
      <c r="DDU93" s="15" t="n"/>
      <c r="DDV93" s="248" t="n"/>
      <c r="DDW93" s="248" t="n"/>
      <c r="DDX93" s="240" t="n"/>
      <c r="DDY93" s="240" t="n"/>
      <c r="DEA93" s="15" t="n"/>
      <c r="DEB93" s="15" t="n"/>
      <c r="DEC93" s="248" t="n"/>
      <c r="DED93" s="248" t="n"/>
      <c r="DEE93" s="240" t="n"/>
      <c r="DEF93" s="240" t="n"/>
      <c r="DEH93" s="15" t="n"/>
      <c r="DEI93" s="15" t="n"/>
      <c r="DEJ93" s="248" t="n"/>
      <c r="DEK93" s="248" t="n"/>
      <c r="DEL93" s="240" t="n"/>
      <c r="DEM93" s="240" t="n"/>
      <c r="DEO93" s="15" t="n"/>
      <c r="DEP93" s="15" t="n"/>
      <c r="DEQ93" s="248" t="n"/>
      <c r="DER93" s="248" t="n"/>
      <c r="DES93" s="240" t="n"/>
      <c r="DET93" s="240" t="n"/>
      <c r="DEV93" s="15" t="n"/>
      <c r="DEW93" s="15" t="n"/>
      <c r="DEX93" s="248" t="n"/>
      <c r="DEY93" s="248" t="n"/>
      <c r="DEZ93" s="240" t="n"/>
      <c r="DFA93" s="240" t="n"/>
      <c r="DFC93" s="15" t="n"/>
      <c r="DFD93" s="15" t="n"/>
      <c r="DFE93" s="248" t="n"/>
      <c r="DFF93" s="248" t="n"/>
      <c r="DFG93" s="240" t="n"/>
      <c r="DFH93" s="240" t="n"/>
      <c r="DFJ93" s="15" t="n"/>
      <c r="DFK93" s="15" t="n"/>
      <c r="DFL93" s="248" t="n"/>
      <c r="DFM93" s="248" t="n"/>
      <c r="DFN93" s="240" t="n"/>
      <c r="DFO93" s="240" t="n"/>
      <c r="DFQ93" s="15" t="n"/>
      <c r="DFR93" s="15" t="n"/>
      <c r="DFS93" s="248" t="n"/>
      <c r="DFT93" s="248" t="n"/>
      <c r="DFU93" s="240" t="n"/>
      <c r="DFV93" s="240" t="n"/>
      <c r="DFX93" s="15" t="n"/>
      <c r="DFY93" s="15" t="n"/>
      <c r="DFZ93" s="248" t="n"/>
      <c r="DGA93" s="248" t="n"/>
      <c r="DGB93" s="240" t="n"/>
      <c r="DGC93" s="240" t="n"/>
      <c r="DGE93" s="15" t="n"/>
      <c r="DGF93" s="15" t="n"/>
      <c r="DGG93" s="248" t="n"/>
      <c r="DGH93" s="248" t="n"/>
      <c r="DGI93" s="240" t="n"/>
      <c r="DGJ93" s="240" t="n"/>
      <c r="DGL93" s="15" t="n"/>
      <c r="DGM93" s="15" t="n"/>
      <c r="DGN93" s="248" t="n"/>
      <c r="DGO93" s="248" t="n"/>
      <c r="DGP93" s="240" t="n"/>
      <c r="DGQ93" s="240" t="n"/>
      <c r="DGS93" s="15" t="n"/>
      <c r="DGT93" s="15" t="n"/>
      <c r="DGU93" s="248" t="n"/>
      <c r="DGV93" s="248" t="n"/>
      <c r="DGW93" s="240" t="n"/>
      <c r="DGX93" s="240" t="n"/>
      <c r="DGZ93" s="15" t="n"/>
      <c r="DHA93" s="15" t="n"/>
      <c r="DHB93" s="248" t="n"/>
      <c r="DHC93" s="248" t="n"/>
      <c r="DHD93" s="240" t="n"/>
      <c r="DHE93" s="240" t="n"/>
      <c r="DHG93" s="15" t="n"/>
      <c r="DHH93" s="15" t="n"/>
      <c r="DHI93" s="248" t="n"/>
      <c r="DHJ93" s="248" t="n"/>
      <c r="DHK93" s="240" t="n"/>
      <c r="DHL93" s="240" t="n"/>
      <c r="DHN93" s="15" t="n"/>
      <c r="DHO93" s="15" t="n"/>
      <c r="DHP93" s="248" t="n"/>
      <c r="DHQ93" s="248" t="n"/>
      <c r="DHR93" s="240" t="n"/>
      <c r="DHS93" s="240" t="n"/>
      <c r="DHU93" s="15" t="n"/>
      <c r="DHV93" s="15" t="n"/>
      <c r="DHW93" s="248" t="n"/>
      <c r="DHX93" s="248" t="n"/>
      <c r="DHY93" s="240" t="n"/>
      <c r="DHZ93" s="240" t="n"/>
      <c r="DIB93" s="15" t="n"/>
      <c r="DIC93" s="15" t="n"/>
      <c r="DID93" s="248" t="n"/>
      <c r="DIE93" s="248" t="n"/>
      <c r="DIF93" s="240" t="n"/>
      <c r="DIG93" s="240" t="n"/>
      <c r="DII93" s="15" t="n"/>
      <c r="DIJ93" s="15" t="n"/>
      <c r="DIK93" s="248" t="n"/>
      <c r="DIL93" s="248" t="n"/>
      <c r="DIM93" s="240" t="n"/>
      <c r="DIN93" s="240" t="n"/>
      <c r="DIP93" s="15" t="n"/>
      <c r="DIQ93" s="15" t="n"/>
      <c r="DIR93" s="248" t="n"/>
      <c r="DIS93" s="248" t="n"/>
      <c r="DIT93" s="240" t="n"/>
      <c r="DIU93" s="240" t="n"/>
      <c r="DIW93" s="15" t="n"/>
      <c r="DIX93" s="15" t="n"/>
      <c r="DIY93" s="248" t="n"/>
      <c r="DIZ93" s="248" t="n"/>
      <c r="DJA93" s="240" t="n"/>
      <c r="DJB93" s="240" t="n"/>
      <c r="DJD93" s="15" t="n"/>
      <c r="DJE93" s="15" t="n"/>
      <c r="DJF93" s="248" t="n"/>
      <c r="DJG93" s="248" t="n"/>
      <c r="DJH93" s="240" t="n"/>
      <c r="DJI93" s="240" t="n"/>
      <c r="DJK93" s="15" t="n"/>
      <c r="DJL93" s="15" t="n"/>
      <c r="DJM93" s="248" t="n"/>
      <c r="DJN93" s="248" t="n"/>
      <c r="DJO93" s="240" t="n"/>
      <c r="DJP93" s="240" t="n"/>
      <c r="DJR93" s="15" t="n"/>
      <c r="DJS93" s="15" t="n"/>
      <c r="DJT93" s="248" t="n"/>
      <c r="DJU93" s="248" t="n"/>
      <c r="DJV93" s="240" t="n"/>
      <c r="DJW93" s="240" t="n"/>
      <c r="DJY93" s="15" t="n"/>
      <c r="DJZ93" s="15" t="n"/>
      <c r="DKA93" s="248" t="n"/>
      <c r="DKB93" s="248" t="n"/>
      <c r="DKC93" s="240" t="n"/>
      <c r="DKD93" s="240" t="n"/>
      <c r="DKF93" s="15" t="n"/>
      <c r="DKG93" s="15" t="n"/>
      <c r="DKH93" s="248" t="n"/>
      <c r="DKI93" s="248" t="n"/>
      <c r="DKJ93" s="240" t="n"/>
      <c r="DKK93" s="240" t="n"/>
      <c r="DKM93" s="15" t="n"/>
      <c r="DKN93" s="15" t="n"/>
      <c r="DKO93" s="248" t="n"/>
      <c r="DKP93" s="248" t="n"/>
      <c r="DKQ93" s="240" t="n"/>
      <c r="DKR93" s="240" t="n"/>
      <c r="DKT93" s="15" t="n"/>
      <c r="DKU93" s="15" t="n"/>
      <c r="DKV93" s="248" t="n"/>
      <c r="DKW93" s="248" t="n"/>
      <c r="DKX93" s="240" t="n"/>
      <c r="DKY93" s="240" t="n"/>
      <c r="DLA93" s="15" t="n"/>
      <c r="DLB93" s="15" t="n"/>
      <c r="DLC93" s="248" t="n"/>
      <c r="DLD93" s="248" t="n"/>
      <c r="DLE93" s="240" t="n"/>
      <c r="DLF93" s="240" t="n"/>
      <c r="DLH93" s="15" t="n"/>
      <c r="DLI93" s="15" t="n"/>
      <c r="DLJ93" s="248" t="n"/>
      <c r="DLK93" s="248" t="n"/>
      <c r="DLL93" s="240" t="n"/>
      <c r="DLM93" s="240" t="n"/>
      <c r="DLO93" s="15" t="n"/>
      <c r="DLP93" s="15" t="n"/>
      <c r="DLQ93" s="248" t="n"/>
      <c r="DLR93" s="248" t="n"/>
      <c r="DLS93" s="240" t="n"/>
      <c r="DLT93" s="240" t="n"/>
      <c r="DLV93" s="15" t="n"/>
      <c r="DLW93" s="15" t="n"/>
      <c r="DLX93" s="248" t="n"/>
      <c r="DLY93" s="248" t="n"/>
      <c r="DLZ93" s="240" t="n"/>
      <c r="DMA93" s="240" t="n"/>
      <c r="DMC93" s="15" t="n"/>
      <c r="DMD93" s="15" t="n"/>
      <c r="DME93" s="248" t="n"/>
      <c r="DMF93" s="248" t="n"/>
      <c r="DMG93" s="240" t="n"/>
      <c r="DMH93" s="240" t="n"/>
      <c r="DMJ93" s="15" t="n"/>
      <c r="DMK93" s="15" t="n"/>
      <c r="DML93" s="248" t="n"/>
      <c r="DMM93" s="248" t="n"/>
      <c r="DMN93" s="240" t="n"/>
      <c r="DMO93" s="240" t="n"/>
      <c r="DMQ93" s="15" t="n"/>
      <c r="DMR93" s="15" t="n"/>
      <c r="DMS93" s="248" t="n"/>
      <c r="DMT93" s="248" t="n"/>
      <c r="DMU93" s="240" t="n"/>
      <c r="DMV93" s="240" t="n"/>
      <c r="DMX93" s="15" t="n"/>
      <c r="DMY93" s="15" t="n"/>
      <c r="DMZ93" s="248" t="n"/>
      <c r="DNA93" s="248" t="n"/>
      <c r="DNB93" s="240" t="n"/>
      <c r="DNC93" s="240" t="n"/>
      <c r="DNE93" s="15" t="n"/>
      <c r="DNF93" s="15" t="n"/>
      <c r="DNG93" s="248" t="n"/>
      <c r="DNH93" s="248" t="n"/>
      <c r="DNI93" s="240" t="n"/>
      <c r="DNJ93" s="240" t="n"/>
      <c r="DNL93" s="15" t="n"/>
      <c r="DNM93" s="15" t="n"/>
      <c r="DNN93" s="248" t="n"/>
      <c r="DNO93" s="248" t="n"/>
      <c r="DNP93" s="240" t="n"/>
      <c r="DNQ93" s="240" t="n"/>
      <c r="DNS93" s="15" t="n"/>
      <c r="DNT93" s="15" t="n"/>
      <c r="DNU93" s="248" t="n"/>
      <c r="DNV93" s="248" t="n"/>
      <c r="DNW93" s="240" t="n"/>
      <c r="DNX93" s="240" t="n"/>
      <c r="DNZ93" s="15" t="n"/>
      <c r="DOA93" s="15" t="n"/>
      <c r="DOB93" s="248" t="n"/>
      <c r="DOC93" s="248" t="n"/>
      <c r="DOD93" s="240" t="n"/>
      <c r="DOE93" s="240" t="n"/>
      <c r="DOG93" s="15" t="n"/>
      <c r="DOH93" s="15" t="n"/>
      <c r="DOI93" s="248" t="n"/>
      <c r="DOJ93" s="248" t="n"/>
      <c r="DOK93" s="240" t="n"/>
      <c r="DOL93" s="240" t="n"/>
      <c r="DON93" s="15" t="n"/>
      <c r="DOO93" s="15" t="n"/>
      <c r="DOP93" s="248" t="n"/>
      <c r="DOQ93" s="248" t="n"/>
      <c r="DOR93" s="240" t="n"/>
      <c r="DOS93" s="240" t="n"/>
      <c r="DOU93" s="15" t="n"/>
      <c r="DOV93" s="15" t="n"/>
      <c r="DOW93" s="248" t="n"/>
      <c r="DOX93" s="248" t="n"/>
      <c r="DOY93" s="240" t="n"/>
      <c r="DOZ93" s="240" t="n"/>
      <c r="DPB93" s="15" t="n"/>
      <c r="DPC93" s="15" t="n"/>
      <c r="DPD93" s="248" t="n"/>
      <c r="DPE93" s="248" t="n"/>
      <c r="DPF93" s="240" t="n"/>
      <c r="DPG93" s="240" t="n"/>
      <c r="DPI93" s="15" t="n"/>
      <c r="DPJ93" s="15" t="n"/>
      <c r="DPK93" s="248" t="n"/>
      <c r="DPL93" s="248" t="n"/>
      <c r="DPM93" s="240" t="n"/>
      <c r="DPN93" s="240" t="n"/>
      <c r="DPP93" s="15" t="n"/>
      <c r="DPQ93" s="15" t="n"/>
      <c r="DPR93" s="248" t="n"/>
      <c r="DPS93" s="248" t="n"/>
      <c r="DPT93" s="240" t="n"/>
      <c r="DPU93" s="240" t="n"/>
      <c r="DPW93" s="15" t="n"/>
      <c r="DPX93" s="15" t="n"/>
      <c r="DPY93" s="248" t="n"/>
      <c r="DPZ93" s="248" t="n"/>
      <c r="DQA93" s="240" t="n"/>
      <c r="DQB93" s="240" t="n"/>
      <c r="DQD93" s="15" t="n"/>
      <c r="DQE93" s="15" t="n"/>
      <c r="DQF93" s="248" t="n"/>
      <c r="DQG93" s="248" t="n"/>
      <c r="DQH93" s="240" t="n"/>
      <c r="DQI93" s="240" t="n"/>
      <c r="DQK93" s="15" t="n"/>
      <c r="DQL93" s="15" t="n"/>
      <c r="DQM93" s="248" t="n"/>
      <c r="DQN93" s="248" t="n"/>
      <c r="DQO93" s="240" t="n"/>
      <c r="DQP93" s="240" t="n"/>
      <c r="DQR93" s="15" t="n"/>
      <c r="DQS93" s="15" t="n"/>
      <c r="DQT93" s="248" t="n"/>
      <c r="DQU93" s="248" t="n"/>
      <c r="DQV93" s="240" t="n"/>
      <c r="DQW93" s="240" t="n"/>
      <c r="DQY93" s="15" t="n"/>
      <c r="DQZ93" s="15" t="n"/>
      <c r="DRA93" s="248" t="n"/>
      <c r="DRB93" s="248" t="n"/>
      <c r="DRC93" s="240" t="n"/>
      <c r="DRD93" s="240" t="n"/>
      <c r="DRF93" s="15" t="n"/>
      <c r="DRG93" s="15" t="n"/>
      <c r="DRH93" s="248" t="n"/>
      <c r="DRI93" s="248" t="n"/>
      <c r="DRJ93" s="240" t="n"/>
      <c r="DRK93" s="240" t="n"/>
      <c r="DRM93" s="15" t="n"/>
      <c r="DRN93" s="15" t="n"/>
      <c r="DRO93" s="248" t="n"/>
      <c r="DRP93" s="248" t="n"/>
      <c r="DRQ93" s="240" t="n"/>
      <c r="DRR93" s="240" t="n"/>
      <c r="DRT93" s="15" t="n"/>
      <c r="DRU93" s="15" t="n"/>
      <c r="DRV93" s="248" t="n"/>
      <c r="DRW93" s="248" t="n"/>
      <c r="DRX93" s="240" t="n"/>
      <c r="DRY93" s="240" t="n"/>
      <c r="DSA93" s="15" t="n"/>
      <c r="DSB93" s="15" t="n"/>
      <c r="DSC93" s="248" t="n"/>
      <c r="DSD93" s="248" t="n"/>
      <c r="DSE93" s="240" t="n"/>
      <c r="DSF93" s="240" t="n"/>
      <c r="DSH93" s="15" t="n"/>
      <c r="DSI93" s="15" t="n"/>
      <c r="DSJ93" s="248" t="n"/>
      <c r="DSK93" s="248" t="n"/>
      <c r="DSL93" s="240" t="n"/>
      <c r="DSM93" s="240" t="n"/>
      <c r="DSO93" s="15" t="n"/>
      <c r="DSP93" s="15" t="n"/>
      <c r="DSQ93" s="248" t="n"/>
      <c r="DSR93" s="248" t="n"/>
      <c r="DSS93" s="240" t="n"/>
      <c r="DST93" s="240" t="n"/>
      <c r="DSV93" s="15" t="n"/>
      <c r="DSW93" s="15" t="n"/>
      <c r="DSX93" s="248" t="n"/>
      <c r="DSY93" s="248" t="n"/>
      <c r="DSZ93" s="240" t="n"/>
      <c r="DTA93" s="240" t="n"/>
      <c r="DTC93" s="15" t="n"/>
      <c r="DTD93" s="15" t="n"/>
      <c r="DTE93" s="248" t="n"/>
      <c r="DTF93" s="248" t="n"/>
      <c r="DTG93" s="240" t="n"/>
      <c r="DTH93" s="240" t="n"/>
      <c r="DTJ93" s="15" t="n"/>
      <c r="DTK93" s="15" t="n"/>
      <c r="DTL93" s="248" t="n"/>
      <c r="DTM93" s="248" t="n"/>
      <c r="DTN93" s="240" t="n"/>
      <c r="DTO93" s="240" t="n"/>
      <c r="DTQ93" s="15" t="n"/>
      <c r="DTR93" s="15" t="n"/>
      <c r="DTS93" s="248" t="n"/>
      <c r="DTT93" s="248" t="n"/>
      <c r="DTU93" s="240" t="n"/>
      <c r="DTV93" s="240" t="n"/>
      <c r="DTX93" s="15" t="n"/>
      <c r="DTY93" s="15" t="n"/>
      <c r="DTZ93" s="248" t="n"/>
      <c r="DUA93" s="248" t="n"/>
      <c r="DUB93" s="240" t="n"/>
      <c r="DUC93" s="240" t="n"/>
      <c r="DUE93" s="15" t="n"/>
      <c r="DUF93" s="15" t="n"/>
      <c r="DUG93" s="248" t="n"/>
      <c r="DUH93" s="248" t="n"/>
      <c r="DUI93" s="240" t="n"/>
      <c r="DUJ93" s="240" t="n"/>
      <c r="DUL93" s="15" t="n"/>
      <c r="DUM93" s="15" t="n"/>
      <c r="DUN93" s="248" t="n"/>
      <c r="DUO93" s="248" t="n"/>
      <c r="DUP93" s="240" t="n"/>
      <c r="DUQ93" s="240" t="n"/>
      <c r="DUS93" s="15" t="n"/>
      <c r="DUT93" s="15" t="n"/>
      <c r="DUU93" s="248" t="n"/>
      <c r="DUV93" s="248" t="n"/>
      <c r="DUW93" s="240" t="n"/>
      <c r="DUX93" s="240" t="n"/>
      <c r="DUZ93" s="15" t="n"/>
      <c r="DVA93" s="15" t="n"/>
      <c r="DVB93" s="248" t="n"/>
      <c r="DVC93" s="248" t="n"/>
      <c r="DVD93" s="240" t="n"/>
      <c r="DVE93" s="240" t="n"/>
      <c r="DVG93" s="15" t="n"/>
      <c r="DVH93" s="15" t="n"/>
      <c r="DVI93" s="248" t="n"/>
      <c r="DVJ93" s="248" t="n"/>
      <c r="DVK93" s="240" t="n"/>
      <c r="DVL93" s="240" t="n"/>
      <c r="DVN93" s="15" t="n"/>
      <c r="DVO93" s="15" t="n"/>
      <c r="DVP93" s="248" t="n"/>
      <c r="DVQ93" s="248" t="n"/>
      <c r="DVR93" s="240" t="n"/>
      <c r="DVS93" s="240" t="n"/>
      <c r="DVU93" s="15" t="n"/>
      <c r="DVV93" s="15" t="n"/>
      <c r="DVW93" s="248" t="n"/>
      <c r="DVX93" s="248" t="n"/>
      <c r="DVY93" s="240" t="n"/>
      <c r="DVZ93" s="240" t="n"/>
      <c r="DWB93" s="15" t="n"/>
      <c r="DWC93" s="15" t="n"/>
      <c r="DWD93" s="248" t="n"/>
      <c r="DWE93" s="248" t="n"/>
      <c r="DWF93" s="240" t="n"/>
      <c r="DWG93" s="240" t="n"/>
      <c r="DWI93" s="15" t="n"/>
      <c r="DWJ93" s="15" t="n"/>
      <c r="DWK93" s="248" t="n"/>
      <c r="DWL93" s="248" t="n"/>
      <c r="DWM93" s="240" t="n"/>
      <c r="DWN93" s="240" t="n"/>
      <c r="DWP93" s="15" t="n"/>
      <c r="DWQ93" s="15" t="n"/>
      <c r="DWR93" s="248" t="n"/>
      <c r="DWS93" s="248" t="n"/>
      <c r="DWT93" s="240" t="n"/>
      <c r="DWU93" s="240" t="n"/>
      <c r="DWW93" s="15" t="n"/>
      <c r="DWX93" s="15" t="n"/>
      <c r="DWY93" s="248" t="n"/>
      <c r="DWZ93" s="248" t="n"/>
      <c r="DXA93" s="240" t="n"/>
      <c r="DXB93" s="240" t="n"/>
      <c r="DXD93" s="15" t="n"/>
      <c r="DXE93" s="15" t="n"/>
      <c r="DXF93" s="248" t="n"/>
      <c r="DXG93" s="248" t="n"/>
      <c r="DXH93" s="240" t="n"/>
      <c r="DXI93" s="240" t="n"/>
      <c r="DXK93" s="15" t="n"/>
      <c r="DXL93" s="15" t="n"/>
      <c r="DXM93" s="248" t="n"/>
      <c r="DXN93" s="248" t="n"/>
      <c r="DXO93" s="240" t="n"/>
      <c r="DXP93" s="240" t="n"/>
      <c r="DXR93" s="15" t="n"/>
      <c r="DXS93" s="15" t="n"/>
      <c r="DXT93" s="248" t="n"/>
      <c r="DXU93" s="248" t="n"/>
      <c r="DXV93" s="240" t="n"/>
      <c r="DXW93" s="240" t="n"/>
      <c r="DXY93" s="15" t="n"/>
      <c r="DXZ93" s="15" t="n"/>
      <c r="DYA93" s="248" t="n"/>
      <c r="DYB93" s="248" t="n"/>
      <c r="DYC93" s="240" t="n"/>
      <c r="DYD93" s="240" t="n"/>
      <c r="DYF93" s="15" t="n"/>
      <c r="DYG93" s="15" t="n"/>
      <c r="DYH93" s="248" t="n"/>
      <c r="DYI93" s="248" t="n"/>
      <c r="DYJ93" s="240" t="n"/>
      <c r="DYK93" s="240" t="n"/>
      <c r="DYM93" s="15" t="n"/>
      <c r="DYN93" s="15" t="n"/>
      <c r="DYO93" s="248" t="n"/>
      <c r="DYP93" s="248" t="n"/>
      <c r="DYQ93" s="240" t="n"/>
      <c r="DYR93" s="240" t="n"/>
      <c r="DYT93" s="15" t="n"/>
      <c r="DYU93" s="15" t="n"/>
      <c r="DYV93" s="248" t="n"/>
      <c r="DYW93" s="248" t="n"/>
      <c r="DYX93" s="240" t="n"/>
      <c r="DYY93" s="240" t="n"/>
      <c r="DZA93" s="15" t="n"/>
      <c r="DZB93" s="15" t="n"/>
      <c r="DZC93" s="248" t="n"/>
      <c r="DZD93" s="248" t="n"/>
      <c r="DZE93" s="240" t="n"/>
      <c r="DZF93" s="240" t="n"/>
      <c r="DZH93" s="15" t="n"/>
      <c r="DZI93" s="15" t="n"/>
      <c r="DZJ93" s="248" t="n"/>
      <c r="DZK93" s="248" t="n"/>
      <c r="DZL93" s="240" t="n"/>
      <c r="DZM93" s="240" t="n"/>
      <c r="DZO93" s="15" t="n"/>
      <c r="DZP93" s="15" t="n"/>
      <c r="DZQ93" s="248" t="n"/>
      <c r="DZR93" s="248" t="n"/>
      <c r="DZS93" s="240" t="n"/>
      <c r="DZT93" s="240" t="n"/>
      <c r="DZV93" s="15" t="n"/>
      <c r="DZW93" s="15" t="n"/>
      <c r="DZX93" s="248" t="n"/>
      <c r="DZY93" s="248" t="n"/>
      <c r="DZZ93" s="240" t="n"/>
      <c r="EAA93" s="240" t="n"/>
      <c r="EAC93" s="15" t="n"/>
      <c r="EAD93" s="15" t="n"/>
      <c r="EAE93" s="248" t="n"/>
      <c r="EAF93" s="248" t="n"/>
      <c r="EAG93" s="240" t="n"/>
      <c r="EAH93" s="240" t="n"/>
      <c r="EAJ93" s="15" t="n"/>
      <c r="EAK93" s="15" t="n"/>
      <c r="EAL93" s="248" t="n"/>
      <c r="EAM93" s="248" t="n"/>
      <c r="EAN93" s="240" t="n"/>
      <c r="EAO93" s="240" t="n"/>
      <c r="EAQ93" s="15" t="n"/>
      <c r="EAR93" s="15" t="n"/>
      <c r="EAS93" s="248" t="n"/>
      <c r="EAT93" s="248" t="n"/>
      <c r="EAU93" s="240" t="n"/>
      <c r="EAV93" s="240" t="n"/>
      <c r="EAX93" s="15" t="n"/>
      <c r="EAY93" s="15" t="n"/>
      <c r="EAZ93" s="248" t="n"/>
      <c r="EBA93" s="248" t="n"/>
      <c r="EBB93" s="240" t="n"/>
      <c r="EBC93" s="240" t="n"/>
      <c r="EBE93" s="15" t="n"/>
      <c r="EBF93" s="15" t="n"/>
      <c r="EBG93" s="248" t="n"/>
      <c r="EBH93" s="248" t="n"/>
      <c r="EBI93" s="240" t="n"/>
      <c r="EBJ93" s="240" t="n"/>
      <c r="EBL93" s="15" t="n"/>
      <c r="EBM93" s="15" t="n"/>
      <c r="EBN93" s="248" t="n"/>
      <c r="EBO93" s="248" t="n"/>
      <c r="EBP93" s="240" t="n"/>
      <c r="EBQ93" s="240" t="n"/>
      <c r="EBS93" s="15" t="n"/>
      <c r="EBT93" s="15" t="n"/>
      <c r="EBU93" s="248" t="n"/>
      <c r="EBV93" s="248" t="n"/>
      <c r="EBW93" s="240" t="n"/>
      <c r="EBX93" s="240" t="n"/>
      <c r="EBZ93" s="15" t="n"/>
      <c r="ECA93" s="15" t="n"/>
      <c r="ECB93" s="248" t="n"/>
      <c r="ECC93" s="248" t="n"/>
      <c r="ECD93" s="240" t="n"/>
      <c r="ECE93" s="240" t="n"/>
      <c r="ECG93" s="15" t="n"/>
      <c r="ECH93" s="15" t="n"/>
      <c r="ECI93" s="248" t="n"/>
      <c r="ECJ93" s="248" t="n"/>
      <c r="ECK93" s="240" t="n"/>
      <c r="ECL93" s="240" t="n"/>
      <c r="ECN93" s="15" t="n"/>
      <c r="ECO93" s="15" t="n"/>
      <c r="ECP93" s="248" t="n"/>
      <c r="ECQ93" s="248" t="n"/>
      <c r="ECR93" s="240" t="n"/>
      <c r="ECS93" s="240" t="n"/>
      <c r="ECU93" s="15" t="n"/>
      <c r="ECV93" s="15" t="n"/>
      <c r="ECW93" s="248" t="n"/>
      <c r="ECX93" s="248" t="n"/>
      <c r="ECY93" s="240" t="n"/>
      <c r="ECZ93" s="240" t="n"/>
      <c r="EDB93" s="15" t="n"/>
      <c r="EDC93" s="15" t="n"/>
      <c r="EDD93" s="248" t="n"/>
      <c r="EDE93" s="248" t="n"/>
      <c r="EDF93" s="240" t="n"/>
      <c r="EDG93" s="240" t="n"/>
      <c r="EDI93" s="15" t="n"/>
      <c r="EDJ93" s="15" t="n"/>
      <c r="EDK93" s="248" t="n"/>
      <c r="EDL93" s="248" t="n"/>
      <c r="EDM93" s="240" t="n"/>
      <c r="EDN93" s="240" t="n"/>
      <c r="EDP93" s="15" t="n"/>
      <c r="EDQ93" s="15" t="n"/>
      <c r="EDR93" s="248" t="n"/>
      <c r="EDS93" s="248" t="n"/>
      <c r="EDT93" s="240" t="n"/>
      <c r="EDU93" s="240" t="n"/>
      <c r="EDW93" s="15" t="n"/>
      <c r="EDX93" s="15" t="n"/>
      <c r="EDY93" s="248" t="n"/>
      <c r="EDZ93" s="248" t="n"/>
      <c r="EEA93" s="240" t="n"/>
      <c r="EEB93" s="240" t="n"/>
      <c r="EED93" s="15" t="n"/>
      <c r="EEE93" s="15" t="n"/>
      <c r="EEF93" s="248" t="n"/>
      <c r="EEG93" s="248" t="n"/>
      <c r="EEH93" s="240" t="n"/>
      <c r="EEI93" s="240" t="n"/>
      <c r="EEK93" s="15" t="n"/>
      <c r="EEL93" s="15" t="n"/>
      <c r="EEM93" s="248" t="n"/>
      <c r="EEN93" s="248" t="n"/>
      <c r="EEO93" s="240" t="n"/>
      <c r="EEP93" s="240" t="n"/>
      <c r="EER93" s="15" t="n"/>
      <c r="EES93" s="15" t="n"/>
      <c r="EET93" s="248" t="n"/>
      <c r="EEU93" s="248" t="n"/>
      <c r="EEV93" s="240" t="n"/>
      <c r="EEW93" s="240" t="n"/>
      <c r="EEY93" s="15" t="n"/>
      <c r="EEZ93" s="15" t="n"/>
      <c r="EFA93" s="248" t="n"/>
      <c r="EFB93" s="248" t="n"/>
      <c r="EFC93" s="240" t="n"/>
      <c r="EFD93" s="240" t="n"/>
      <c r="EFF93" s="15" t="n"/>
      <c r="EFG93" s="15" t="n"/>
      <c r="EFH93" s="248" t="n"/>
      <c r="EFI93" s="248" t="n"/>
      <c r="EFJ93" s="240" t="n"/>
      <c r="EFK93" s="240" t="n"/>
      <c r="EFM93" s="15" t="n"/>
      <c r="EFN93" s="15" t="n"/>
      <c r="EFO93" s="248" t="n"/>
      <c r="EFP93" s="248" t="n"/>
      <c r="EFQ93" s="240" t="n"/>
      <c r="EFR93" s="240" t="n"/>
      <c r="EFT93" s="15" t="n"/>
      <c r="EFU93" s="15" t="n"/>
      <c r="EFV93" s="248" t="n"/>
      <c r="EFW93" s="248" t="n"/>
      <c r="EFX93" s="240" t="n"/>
      <c r="EFY93" s="240" t="n"/>
      <c r="EGA93" s="15" t="n"/>
      <c r="EGB93" s="15" t="n"/>
      <c r="EGC93" s="248" t="n"/>
      <c r="EGD93" s="248" t="n"/>
      <c r="EGE93" s="240" t="n"/>
      <c r="EGF93" s="240" t="n"/>
      <c r="EGH93" s="15" t="n"/>
      <c r="EGI93" s="15" t="n"/>
      <c r="EGJ93" s="248" t="n"/>
      <c r="EGK93" s="248" t="n"/>
      <c r="EGL93" s="240" t="n"/>
      <c r="EGM93" s="240" t="n"/>
      <c r="EGO93" s="15" t="n"/>
      <c r="EGP93" s="15" t="n"/>
      <c r="EGQ93" s="248" t="n"/>
      <c r="EGR93" s="248" t="n"/>
      <c r="EGS93" s="240" t="n"/>
      <c r="EGT93" s="240" t="n"/>
      <c r="EGV93" s="15" t="n"/>
      <c r="EGW93" s="15" t="n"/>
      <c r="EGX93" s="248" t="n"/>
      <c r="EGY93" s="248" t="n"/>
      <c r="EGZ93" s="240" t="n"/>
      <c r="EHA93" s="240" t="n"/>
      <c r="EHC93" s="15" t="n"/>
      <c r="EHD93" s="15" t="n"/>
      <c r="EHE93" s="248" t="n"/>
      <c r="EHF93" s="248" t="n"/>
      <c r="EHG93" s="240" t="n"/>
      <c r="EHH93" s="240" t="n"/>
      <c r="EHJ93" s="15" t="n"/>
      <c r="EHK93" s="15" t="n"/>
      <c r="EHL93" s="248" t="n"/>
      <c r="EHM93" s="248" t="n"/>
      <c r="EHN93" s="240" t="n"/>
      <c r="EHO93" s="240" t="n"/>
      <c r="EHQ93" s="15" t="n"/>
      <c r="EHR93" s="15" t="n"/>
      <c r="EHS93" s="248" t="n"/>
      <c r="EHT93" s="248" t="n"/>
      <c r="EHU93" s="240" t="n"/>
      <c r="EHV93" s="240" t="n"/>
      <c r="EHX93" s="15" t="n"/>
      <c r="EHY93" s="15" t="n"/>
      <c r="EHZ93" s="248" t="n"/>
      <c r="EIA93" s="248" t="n"/>
      <c r="EIB93" s="240" t="n"/>
      <c r="EIC93" s="240" t="n"/>
      <c r="EIE93" s="15" t="n"/>
      <c r="EIF93" s="15" t="n"/>
      <c r="EIG93" s="248" t="n"/>
      <c r="EIH93" s="248" t="n"/>
      <c r="EII93" s="240" t="n"/>
      <c r="EIJ93" s="240" t="n"/>
      <c r="EIL93" s="15" t="n"/>
      <c r="EIM93" s="15" t="n"/>
      <c r="EIN93" s="248" t="n"/>
      <c r="EIO93" s="248" t="n"/>
      <c r="EIP93" s="240" t="n"/>
      <c r="EIQ93" s="240" t="n"/>
      <c r="EIS93" s="15" t="n"/>
      <c r="EIT93" s="15" t="n"/>
      <c r="EIU93" s="248" t="n"/>
      <c r="EIV93" s="248" t="n"/>
      <c r="EIW93" s="240" t="n"/>
      <c r="EIX93" s="240" t="n"/>
      <c r="EIZ93" s="15" t="n"/>
      <c r="EJA93" s="15" t="n"/>
      <c r="EJB93" s="248" t="n"/>
      <c r="EJC93" s="248" t="n"/>
      <c r="EJD93" s="240" t="n"/>
      <c r="EJE93" s="240" t="n"/>
      <c r="EJG93" s="15" t="n"/>
      <c r="EJH93" s="15" t="n"/>
      <c r="EJI93" s="248" t="n"/>
      <c r="EJJ93" s="248" t="n"/>
      <c r="EJK93" s="240" t="n"/>
      <c r="EJL93" s="240" t="n"/>
      <c r="EJN93" s="15" t="n"/>
      <c r="EJO93" s="15" t="n"/>
      <c r="EJP93" s="248" t="n"/>
      <c r="EJQ93" s="248" t="n"/>
      <c r="EJR93" s="240" t="n"/>
      <c r="EJS93" s="240" t="n"/>
      <c r="EJU93" s="15" t="n"/>
      <c r="EJV93" s="15" t="n"/>
      <c r="EJW93" s="248" t="n"/>
      <c r="EJX93" s="248" t="n"/>
      <c r="EJY93" s="240" t="n"/>
      <c r="EJZ93" s="240" t="n"/>
      <c r="EKB93" s="15" t="n"/>
      <c r="EKC93" s="15" t="n"/>
      <c r="EKD93" s="248" t="n"/>
      <c r="EKE93" s="248" t="n"/>
      <c r="EKF93" s="240" t="n"/>
      <c r="EKG93" s="240" t="n"/>
      <c r="EKI93" s="15" t="n"/>
      <c r="EKJ93" s="15" t="n"/>
      <c r="EKK93" s="248" t="n"/>
      <c r="EKL93" s="248" t="n"/>
      <c r="EKM93" s="240" t="n"/>
      <c r="EKN93" s="240" t="n"/>
      <c r="EKP93" s="15" t="n"/>
      <c r="EKQ93" s="15" t="n"/>
      <c r="EKR93" s="248" t="n"/>
      <c r="EKS93" s="248" t="n"/>
      <c r="EKT93" s="240" t="n"/>
      <c r="EKU93" s="240" t="n"/>
      <c r="EKW93" s="15" t="n"/>
      <c r="EKX93" s="15" t="n"/>
      <c r="EKY93" s="248" t="n"/>
      <c r="EKZ93" s="248" t="n"/>
      <c r="ELA93" s="240" t="n"/>
      <c r="ELB93" s="240" t="n"/>
      <c r="ELD93" s="15" t="n"/>
      <c r="ELE93" s="15" t="n"/>
      <c r="ELF93" s="248" t="n"/>
      <c r="ELG93" s="248" t="n"/>
      <c r="ELH93" s="240" t="n"/>
      <c r="ELI93" s="240" t="n"/>
      <c r="ELK93" s="15" t="n"/>
      <c r="ELL93" s="15" t="n"/>
      <c r="ELM93" s="248" t="n"/>
      <c r="ELN93" s="248" t="n"/>
      <c r="ELO93" s="240" t="n"/>
      <c r="ELP93" s="240" t="n"/>
      <c r="ELR93" s="15" t="n"/>
      <c r="ELS93" s="15" t="n"/>
      <c r="ELT93" s="248" t="n"/>
      <c r="ELU93" s="248" t="n"/>
      <c r="ELV93" s="240" t="n"/>
      <c r="ELW93" s="240" t="n"/>
      <c r="ELY93" s="15" t="n"/>
      <c r="ELZ93" s="15" t="n"/>
      <c r="EMA93" s="248" t="n"/>
      <c r="EMB93" s="248" t="n"/>
      <c r="EMC93" s="240" t="n"/>
      <c r="EMD93" s="240" t="n"/>
      <c r="EMF93" s="15" t="n"/>
      <c r="EMG93" s="15" t="n"/>
      <c r="EMH93" s="248" t="n"/>
      <c r="EMI93" s="248" t="n"/>
      <c r="EMJ93" s="240" t="n"/>
      <c r="EMK93" s="240" t="n"/>
      <c r="EMM93" s="15" t="n"/>
      <c r="EMN93" s="15" t="n"/>
      <c r="EMO93" s="248" t="n"/>
      <c r="EMP93" s="248" t="n"/>
      <c r="EMQ93" s="240" t="n"/>
      <c r="EMR93" s="240" t="n"/>
      <c r="EMT93" s="15" t="n"/>
      <c r="EMU93" s="15" t="n"/>
      <c r="EMV93" s="248" t="n"/>
      <c r="EMW93" s="248" t="n"/>
      <c r="EMX93" s="240" t="n"/>
      <c r="EMY93" s="240" t="n"/>
      <c r="ENA93" s="15" t="n"/>
      <c r="ENB93" s="15" t="n"/>
      <c r="ENC93" s="248" t="n"/>
      <c r="END93" s="248" t="n"/>
      <c r="ENE93" s="240" t="n"/>
      <c r="ENF93" s="240" t="n"/>
      <c r="ENH93" s="15" t="n"/>
      <c r="ENI93" s="15" t="n"/>
      <c r="ENJ93" s="248" t="n"/>
      <c r="ENK93" s="248" t="n"/>
      <c r="ENL93" s="240" t="n"/>
      <c r="ENM93" s="240" t="n"/>
      <c r="ENO93" s="15" t="n"/>
      <c r="ENP93" s="15" t="n"/>
      <c r="ENQ93" s="248" t="n"/>
      <c r="ENR93" s="248" t="n"/>
      <c r="ENS93" s="240" t="n"/>
      <c r="ENT93" s="240" t="n"/>
      <c r="ENV93" s="15" t="n"/>
      <c r="ENW93" s="15" t="n"/>
      <c r="ENX93" s="248" t="n"/>
      <c r="ENY93" s="248" t="n"/>
      <c r="ENZ93" s="240" t="n"/>
      <c r="EOA93" s="240" t="n"/>
      <c r="EOC93" s="15" t="n"/>
      <c r="EOD93" s="15" t="n"/>
      <c r="EOE93" s="248" t="n"/>
      <c r="EOF93" s="248" t="n"/>
      <c r="EOG93" s="240" t="n"/>
      <c r="EOH93" s="240" t="n"/>
      <c r="EOJ93" s="15" t="n"/>
      <c r="EOK93" s="15" t="n"/>
      <c r="EOL93" s="248" t="n"/>
      <c r="EOM93" s="248" t="n"/>
      <c r="EON93" s="240" t="n"/>
      <c r="EOO93" s="240" t="n"/>
      <c r="EOQ93" s="15" t="n"/>
      <c r="EOR93" s="15" t="n"/>
      <c r="EOS93" s="248" t="n"/>
      <c r="EOT93" s="248" t="n"/>
      <c r="EOU93" s="240" t="n"/>
      <c r="EOV93" s="240" t="n"/>
      <c r="EOX93" s="15" t="n"/>
      <c r="EOY93" s="15" t="n"/>
      <c r="EOZ93" s="248" t="n"/>
      <c r="EPA93" s="248" t="n"/>
      <c r="EPB93" s="240" t="n"/>
      <c r="EPC93" s="240" t="n"/>
      <c r="EPE93" s="15" t="n"/>
      <c r="EPF93" s="15" t="n"/>
      <c r="EPG93" s="248" t="n"/>
      <c r="EPH93" s="248" t="n"/>
      <c r="EPI93" s="240" t="n"/>
      <c r="EPJ93" s="240" t="n"/>
      <c r="EPL93" s="15" t="n"/>
      <c r="EPM93" s="15" t="n"/>
      <c r="EPN93" s="248" t="n"/>
      <c r="EPO93" s="248" t="n"/>
      <c r="EPP93" s="240" t="n"/>
      <c r="EPQ93" s="240" t="n"/>
      <c r="EPS93" s="15" t="n"/>
      <c r="EPT93" s="15" t="n"/>
      <c r="EPU93" s="248" t="n"/>
      <c r="EPV93" s="248" t="n"/>
      <c r="EPW93" s="240" t="n"/>
      <c r="EPX93" s="240" t="n"/>
      <c r="EPZ93" s="15" t="n"/>
      <c r="EQA93" s="15" t="n"/>
      <c r="EQB93" s="248" t="n"/>
      <c r="EQC93" s="248" t="n"/>
      <c r="EQD93" s="240" t="n"/>
      <c r="EQE93" s="240" t="n"/>
      <c r="EQG93" s="15" t="n"/>
      <c r="EQH93" s="15" t="n"/>
      <c r="EQI93" s="248" t="n"/>
      <c r="EQJ93" s="248" t="n"/>
      <c r="EQK93" s="240" t="n"/>
      <c r="EQL93" s="240" t="n"/>
      <c r="EQN93" s="15" t="n"/>
      <c r="EQO93" s="15" t="n"/>
      <c r="EQP93" s="248" t="n"/>
      <c r="EQQ93" s="248" t="n"/>
      <c r="EQR93" s="240" t="n"/>
      <c r="EQS93" s="240" t="n"/>
      <c r="EQU93" s="15" t="n"/>
      <c r="EQV93" s="15" t="n"/>
      <c r="EQW93" s="248" t="n"/>
      <c r="EQX93" s="248" t="n"/>
      <c r="EQY93" s="240" t="n"/>
      <c r="EQZ93" s="240" t="n"/>
      <c r="ERB93" s="15" t="n"/>
      <c r="ERC93" s="15" t="n"/>
      <c r="ERD93" s="248" t="n"/>
      <c r="ERE93" s="248" t="n"/>
      <c r="ERF93" s="240" t="n"/>
      <c r="ERG93" s="240" t="n"/>
      <c r="ERI93" s="15" t="n"/>
      <c r="ERJ93" s="15" t="n"/>
      <c r="ERK93" s="248" t="n"/>
      <c r="ERL93" s="248" t="n"/>
      <c r="ERM93" s="240" t="n"/>
      <c r="ERN93" s="240" t="n"/>
      <c r="ERP93" s="15" t="n"/>
      <c r="ERQ93" s="15" t="n"/>
      <c r="ERR93" s="248" t="n"/>
      <c r="ERS93" s="248" t="n"/>
      <c r="ERT93" s="240" t="n"/>
      <c r="ERU93" s="240" t="n"/>
      <c r="ERW93" s="15" t="n"/>
      <c r="ERX93" s="15" t="n"/>
      <c r="ERY93" s="248" t="n"/>
      <c r="ERZ93" s="248" t="n"/>
      <c r="ESA93" s="240" t="n"/>
      <c r="ESB93" s="240" t="n"/>
      <c r="ESD93" s="15" t="n"/>
      <c r="ESE93" s="15" t="n"/>
      <c r="ESF93" s="248" t="n"/>
      <c r="ESG93" s="248" t="n"/>
      <c r="ESH93" s="240" t="n"/>
      <c r="ESI93" s="240" t="n"/>
      <c r="ESK93" s="15" t="n"/>
      <c r="ESL93" s="15" t="n"/>
      <c r="ESM93" s="248" t="n"/>
      <c r="ESN93" s="248" t="n"/>
      <c r="ESO93" s="240" t="n"/>
      <c r="ESP93" s="240" t="n"/>
      <c r="ESR93" s="15" t="n"/>
      <c r="ESS93" s="15" t="n"/>
      <c r="EST93" s="248" t="n"/>
      <c r="ESU93" s="248" t="n"/>
      <c r="ESV93" s="240" t="n"/>
      <c r="ESW93" s="240" t="n"/>
      <c r="ESY93" s="15" t="n"/>
      <c r="ESZ93" s="15" t="n"/>
      <c r="ETA93" s="248" t="n"/>
      <c r="ETB93" s="248" t="n"/>
      <c r="ETC93" s="240" t="n"/>
      <c r="ETD93" s="240" t="n"/>
      <c r="ETF93" s="15" t="n"/>
      <c r="ETG93" s="15" t="n"/>
      <c r="ETH93" s="248" t="n"/>
      <c r="ETI93" s="248" t="n"/>
      <c r="ETJ93" s="240" t="n"/>
      <c r="ETK93" s="240" t="n"/>
      <c r="ETM93" s="15" t="n"/>
      <c r="ETN93" s="15" t="n"/>
      <c r="ETO93" s="248" t="n"/>
      <c r="ETP93" s="248" t="n"/>
      <c r="ETQ93" s="240" t="n"/>
      <c r="ETR93" s="240" t="n"/>
      <c r="ETT93" s="15" t="n"/>
      <c r="ETU93" s="15" t="n"/>
      <c r="ETV93" s="248" t="n"/>
      <c r="ETW93" s="248" t="n"/>
      <c r="ETX93" s="240" t="n"/>
      <c r="ETY93" s="240" t="n"/>
      <c r="EUA93" s="15" t="n"/>
      <c r="EUB93" s="15" t="n"/>
      <c r="EUC93" s="248" t="n"/>
      <c r="EUD93" s="248" t="n"/>
      <c r="EUE93" s="240" t="n"/>
      <c r="EUF93" s="240" t="n"/>
      <c r="EUH93" s="15" t="n"/>
      <c r="EUI93" s="15" t="n"/>
      <c r="EUJ93" s="248" t="n"/>
      <c r="EUK93" s="248" t="n"/>
      <c r="EUL93" s="240" t="n"/>
      <c r="EUM93" s="240" t="n"/>
      <c r="EUO93" s="15" t="n"/>
      <c r="EUP93" s="15" t="n"/>
      <c r="EUQ93" s="248" t="n"/>
      <c r="EUR93" s="248" t="n"/>
      <c r="EUS93" s="240" t="n"/>
      <c r="EUT93" s="240" t="n"/>
      <c r="EUV93" s="15" t="n"/>
      <c r="EUW93" s="15" t="n"/>
      <c r="EUX93" s="248" t="n"/>
      <c r="EUY93" s="248" t="n"/>
      <c r="EUZ93" s="240" t="n"/>
      <c r="EVA93" s="240" t="n"/>
      <c r="EVC93" s="15" t="n"/>
      <c r="EVD93" s="15" t="n"/>
      <c r="EVE93" s="248" t="n"/>
      <c r="EVF93" s="248" t="n"/>
      <c r="EVG93" s="240" t="n"/>
      <c r="EVH93" s="240" t="n"/>
      <c r="EVJ93" s="15" t="n"/>
      <c r="EVK93" s="15" t="n"/>
      <c r="EVL93" s="248" t="n"/>
      <c r="EVM93" s="248" t="n"/>
      <c r="EVN93" s="240" t="n"/>
      <c r="EVO93" s="240" t="n"/>
      <c r="EVQ93" s="15" t="n"/>
      <c r="EVR93" s="15" t="n"/>
      <c r="EVS93" s="248" t="n"/>
      <c r="EVT93" s="248" t="n"/>
      <c r="EVU93" s="240" t="n"/>
      <c r="EVV93" s="240" t="n"/>
      <c r="EVX93" s="15" t="n"/>
      <c r="EVY93" s="15" t="n"/>
      <c r="EVZ93" s="248" t="n"/>
      <c r="EWA93" s="248" t="n"/>
      <c r="EWB93" s="240" t="n"/>
      <c r="EWC93" s="240" t="n"/>
      <c r="EWE93" s="15" t="n"/>
      <c r="EWF93" s="15" t="n"/>
      <c r="EWG93" s="248" t="n"/>
      <c r="EWH93" s="248" t="n"/>
      <c r="EWI93" s="240" t="n"/>
      <c r="EWJ93" s="240" t="n"/>
      <c r="EWL93" s="15" t="n"/>
      <c r="EWM93" s="15" t="n"/>
      <c r="EWN93" s="248" t="n"/>
      <c r="EWO93" s="248" t="n"/>
      <c r="EWP93" s="240" t="n"/>
      <c r="EWQ93" s="240" t="n"/>
      <c r="EWS93" s="15" t="n"/>
      <c r="EWT93" s="15" t="n"/>
      <c r="EWU93" s="248" t="n"/>
      <c r="EWV93" s="248" t="n"/>
      <c r="EWW93" s="240" t="n"/>
      <c r="EWX93" s="240" t="n"/>
      <c r="EWZ93" s="15" t="n"/>
      <c r="EXA93" s="15" t="n"/>
      <c r="EXB93" s="248" t="n"/>
      <c r="EXC93" s="248" t="n"/>
      <c r="EXD93" s="240" t="n"/>
      <c r="EXE93" s="240" t="n"/>
      <c r="EXG93" s="15" t="n"/>
      <c r="EXH93" s="15" t="n"/>
      <c r="EXI93" s="248" t="n"/>
      <c r="EXJ93" s="248" t="n"/>
      <c r="EXK93" s="240" t="n"/>
      <c r="EXL93" s="240" t="n"/>
      <c r="EXN93" s="15" t="n"/>
      <c r="EXO93" s="15" t="n"/>
      <c r="EXP93" s="248" t="n"/>
      <c r="EXQ93" s="248" t="n"/>
      <c r="EXR93" s="240" t="n"/>
      <c r="EXS93" s="240" t="n"/>
      <c r="EXU93" s="15" t="n"/>
      <c r="EXV93" s="15" t="n"/>
      <c r="EXW93" s="248" t="n"/>
      <c r="EXX93" s="248" t="n"/>
      <c r="EXY93" s="240" t="n"/>
      <c r="EXZ93" s="240" t="n"/>
      <c r="EYB93" s="15" t="n"/>
      <c r="EYC93" s="15" t="n"/>
      <c r="EYD93" s="248" t="n"/>
      <c r="EYE93" s="248" t="n"/>
      <c r="EYF93" s="240" t="n"/>
      <c r="EYG93" s="240" t="n"/>
      <c r="EYI93" s="15" t="n"/>
      <c r="EYJ93" s="15" t="n"/>
      <c r="EYK93" s="248" t="n"/>
      <c r="EYL93" s="248" t="n"/>
      <c r="EYM93" s="240" t="n"/>
      <c r="EYN93" s="240" t="n"/>
      <c r="EYP93" s="15" t="n"/>
      <c r="EYQ93" s="15" t="n"/>
      <c r="EYR93" s="248" t="n"/>
      <c r="EYS93" s="248" t="n"/>
      <c r="EYT93" s="240" t="n"/>
      <c r="EYU93" s="240" t="n"/>
      <c r="EYW93" s="15" t="n"/>
      <c r="EYX93" s="15" t="n"/>
      <c r="EYY93" s="248" t="n"/>
      <c r="EYZ93" s="248" t="n"/>
      <c r="EZA93" s="240" t="n"/>
      <c r="EZB93" s="240" t="n"/>
      <c r="EZD93" s="15" t="n"/>
      <c r="EZE93" s="15" t="n"/>
      <c r="EZF93" s="248" t="n"/>
      <c r="EZG93" s="248" t="n"/>
      <c r="EZH93" s="240" t="n"/>
      <c r="EZI93" s="240" t="n"/>
      <c r="EZK93" s="15" t="n"/>
      <c r="EZL93" s="15" t="n"/>
      <c r="EZM93" s="248" t="n"/>
      <c r="EZN93" s="248" t="n"/>
      <c r="EZO93" s="240" t="n"/>
      <c r="EZP93" s="240" t="n"/>
      <c r="EZR93" s="15" t="n"/>
      <c r="EZS93" s="15" t="n"/>
      <c r="EZT93" s="248" t="n"/>
      <c r="EZU93" s="248" t="n"/>
      <c r="EZV93" s="240" t="n"/>
      <c r="EZW93" s="240" t="n"/>
      <c r="EZY93" s="15" t="n"/>
      <c r="EZZ93" s="15" t="n"/>
      <c r="FAA93" s="248" t="n"/>
      <c r="FAB93" s="248" t="n"/>
      <c r="FAC93" s="240" t="n"/>
      <c r="FAD93" s="240" t="n"/>
      <c r="FAF93" s="15" t="n"/>
      <c r="FAG93" s="15" t="n"/>
      <c r="FAH93" s="248" t="n"/>
      <c r="FAI93" s="248" t="n"/>
      <c r="FAJ93" s="240" t="n"/>
      <c r="FAK93" s="240" t="n"/>
      <c r="FAM93" s="15" t="n"/>
      <c r="FAN93" s="15" t="n"/>
      <c r="FAO93" s="248" t="n"/>
      <c r="FAP93" s="248" t="n"/>
      <c r="FAQ93" s="240" t="n"/>
      <c r="FAR93" s="240" t="n"/>
      <c r="FAT93" s="15" t="n"/>
      <c r="FAU93" s="15" t="n"/>
      <c r="FAV93" s="248" t="n"/>
      <c r="FAW93" s="248" t="n"/>
      <c r="FAX93" s="240" t="n"/>
      <c r="FAY93" s="240" t="n"/>
      <c r="FBA93" s="15" t="n"/>
      <c r="FBB93" s="15" t="n"/>
      <c r="FBC93" s="248" t="n"/>
      <c r="FBD93" s="248" t="n"/>
      <c r="FBE93" s="240" t="n"/>
      <c r="FBF93" s="240" t="n"/>
      <c r="FBH93" s="15" t="n"/>
      <c r="FBI93" s="15" t="n"/>
      <c r="FBJ93" s="248" t="n"/>
      <c r="FBK93" s="248" t="n"/>
      <c r="FBL93" s="240" t="n"/>
      <c r="FBM93" s="240" t="n"/>
      <c r="FBO93" s="15" t="n"/>
      <c r="FBP93" s="15" t="n"/>
      <c r="FBQ93" s="248" t="n"/>
      <c r="FBR93" s="248" t="n"/>
      <c r="FBS93" s="240" t="n"/>
      <c r="FBT93" s="240" t="n"/>
      <c r="FBV93" s="15" t="n"/>
      <c r="FBW93" s="15" t="n"/>
      <c r="FBX93" s="248" t="n"/>
      <c r="FBY93" s="248" t="n"/>
      <c r="FBZ93" s="240" t="n"/>
      <c r="FCA93" s="240" t="n"/>
      <c r="FCC93" s="15" t="n"/>
      <c r="FCD93" s="15" t="n"/>
      <c r="FCE93" s="248" t="n"/>
      <c r="FCF93" s="248" t="n"/>
      <c r="FCG93" s="240" t="n"/>
      <c r="FCH93" s="240" t="n"/>
      <c r="FCJ93" s="15" t="n"/>
      <c r="FCK93" s="15" t="n"/>
      <c r="FCL93" s="248" t="n"/>
      <c r="FCM93" s="248" t="n"/>
      <c r="FCN93" s="240" t="n"/>
      <c r="FCO93" s="240" t="n"/>
      <c r="FCQ93" s="15" t="n"/>
      <c r="FCR93" s="15" t="n"/>
      <c r="FCS93" s="248" t="n"/>
      <c r="FCT93" s="248" t="n"/>
      <c r="FCU93" s="240" t="n"/>
      <c r="FCV93" s="240" t="n"/>
      <c r="FCX93" s="15" t="n"/>
      <c r="FCY93" s="15" t="n"/>
      <c r="FCZ93" s="248" t="n"/>
      <c r="FDA93" s="248" t="n"/>
      <c r="FDB93" s="240" t="n"/>
      <c r="FDC93" s="240" t="n"/>
      <c r="FDE93" s="15" t="n"/>
      <c r="FDF93" s="15" t="n"/>
      <c r="FDG93" s="248" t="n"/>
      <c r="FDH93" s="248" t="n"/>
      <c r="FDI93" s="240" t="n"/>
      <c r="FDJ93" s="240" t="n"/>
      <c r="FDL93" s="15" t="n"/>
      <c r="FDM93" s="15" t="n"/>
      <c r="FDN93" s="248" t="n"/>
      <c r="FDO93" s="248" t="n"/>
      <c r="FDP93" s="240" t="n"/>
      <c r="FDQ93" s="240" t="n"/>
      <c r="FDS93" s="15" t="n"/>
      <c r="FDT93" s="15" t="n"/>
      <c r="FDU93" s="248" t="n"/>
      <c r="FDV93" s="248" t="n"/>
      <c r="FDW93" s="240" t="n"/>
      <c r="FDX93" s="240" t="n"/>
      <c r="FDZ93" s="15" t="n"/>
      <c r="FEA93" s="15" t="n"/>
      <c r="FEB93" s="248" t="n"/>
      <c r="FEC93" s="248" t="n"/>
      <c r="FED93" s="240" t="n"/>
      <c r="FEE93" s="240" t="n"/>
      <c r="FEG93" s="15" t="n"/>
      <c r="FEH93" s="15" t="n"/>
      <c r="FEI93" s="248" t="n"/>
      <c r="FEJ93" s="248" t="n"/>
      <c r="FEK93" s="240" t="n"/>
      <c r="FEL93" s="240" t="n"/>
      <c r="FEN93" s="15" t="n"/>
      <c r="FEO93" s="15" t="n"/>
      <c r="FEP93" s="248" t="n"/>
      <c r="FEQ93" s="248" t="n"/>
      <c r="FER93" s="240" t="n"/>
      <c r="FES93" s="240" t="n"/>
      <c r="FEU93" s="15" t="n"/>
      <c r="FEV93" s="15" t="n"/>
      <c r="FEW93" s="248" t="n"/>
      <c r="FEX93" s="248" t="n"/>
      <c r="FEY93" s="240" t="n"/>
      <c r="FEZ93" s="240" t="n"/>
      <c r="FFB93" s="15" t="n"/>
      <c r="FFC93" s="15" t="n"/>
      <c r="FFD93" s="248" t="n"/>
      <c r="FFE93" s="248" t="n"/>
      <c r="FFF93" s="240" t="n"/>
      <c r="FFG93" s="240" t="n"/>
      <c r="FFI93" s="15" t="n"/>
      <c r="FFJ93" s="15" t="n"/>
      <c r="FFK93" s="248" t="n"/>
      <c r="FFL93" s="248" t="n"/>
      <c r="FFM93" s="240" t="n"/>
      <c r="FFN93" s="240" t="n"/>
      <c r="FFP93" s="15" t="n"/>
      <c r="FFQ93" s="15" t="n"/>
      <c r="FFR93" s="248" t="n"/>
      <c r="FFS93" s="248" t="n"/>
      <c r="FFT93" s="240" t="n"/>
      <c r="FFU93" s="240" t="n"/>
      <c r="FFW93" s="15" t="n"/>
      <c r="FFX93" s="15" t="n"/>
      <c r="FFY93" s="248" t="n"/>
      <c r="FFZ93" s="248" t="n"/>
      <c r="FGA93" s="240" t="n"/>
      <c r="FGB93" s="240" t="n"/>
      <c r="FGD93" s="15" t="n"/>
      <c r="FGE93" s="15" t="n"/>
      <c r="FGF93" s="248" t="n"/>
      <c r="FGG93" s="248" t="n"/>
      <c r="FGH93" s="240" t="n"/>
      <c r="FGI93" s="240" t="n"/>
      <c r="FGK93" s="15" t="n"/>
      <c r="FGL93" s="15" t="n"/>
      <c r="FGM93" s="248" t="n"/>
      <c r="FGN93" s="248" t="n"/>
      <c r="FGO93" s="240" t="n"/>
      <c r="FGP93" s="240" t="n"/>
      <c r="FGR93" s="15" t="n"/>
      <c r="FGS93" s="15" t="n"/>
      <c r="FGT93" s="248" t="n"/>
      <c r="FGU93" s="248" t="n"/>
      <c r="FGV93" s="240" t="n"/>
      <c r="FGW93" s="240" t="n"/>
      <c r="FGY93" s="15" t="n"/>
      <c r="FGZ93" s="15" t="n"/>
      <c r="FHA93" s="248" t="n"/>
      <c r="FHB93" s="248" t="n"/>
      <c r="FHC93" s="240" t="n"/>
      <c r="FHD93" s="240" t="n"/>
      <c r="FHF93" s="15" t="n"/>
      <c r="FHG93" s="15" t="n"/>
      <c r="FHH93" s="248" t="n"/>
      <c r="FHI93" s="248" t="n"/>
      <c r="FHJ93" s="240" t="n"/>
      <c r="FHK93" s="240" t="n"/>
      <c r="FHM93" s="15" t="n"/>
      <c r="FHN93" s="15" t="n"/>
      <c r="FHO93" s="248" t="n"/>
      <c r="FHP93" s="248" t="n"/>
      <c r="FHQ93" s="240" t="n"/>
      <c r="FHR93" s="240" t="n"/>
      <c r="FHT93" s="15" t="n"/>
      <c r="FHU93" s="15" t="n"/>
      <c r="FHV93" s="248" t="n"/>
      <c r="FHW93" s="248" t="n"/>
      <c r="FHX93" s="240" t="n"/>
      <c r="FHY93" s="240" t="n"/>
      <c r="FIA93" s="15" t="n"/>
      <c r="FIB93" s="15" t="n"/>
      <c r="FIC93" s="248" t="n"/>
      <c r="FID93" s="248" t="n"/>
      <c r="FIE93" s="240" t="n"/>
      <c r="FIF93" s="240" t="n"/>
      <c r="FIH93" s="15" t="n"/>
      <c r="FII93" s="15" t="n"/>
      <c r="FIJ93" s="248" t="n"/>
      <c r="FIK93" s="248" t="n"/>
      <c r="FIL93" s="240" t="n"/>
      <c r="FIM93" s="240" t="n"/>
      <c r="FIO93" s="15" t="n"/>
      <c r="FIP93" s="15" t="n"/>
      <c r="FIQ93" s="248" t="n"/>
      <c r="FIR93" s="248" t="n"/>
      <c r="FIS93" s="240" t="n"/>
      <c r="FIT93" s="240" t="n"/>
      <c r="FIV93" s="15" t="n"/>
      <c r="FIW93" s="15" t="n"/>
      <c r="FIX93" s="248" t="n"/>
      <c r="FIY93" s="248" t="n"/>
      <c r="FIZ93" s="240" t="n"/>
      <c r="FJA93" s="240" t="n"/>
      <c r="FJC93" s="15" t="n"/>
      <c r="FJD93" s="15" t="n"/>
      <c r="FJE93" s="248" t="n"/>
      <c r="FJF93" s="248" t="n"/>
      <c r="FJG93" s="240" t="n"/>
      <c r="FJH93" s="240" t="n"/>
      <c r="FJJ93" s="15" t="n"/>
      <c r="FJK93" s="15" t="n"/>
      <c r="FJL93" s="248" t="n"/>
      <c r="FJM93" s="248" t="n"/>
      <c r="FJN93" s="240" t="n"/>
      <c r="FJO93" s="240" t="n"/>
      <c r="FJQ93" s="15" t="n"/>
      <c r="FJR93" s="15" t="n"/>
      <c r="FJS93" s="248" t="n"/>
      <c r="FJT93" s="248" t="n"/>
      <c r="FJU93" s="240" t="n"/>
      <c r="FJV93" s="240" t="n"/>
      <c r="FJX93" s="15" t="n"/>
      <c r="FJY93" s="15" t="n"/>
      <c r="FJZ93" s="248" t="n"/>
      <c r="FKA93" s="248" t="n"/>
      <c r="FKB93" s="240" t="n"/>
      <c r="FKC93" s="240" t="n"/>
      <c r="FKE93" s="15" t="n"/>
      <c r="FKF93" s="15" t="n"/>
      <c r="FKG93" s="248" t="n"/>
      <c r="FKH93" s="248" t="n"/>
      <c r="FKI93" s="240" t="n"/>
      <c r="FKJ93" s="240" t="n"/>
      <c r="FKL93" s="15" t="n"/>
      <c r="FKM93" s="15" t="n"/>
      <c r="FKN93" s="248" t="n"/>
      <c r="FKO93" s="248" t="n"/>
      <c r="FKP93" s="240" t="n"/>
      <c r="FKQ93" s="240" t="n"/>
      <c r="FKS93" s="15" t="n"/>
      <c r="FKT93" s="15" t="n"/>
      <c r="FKU93" s="248" t="n"/>
      <c r="FKV93" s="248" t="n"/>
      <c r="FKW93" s="240" t="n"/>
      <c r="FKX93" s="240" t="n"/>
      <c r="FKZ93" s="15" t="n"/>
      <c r="FLA93" s="15" t="n"/>
      <c r="FLB93" s="248" t="n"/>
      <c r="FLC93" s="248" t="n"/>
      <c r="FLD93" s="240" t="n"/>
      <c r="FLE93" s="240" t="n"/>
      <c r="FLG93" s="15" t="n"/>
      <c r="FLH93" s="15" t="n"/>
      <c r="FLI93" s="248" t="n"/>
      <c r="FLJ93" s="248" t="n"/>
      <c r="FLK93" s="240" t="n"/>
      <c r="FLL93" s="240" t="n"/>
      <c r="FLN93" s="15" t="n"/>
      <c r="FLO93" s="15" t="n"/>
      <c r="FLP93" s="248" t="n"/>
      <c r="FLQ93" s="248" t="n"/>
      <c r="FLR93" s="240" t="n"/>
      <c r="FLS93" s="240" t="n"/>
      <c r="FLU93" s="15" t="n"/>
      <c r="FLV93" s="15" t="n"/>
      <c r="FLW93" s="248" t="n"/>
      <c r="FLX93" s="248" t="n"/>
      <c r="FLY93" s="240" t="n"/>
      <c r="FLZ93" s="240" t="n"/>
      <c r="FMB93" s="15" t="n"/>
      <c r="FMC93" s="15" t="n"/>
      <c r="FMD93" s="248" t="n"/>
      <c r="FME93" s="248" t="n"/>
      <c r="FMF93" s="240" t="n"/>
      <c r="FMG93" s="240" t="n"/>
      <c r="FMI93" s="15" t="n"/>
      <c r="FMJ93" s="15" t="n"/>
      <c r="FMK93" s="248" t="n"/>
      <c r="FML93" s="248" t="n"/>
      <c r="FMM93" s="240" t="n"/>
      <c r="FMN93" s="240" t="n"/>
      <c r="FMP93" s="15" t="n"/>
      <c r="FMQ93" s="15" t="n"/>
      <c r="FMR93" s="248" t="n"/>
      <c r="FMS93" s="248" t="n"/>
      <c r="FMT93" s="240" t="n"/>
      <c r="FMU93" s="240" t="n"/>
      <c r="FMW93" s="15" t="n"/>
      <c r="FMX93" s="15" t="n"/>
      <c r="FMY93" s="248" t="n"/>
      <c r="FMZ93" s="248" t="n"/>
      <c r="FNA93" s="240" t="n"/>
      <c r="FNB93" s="240" t="n"/>
      <c r="FND93" s="15" t="n"/>
      <c r="FNE93" s="15" t="n"/>
      <c r="FNF93" s="248" t="n"/>
      <c r="FNG93" s="248" t="n"/>
      <c r="FNH93" s="240" t="n"/>
      <c r="FNI93" s="240" t="n"/>
      <c r="FNK93" s="15" t="n"/>
      <c r="FNL93" s="15" t="n"/>
      <c r="FNM93" s="248" t="n"/>
      <c r="FNN93" s="248" t="n"/>
      <c r="FNO93" s="240" t="n"/>
      <c r="FNP93" s="240" t="n"/>
      <c r="FNR93" s="15" t="n"/>
      <c r="FNS93" s="15" t="n"/>
      <c r="FNT93" s="248" t="n"/>
      <c r="FNU93" s="248" t="n"/>
      <c r="FNV93" s="240" t="n"/>
      <c r="FNW93" s="240" t="n"/>
      <c r="FNY93" s="15" t="n"/>
      <c r="FNZ93" s="15" t="n"/>
      <c r="FOA93" s="248" t="n"/>
      <c r="FOB93" s="248" t="n"/>
      <c r="FOC93" s="240" t="n"/>
      <c r="FOD93" s="240" t="n"/>
      <c r="FOF93" s="15" t="n"/>
      <c r="FOG93" s="15" t="n"/>
      <c r="FOH93" s="248" t="n"/>
      <c r="FOI93" s="248" t="n"/>
      <c r="FOJ93" s="240" t="n"/>
      <c r="FOK93" s="240" t="n"/>
      <c r="FOM93" s="15" t="n"/>
      <c r="FON93" s="15" t="n"/>
      <c r="FOO93" s="248" t="n"/>
      <c r="FOP93" s="248" t="n"/>
      <c r="FOQ93" s="240" t="n"/>
      <c r="FOR93" s="240" t="n"/>
      <c r="FOT93" s="15" t="n"/>
      <c r="FOU93" s="15" t="n"/>
      <c r="FOV93" s="248" t="n"/>
      <c r="FOW93" s="248" t="n"/>
      <c r="FOX93" s="240" t="n"/>
      <c r="FOY93" s="240" t="n"/>
      <c r="FPA93" s="15" t="n"/>
      <c r="FPB93" s="15" t="n"/>
      <c r="FPC93" s="248" t="n"/>
      <c r="FPD93" s="248" t="n"/>
      <c r="FPE93" s="240" t="n"/>
      <c r="FPF93" s="240" t="n"/>
      <c r="FPH93" s="15" t="n"/>
      <c r="FPI93" s="15" t="n"/>
      <c r="FPJ93" s="248" t="n"/>
      <c r="FPK93" s="248" t="n"/>
      <c r="FPL93" s="240" t="n"/>
      <c r="FPM93" s="240" t="n"/>
      <c r="FPO93" s="15" t="n"/>
      <c r="FPP93" s="15" t="n"/>
      <c r="FPQ93" s="248" t="n"/>
      <c r="FPR93" s="248" t="n"/>
      <c r="FPS93" s="240" t="n"/>
      <c r="FPT93" s="240" t="n"/>
      <c r="FPV93" s="15" t="n"/>
      <c r="FPW93" s="15" t="n"/>
      <c r="FPX93" s="248" t="n"/>
      <c r="FPY93" s="248" t="n"/>
      <c r="FPZ93" s="240" t="n"/>
      <c r="FQA93" s="240" t="n"/>
      <c r="FQC93" s="15" t="n"/>
      <c r="FQD93" s="15" t="n"/>
      <c r="FQE93" s="248" t="n"/>
      <c r="FQF93" s="248" t="n"/>
      <c r="FQG93" s="240" t="n"/>
      <c r="FQH93" s="240" t="n"/>
      <c r="FQJ93" s="15" t="n"/>
      <c r="FQK93" s="15" t="n"/>
      <c r="FQL93" s="248" t="n"/>
      <c r="FQM93" s="248" t="n"/>
      <c r="FQN93" s="240" t="n"/>
      <c r="FQO93" s="240" t="n"/>
      <c r="FQQ93" s="15" t="n"/>
      <c r="FQR93" s="15" t="n"/>
      <c r="FQS93" s="248" t="n"/>
      <c r="FQT93" s="248" t="n"/>
      <c r="FQU93" s="240" t="n"/>
      <c r="FQV93" s="240" t="n"/>
      <c r="FQX93" s="15" t="n"/>
      <c r="FQY93" s="15" t="n"/>
      <c r="FQZ93" s="248" t="n"/>
      <c r="FRA93" s="248" t="n"/>
      <c r="FRB93" s="240" t="n"/>
      <c r="FRC93" s="240" t="n"/>
      <c r="FRE93" s="15" t="n"/>
      <c r="FRF93" s="15" t="n"/>
      <c r="FRG93" s="248" t="n"/>
      <c r="FRH93" s="248" t="n"/>
      <c r="FRI93" s="240" t="n"/>
      <c r="FRJ93" s="240" t="n"/>
      <c r="FRL93" s="15" t="n"/>
      <c r="FRM93" s="15" t="n"/>
      <c r="FRN93" s="248" t="n"/>
      <c r="FRO93" s="248" t="n"/>
      <c r="FRP93" s="240" t="n"/>
      <c r="FRQ93" s="240" t="n"/>
      <c r="FRS93" s="15" t="n"/>
      <c r="FRT93" s="15" t="n"/>
      <c r="FRU93" s="248" t="n"/>
      <c r="FRV93" s="248" t="n"/>
      <c r="FRW93" s="240" t="n"/>
      <c r="FRX93" s="240" t="n"/>
      <c r="FRZ93" s="15" t="n"/>
      <c r="FSA93" s="15" t="n"/>
      <c r="FSB93" s="248" t="n"/>
      <c r="FSC93" s="248" t="n"/>
      <c r="FSD93" s="240" t="n"/>
      <c r="FSE93" s="240" t="n"/>
      <c r="FSG93" s="15" t="n"/>
      <c r="FSH93" s="15" t="n"/>
      <c r="FSI93" s="248" t="n"/>
      <c r="FSJ93" s="248" t="n"/>
      <c r="FSK93" s="240" t="n"/>
      <c r="FSL93" s="240" t="n"/>
      <c r="FSN93" s="15" t="n"/>
      <c r="FSO93" s="15" t="n"/>
      <c r="FSP93" s="248" t="n"/>
      <c r="FSQ93" s="248" t="n"/>
      <c r="FSR93" s="240" t="n"/>
      <c r="FSS93" s="240" t="n"/>
      <c r="FSU93" s="15" t="n"/>
      <c r="FSV93" s="15" t="n"/>
      <c r="FSW93" s="248" t="n"/>
      <c r="FSX93" s="248" t="n"/>
      <c r="FSY93" s="240" t="n"/>
      <c r="FSZ93" s="240" t="n"/>
      <c r="FTB93" s="15" t="n"/>
      <c r="FTC93" s="15" t="n"/>
      <c r="FTD93" s="248" t="n"/>
      <c r="FTE93" s="248" t="n"/>
      <c r="FTF93" s="240" t="n"/>
      <c r="FTG93" s="240" t="n"/>
      <c r="FTI93" s="15" t="n"/>
      <c r="FTJ93" s="15" t="n"/>
      <c r="FTK93" s="248" t="n"/>
      <c r="FTL93" s="248" t="n"/>
      <c r="FTM93" s="240" t="n"/>
      <c r="FTN93" s="240" t="n"/>
      <c r="FTP93" s="15" t="n"/>
      <c r="FTQ93" s="15" t="n"/>
      <c r="FTR93" s="248" t="n"/>
      <c r="FTS93" s="248" t="n"/>
      <c r="FTT93" s="240" t="n"/>
      <c r="FTU93" s="240" t="n"/>
      <c r="FTW93" s="15" t="n"/>
      <c r="FTX93" s="15" t="n"/>
      <c r="FTY93" s="248" t="n"/>
      <c r="FTZ93" s="248" t="n"/>
      <c r="FUA93" s="240" t="n"/>
      <c r="FUB93" s="240" t="n"/>
      <c r="FUD93" s="15" t="n"/>
      <c r="FUE93" s="15" t="n"/>
      <c r="FUF93" s="248" t="n"/>
      <c r="FUG93" s="248" t="n"/>
      <c r="FUH93" s="240" t="n"/>
      <c r="FUI93" s="240" t="n"/>
      <c r="FUK93" s="15" t="n"/>
      <c r="FUL93" s="15" t="n"/>
      <c r="FUM93" s="248" t="n"/>
      <c r="FUN93" s="248" t="n"/>
      <c r="FUO93" s="240" t="n"/>
      <c r="FUP93" s="240" t="n"/>
      <c r="FUR93" s="15" t="n"/>
      <c r="FUS93" s="15" t="n"/>
      <c r="FUT93" s="248" t="n"/>
      <c r="FUU93" s="248" t="n"/>
      <c r="FUV93" s="240" t="n"/>
      <c r="FUW93" s="240" t="n"/>
      <c r="FUY93" s="15" t="n"/>
      <c r="FUZ93" s="15" t="n"/>
      <c r="FVA93" s="248" t="n"/>
      <c r="FVB93" s="248" t="n"/>
      <c r="FVC93" s="240" t="n"/>
      <c r="FVD93" s="240" t="n"/>
      <c r="FVF93" s="15" t="n"/>
      <c r="FVG93" s="15" t="n"/>
      <c r="FVH93" s="248" t="n"/>
      <c r="FVI93" s="248" t="n"/>
      <c r="FVJ93" s="240" t="n"/>
      <c r="FVK93" s="240" t="n"/>
      <c r="FVM93" s="15" t="n"/>
      <c r="FVN93" s="15" t="n"/>
      <c r="FVO93" s="248" t="n"/>
      <c r="FVP93" s="248" t="n"/>
      <c r="FVQ93" s="240" t="n"/>
      <c r="FVR93" s="240" t="n"/>
      <c r="FVT93" s="15" t="n"/>
      <c r="FVU93" s="15" t="n"/>
      <c r="FVV93" s="248" t="n"/>
      <c r="FVW93" s="248" t="n"/>
      <c r="FVX93" s="240" t="n"/>
      <c r="FVY93" s="240" t="n"/>
      <c r="FWA93" s="15" t="n"/>
      <c r="FWB93" s="15" t="n"/>
      <c r="FWC93" s="248" t="n"/>
      <c r="FWD93" s="248" t="n"/>
      <c r="FWE93" s="240" t="n"/>
      <c r="FWF93" s="240" t="n"/>
      <c r="FWH93" s="15" t="n"/>
      <c r="FWI93" s="15" t="n"/>
      <c r="FWJ93" s="248" t="n"/>
      <c r="FWK93" s="248" t="n"/>
      <c r="FWL93" s="240" t="n"/>
      <c r="FWM93" s="240" t="n"/>
      <c r="FWO93" s="15" t="n"/>
      <c r="FWP93" s="15" t="n"/>
      <c r="FWQ93" s="248" t="n"/>
      <c r="FWR93" s="248" t="n"/>
      <c r="FWS93" s="240" t="n"/>
      <c r="FWT93" s="240" t="n"/>
      <c r="FWV93" s="15" t="n"/>
      <c r="FWW93" s="15" t="n"/>
      <c r="FWX93" s="248" t="n"/>
      <c r="FWY93" s="248" t="n"/>
      <c r="FWZ93" s="240" t="n"/>
      <c r="FXA93" s="240" t="n"/>
      <c r="FXC93" s="15" t="n"/>
      <c r="FXD93" s="15" t="n"/>
      <c r="FXE93" s="248" t="n"/>
      <c r="FXF93" s="248" t="n"/>
      <c r="FXG93" s="240" t="n"/>
      <c r="FXH93" s="240" t="n"/>
      <c r="FXJ93" s="15" t="n"/>
      <c r="FXK93" s="15" t="n"/>
      <c r="FXL93" s="248" t="n"/>
      <c r="FXM93" s="248" t="n"/>
      <c r="FXN93" s="240" t="n"/>
      <c r="FXO93" s="240" t="n"/>
      <c r="FXQ93" s="15" t="n"/>
      <c r="FXR93" s="15" t="n"/>
      <c r="FXS93" s="248" t="n"/>
      <c r="FXT93" s="248" t="n"/>
      <c r="FXU93" s="240" t="n"/>
      <c r="FXV93" s="240" t="n"/>
      <c r="FXX93" s="15" t="n"/>
      <c r="FXY93" s="15" t="n"/>
      <c r="FXZ93" s="248" t="n"/>
      <c r="FYA93" s="248" t="n"/>
      <c r="FYB93" s="240" t="n"/>
      <c r="FYC93" s="240" t="n"/>
      <c r="FYE93" s="15" t="n"/>
      <c r="FYF93" s="15" t="n"/>
      <c r="FYG93" s="248" t="n"/>
      <c r="FYH93" s="248" t="n"/>
      <c r="FYI93" s="240" t="n"/>
      <c r="FYJ93" s="240" t="n"/>
      <c r="FYL93" s="15" t="n"/>
      <c r="FYM93" s="15" t="n"/>
      <c r="FYN93" s="248" t="n"/>
      <c r="FYO93" s="248" t="n"/>
      <c r="FYP93" s="240" t="n"/>
      <c r="FYQ93" s="240" t="n"/>
      <c r="FYS93" s="15" t="n"/>
      <c r="FYT93" s="15" t="n"/>
      <c r="FYU93" s="248" t="n"/>
      <c r="FYV93" s="248" t="n"/>
      <c r="FYW93" s="240" t="n"/>
      <c r="FYX93" s="240" t="n"/>
      <c r="FYZ93" s="15" t="n"/>
      <c r="FZA93" s="15" t="n"/>
      <c r="FZB93" s="248" t="n"/>
      <c r="FZC93" s="248" t="n"/>
      <c r="FZD93" s="240" t="n"/>
      <c r="FZE93" s="240" t="n"/>
      <c r="FZG93" s="15" t="n"/>
      <c r="FZH93" s="15" t="n"/>
      <c r="FZI93" s="248" t="n"/>
      <c r="FZJ93" s="248" t="n"/>
      <c r="FZK93" s="240" t="n"/>
      <c r="FZL93" s="240" t="n"/>
      <c r="FZN93" s="15" t="n"/>
      <c r="FZO93" s="15" t="n"/>
      <c r="FZP93" s="248" t="n"/>
      <c r="FZQ93" s="248" t="n"/>
      <c r="FZR93" s="240" t="n"/>
      <c r="FZS93" s="240" t="n"/>
      <c r="FZU93" s="15" t="n"/>
      <c r="FZV93" s="15" t="n"/>
      <c r="FZW93" s="248" t="n"/>
      <c r="FZX93" s="248" t="n"/>
      <c r="FZY93" s="240" t="n"/>
      <c r="FZZ93" s="240" t="n"/>
      <c r="GAB93" s="15" t="n"/>
      <c r="GAC93" s="15" t="n"/>
      <c r="GAD93" s="248" t="n"/>
      <c r="GAE93" s="248" t="n"/>
      <c r="GAF93" s="240" t="n"/>
      <c r="GAG93" s="240" t="n"/>
      <c r="GAI93" s="15" t="n"/>
      <c r="GAJ93" s="15" t="n"/>
      <c r="GAK93" s="248" t="n"/>
      <c r="GAL93" s="248" t="n"/>
      <c r="GAM93" s="240" t="n"/>
      <c r="GAN93" s="240" t="n"/>
      <c r="GAP93" s="15" t="n"/>
      <c r="GAQ93" s="15" t="n"/>
      <c r="GAR93" s="248" t="n"/>
      <c r="GAS93" s="248" t="n"/>
      <c r="GAT93" s="240" t="n"/>
      <c r="GAU93" s="240" t="n"/>
      <c r="GAW93" s="15" t="n"/>
      <c r="GAX93" s="15" t="n"/>
      <c r="GAY93" s="248" t="n"/>
      <c r="GAZ93" s="248" t="n"/>
      <c r="GBA93" s="240" t="n"/>
      <c r="GBB93" s="240" t="n"/>
      <c r="GBD93" s="15" t="n"/>
      <c r="GBE93" s="15" t="n"/>
      <c r="GBF93" s="248" t="n"/>
      <c r="GBG93" s="248" t="n"/>
      <c r="GBH93" s="240" t="n"/>
      <c r="GBI93" s="240" t="n"/>
      <c r="GBK93" s="15" t="n"/>
      <c r="GBL93" s="15" t="n"/>
      <c r="GBM93" s="248" t="n"/>
      <c r="GBN93" s="248" t="n"/>
      <c r="GBO93" s="240" t="n"/>
      <c r="GBP93" s="240" t="n"/>
      <c r="GBR93" s="15" t="n"/>
      <c r="GBS93" s="15" t="n"/>
      <c r="GBT93" s="248" t="n"/>
      <c r="GBU93" s="248" t="n"/>
      <c r="GBV93" s="240" t="n"/>
      <c r="GBW93" s="240" t="n"/>
      <c r="GBY93" s="15" t="n"/>
      <c r="GBZ93" s="15" t="n"/>
      <c r="GCA93" s="248" t="n"/>
      <c r="GCB93" s="248" t="n"/>
      <c r="GCC93" s="240" t="n"/>
      <c r="GCD93" s="240" t="n"/>
      <c r="GCF93" s="15" t="n"/>
      <c r="GCG93" s="15" t="n"/>
      <c r="GCH93" s="248" t="n"/>
      <c r="GCI93" s="248" t="n"/>
      <c r="GCJ93" s="240" t="n"/>
      <c r="GCK93" s="240" t="n"/>
      <c r="GCM93" s="15" t="n"/>
      <c r="GCN93" s="15" t="n"/>
      <c r="GCO93" s="248" t="n"/>
      <c r="GCP93" s="248" t="n"/>
      <c r="GCQ93" s="240" t="n"/>
      <c r="GCR93" s="240" t="n"/>
      <c r="GCT93" s="15" t="n"/>
      <c r="GCU93" s="15" t="n"/>
      <c r="GCV93" s="248" t="n"/>
      <c r="GCW93" s="248" t="n"/>
      <c r="GCX93" s="240" t="n"/>
      <c r="GCY93" s="240" t="n"/>
      <c r="GDA93" s="15" t="n"/>
      <c r="GDB93" s="15" t="n"/>
      <c r="GDC93" s="248" t="n"/>
      <c r="GDD93" s="248" t="n"/>
      <c r="GDE93" s="240" t="n"/>
      <c r="GDF93" s="240" t="n"/>
      <c r="GDH93" s="15" t="n"/>
      <c r="GDI93" s="15" t="n"/>
      <c r="GDJ93" s="248" t="n"/>
      <c r="GDK93" s="248" t="n"/>
      <c r="GDL93" s="240" t="n"/>
      <c r="GDM93" s="240" t="n"/>
      <c r="GDO93" s="15" t="n"/>
      <c r="GDP93" s="15" t="n"/>
      <c r="GDQ93" s="248" t="n"/>
      <c r="GDR93" s="248" t="n"/>
      <c r="GDS93" s="240" t="n"/>
      <c r="GDT93" s="240" t="n"/>
      <c r="GDV93" s="15" t="n"/>
      <c r="GDW93" s="15" t="n"/>
      <c r="GDX93" s="248" t="n"/>
      <c r="GDY93" s="248" t="n"/>
      <c r="GDZ93" s="240" t="n"/>
      <c r="GEA93" s="240" t="n"/>
      <c r="GEC93" s="15" t="n"/>
      <c r="GED93" s="15" t="n"/>
      <c r="GEE93" s="248" t="n"/>
      <c r="GEF93" s="248" t="n"/>
      <c r="GEG93" s="240" t="n"/>
      <c r="GEH93" s="240" t="n"/>
      <c r="GEJ93" s="15" t="n"/>
      <c r="GEK93" s="15" t="n"/>
      <c r="GEL93" s="248" t="n"/>
      <c r="GEM93" s="248" t="n"/>
      <c r="GEN93" s="240" t="n"/>
      <c r="GEO93" s="240" t="n"/>
      <c r="GEQ93" s="15" t="n"/>
      <c r="GER93" s="15" t="n"/>
      <c r="GES93" s="248" t="n"/>
      <c r="GET93" s="248" t="n"/>
      <c r="GEU93" s="240" t="n"/>
      <c r="GEV93" s="240" t="n"/>
      <c r="GEX93" s="15" t="n"/>
      <c r="GEY93" s="15" t="n"/>
      <c r="GEZ93" s="248" t="n"/>
      <c r="GFA93" s="248" t="n"/>
      <c r="GFB93" s="240" t="n"/>
      <c r="GFC93" s="240" t="n"/>
      <c r="GFE93" s="15" t="n"/>
      <c r="GFF93" s="15" t="n"/>
      <c r="GFG93" s="248" t="n"/>
      <c r="GFH93" s="248" t="n"/>
      <c r="GFI93" s="240" t="n"/>
      <c r="GFJ93" s="240" t="n"/>
      <c r="GFL93" s="15" t="n"/>
      <c r="GFM93" s="15" t="n"/>
      <c r="GFN93" s="248" t="n"/>
      <c r="GFO93" s="248" t="n"/>
      <c r="GFP93" s="240" t="n"/>
      <c r="GFQ93" s="240" t="n"/>
      <c r="GFS93" s="15" t="n"/>
      <c r="GFT93" s="15" t="n"/>
      <c r="GFU93" s="248" t="n"/>
      <c r="GFV93" s="248" t="n"/>
      <c r="GFW93" s="240" t="n"/>
      <c r="GFX93" s="240" t="n"/>
      <c r="GFZ93" s="15" t="n"/>
      <c r="GGA93" s="15" t="n"/>
      <c r="GGB93" s="248" t="n"/>
      <c r="GGC93" s="248" t="n"/>
      <c r="GGD93" s="240" t="n"/>
      <c r="GGE93" s="240" t="n"/>
      <c r="GGG93" s="15" t="n"/>
      <c r="GGH93" s="15" t="n"/>
      <c r="GGI93" s="248" t="n"/>
      <c r="GGJ93" s="248" t="n"/>
      <c r="GGK93" s="240" t="n"/>
      <c r="GGL93" s="240" t="n"/>
      <c r="GGN93" s="15" t="n"/>
      <c r="GGO93" s="15" t="n"/>
      <c r="GGP93" s="248" t="n"/>
      <c r="GGQ93" s="248" t="n"/>
      <c r="GGR93" s="240" t="n"/>
      <c r="GGS93" s="240" t="n"/>
      <c r="GGU93" s="15" t="n"/>
      <c r="GGV93" s="15" t="n"/>
      <c r="GGW93" s="248" t="n"/>
      <c r="GGX93" s="248" t="n"/>
      <c r="GGY93" s="240" t="n"/>
      <c r="GGZ93" s="240" t="n"/>
      <c r="GHB93" s="15" t="n"/>
      <c r="GHC93" s="15" t="n"/>
      <c r="GHD93" s="248" t="n"/>
      <c r="GHE93" s="248" t="n"/>
      <c r="GHF93" s="240" t="n"/>
      <c r="GHG93" s="240" t="n"/>
      <c r="GHI93" s="15" t="n"/>
      <c r="GHJ93" s="15" t="n"/>
      <c r="GHK93" s="248" t="n"/>
      <c r="GHL93" s="248" t="n"/>
      <c r="GHM93" s="240" t="n"/>
      <c r="GHN93" s="240" t="n"/>
      <c r="GHP93" s="15" t="n"/>
      <c r="GHQ93" s="15" t="n"/>
      <c r="GHR93" s="248" t="n"/>
      <c r="GHS93" s="248" t="n"/>
      <c r="GHT93" s="240" t="n"/>
      <c r="GHU93" s="240" t="n"/>
      <c r="GHW93" s="15" t="n"/>
      <c r="GHX93" s="15" t="n"/>
      <c r="GHY93" s="248" t="n"/>
      <c r="GHZ93" s="248" t="n"/>
      <c r="GIA93" s="240" t="n"/>
      <c r="GIB93" s="240" t="n"/>
      <c r="GID93" s="15" t="n"/>
      <c r="GIE93" s="15" t="n"/>
      <c r="GIF93" s="248" t="n"/>
      <c r="GIG93" s="248" t="n"/>
      <c r="GIH93" s="240" t="n"/>
      <c r="GII93" s="240" t="n"/>
      <c r="GIK93" s="15" t="n"/>
      <c r="GIL93" s="15" t="n"/>
      <c r="GIM93" s="248" t="n"/>
      <c r="GIN93" s="248" t="n"/>
      <c r="GIO93" s="240" t="n"/>
      <c r="GIP93" s="240" t="n"/>
      <c r="GIR93" s="15" t="n"/>
      <c r="GIS93" s="15" t="n"/>
      <c r="GIT93" s="248" t="n"/>
      <c r="GIU93" s="248" t="n"/>
      <c r="GIV93" s="240" t="n"/>
      <c r="GIW93" s="240" t="n"/>
      <c r="GIY93" s="15" t="n"/>
      <c r="GIZ93" s="15" t="n"/>
      <c r="GJA93" s="248" t="n"/>
      <c r="GJB93" s="248" t="n"/>
      <c r="GJC93" s="240" t="n"/>
      <c r="GJD93" s="240" t="n"/>
      <c r="GJF93" s="15" t="n"/>
      <c r="GJG93" s="15" t="n"/>
      <c r="GJH93" s="248" t="n"/>
      <c r="GJI93" s="248" t="n"/>
      <c r="GJJ93" s="240" t="n"/>
      <c r="GJK93" s="240" t="n"/>
      <c r="GJM93" s="15" t="n"/>
      <c r="GJN93" s="15" t="n"/>
      <c r="GJO93" s="248" t="n"/>
      <c r="GJP93" s="248" t="n"/>
      <c r="GJQ93" s="240" t="n"/>
      <c r="GJR93" s="240" t="n"/>
      <c r="GJT93" s="15" t="n"/>
      <c r="GJU93" s="15" t="n"/>
      <c r="GJV93" s="248" t="n"/>
      <c r="GJW93" s="248" t="n"/>
      <c r="GJX93" s="240" t="n"/>
      <c r="GJY93" s="240" t="n"/>
      <c r="GKA93" s="15" t="n"/>
      <c r="GKB93" s="15" t="n"/>
      <c r="GKC93" s="248" t="n"/>
      <c r="GKD93" s="248" t="n"/>
      <c r="GKE93" s="240" t="n"/>
      <c r="GKF93" s="240" t="n"/>
      <c r="GKH93" s="15" t="n"/>
      <c r="GKI93" s="15" t="n"/>
      <c r="GKJ93" s="248" t="n"/>
      <c r="GKK93" s="248" t="n"/>
      <c r="GKL93" s="240" t="n"/>
      <c r="GKM93" s="240" t="n"/>
      <c r="GKO93" s="15" t="n"/>
      <c r="GKP93" s="15" t="n"/>
      <c r="GKQ93" s="248" t="n"/>
      <c r="GKR93" s="248" t="n"/>
      <c r="GKS93" s="240" t="n"/>
      <c r="GKT93" s="240" t="n"/>
      <c r="GKV93" s="15" t="n"/>
      <c r="GKW93" s="15" t="n"/>
      <c r="GKX93" s="248" t="n"/>
      <c r="GKY93" s="248" t="n"/>
      <c r="GKZ93" s="240" t="n"/>
      <c r="GLA93" s="240" t="n"/>
      <c r="GLC93" s="15" t="n"/>
      <c r="GLD93" s="15" t="n"/>
      <c r="GLE93" s="248" t="n"/>
      <c r="GLF93" s="248" t="n"/>
      <c r="GLG93" s="240" t="n"/>
      <c r="GLH93" s="240" t="n"/>
      <c r="GLJ93" s="15" t="n"/>
      <c r="GLK93" s="15" t="n"/>
      <c r="GLL93" s="248" t="n"/>
      <c r="GLM93" s="248" t="n"/>
      <c r="GLN93" s="240" t="n"/>
      <c r="GLO93" s="240" t="n"/>
      <c r="GLQ93" s="15" t="n"/>
      <c r="GLR93" s="15" t="n"/>
      <c r="GLS93" s="248" t="n"/>
      <c r="GLT93" s="248" t="n"/>
      <c r="GLU93" s="240" t="n"/>
      <c r="GLV93" s="240" t="n"/>
      <c r="GLX93" s="15" t="n"/>
      <c r="GLY93" s="15" t="n"/>
      <c r="GLZ93" s="248" t="n"/>
      <c r="GMA93" s="248" t="n"/>
      <c r="GMB93" s="240" t="n"/>
      <c r="GMC93" s="240" t="n"/>
      <c r="GME93" s="15" t="n"/>
      <c r="GMF93" s="15" t="n"/>
      <c r="GMG93" s="248" t="n"/>
      <c r="GMH93" s="248" t="n"/>
      <c r="GMI93" s="240" t="n"/>
      <c r="GMJ93" s="240" t="n"/>
      <c r="GML93" s="15" t="n"/>
      <c r="GMM93" s="15" t="n"/>
      <c r="GMN93" s="248" t="n"/>
      <c r="GMO93" s="248" t="n"/>
      <c r="GMP93" s="240" t="n"/>
      <c r="GMQ93" s="240" t="n"/>
      <c r="GMS93" s="15" t="n"/>
      <c r="GMT93" s="15" t="n"/>
      <c r="GMU93" s="248" t="n"/>
      <c r="GMV93" s="248" t="n"/>
      <c r="GMW93" s="240" t="n"/>
      <c r="GMX93" s="240" t="n"/>
      <c r="GMZ93" s="15" t="n"/>
      <c r="GNA93" s="15" t="n"/>
      <c r="GNB93" s="248" t="n"/>
      <c r="GNC93" s="248" t="n"/>
      <c r="GND93" s="240" t="n"/>
      <c r="GNE93" s="240" t="n"/>
      <c r="GNG93" s="15" t="n"/>
      <c r="GNH93" s="15" t="n"/>
      <c r="GNI93" s="248" t="n"/>
      <c r="GNJ93" s="248" t="n"/>
      <c r="GNK93" s="240" t="n"/>
      <c r="GNL93" s="240" t="n"/>
      <c r="GNN93" s="15" t="n"/>
      <c r="GNO93" s="15" t="n"/>
      <c r="GNP93" s="248" t="n"/>
      <c r="GNQ93" s="248" t="n"/>
      <c r="GNR93" s="240" t="n"/>
      <c r="GNS93" s="240" t="n"/>
      <c r="GNU93" s="15" t="n"/>
      <c r="GNV93" s="15" t="n"/>
      <c r="GNW93" s="248" t="n"/>
      <c r="GNX93" s="248" t="n"/>
      <c r="GNY93" s="240" t="n"/>
      <c r="GNZ93" s="240" t="n"/>
      <c r="GOB93" s="15" t="n"/>
      <c r="GOC93" s="15" t="n"/>
      <c r="GOD93" s="248" t="n"/>
      <c r="GOE93" s="248" t="n"/>
      <c r="GOF93" s="240" t="n"/>
      <c r="GOG93" s="240" t="n"/>
      <c r="GOI93" s="15" t="n"/>
      <c r="GOJ93" s="15" t="n"/>
      <c r="GOK93" s="248" t="n"/>
      <c r="GOL93" s="248" t="n"/>
      <c r="GOM93" s="240" t="n"/>
      <c r="GON93" s="240" t="n"/>
      <c r="GOP93" s="15" t="n"/>
      <c r="GOQ93" s="15" t="n"/>
      <c r="GOR93" s="248" t="n"/>
      <c r="GOS93" s="248" t="n"/>
      <c r="GOT93" s="240" t="n"/>
      <c r="GOU93" s="240" t="n"/>
      <c r="GOW93" s="15" t="n"/>
      <c r="GOX93" s="15" t="n"/>
      <c r="GOY93" s="248" t="n"/>
      <c r="GOZ93" s="248" t="n"/>
      <c r="GPA93" s="240" t="n"/>
      <c r="GPB93" s="240" t="n"/>
      <c r="GPD93" s="15" t="n"/>
      <c r="GPE93" s="15" t="n"/>
      <c r="GPF93" s="248" t="n"/>
      <c r="GPG93" s="248" t="n"/>
      <c r="GPH93" s="240" t="n"/>
      <c r="GPI93" s="240" t="n"/>
      <c r="GPK93" s="15" t="n"/>
      <c r="GPL93" s="15" t="n"/>
      <c r="GPM93" s="248" t="n"/>
      <c r="GPN93" s="248" t="n"/>
      <c r="GPO93" s="240" t="n"/>
      <c r="GPP93" s="240" t="n"/>
      <c r="GPR93" s="15" t="n"/>
      <c r="GPS93" s="15" t="n"/>
      <c r="GPT93" s="248" t="n"/>
      <c r="GPU93" s="248" t="n"/>
      <c r="GPV93" s="240" t="n"/>
      <c r="GPW93" s="240" t="n"/>
      <c r="GPY93" s="15" t="n"/>
      <c r="GPZ93" s="15" t="n"/>
      <c r="GQA93" s="248" t="n"/>
      <c r="GQB93" s="248" t="n"/>
      <c r="GQC93" s="240" t="n"/>
      <c r="GQD93" s="240" t="n"/>
      <c r="GQF93" s="15" t="n"/>
      <c r="GQG93" s="15" t="n"/>
      <c r="GQH93" s="248" t="n"/>
      <c r="GQI93" s="248" t="n"/>
      <c r="GQJ93" s="240" t="n"/>
      <c r="GQK93" s="240" t="n"/>
      <c r="GQM93" s="15" t="n"/>
      <c r="GQN93" s="15" t="n"/>
      <c r="GQO93" s="248" t="n"/>
      <c r="GQP93" s="248" t="n"/>
      <c r="GQQ93" s="240" t="n"/>
      <c r="GQR93" s="240" t="n"/>
      <c r="GQT93" s="15" t="n"/>
      <c r="GQU93" s="15" t="n"/>
      <c r="GQV93" s="248" t="n"/>
      <c r="GQW93" s="248" t="n"/>
      <c r="GQX93" s="240" t="n"/>
      <c r="GQY93" s="240" t="n"/>
      <c r="GRA93" s="15" t="n"/>
      <c r="GRB93" s="15" t="n"/>
      <c r="GRC93" s="248" t="n"/>
      <c r="GRD93" s="248" t="n"/>
      <c r="GRE93" s="240" t="n"/>
      <c r="GRF93" s="240" t="n"/>
      <c r="GRH93" s="15" t="n"/>
      <c r="GRI93" s="15" t="n"/>
      <c r="GRJ93" s="248" t="n"/>
      <c r="GRK93" s="248" t="n"/>
      <c r="GRL93" s="240" t="n"/>
      <c r="GRM93" s="240" t="n"/>
      <c r="GRO93" s="15" t="n"/>
      <c r="GRP93" s="15" t="n"/>
      <c r="GRQ93" s="248" t="n"/>
      <c r="GRR93" s="248" t="n"/>
      <c r="GRS93" s="240" t="n"/>
      <c r="GRT93" s="240" t="n"/>
      <c r="GRV93" s="15" t="n"/>
      <c r="GRW93" s="15" t="n"/>
      <c r="GRX93" s="248" t="n"/>
      <c r="GRY93" s="248" t="n"/>
      <c r="GRZ93" s="240" t="n"/>
      <c r="GSA93" s="240" t="n"/>
      <c r="GSC93" s="15" t="n"/>
      <c r="GSD93" s="15" t="n"/>
      <c r="GSE93" s="248" t="n"/>
      <c r="GSF93" s="248" t="n"/>
      <c r="GSG93" s="240" t="n"/>
      <c r="GSH93" s="240" t="n"/>
      <c r="GSJ93" s="15" t="n"/>
      <c r="GSK93" s="15" t="n"/>
      <c r="GSL93" s="248" t="n"/>
      <c r="GSM93" s="248" t="n"/>
      <c r="GSN93" s="240" t="n"/>
      <c r="GSO93" s="240" t="n"/>
      <c r="GSQ93" s="15" t="n"/>
      <c r="GSR93" s="15" t="n"/>
      <c r="GSS93" s="248" t="n"/>
      <c r="GST93" s="248" t="n"/>
      <c r="GSU93" s="240" t="n"/>
      <c r="GSV93" s="240" t="n"/>
      <c r="GSX93" s="15" t="n"/>
      <c r="GSY93" s="15" t="n"/>
      <c r="GSZ93" s="248" t="n"/>
      <c r="GTA93" s="248" t="n"/>
      <c r="GTB93" s="240" t="n"/>
      <c r="GTC93" s="240" t="n"/>
      <c r="GTE93" s="15" t="n"/>
      <c r="GTF93" s="15" t="n"/>
      <c r="GTG93" s="248" t="n"/>
      <c r="GTH93" s="248" t="n"/>
      <c r="GTI93" s="240" t="n"/>
      <c r="GTJ93" s="240" t="n"/>
      <c r="GTL93" s="15" t="n"/>
      <c r="GTM93" s="15" t="n"/>
      <c r="GTN93" s="248" t="n"/>
      <c r="GTO93" s="248" t="n"/>
      <c r="GTP93" s="240" t="n"/>
      <c r="GTQ93" s="240" t="n"/>
      <c r="GTS93" s="15" t="n"/>
      <c r="GTT93" s="15" t="n"/>
      <c r="GTU93" s="248" t="n"/>
      <c r="GTV93" s="248" t="n"/>
      <c r="GTW93" s="240" t="n"/>
      <c r="GTX93" s="240" t="n"/>
      <c r="GTZ93" s="15" t="n"/>
      <c r="GUA93" s="15" t="n"/>
      <c r="GUB93" s="248" t="n"/>
      <c r="GUC93" s="248" t="n"/>
      <c r="GUD93" s="240" t="n"/>
      <c r="GUE93" s="240" t="n"/>
      <c r="GUG93" s="15" t="n"/>
      <c r="GUH93" s="15" t="n"/>
      <c r="GUI93" s="248" t="n"/>
      <c r="GUJ93" s="248" t="n"/>
      <c r="GUK93" s="240" t="n"/>
      <c r="GUL93" s="240" t="n"/>
      <c r="GUN93" s="15" t="n"/>
      <c r="GUO93" s="15" t="n"/>
      <c r="GUP93" s="248" t="n"/>
      <c r="GUQ93" s="248" t="n"/>
      <c r="GUR93" s="240" t="n"/>
      <c r="GUS93" s="240" t="n"/>
      <c r="GUU93" s="15" t="n"/>
      <c r="GUV93" s="15" t="n"/>
      <c r="GUW93" s="248" t="n"/>
      <c r="GUX93" s="248" t="n"/>
      <c r="GUY93" s="240" t="n"/>
      <c r="GUZ93" s="240" t="n"/>
      <c r="GVB93" s="15" t="n"/>
      <c r="GVC93" s="15" t="n"/>
      <c r="GVD93" s="248" t="n"/>
      <c r="GVE93" s="248" t="n"/>
      <c r="GVF93" s="240" t="n"/>
      <c r="GVG93" s="240" t="n"/>
      <c r="GVI93" s="15" t="n"/>
      <c r="GVJ93" s="15" t="n"/>
      <c r="GVK93" s="248" t="n"/>
      <c r="GVL93" s="248" t="n"/>
      <c r="GVM93" s="240" t="n"/>
      <c r="GVN93" s="240" t="n"/>
      <c r="GVP93" s="15" t="n"/>
      <c r="GVQ93" s="15" t="n"/>
      <c r="GVR93" s="248" t="n"/>
      <c r="GVS93" s="248" t="n"/>
      <c r="GVT93" s="240" t="n"/>
      <c r="GVU93" s="240" t="n"/>
      <c r="GVW93" s="15" t="n"/>
      <c r="GVX93" s="15" t="n"/>
      <c r="GVY93" s="248" t="n"/>
      <c r="GVZ93" s="248" t="n"/>
      <c r="GWA93" s="240" t="n"/>
      <c r="GWB93" s="240" t="n"/>
      <c r="GWD93" s="15" t="n"/>
      <c r="GWE93" s="15" t="n"/>
      <c r="GWF93" s="248" t="n"/>
      <c r="GWG93" s="248" t="n"/>
      <c r="GWH93" s="240" t="n"/>
      <c r="GWI93" s="240" t="n"/>
      <c r="GWK93" s="15" t="n"/>
      <c r="GWL93" s="15" t="n"/>
      <c r="GWM93" s="248" t="n"/>
      <c r="GWN93" s="248" t="n"/>
      <c r="GWO93" s="240" t="n"/>
      <c r="GWP93" s="240" t="n"/>
      <c r="GWR93" s="15" t="n"/>
      <c r="GWS93" s="15" t="n"/>
      <c r="GWT93" s="248" t="n"/>
      <c r="GWU93" s="248" t="n"/>
      <c r="GWV93" s="240" t="n"/>
      <c r="GWW93" s="240" t="n"/>
      <c r="GWY93" s="15" t="n"/>
      <c r="GWZ93" s="15" t="n"/>
      <c r="GXA93" s="248" t="n"/>
      <c r="GXB93" s="248" t="n"/>
      <c r="GXC93" s="240" t="n"/>
      <c r="GXD93" s="240" t="n"/>
      <c r="GXF93" s="15" t="n"/>
      <c r="GXG93" s="15" t="n"/>
      <c r="GXH93" s="248" t="n"/>
      <c r="GXI93" s="248" t="n"/>
      <c r="GXJ93" s="240" t="n"/>
      <c r="GXK93" s="240" t="n"/>
      <c r="GXM93" s="15" t="n"/>
      <c r="GXN93" s="15" t="n"/>
      <c r="GXO93" s="248" t="n"/>
      <c r="GXP93" s="248" t="n"/>
      <c r="GXQ93" s="240" t="n"/>
      <c r="GXR93" s="240" t="n"/>
      <c r="GXT93" s="15" t="n"/>
      <c r="GXU93" s="15" t="n"/>
      <c r="GXV93" s="248" t="n"/>
      <c r="GXW93" s="248" t="n"/>
      <c r="GXX93" s="240" t="n"/>
      <c r="GXY93" s="240" t="n"/>
      <c r="GYA93" s="15" t="n"/>
      <c r="GYB93" s="15" t="n"/>
      <c r="GYC93" s="248" t="n"/>
      <c r="GYD93" s="248" t="n"/>
      <c r="GYE93" s="240" t="n"/>
      <c r="GYF93" s="240" t="n"/>
      <c r="GYH93" s="15" t="n"/>
      <c r="GYI93" s="15" t="n"/>
      <c r="GYJ93" s="248" t="n"/>
      <c r="GYK93" s="248" t="n"/>
      <c r="GYL93" s="240" t="n"/>
      <c r="GYM93" s="240" t="n"/>
      <c r="GYO93" s="15" t="n"/>
      <c r="GYP93" s="15" t="n"/>
      <c r="GYQ93" s="248" t="n"/>
      <c r="GYR93" s="248" t="n"/>
      <c r="GYS93" s="240" t="n"/>
      <c r="GYT93" s="240" t="n"/>
      <c r="GYV93" s="15" t="n"/>
      <c r="GYW93" s="15" t="n"/>
      <c r="GYX93" s="248" t="n"/>
      <c r="GYY93" s="248" t="n"/>
      <c r="GYZ93" s="240" t="n"/>
      <c r="GZA93" s="240" t="n"/>
      <c r="GZC93" s="15" t="n"/>
      <c r="GZD93" s="15" t="n"/>
      <c r="GZE93" s="248" t="n"/>
      <c r="GZF93" s="248" t="n"/>
      <c r="GZG93" s="240" t="n"/>
      <c r="GZH93" s="240" t="n"/>
      <c r="GZJ93" s="15" t="n"/>
      <c r="GZK93" s="15" t="n"/>
      <c r="GZL93" s="248" t="n"/>
      <c r="GZM93" s="248" t="n"/>
      <c r="GZN93" s="240" t="n"/>
      <c r="GZO93" s="240" t="n"/>
      <c r="GZQ93" s="15" t="n"/>
      <c r="GZR93" s="15" t="n"/>
      <c r="GZS93" s="248" t="n"/>
      <c r="GZT93" s="248" t="n"/>
      <c r="GZU93" s="240" t="n"/>
      <c r="GZV93" s="240" t="n"/>
      <c r="GZX93" s="15" t="n"/>
      <c r="GZY93" s="15" t="n"/>
      <c r="GZZ93" s="248" t="n"/>
      <c r="HAA93" s="248" t="n"/>
      <c r="HAB93" s="240" t="n"/>
      <c r="HAC93" s="240" t="n"/>
      <c r="HAE93" s="15" t="n"/>
      <c r="HAF93" s="15" t="n"/>
      <c r="HAG93" s="248" t="n"/>
      <c r="HAH93" s="248" t="n"/>
      <c r="HAI93" s="240" t="n"/>
      <c r="HAJ93" s="240" t="n"/>
      <c r="HAL93" s="15" t="n"/>
      <c r="HAM93" s="15" t="n"/>
      <c r="HAN93" s="248" t="n"/>
      <c r="HAO93" s="248" t="n"/>
      <c r="HAP93" s="240" t="n"/>
      <c r="HAQ93" s="240" t="n"/>
      <c r="HAS93" s="15" t="n"/>
      <c r="HAT93" s="15" t="n"/>
      <c r="HAU93" s="248" t="n"/>
      <c r="HAV93" s="248" t="n"/>
      <c r="HAW93" s="240" t="n"/>
      <c r="HAX93" s="240" t="n"/>
      <c r="HAZ93" s="15" t="n"/>
      <c r="HBA93" s="15" t="n"/>
      <c r="HBB93" s="248" t="n"/>
      <c r="HBC93" s="248" t="n"/>
      <c r="HBD93" s="240" t="n"/>
      <c r="HBE93" s="240" t="n"/>
      <c r="HBG93" s="15" t="n"/>
      <c r="HBH93" s="15" t="n"/>
      <c r="HBI93" s="248" t="n"/>
      <c r="HBJ93" s="248" t="n"/>
      <c r="HBK93" s="240" t="n"/>
      <c r="HBL93" s="240" t="n"/>
      <c r="HBN93" s="15" t="n"/>
      <c r="HBO93" s="15" t="n"/>
      <c r="HBP93" s="248" t="n"/>
      <c r="HBQ93" s="248" t="n"/>
      <c r="HBR93" s="240" t="n"/>
      <c r="HBS93" s="240" t="n"/>
      <c r="HBU93" s="15" t="n"/>
      <c r="HBV93" s="15" t="n"/>
      <c r="HBW93" s="248" t="n"/>
      <c r="HBX93" s="248" t="n"/>
      <c r="HBY93" s="240" t="n"/>
      <c r="HBZ93" s="240" t="n"/>
      <c r="HCB93" s="15" t="n"/>
      <c r="HCC93" s="15" t="n"/>
      <c r="HCD93" s="248" t="n"/>
      <c r="HCE93" s="248" t="n"/>
      <c r="HCF93" s="240" t="n"/>
      <c r="HCG93" s="240" t="n"/>
      <c r="HCI93" s="15" t="n"/>
      <c r="HCJ93" s="15" t="n"/>
      <c r="HCK93" s="248" t="n"/>
      <c r="HCL93" s="248" t="n"/>
      <c r="HCM93" s="240" t="n"/>
      <c r="HCN93" s="240" t="n"/>
      <c r="HCP93" s="15" t="n"/>
      <c r="HCQ93" s="15" t="n"/>
      <c r="HCR93" s="248" t="n"/>
      <c r="HCS93" s="248" t="n"/>
      <c r="HCT93" s="240" t="n"/>
      <c r="HCU93" s="240" t="n"/>
      <c r="HCW93" s="15" t="n"/>
      <c r="HCX93" s="15" t="n"/>
      <c r="HCY93" s="248" t="n"/>
      <c r="HCZ93" s="248" t="n"/>
      <c r="HDA93" s="240" t="n"/>
      <c r="HDB93" s="240" t="n"/>
      <c r="HDD93" s="15" t="n"/>
      <c r="HDE93" s="15" t="n"/>
      <c r="HDF93" s="248" t="n"/>
      <c r="HDG93" s="248" t="n"/>
      <c r="HDH93" s="240" t="n"/>
      <c r="HDI93" s="240" t="n"/>
      <c r="HDK93" s="15" t="n"/>
      <c r="HDL93" s="15" t="n"/>
      <c r="HDM93" s="248" t="n"/>
      <c r="HDN93" s="248" t="n"/>
      <c r="HDO93" s="240" t="n"/>
      <c r="HDP93" s="240" t="n"/>
      <c r="HDR93" s="15" t="n"/>
      <c r="HDS93" s="15" t="n"/>
      <c r="HDT93" s="248" t="n"/>
      <c r="HDU93" s="248" t="n"/>
      <c r="HDV93" s="240" t="n"/>
      <c r="HDW93" s="240" t="n"/>
      <c r="HDY93" s="15" t="n"/>
      <c r="HDZ93" s="15" t="n"/>
      <c r="HEA93" s="248" t="n"/>
      <c r="HEB93" s="248" t="n"/>
      <c r="HEC93" s="240" t="n"/>
      <c r="HED93" s="240" t="n"/>
      <c r="HEF93" s="15" t="n"/>
      <c r="HEG93" s="15" t="n"/>
      <c r="HEH93" s="248" t="n"/>
      <c r="HEI93" s="248" t="n"/>
      <c r="HEJ93" s="240" t="n"/>
      <c r="HEK93" s="240" t="n"/>
      <c r="HEM93" s="15" t="n"/>
      <c r="HEN93" s="15" t="n"/>
      <c r="HEO93" s="248" t="n"/>
      <c r="HEP93" s="248" t="n"/>
      <c r="HEQ93" s="240" t="n"/>
      <c r="HER93" s="240" t="n"/>
      <c r="HET93" s="15" t="n"/>
      <c r="HEU93" s="15" t="n"/>
      <c r="HEV93" s="248" t="n"/>
      <c r="HEW93" s="248" t="n"/>
      <c r="HEX93" s="240" t="n"/>
      <c r="HEY93" s="240" t="n"/>
      <c r="HFA93" s="15" t="n"/>
      <c r="HFB93" s="15" t="n"/>
      <c r="HFC93" s="248" t="n"/>
      <c r="HFD93" s="248" t="n"/>
      <c r="HFE93" s="240" t="n"/>
      <c r="HFF93" s="240" t="n"/>
      <c r="HFH93" s="15" t="n"/>
      <c r="HFI93" s="15" t="n"/>
      <c r="HFJ93" s="248" t="n"/>
      <c r="HFK93" s="248" t="n"/>
      <c r="HFL93" s="240" t="n"/>
      <c r="HFM93" s="240" t="n"/>
      <c r="HFO93" s="15" t="n"/>
      <c r="HFP93" s="15" t="n"/>
      <c r="HFQ93" s="248" t="n"/>
      <c r="HFR93" s="248" t="n"/>
      <c r="HFS93" s="240" t="n"/>
      <c r="HFT93" s="240" t="n"/>
      <c r="HFV93" s="15" t="n"/>
      <c r="HFW93" s="15" t="n"/>
      <c r="HFX93" s="248" t="n"/>
      <c r="HFY93" s="248" t="n"/>
      <c r="HFZ93" s="240" t="n"/>
      <c r="HGA93" s="240" t="n"/>
      <c r="HGC93" s="15" t="n"/>
      <c r="HGD93" s="15" t="n"/>
      <c r="HGE93" s="248" t="n"/>
      <c r="HGF93" s="248" t="n"/>
      <c r="HGG93" s="240" t="n"/>
      <c r="HGH93" s="240" t="n"/>
      <c r="HGJ93" s="15" t="n"/>
      <c r="HGK93" s="15" t="n"/>
      <c r="HGL93" s="248" t="n"/>
      <c r="HGM93" s="248" t="n"/>
      <c r="HGN93" s="240" t="n"/>
      <c r="HGO93" s="240" t="n"/>
      <c r="HGQ93" s="15" t="n"/>
      <c r="HGR93" s="15" t="n"/>
      <c r="HGS93" s="248" t="n"/>
      <c r="HGT93" s="248" t="n"/>
      <c r="HGU93" s="240" t="n"/>
      <c r="HGV93" s="240" t="n"/>
      <c r="HGX93" s="15" t="n"/>
      <c r="HGY93" s="15" t="n"/>
      <c r="HGZ93" s="248" t="n"/>
      <c r="HHA93" s="248" t="n"/>
      <c r="HHB93" s="240" t="n"/>
      <c r="HHC93" s="240" t="n"/>
      <c r="HHE93" s="15" t="n"/>
      <c r="HHF93" s="15" t="n"/>
      <c r="HHG93" s="248" t="n"/>
      <c r="HHH93" s="248" t="n"/>
      <c r="HHI93" s="240" t="n"/>
      <c r="HHJ93" s="240" t="n"/>
      <c r="HHL93" s="15" t="n"/>
      <c r="HHM93" s="15" t="n"/>
      <c r="HHN93" s="248" t="n"/>
      <c r="HHO93" s="248" t="n"/>
      <c r="HHP93" s="240" t="n"/>
      <c r="HHQ93" s="240" t="n"/>
      <c r="HHS93" s="15" t="n"/>
      <c r="HHT93" s="15" t="n"/>
      <c r="HHU93" s="248" t="n"/>
      <c r="HHV93" s="248" t="n"/>
      <c r="HHW93" s="240" t="n"/>
      <c r="HHX93" s="240" t="n"/>
      <c r="HHZ93" s="15" t="n"/>
      <c r="HIA93" s="15" t="n"/>
      <c r="HIB93" s="248" t="n"/>
      <c r="HIC93" s="248" t="n"/>
      <c r="HID93" s="240" t="n"/>
      <c r="HIE93" s="240" t="n"/>
      <c r="HIG93" s="15" t="n"/>
      <c r="HIH93" s="15" t="n"/>
      <c r="HII93" s="248" t="n"/>
      <c r="HIJ93" s="248" t="n"/>
      <c r="HIK93" s="240" t="n"/>
      <c r="HIL93" s="240" t="n"/>
      <c r="HIN93" s="15" t="n"/>
      <c r="HIO93" s="15" t="n"/>
      <c r="HIP93" s="248" t="n"/>
      <c r="HIQ93" s="248" t="n"/>
      <c r="HIR93" s="240" t="n"/>
      <c r="HIS93" s="240" t="n"/>
      <c r="HIU93" s="15" t="n"/>
      <c r="HIV93" s="15" t="n"/>
      <c r="HIW93" s="248" t="n"/>
      <c r="HIX93" s="248" t="n"/>
      <c r="HIY93" s="240" t="n"/>
      <c r="HIZ93" s="240" t="n"/>
      <c r="HJB93" s="15" t="n"/>
      <c r="HJC93" s="15" t="n"/>
      <c r="HJD93" s="248" t="n"/>
      <c r="HJE93" s="248" t="n"/>
      <c r="HJF93" s="240" t="n"/>
      <c r="HJG93" s="240" t="n"/>
      <c r="HJI93" s="15" t="n"/>
      <c r="HJJ93" s="15" t="n"/>
      <c r="HJK93" s="248" t="n"/>
      <c r="HJL93" s="248" t="n"/>
      <c r="HJM93" s="240" t="n"/>
      <c r="HJN93" s="240" t="n"/>
      <c r="HJP93" s="15" t="n"/>
      <c r="HJQ93" s="15" t="n"/>
      <c r="HJR93" s="248" t="n"/>
      <c r="HJS93" s="248" t="n"/>
      <c r="HJT93" s="240" t="n"/>
      <c r="HJU93" s="240" t="n"/>
      <c r="HJW93" s="15" t="n"/>
      <c r="HJX93" s="15" t="n"/>
      <c r="HJY93" s="248" t="n"/>
      <c r="HJZ93" s="248" t="n"/>
      <c r="HKA93" s="240" t="n"/>
      <c r="HKB93" s="240" t="n"/>
      <c r="HKD93" s="15" t="n"/>
      <c r="HKE93" s="15" t="n"/>
      <c r="HKF93" s="248" t="n"/>
      <c r="HKG93" s="248" t="n"/>
      <c r="HKH93" s="240" t="n"/>
      <c r="HKI93" s="240" t="n"/>
      <c r="HKK93" s="15" t="n"/>
      <c r="HKL93" s="15" t="n"/>
      <c r="HKM93" s="248" t="n"/>
      <c r="HKN93" s="248" t="n"/>
      <c r="HKO93" s="240" t="n"/>
      <c r="HKP93" s="240" t="n"/>
      <c r="HKR93" s="15" t="n"/>
      <c r="HKS93" s="15" t="n"/>
      <c r="HKT93" s="248" t="n"/>
      <c r="HKU93" s="248" t="n"/>
      <c r="HKV93" s="240" t="n"/>
      <c r="HKW93" s="240" t="n"/>
      <c r="HKY93" s="15" t="n"/>
      <c r="HKZ93" s="15" t="n"/>
      <c r="HLA93" s="248" t="n"/>
      <c r="HLB93" s="248" t="n"/>
      <c r="HLC93" s="240" t="n"/>
      <c r="HLD93" s="240" t="n"/>
      <c r="HLF93" s="15" t="n"/>
      <c r="HLG93" s="15" t="n"/>
      <c r="HLH93" s="248" t="n"/>
      <c r="HLI93" s="248" t="n"/>
      <c r="HLJ93" s="240" t="n"/>
      <c r="HLK93" s="240" t="n"/>
      <c r="HLM93" s="15" t="n"/>
      <c r="HLN93" s="15" t="n"/>
      <c r="HLO93" s="248" t="n"/>
      <c r="HLP93" s="248" t="n"/>
      <c r="HLQ93" s="240" t="n"/>
      <c r="HLR93" s="240" t="n"/>
      <c r="HLT93" s="15" t="n"/>
      <c r="HLU93" s="15" t="n"/>
      <c r="HLV93" s="248" t="n"/>
      <c r="HLW93" s="248" t="n"/>
      <c r="HLX93" s="240" t="n"/>
      <c r="HLY93" s="240" t="n"/>
      <c r="HMA93" s="15" t="n"/>
      <c r="HMB93" s="15" t="n"/>
      <c r="HMC93" s="248" t="n"/>
      <c r="HMD93" s="248" t="n"/>
      <c r="HME93" s="240" t="n"/>
      <c r="HMF93" s="240" t="n"/>
      <c r="HMH93" s="15" t="n"/>
      <c r="HMI93" s="15" t="n"/>
      <c r="HMJ93" s="248" t="n"/>
      <c r="HMK93" s="248" t="n"/>
      <c r="HML93" s="240" t="n"/>
      <c r="HMM93" s="240" t="n"/>
      <c r="HMO93" s="15" t="n"/>
      <c r="HMP93" s="15" t="n"/>
      <c r="HMQ93" s="248" t="n"/>
      <c r="HMR93" s="248" t="n"/>
      <c r="HMS93" s="240" t="n"/>
      <c r="HMT93" s="240" t="n"/>
      <c r="HMV93" s="15" t="n"/>
      <c r="HMW93" s="15" t="n"/>
      <c r="HMX93" s="248" t="n"/>
      <c r="HMY93" s="248" t="n"/>
      <c r="HMZ93" s="240" t="n"/>
      <c r="HNA93" s="240" t="n"/>
      <c r="HNC93" s="15" t="n"/>
      <c r="HND93" s="15" t="n"/>
      <c r="HNE93" s="248" t="n"/>
      <c r="HNF93" s="248" t="n"/>
      <c r="HNG93" s="240" t="n"/>
      <c r="HNH93" s="240" t="n"/>
      <c r="HNJ93" s="15" t="n"/>
      <c r="HNK93" s="15" t="n"/>
      <c r="HNL93" s="248" t="n"/>
      <c r="HNM93" s="248" t="n"/>
      <c r="HNN93" s="240" t="n"/>
      <c r="HNO93" s="240" t="n"/>
      <c r="HNQ93" s="15" t="n"/>
      <c r="HNR93" s="15" t="n"/>
      <c r="HNS93" s="248" t="n"/>
      <c r="HNT93" s="248" t="n"/>
      <c r="HNU93" s="240" t="n"/>
      <c r="HNV93" s="240" t="n"/>
      <c r="HNX93" s="15" t="n"/>
      <c r="HNY93" s="15" t="n"/>
      <c r="HNZ93" s="248" t="n"/>
      <c r="HOA93" s="248" t="n"/>
      <c r="HOB93" s="240" t="n"/>
      <c r="HOC93" s="240" t="n"/>
      <c r="HOE93" s="15" t="n"/>
      <c r="HOF93" s="15" t="n"/>
      <c r="HOG93" s="248" t="n"/>
      <c r="HOH93" s="248" t="n"/>
      <c r="HOI93" s="240" t="n"/>
      <c r="HOJ93" s="240" t="n"/>
      <c r="HOL93" s="15" t="n"/>
      <c r="HOM93" s="15" t="n"/>
      <c r="HON93" s="248" t="n"/>
      <c r="HOO93" s="248" t="n"/>
      <c r="HOP93" s="240" t="n"/>
      <c r="HOQ93" s="240" t="n"/>
      <c r="HOS93" s="15" t="n"/>
      <c r="HOT93" s="15" t="n"/>
      <c r="HOU93" s="248" t="n"/>
      <c r="HOV93" s="248" t="n"/>
      <c r="HOW93" s="240" t="n"/>
      <c r="HOX93" s="240" t="n"/>
      <c r="HOZ93" s="15" t="n"/>
      <c r="HPA93" s="15" t="n"/>
      <c r="HPB93" s="248" t="n"/>
      <c r="HPC93" s="248" t="n"/>
      <c r="HPD93" s="240" t="n"/>
      <c r="HPE93" s="240" t="n"/>
      <c r="HPG93" s="15" t="n"/>
      <c r="HPH93" s="15" t="n"/>
      <c r="HPI93" s="248" t="n"/>
      <c r="HPJ93" s="248" t="n"/>
      <c r="HPK93" s="240" t="n"/>
      <c r="HPL93" s="240" t="n"/>
      <c r="HPN93" s="15" t="n"/>
      <c r="HPO93" s="15" t="n"/>
      <c r="HPP93" s="248" t="n"/>
      <c r="HPQ93" s="248" t="n"/>
      <c r="HPR93" s="240" t="n"/>
      <c r="HPS93" s="240" t="n"/>
      <c r="HPU93" s="15" t="n"/>
      <c r="HPV93" s="15" t="n"/>
      <c r="HPW93" s="248" t="n"/>
      <c r="HPX93" s="248" t="n"/>
      <c r="HPY93" s="240" t="n"/>
      <c r="HPZ93" s="240" t="n"/>
      <c r="HQB93" s="15" t="n"/>
      <c r="HQC93" s="15" t="n"/>
      <c r="HQD93" s="248" t="n"/>
      <c r="HQE93" s="248" t="n"/>
      <c r="HQF93" s="240" t="n"/>
      <c r="HQG93" s="240" t="n"/>
      <c r="HQI93" s="15" t="n"/>
      <c r="HQJ93" s="15" t="n"/>
      <c r="HQK93" s="248" t="n"/>
      <c r="HQL93" s="248" t="n"/>
      <c r="HQM93" s="240" t="n"/>
      <c r="HQN93" s="240" t="n"/>
      <c r="HQP93" s="15" t="n"/>
      <c r="HQQ93" s="15" t="n"/>
      <c r="HQR93" s="248" t="n"/>
      <c r="HQS93" s="248" t="n"/>
      <c r="HQT93" s="240" t="n"/>
      <c r="HQU93" s="240" t="n"/>
      <c r="HQW93" s="15" t="n"/>
      <c r="HQX93" s="15" t="n"/>
      <c r="HQY93" s="248" t="n"/>
      <c r="HQZ93" s="248" t="n"/>
      <c r="HRA93" s="240" t="n"/>
      <c r="HRB93" s="240" t="n"/>
      <c r="HRD93" s="15" t="n"/>
      <c r="HRE93" s="15" t="n"/>
      <c r="HRF93" s="248" t="n"/>
      <c r="HRG93" s="248" t="n"/>
      <c r="HRH93" s="240" t="n"/>
      <c r="HRI93" s="240" t="n"/>
      <c r="HRK93" s="15" t="n"/>
      <c r="HRL93" s="15" t="n"/>
      <c r="HRM93" s="248" t="n"/>
      <c r="HRN93" s="248" t="n"/>
      <c r="HRO93" s="240" t="n"/>
      <c r="HRP93" s="240" t="n"/>
      <c r="HRR93" s="15" t="n"/>
      <c r="HRS93" s="15" t="n"/>
      <c r="HRT93" s="248" t="n"/>
      <c r="HRU93" s="248" t="n"/>
      <c r="HRV93" s="240" t="n"/>
      <c r="HRW93" s="240" t="n"/>
      <c r="HRY93" s="15" t="n"/>
      <c r="HRZ93" s="15" t="n"/>
      <c r="HSA93" s="248" t="n"/>
      <c r="HSB93" s="248" t="n"/>
      <c r="HSC93" s="240" t="n"/>
      <c r="HSD93" s="240" t="n"/>
      <c r="HSF93" s="15" t="n"/>
      <c r="HSG93" s="15" t="n"/>
      <c r="HSH93" s="248" t="n"/>
      <c r="HSI93" s="248" t="n"/>
      <c r="HSJ93" s="240" t="n"/>
      <c r="HSK93" s="240" t="n"/>
      <c r="HSM93" s="15" t="n"/>
      <c r="HSN93" s="15" t="n"/>
      <c r="HSO93" s="248" t="n"/>
      <c r="HSP93" s="248" t="n"/>
      <c r="HSQ93" s="240" t="n"/>
      <c r="HSR93" s="240" t="n"/>
      <c r="HST93" s="15" t="n"/>
      <c r="HSU93" s="15" t="n"/>
      <c r="HSV93" s="248" t="n"/>
      <c r="HSW93" s="248" t="n"/>
      <c r="HSX93" s="240" t="n"/>
      <c r="HSY93" s="240" t="n"/>
      <c r="HTA93" s="15" t="n"/>
      <c r="HTB93" s="15" t="n"/>
      <c r="HTC93" s="248" t="n"/>
      <c r="HTD93" s="248" t="n"/>
      <c r="HTE93" s="240" t="n"/>
      <c r="HTF93" s="240" t="n"/>
      <c r="HTH93" s="15" t="n"/>
      <c r="HTI93" s="15" t="n"/>
      <c r="HTJ93" s="248" t="n"/>
      <c r="HTK93" s="248" t="n"/>
      <c r="HTL93" s="240" t="n"/>
      <c r="HTM93" s="240" t="n"/>
      <c r="HTO93" s="15" t="n"/>
      <c r="HTP93" s="15" t="n"/>
      <c r="HTQ93" s="248" t="n"/>
      <c r="HTR93" s="248" t="n"/>
      <c r="HTS93" s="240" t="n"/>
      <c r="HTT93" s="240" t="n"/>
      <c r="HTV93" s="15" t="n"/>
      <c r="HTW93" s="15" t="n"/>
      <c r="HTX93" s="248" t="n"/>
      <c r="HTY93" s="248" t="n"/>
      <c r="HTZ93" s="240" t="n"/>
      <c r="HUA93" s="240" t="n"/>
      <c r="HUC93" s="15" t="n"/>
      <c r="HUD93" s="15" t="n"/>
      <c r="HUE93" s="248" t="n"/>
      <c r="HUF93" s="248" t="n"/>
      <c r="HUG93" s="240" t="n"/>
      <c r="HUH93" s="240" t="n"/>
      <c r="HUJ93" s="15" t="n"/>
      <c r="HUK93" s="15" t="n"/>
      <c r="HUL93" s="248" t="n"/>
      <c r="HUM93" s="248" t="n"/>
      <c r="HUN93" s="240" t="n"/>
      <c r="HUO93" s="240" t="n"/>
      <c r="HUQ93" s="15" t="n"/>
      <c r="HUR93" s="15" t="n"/>
      <c r="HUS93" s="248" t="n"/>
      <c r="HUT93" s="248" t="n"/>
      <c r="HUU93" s="240" t="n"/>
      <c r="HUV93" s="240" t="n"/>
      <c r="HUX93" s="15" t="n"/>
      <c r="HUY93" s="15" t="n"/>
      <c r="HUZ93" s="248" t="n"/>
      <c r="HVA93" s="248" t="n"/>
      <c r="HVB93" s="240" t="n"/>
      <c r="HVC93" s="240" t="n"/>
      <c r="HVE93" s="15" t="n"/>
      <c r="HVF93" s="15" t="n"/>
      <c r="HVG93" s="248" t="n"/>
      <c r="HVH93" s="248" t="n"/>
      <c r="HVI93" s="240" t="n"/>
      <c r="HVJ93" s="240" t="n"/>
      <c r="HVL93" s="15" t="n"/>
      <c r="HVM93" s="15" t="n"/>
      <c r="HVN93" s="248" t="n"/>
      <c r="HVO93" s="248" t="n"/>
      <c r="HVP93" s="240" t="n"/>
      <c r="HVQ93" s="240" t="n"/>
      <c r="HVS93" s="15" t="n"/>
      <c r="HVT93" s="15" t="n"/>
      <c r="HVU93" s="248" t="n"/>
      <c r="HVV93" s="248" t="n"/>
      <c r="HVW93" s="240" t="n"/>
      <c r="HVX93" s="240" t="n"/>
      <c r="HVZ93" s="15" t="n"/>
      <c r="HWA93" s="15" t="n"/>
      <c r="HWB93" s="248" t="n"/>
      <c r="HWC93" s="248" t="n"/>
      <c r="HWD93" s="240" t="n"/>
      <c r="HWE93" s="240" t="n"/>
      <c r="HWG93" s="15" t="n"/>
      <c r="HWH93" s="15" t="n"/>
      <c r="HWI93" s="248" t="n"/>
      <c r="HWJ93" s="248" t="n"/>
      <c r="HWK93" s="240" t="n"/>
      <c r="HWL93" s="240" t="n"/>
      <c r="HWN93" s="15" t="n"/>
      <c r="HWO93" s="15" t="n"/>
      <c r="HWP93" s="248" t="n"/>
      <c r="HWQ93" s="248" t="n"/>
      <c r="HWR93" s="240" t="n"/>
      <c r="HWS93" s="240" t="n"/>
      <c r="HWU93" s="15" t="n"/>
      <c r="HWV93" s="15" t="n"/>
      <c r="HWW93" s="248" t="n"/>
      <c r="HWX93" s="248" t="n"/>
      <c r="HWY93" s="240" t="n"/>
      <c r="HWZ93" s="240" t="n"/>
      <c r="HXB93" s="15" t="n"/>
      <c r="HXC93" s="15" t="n"/>
      <c r="HXD93" s="248" t="n"/>
      <c r="HXE93" s="248" t="n"/>
      <c r="HXF93" s="240" t="n"/>
      <c r="HXG93" s="240" t="n"/>
      <c r="HXI93" s="15" t="n"/>
      <c r="HXJ93" s="15" t="n"/>
      <c r="HXK93" s="248" t="n"/>
      <c r="HXL93" s="248" t="n"/>
      <c r="HXM93" s="240" t="n"/>
      <c r="HXN93" s="240" t="n"/>
      <c r="HXP93" s="15" t="n"/>
      <c r="HXQ93" s="15" t="n"/>
      <c r="HXR93" s="248" t="n"/>
      <c r="HXS93" s="248" t="n"/>
      <c r="HXT93" s="240" t="n"/>
      <c r="HXU93" s="240" t="n"/>
      <c r="HXW93" s="15" t="n"/>
      <c r="HXX93" s="15" t="n"/>
      <c r="HXY93" s="248" t="n"/>
      <c r="HXZ93" s="248" t="n"/>
      <c r="HYA93" s="240" t="n"/>
      <c r="HYB93" s="240" t="n"/>
      <c r="HYD93" s="15" t="n"/>
      <c r="HYE93" s="15" t="n"/>
      <c r="HYF93" s="248" t="n"/>
      <c r="HYG93" s="248" t="n"/>
      <c r="HYH93" s="240" t="n"/>
      <c r="HYI93" s="240" t="n"/>
      <c r="HYK93" s="15" t="n"/>
      <c r="HYL93" s="15" t="n"/>
      <c r="HYM93" s="248" t="n"/>
      <c r="HYN93" s="248" t="n"/>
      <c r="HYO93" s="240" t="n"/>
      <c r="HYP93" s="240" t="n"/>
      <c r="HYR93" s="15" t="n"/>
      <c r="HYS93" s="15" t="n"/>
      <c r="HYT93" s="248" t="n"/>
      <c r="HYU93" s="248" t="n"/>
      <c r="HYV93" s="240" t="n"/>
      <c r="HYW93" s="240" t="n"/>
      <c r="HYY93" s="15" t="n"/>
      <c r="HYZ93" s="15" t="n"/>
      <c r="HZA93" s="248" t="n"/>
      <c r="HZB93" s="248" t="n"/>
      <c r="HZC93" s="240" t="n"/>
      <c r="HZD93" s="240" t="n"/>
      <c r="HZF93" s="15" t="n"/>
      <c r="HZG93" s="15" t="n"/>
      <c r="HZH93" s="248" t="n"/>
      <c r="HZI93" s="248" t="n"/>
      <c r="HZJ93" s="240" t="n"/>
      <c r="HZK93" s="240" t="n"/>
      <c r="HZM93" s="15" t="n"/>
      <c r="HZN93" s="15" t="n"/>
      <c r="HZO93" s="248" t="n"/>
      <c r="HZP93" s="248" t="n"/>
      <c r="HZQ93" s="240" t="n"/>
      <c r="HZR93" s="240" t="n"/>
      <c r="HZT93" s="15" t="n"/>
      <c r="HZU93" s="15" t="n"/>
      <c r="HZV93" s="248" t="n"/>
      <c r="HZW93" s="248" t="n"/>
      <c r="HZX93" s="240" t="n"/>
      <c r="HZY93" s="240" t="n"/>
      <c r="IAA93" s="15" t="n"/>
      <c r="IAB93" s="15" t="n"/>
      <c r="IAC93" s="248" t="n"/>
      <c r="IAD93" s="248" t="n"/>
      <c r="IAE93" s="240" t="n"/>
      <c r="IAF93" s="240" t="n"/>
      <c r="IAH93" s="15" t="n"/>
      <c r="IAI93" s="15" t="n"/>
      <c r="IAJ93" s="248" t="n"/>
      <c r="IAK93" s="248" t="n"/>
      <c r="IAL93" s="240" t="n"/>
      <c r="IAM93" s="240" t="n"/>
      <c r="IAO93" s="15" t="n"/>
      <c r="IAP93" s="15" t="n"/>
      <c r="IAQ93" s="248" t="n"/>
      <c r="IAR93" s="248" t="n"/>
      <c r="IAS93" s="240" t="n"/>
      <c r="IAT93" s="240" t="n"/>
      <c r="IAV93" s="15" t="n"/>
      <c r="IAW93" s="15" t="n"/>
      <c r="IAX93" s="248" t="n"/>
      <c r="IAY93" s="248" t="n"/>
      <c r="IAZ93" s="240" t="n"/>
      <c r="IBA93" s="240" t="n"/>
      <c r="IBC93" s="15" t="n"/>
      <c r="IBD93" s="15" t="n"/>
      <c r="IBE93" s="248" t="n"/>
      <c r="IBF93" s="248" t="n"/>
      <c r="IBG93" s="240" t="n"/>
      <c r="IBH93" s="240" t="n"/>
      <c r="IBJ93" s="15" t="n"/>
      <c r="IBK93" s="15" t="n"/>
      <c r="IBL93" s="248" t="n"/>
      <c r="IBM93" s="248" t="n"/>
      <c r="IBN93" s="240" t="n"/>
      <c r="IBO93" s="240" t="n"/>
      <c r="IBQ93" s="15" t="n"/>
      <c r="IBR93" s="15" t="n"/>
      <c r="IBS93" s="248" t="n"/>
      <c r="IBT93" s="248" t="n"/>
      <c r="IBU93" s="240" t="n"/>
      <c r="IBV93" s="240" t="n"/>
      <c r="IBX93" s="15" t="n"/>
      <c r="IBY93" s="15" t="n"/>
      <c r="IBZ93" s="248" t="n"/>
      <c r="ICA93" s="248" t="n"/>
      <c r="ICB93" s="240" t="n"/>
      <c r="ICC93" s="240" t="n"/>
      <c r="ICE93" s="15" t="n"/>
      <c r="ICF93" s="15" t="n"/>
      <c r="ICG93" s="248" t="n"/>
      <c r="ICH93" s="248" t="n"/>
      <c r="ICI93" s="240" t="n"/>
      <c r="ICJ93" s="240" t="n"/>
      <c r="ICL93" s="15" t="n"/>
      <c r="ICM93" s="15" t="n"/>
      <c r="ICN93" s="248" t="n"/>
      <c r="ICO93" s="248" t="n"/>
      <c r="ICP93" s="240" t="n"/>
      <c r="ICQ93" s="240" t="n"/>
      <c r="ICS93" s="15" t="n"/>
      <c r="ICT93" s="15" t="n"/>
      <c r="ICU93" s="248" t="n"/>
      <c r="ICV93" s="248" t="n"/>
      <c r="ICW93" s="240" t="n"/>
      <c r="ICX93" s="240" t="n"/>
      <c r="ICZ93" s="15" t="n"/>
      <c r="IDA93" s="15" t="n"/>
      <c r="IDB93" s="248" t="n"/>
      <c r="IDC93" s="248" t="n"/>
      <c r="IDD93" s="240" t="n"/>
      <c r="IDE93" s="240" t="n"/>
      <c r="IDG93" s="15" t="n"/>
      <c r="IDH93" s="15" t="n"/>
      <c r="IDI93" s="248" t="n"/>
      <c r="IDJ93" s="248" t="n"/>
      <c r="IDK93" s="240" t="n"/>
      <c r="IDL93" s="240" t="n"/>
      <c r="IDN93" s="15" t="n"/>
      <c r="IDO93" s="15" t="n"/>
      <c r="IDP93" s="248" t="n"/>
      <c r="IDQ93" s="248" t="n"/>
      <c r="IDR93" s="240" t="n"/>
      <c r="IDS93" s="240" t="n"/>
      <c r="IDU93" s="15" t="n"/>
      <c r="IDV93" s="15" t="n"/>
      <c r="IDW93" s="248" t="n"/>
      <c r="IDX93" s="248" t="n"/>
      <c r="IDY93" s="240" t="n"/>
      <c r="IDZ93" s="240" t="n"/>
      <c r="IEB93" s="15" t="n"/>
      <c r="IEC93" s="15" t="n"/>
      <c r="IED93" s="248" t="n"/>
      <c r="IEE93" s="248" t="n"/>
      <c r="IEF93" s="240" t="n"/>
      <c r="IEG93" s="240" t="n"/>
      <c r="IEI93" s="15" t="n"/>
      <c r="IEJ93" s="15" t="n"/>
      <c r="IEK93" s="248" t="n"/>
      <c r="IEL93" s="248" t="n"/>
      <c r="IEM93" s="240" t="n"/>
      <c r="IEN93" s="240" t="n"/>
      <c r="IEP93" s="15" t="n"/>
      <c r="IEQ93" s="15" t="n"/>
      <c r="IER93" s="248" t="n"/>
      <c r="IES93" s="248" t="n"/>
      <c r="IET93" s="240" t="n"/>
      <c r="IEU93" s="240" t="n"/>
      <c r="IEW93" s="15" t="n"/>
      <c r="IEX93" s="15" t="n"/>
      <c r="IEY93" s="248" t="n"/>
      <c r="IEZ93" s="248" t="n"/>
      <c r="IFA93" s="240" t="n"/>
      <c r="IFB93" s="240" t="n"/>
      <c r="IFD93" s="15" t="n"/>
      <c r="IFE93" s="15" t="n"/>
      <c r="IFF93" s="248" t="n"/>
      <c r="IFG93" s="248" t="n"/>
      <c r="IFH93" s="240" t="n"/>
      <c r="IFI93" s="240" t="n"/>
      <c r="IFK93" s="15" t="n"/>
      <c r="IFL93" s="15" t="n"/>
      <c r="IFM93" s="248" t="n"/>
      <c r="IFN93" s="248" t="n"/>
      <c r="IFO93" s="240" t="n"/>
      <c r="IFP93" s="240" t="n"/>
      <c r="IFR93" s="15" t="n"/>
      <c r="IFS93" s="15" t="n"/>
      <c r="IFT93" s="248" t="n"/>
      <c r="IFU93" s="248" t="n"/>
      <c r="IFV93" s="240" t="n"/>
      <c r="IFW93" s="240" t="n"/>
      <c r="IFY93" s="15" t="n"/>
      <c r="IFZ93" s="15" t="n"/>
      <c r="IGA93" s="248" t="n"/>
      <c r="IGB93" s="248" t="n"/>
      <c r="IGC93" s="240" t="n"/>
      <c r="IGD93" s="240" t="n"/>
      <c r="IGF93" s="15" t="n"/>
      <c r="IGG93" s="15" t="n"/>
      <c r="IGH93" s="248" t="n"/>
      <c r="IGI93" s="248" t="n"/>
      <c r="IGJ93" s="240" t="n"/>
      <c r="IGK93" s="240" t="n"/>
      <c r="IGM93" s="15" t="n"/>
      <c r="IGN93" s="15" t="n"/>
      <c r="IGO93" s="248" t="n"/>
      <c r="IGP93" s="248" t="n"/>
      <c r="IGQ93" s="240" t="n"/>
      <c r="IGR93" s="240" t="n"/>
      <c r="IGT93" s="15" t="n"/>
      <c r="IGU93" s="15" t="n"/>
      <c r="IGV93" s="248" t="n"/>
      <c r="IGW93" s="248" t="n"/>
      <c r="IGX93" s="240" t="n"/>
      <c r="IGY93" s="240" t="n"/>
      <c r="IHA93" s="15" t="n"/>
      <c r="IHB93" s="15" t="n"/>
      <c r="IHC93" s="248" t="n"/>
      <c r="IHD93" s="248" t="n"/>
      <c r="IHE93" s="240" t="n"/>
      <c r="IHF93" s="240" t="n"/>
      <c r="IHH93" s="15" t="n"/>
      <c r="IHI93" s="15" t="n"/>
      <c r="IHJ93" s="248" t="n"/>
      <c r="IHK93" s="248" t="n"/>
      <c r="IHL93" s="240" t="n"/>
      <c r="IHM93" s="240" t="n"/>
      <c r="IHO93" s="15" t="n"/>
      <c r="IHP93" s="15" t="n"/>
      <c r="IHQ93" s="248" t="n"/>
      <c r="IHR93" s="248" t="n"/>
      <c r="IHS93" s="240" t="n"/>
      <c r="IHT93" s="240" t="n"/>
      <c r="IHV93" s="15" t="n"/>
      <c r="IHW93" s="15" t="n"/>
      <c r="IHX93" s="248" t="n"/>
      <c r="IHY93" s="248" t="n"/>
      <c r="IHZ93" s="240" t="n"/>
      <c r="IIA93" s="240" t="n"/>
      <c r="IIC93" s="15" t="n"/>
      <c r="IID93" s="15" t="n"/>
      <c r="IIE93" s="248" t="n"/>
      <c r="IIF93" s="248" t="n"/>
      <c r="IIG93" s="240" t="n"/>
      <c r="IIH93" s="240" t="n"/>
      <c r="IIJ93" s="15" t="n"/>
      <c r="IIK93" s="15" t="n"/>
      <c r="IIL93" s="248" t="n"/>
      <c r="IIM93" s="248" t="n"/>
      <c r="IIN93" s="240" t="n"/>
      <c r="IIO93" s="240" t="n"/>
      <c r="IIQ93" s="15" t="n"/>
      <c r="IIR93" s="15" t="n"/>
      <c r="IIS93" s="248" t="n"/>
      <c r="IIT93" s="248" t="n"/>
      <c r="IIU93" s="240" t="n"/>
      <c r="IIV93" s="240" t="n"/>
      <c r="IIX93" s="15" t="n"/>
      <c r="IIY93" s="15" t="n"/>
      <c r="IIZ93" s="248" t="n"/>
      <c r="IJA93" s="248" t="n"/>
      <c r="IJB93" s="240" t="n"/>
      <c r="IJC93" s="240" t="n"/>
      <c r="IJE93" s="15" t="n"/>
      <c r="IJF93" s="15" t="n"/>
      <c r="IJG93" s="248" t="n"/>
      <c r="IJH93" s="248" t="n"/>
      <c r="IJI93" s="240" t="n"/>
      <c r="IJJ93" s="240" t="n"/>
      <c r="IJL93" s="15" t="n"/>
      <c r="IJM93" s="15" t="n"/>
      <c r="IJN93" s="248" t="n"/>
      <c r="IJO93" s="248" t="n"/>
      <c r="IJP93" s="240" t="n"/>
      <c r="IJQ93" s="240" t="n"/>
      <c r="IJS93" s="15" t="n"/>
      <c r="IJT93" s="15" t="n"/>
      <c r="IJU93" s="248" t="n"/>
      <c r="IJV93" s="248" t="n"/>
      <c r="IJW93" s="240" t="n"/>
      <c r="IJX93" s="240" t="n"/>
      <c r="IJZ93" s="15" t="n"/>
      <c r="IKA93" s="15" t="n"/>
      <c r="IKB93" s="248" t="n"/>
      <c r="IKC93" s="248" t="n"/>
      <c r="IKD93" s="240" t="n"/>
      <c r="IKE93" s="240" t="n"/>
      <c r="IKG93" s="15" t="n"/>
      <c r="IKH93" s="15" t="n"/>
      <c r="IKI93" s="248" t="n"/>
      <c r="IKJ93" s="248" t="n"/>
      <c r="IKK93" s="240" t="n"/>
      <c r="IKL93" s="240" t="n"/>
      <c r="IKN93" s="15" t="n"/>
      <c r="IKO93" s="15" t="n"/>
      <c r="IKP93" s="248" t="n"/>
      <c r="IKQ93" s="248" t="n"/>
      <c r="IKR93" s="240" t="n"/>
      <c r="IKS93" s="240" t="n"/>
      <c r="IKU93" s="15" t="n"/>
      <c r="IKV93" s="15" t="n"/>
      <c r="IKW93" s="248" t="n"/>
      <c r="IKX93" s="248" t="n"/>
      <c r="IKY93" s="240" t="n"/>
      <c r="IKZ93" s="240" t="n"/>
      <c r="ILB93" s="15" t="n"/>
      <c r="ILC93" s="15" t="n"/>
      <c r="ILD93" s="248" t="n"/>
      <c r="ILE93" s="248" t="n"/>
      <c r="ILF93" s="240" t="n"/>
      <c r="ILG93" s="240" t="n"/>
      <c r="ILI93" s="15" t="n"/>
      <c r="ILJ93" s="15" t="n"/>
      <c r="ILK93" s="248" t="n"/>
      <c r="ILL93" s="248" t="n"/>
      <c r="ILM93" s="240" t="n"/>
      <c r="ILN93" s="240" t="n"/>
      <c r="ILP93" s="15" t="n"/>
      <c r="ILQ93" s="15" t="n"/>
      <c r="ILR93" s="248" t="n"/>
      <c r="ILS93" s="248" t="n"/>
      <c r="ILT93" s="240" t="n"/>
      <c r="ILU93" s="240" t="n"/>
      <c r="ILW93" s="15" t="n"/>
      <c r="ILX93" s="15" t="n"/>
      <c r="ILY93" s="248" t="n"/>
      <c r="ILZ93" s="248" t="n"/>
      <c r="IMA93" s="240" t="n"/>
      <c r="IMB93" s="240" t="n"/>
      <c r="IMD93" s="15" t="n"/>
      <c r="IME93" s="15" t="n"/>
      <c r="IMF93" s="248" t="n"/>
      <c r="IMG93" s="248" t="n"/>
      <c r="IMH93" s="240" t="n"/>
      <c r="IMI93" s="240" t="n"/>
      <c r="IMK93" s="15" t="n"/>
      <c r="IML93" s="15" t="n"/>
      <c r="IMM93" s="248" t="n"/>
      <c r="IMN93" s="248" t="n"/>
      <c r="IMO93" s="240" t="n"/>
      <c r="IMP93" s="240" t="n"/>
      <c r="IMR93" s="15" t="n"/>
      <c r="IMS93" s="15" t="n"/>
      <c r="IMT93" s="248" t="n"/>
      <c r="IMU93" s="248" t="n"/>
      <c r="IMV93" s="240" t="n"/>
      <c r="IMW93" s="240" t="n"/>
      <c r="IMY93" s="15" t="n"/>
      <c r="IMZ93" s="15" t="n"/>
      <c r="INA93" s="248" t="n"/>
      <c r="INB93" s="248" t="n"/>
      <c r="INC93" s="240" t="n"/>
      <c r="IND93" s="240" t="n"/>
      <c r="INF93" s="15" t="n"/>
      <c r="ING93" s="15" t="n"/>
      <c r="INH93" s="248" t="n"/>
      <c r="INI93" s="248" t="n"/>
      <c r="INJ93" s="240" t="n"/>
      <c r="INK93" s="240" t="n"/>
      <c r="INM93" s="15" t="n"/>
      <c r="INN93" s="15" t="n"/>
      <c r="INO93" s="248" t="n"/>
      <c r="INP93" s="248" t="n"/>
      <c r="INQ93" s="240" t="n"/>
      <c r="INR93" s="240" t="n"/>
      <c r="INT93" s="15" t="n"/>
      <c r="INU93" s="15" t="n"/>
      <c r="INV93" s="248" t="n"/>
      <c r="INW93" s="248" t="n"/>
      <c r="INX93" s="240" t="n"/>
      <c r="INY93" s="240" t="n"/>
      <c r="IOA93" s="15" t="n"/>
      <c r="IOB93" s="15" t="n"/>
      <c r="IOC93" s="248" t="n"/>
      <c r="IOD93" s="248" t="n"/>
      <c r="IOE93" s="240" t="n"/>
      <c r="IOF93" s="240" t="n"/>
      <c r="IOH93" s="15" t="n"/>
      <c r="IOI93" s="15" t="n"/>
      <c r="IOJ93" s="248" t="n"/>
      <c r="IOK93" s="248" t="n"/>
      <c r="IOL93" s="240" t="n"/>
      <c r="IOM93" s="240" t="n"/>
      <c r="IOO93" s="15" t="n"/>
      <c r="IOP93" s="15" t="n"/>
      <c r="IOQ93" s="248" t="n"/>
      <c r="IOR93" s="248" t="n"/>
      <c r="IOS93" s="240" t="n"/>
      <c r="IOT93" s="240" t="n"/>
      <c r="IOV93" s="15" t="n"/>
      <c r="IOW93" s="15" t="n"/>
      <c r="IOX93" s="248" t="n"/>
      <c r="IOY93" s="248" t="n"/>
      <c r="IOZ93" s="240" t="n"/>
      <c r="IPA93" s="240" t="n"/>
      <c r="IPC93" s="15" t="n"/>
      <c r="IPD93" s="15" t="n"/>
      <c r="IPE93" s="248" t="n"/>
      <c r="IPF93" s="248" t="n"/>
      <c r="IPG93" s="240" t="n"/>
      <c r="IPH93" s="240" t="n"/>
      <c r="IPJ93" s="15" t="n"/>
      <c r="IPK93" s="15" t="n"/>
      <c r="IPL93" s="248" t="n"/>
      <c r="IPM93" s="248" t="n"/>
      <c r="IPN93" s="240" t="n"/>
      <c r="IPO93" s="240" t="n"/>
      <c r="IPQ93" s="15" t="n"/>
      <c r="IPR93" s="15" t="n"/>
      <c r="IPS93" s="248" t="n"/>
      <c r="IPT93" s="248" t="n"/>
      <c r="IPU93" s="240" t="n"/>
      <c r="IPV93" s="240" t="n"/>
      <c r="IPX93" s="15" t="n"/>
      <c r="IPY93" s="15" t="n"/>
      <c r="IPZ93" s="248" t="n"/>
      <c r="IQA93" s="248" t="n"/>
      <c r="IQB93" s="240" t="n"/>
      <c r="IQC93" s="240" t="n"/>
      <c r="IQE93" s="15" t="n"/>
      <c r="IQF93" s="15" t="n"/>
      <c r="IQG93" s="248" t="n"/>
      <c r="IQH93" s="248" t="n"/>
      <c r="IQI93" s="240" t="n"/>
      <c r="IQJ93" s="240" t="n"/>
      <c r="IQL93" s="15" t="n"/>
      <c r="IQM93" s="15" t="n"/>
      <c r="IQN93" s="248" t="n"/>
      <c r="IQO93" s="248" t="n"/>
      <c r="IQP93" s="240" t="n"/>
      <c r="IQQ93" s="240" t="n"/>
      <c r="IQS93" s="15" t="n"/>
      <c r="IQT93" s="15" t="n"/>
      <c r="IQU93" s="248" t="n"/>
      <c r="IQV93" s="248" t="n"/>
      <c r="IQW93" s="240" t="n"/>
      <c r="IQX93" s="240" t="n"/>
      <c r="IQZ93" s="15" t="n"/>
      <c r="IRA93" s="15" t="n"/>
      <c r="IRB93" s="248" t="n"/>
      <c r="IRC93" s="248" t="n"/>
      <c r="IRD93" s="240" t="n"/>
      <c r="IRE93" s="240" t="n"/>
      <c r="IRG93" s="15" t="n"/>
      <c r="IRH93" s="15" t="n"/>
      <c r="IRI93" s="248" t="n"/>
      <c r="IRJ93" s="248" t="n"/>
      <c r="IRK93" s="240" t="n"/>
      <c r="IRL93" s="240" t="n"/>
      <c r="IRN93" s="15" t="n"/>
      <c r="IRO93" s="15" t="n"/>
      <c r="IRP93" s="248" t="n"/>
      <c r="IRQ93" s="248" t="n"/>
      <c r="IRR93" s="240" t="n"/>
      <c r="IRS93" s="240" t="n"/>
      <c r="IRU93" s="15" t="n"/>
      <c r="IRV93" s="15" t="n"/>
      <c r="IRW93" s="248" t="n"/>
      <c r="IRX93" s="248" t="n"/>
      <c r="IRY93" s="240" t="n"/>
      <c r="IRZ93" s="240" t="n"/>
      <c r="ISB93" s="15" t="n"/>
      <c r="ISC93" s="15" t="n"/>
      <c r="ISD93" s="248" t="n"/>
      <c r="ISE93" s="248" t="n"/>
      <c r="ISF93" s="240" t="n"/>
      <c r="ISG93" s="240" t="n"/>
      <c r="ISI93" s="15" t="n"/>
      <c r="ISJ93" s="15" t="n"/>
      <c r="ISK93" s="248" t="n"/>
      <c r="ISL93" s="248" t="n"/>
      <c r="ISM93" s="240" t="n"/>
      <c r="ISN93" s="240" t="n"/>
      <c r="ISP93" s="15" t="n"/>
      <c r="ISQ93" s="15" t="n"/>
      <c r="ISR93" s="248" t="n"/>
      <c r="ISS93" s="248" t="n"/>
      <c r="IST93" s="240" t="n"/>
      <c r="ISU93" s="240" t="n"/>
      <c r="ISW93" s="15" t="n"/>
      <c r="ISX93" s="15" t="n"/>
      <c r="ISY93" s="248" t="n"/>
      <c r="ISZ93" s="248" t="n"/>
      <c r="ITA93" s="240" t="n"/>
      <c r="ITB93" s="240" t="n"/>
      <c r="ITD93" s="15" t="n"/>
      <c r="ITE93" s="15" t="n"/>
      <c r="ITF93" s="248" t="n"/>
      <c r="ITG93" s="248" t="n"/>
      <c r="ITH93" s="240" t="n"/>
      <c r="ITI93" s="240" t="n"/>
      <c r="ITK93" s="15" t="n"/>
      <c r="ITL93" s="15" t="n"/>
      <c r="ITM93" s="248" t="n"/>
      <c r="ITN93" s="248" t="n"/>
      <c r="ITO93" s="240" t="n"/>
      <c r="ITP93" s="240" t="n"/>
      <c r="ITR93" s="15" t="n"/>
      <c r="ITS93" s="15" t="n"/>
      <c r="ITT93" s="248" t="n"/>
      <c r="ITU93" s="248" t="n"/>
      <c r="ITV93" s="240" t="n"/>
      <c r="ITW93" s="240" t="n"/>
      <c r="ITY93" s="15" t="n"/>
      <c r="ITZ93" s="15" t="n"/>
      <c r="IUA93" s="248" t="n"/>
      <c r="IUB93" s="248" t="n"/>
      <c r="IUC93" s="240" t="n"/>
      <c r="IUD93" s="240" t="n"/>
      <c r="IUF93" s="15" t="n"/>
      <c r="IUG93" s="15" t="n"/>
      <c r="IUH93" s="248" t="n"/>
      <c r="IUI93" s="248" t="n"/>
      <c r="IUJ93" s="240" t="n"/>
      <c r="IUK93" s="240" t="n"/>
      <c r="IUM93" s="15" t="n"/>
      <c r="IUN93" s="15" t="n"/>
      <c r="IUO93" s="248" t="n"/>
      <c r="IUP93" s="248" t="n"/>
      <c r="IUQ93" s="240" t="n"/>
      <c r="IUR93" s="240" t="n"/>
      <c r="IUT93" s="15" t="n"/>
      <c r="IUU93" s="15" t="n"/>
      <c r="IUV93" s="248" t="n"/>
      <c r="IUW93" s="248" t="n"/>
      <c r="IUX93" s="240" t="n"/>
      <c r="IUY93" s="240" t="n"/>
      <c r="IVA93" s="15" t="n"/>
      <c r="IVB93" s="15" t="n"/>
      <c r="IVC93" s="248" t="n"/>
      <c r="IVD93" s="248" t="n"/>
      <c r="IVE93" s="240" t="n"/>
      <c r="IVF93" s="240" t="n"/>
      <c r="IVH93" s="15" t="n"/>
      <c r="IVI93" s="15" t="n"/>
      <c r="IVJ93" s="248" t="n"/>
      <c r="IVK93" s="248" t="n"/>
      <c r="IVL93" s="240" t="n"/>
      <c r="IVM93" s="240" t="n"/>
      <c r="IVO93" s="15" t="n"/>
      <c r="IVP93" s="15" t="n"/>
      <c r="IVQ93" s="248" t="n"/>
      <c r="IVR93" s="248" t="n"/>
      <c r="IVS93" s="240" t="n"/>
      <c r="IVT93" s="240" t="n"/>
      <c r="IVV93" s="15" t="n"/>
      <c r="IVW93" s="15" t="n"/>
      <c r="IVX93" s="248" t="n"/>
      <c r="IVY93" s="248" t="n"/>
      <c r="IVZ93" s="240" t="n"/>
      <c r="IWA93" s="240" t="n"/>
      <c r="IWC93" s="15" t="n"/>
      <c r="IWD93" s="15" t="n"/>
      <c r="IWE93" s="248" t="n"/>
      <c r="IWF93" s="248" t="n"/>
      <c r="IWG93" s="240" t="n"/>
      <c r="IWH93" s="240" t="n"/>
      <c r="IWJ93" s="15" t="n"/>
      <c r="IWK93" s="15" t="n"/>
      <c r="IWL93" s="248" t="n"/>
      <c r="IWM93" s="248" t="n"/>
      <c r="IWN93" s="240" t="n"/>
      <c r="IWO93" s="240" t="n"/>
      <c r="IWQ93" s="15" t="n"/>
      <c r="IWR93" s="15" t="n"/>
      <c r="IWS93" s="248" t="n"/>
      <c r="IWT93" s="248" t="n"/>
      <c r="IWU93" s="240" t="n"/>
      <c r="IWV93" s="240" t="n"/>
      <c r="IWX93" s="15" t="n"/>
      <c r="IWY93" s="15" t="n"/>
      <c r="IWZ93" s="248" t="n"/>
      <c r="IXA93" s="248" t="n"/>
      <c r="IXB93" s="240" t="n"/>
      <c r="IXC93" s="240" t="n"/>
      <c r="IXE93" s="15" t="n"/>
      <c r="IXF93" s="15" t="n"/>
      <c r="IXG93" s="248" t="n"/>
      <c r="IXH93" s="248" t="n"/>
      <c r="IXI93" s="240" t="n"/>
      <c r="IXJ93" s="240" t="n"/>
      <c r="IXL93" s="15" t="n"/>
      <c r="IXM93" s="15" t="n"/>
      <c r="IXN93" s="248" t="n"/>
      <c r="IXO93" s="248" t="n"/>
      <c r="IXP93" s="240" t="n"/>
      <c r="IXQ93" s="240" t="n"/>
      <c r="IXS93" s="15" t="n"/>
      <c r="IXT93" s="15" t="n"/>
      <c r="IXU93" s="248" t="n"/>
      <c r="IXV93" s="248" t="n"/>
      <c r="IXW93" s="240" t="n"/>
      <c r="IXX93" s="240" t="n"/>
      <c r="IXZ93" s="15" t="n"/>
      <c r="IYA93" s="15" t="n"/>
      <c r="IYB93" s="248" t="n"/>
      <c r="IYC93" s="248" t="n"/>
      <c r="IYD93" s="240" t="n"/>
      <c r="IYE93" s="240" t="n"/>
      <c r="IYG93" s="15" t="n"/>
      <c r="IYH93" s="15" t="n"/>
      <c r="IYI93" s="248" t="n"/>
      <c r="IYJ93" s="248" t="n"/>
      <c r="IYK93" s="240" t="n"/>
      <c r="IYL93" s="240" t="n"/>
      <c r="IYN93" s="15" t="n"/>
      <c r="IYO93" s="15" t="n"/>
      <c r="IYP93" s="248" t="n"/>
      <c r="IYQ93" s="248" t="n"/>
      <c r="IYR93" s="240" t="n"/>
      <c r="IYS93" s="240" t="n"/>
      <c r="IYU93" s="15" t="n"/>
      <c r="IYV93" s="15" t="n"/>
      <c r="IYW93" s="248" t="n"/>
      <c r="IYX93" s="248" t="n"/>
      <c r="IYY93" s="240" t="n"/>
      <c r="IYZ93" s="240" t="n"/>
      <c r="IZB93" s="15" t="n"/>
      <c r="IZC93" s="15" t="n"/>
      <c r="IZD93" s="248" t="n"/>
      <c r="IZE93" s="248" t="n"/>
      <c r="IZF93" s="240" t="n"/>
      <c r="IZG93" s="240" t="n"/>
      <c r="IZI93" s="15" t="n"/>
      <c r="IZJ93" s="15" t="n"/>
      <c r="IZK93" s="248" t="n"/>
      <c r="IZL93" s="248" t="n"/>
      <c r="IZM93" s="240" t="n"/>
      <c r="IZN93" s="240" t="n"/>
      <c r="IZP93" s="15" t="n"/>
      <c r="IZQ93" s="15" t="n"/>
      <c r="IZR93" s="248" t="n"/>
      <c r="IZS93" s="248" t="n"/>
      <c r="IZT93" s="240" t="n"/>
      <c r="IZU93" s="240" t="n"/>
      <c r="IZW93" s="15" t="n"/>
      <c r="IZX93" s="15" t="n"/>
      <c r="IZY93" s="248" t="n"/>
      <c r="IZZ93" s="248" t="n"/>
      <c r="JAA93" s="240" t="n"/>
      <c r="JAB93" s="240" t="n"/>
      <c r="JAD93" s="15" t="n"/>
      <c r="JAE93" s="15" t="n"/>
      <c r="JAF93" s="248" t="n"/>
      <c r="JAG93" s="248" t="n"/>
      <c r="JAH93" s="240" t="n"/>
      <c r="JAI93" s="240" t="n"/>
      <c r="JAK93" s="15" t="n"/>
      <c r="JAL93" s="15" t="n"/>
      <c r="JAM93" s="248" t="n"/>
      <c r="JAN93" s="248" t="n"/>
      <c r="JAO93" s="240" t="n"/>
      <c r="JAP93" s="240" t="n"/>
      <c r="JAR93" s="15" t="n"/>
      <c r="JAS93" s="15" t="n"/>
      <c r="JAT93" s="248" t="n"/>
      <c r="JAU93" s="248" t="n"/>
      <c r="JAV93" s="240" t="n"/>
      <c r="JAW93" s="240" t="n"/>
      <c r="JAY93" s="15" t="n"/>
      <c r="JAZ93" s="15" t="n"/>
      <c r="JBA93" s="248" t="n"/>
      <c r="JBB93" s="248" t="n"/>
      <c r="JBC93" s="240" t="n"/>
      <c r="JBD93" s="240" t="n"/>
      <c r="JBF93" s="15" t="n"/>
      <c r="JBG93" s="15" t="n"/>
      <c r="JBH93" s="248" t="n"/>
      <c r="JBI93" s="248" t="n"/>
      <c r="JBJ93" s="240" t="n"/>
      <c r="JBK93" s="240" t="n"/>
      <c r="JBM93" s="15" t="n"/>
      <c r="JBN93" s="15" t="n"/>
      <c r="JBO93" s="248" t="n"/>
      <c r="JBP93" s="248" t="n"/>
      <c r="JBQ93" s="240" t="n"/>
      <c r="JBR93" s="240" t="n"/>
      <c r="JBT93" s="15" t="n"/>
      <c r="JBU93" s="15" t="n"/>
      <c r="JBV93" s="248" t="n"/>
      <c r="JBW93" s="248" t="n"/>
      <c r="JBX93" s="240" t="n"/>
      <c r="JBY93" s="240" t="n"/>
      <c r="JCA93" s="15" t="n"/>
      <c r="JCB93" s="15" t="n"/>
      <c r="JCC93" s="248" t="n"/>
      <c r="JCD93" s="248" t="n"/>
      <c r="JCE93" s="240" t="n"/>
      <c r="JCF93" s="240" t="n"/>
      <c r="JCH93" s="15" t="n"/>
      <c r="JCI93" s="15" t="n"/>
      <c r="JCJ93" s="248" t="n"/>
      <c r="JCK93" s="248" t="n"/>
      <c r="JCL93" s="240" t="n"/>
      <c r="JCM93" s="240" t="n"/>
      <c r="JCO93" s="15" t="n"/>
      <c r="JCP93" s="15" t="n"/>
      <c r="JCQ93" s="248" t="n"/>
      <c r="JCR93" s="248" t="n"/>
      <c r="JCS93" s="240" t="n"/>
      <c r="JCT93" s="240" t="n"/>
      <c r="JCV93" s="15" t="n"/>
      <c r="JCW93" s="15" t="n"/>
      <c r="JCX93" s="248" t="n"/>
      <c r="JCY93" s="248" t="n"/>
      <c r="JCZ93" s="240" t="n"/>
      <c r="JDA93" s="240" t="n"/>
      <c r="JDC93" s="15" t="n"/>
      <c r="JDD93" s="15" t="n"/>
      <c r="JDE93" s="248" t="n"/>
      <c r="JDF93" s="248" t="n"/>
      <c r="JDG93" s="240" t="n"/>
      <c r="JDH93" s="240" t="n"/>
      <c r="JDJ93" s="15" t="n"/>
      <c r="JDK93" s="15" t="n"/>
      <c r="JDL93" s="248" t="n"/>
      <c r="JDM93" s="248" t="n"/>
      <c r="JDN93" s="240" t="n"/>
      <c r="JDO93" s="240" t="n"/>
      <c r="JDQ93" s="15" t="n"/>
      <c r="JDR93" s="15" t="n"/>
      <c r="JDS93" s="248" t="n"/>
      <c r="JDT93" s="248" t="n"/>
      <c r="JDU93" s="240" t="n"/>
      <c r="JDV93" s="240" t="n"/>
      <c r="JDX93" s="15" t="n"/>
      <c r="JDY93" s="15" t="n"/>
      <c r="JDZ93" s="248" t="n"/>
      <c r="JEA93" s="248" t="n"/>
      <c r="JEB93" s="240" t="n"/>
      <c r="JEC93" s="240" t="n"/>
      <c r="JEE93" s="15" t="n"/>
      <c r="JEF93" s="15" t="n"/>
      <c r="JEG93" s="248" t="n"/>
      <c r="JEH93" s="248" t="n"/>
      <c r="JEI93" s="240" t="n"/>
      <c r="JEJ93" s="240" t="n"/>
      <c r="JEL93" s="15" t="n"/>
      <c r="JEM93" s="15" t="n"/>
      <c r="JEN93" s="248" t="n"/>
      <c r="JEO93" s="248" t="n"/>
      <c r="JEP93" s="240" t="n"/>
      <c r="JEQ93" s="240" t="n"/>
      <c r="JES93" s="15" t="n"/>
      <c r="JET93" s="15" t="n"/>
      <c r="JEU93" s="248" t="n"/>
      <c r="JEV93" s="248" t="n"/>
      <c r="JEW93" s="240" t="n"/>
      <c r="JEX93" s="240" t="n"/>
      <c r="JEZ93" s="15" t="n"/>
      <c r="JFA93" s="15" t="n"/>
      <c r="JFB93" s="248" t="n"/>
      <c r="JFC93" s="248" t="n"/>
      <c r="JFD93" s="240" t="n"/>
      <c r="JFE93" s="240" t="n"/>
      <c r="JFG93" s="15" t="n"/>
      <c r="JFH93" s="15" t="n"/>
      <c r="JFI93" s="248" t="n"/>
      <c r="JFJ93" s="248" t="n"/>
      <c r="JFK93" s="240" t="n"/>
      <c r="JFL93" s="240" t="n"/>
      <c r="JFN93" s="15" t="n"/>
      <c r="JFO93" s="15" t="n"/>
      <c r="JFP93" s="248" t="n"/>
      <c r="JFQ93" s="248" t="n"/>
      <c r="JFR93" s="240" t="n"/>
      <c r="JFS93" s="240" t="n"/>
      <c r="JFU93" s="15" t="n"/>
      <c r="JFV93" s="15" t="n"/>
      <c r="JFW93" s="248" t="n"/>
      <c r="JFX93" s="248" t="n"/>
      <c r="JFY93" s="240" t="n"/>
      <c r="JFZ93" s="240" t="n"/>
      <c r="JGB93" s="15" t="n"/>
      <c r="JGC93" s="15" t="n"/>
      <c r="JGD93" s="248" t="n"/>
      <c r="JGE93" s="248" t="n"/>
      <c r="JGF93" s="240" t="n"/>
      <c r="JGG93" s="240" t="n"/>
      <c r="JGI93" s="15" t="n"/>
      <c r="JGJ93" s="15" t="n"/>
      <c r="JGK93" s="248" t="n"/>
      <c r="JGL93" s="248" t="n"/>
      <c r="JGM93" s="240" t="n"/>
      <c r="JGN93" s="240" t="n"/>
      <c r="JGP93" s="15" t="n"/>
      <c r="JGQ93" s="15" t="n"/>
      <c r="JGR93" s="248" t="n"/>
      <c r="JGS93" s="248" t="n"/>
      <c r="JGT93" s="240" t="n"/>
      <c r="JGU93" s="240" t="n"/>
      <c r="JGW93" s="15" t="n"/>
      <c r="JGX93" s="15" t="n"/>
      <c r="JGY93" s="248" t="n"/>
      <c r="JGZ93" s="248" t="n"/>
      <c r="JHA93" s="240" t="n"/>
      <c r="JHB93" s="240" t="n"/>
      <c r="JHD93" s="15" t="n"/>
      <c r="JHE93" s="15" t="n"/>
      <c r="JHF93" s="248" t="n"/>
      <c r="JHG93" s="248" t="n"/>
      <c r="JHH93" s="240" t="n"/>
      <c r="JHI93" s="240" t="n"/>
      <c r="JHK93" s="15" t="n"/>
      <c r="JHL93" s="15" t="n"/>
      <c r="JHM93" s="248" t="n"/>
      <c r="JHN93" s="248" t="n"/>
      <c r="JHO93" s="240" t="n"/>
      <c r="JHP93" s="240" t="n"/>
      <c r="JHR93" s="15" t="n"/>
      <c r="JHS93" s="15" t="n"/>
      <c r="JHT93" s="248" t="n"/>
      <c r="JHU93" s="248" t="n"/>
      <c r="JHV93" s="240" t="n"/>
      <c r="JHW93" s="240" t="n"/>
      <c r="JHY93" s="15" t="n"/>
      <c r="JHZ93" s="15" t="n"/>
      <c r="JIA93" s="248" t="n"/>
      <c r="JIB93" s="248" t="n"/>
      <c r="JIC93" s="240" t="n"/>
      <c r="JID93" s="240" t="n"/>
      <c r="JIF93" s="15" t="n"/>
      <c r="JIG93" s="15" t="n"/>
      <c r="JIH93" s="248" t="n"/>
      <c r="JII93" s="248" t="n"/>
      <c r="JIJ93" s="240" t="n"/>
      <c r="JIK93" s="240" t="n"/>
      <c r="JIM93" s="15" t="n"/>
      <c r="JIN93" s="15" t="n"/>
      <c r="JIO93" s="248" t="n"/>
      <c r="JIP93" s="248" t="n"/>
      <c r="JIQ93" s="240" t="n"/>
      <c r="JIR93" s="240" t="n"/>
      <c r="JIT93" s="15" t="n"/>
      <c r="JIU93" s="15" t="n"/>
      <c r="JIV93" s="248" t="n"/>
      <c r="JIW93" s="248" t="n"/>
      <c r="JIX93" s="240" t="n"/>
      <c r="JIY93" s="240" t="n"/>
      <c r="JJA93" s="15" t="n"/>
      <c r="JJB93" s="15" t="n"/>
      <c r="JJC93" s="248" t="n"/>
      <c r="JJD93" s="248" t="n"/>
      <c r="JJE93" s="240" t="n"/>
      <c r="JJF93" s="240" t="n"/>
      <c r="JJH93" s="15" t="n"/>
      <c r="JJI93" s="15" t="n"/>
      <c r="JJJ93" s="248" t="n"/>
      <c r="JJK93" s="248" t="n"/>
      <c r="JJL93" s="240" t="n"/>
      <c r="JJM93" s="240" t="n"/>
      <c r="JJO93" s="15" t="n"/>
      <c r="JJP93" s="15" t="n"/>
      <c r="JJQ93" s="248" t="n"/>
      <c r="JJR93" s="248" t="n"/>
      <c r="JJS93" s="240" t="n"/>
      <c r="JJT93" s="240" t="n"/>
      <c r="JJV93" s="15" t="n"/>
      <c r="JJW93" s="15" t="n"/>
      <c r="JJX93" s="248" t="n"/>
      <c r="JJY93" s="248" t="n"/>
      <c r="JJZ93" s="240" t="n"/>
      <c r="JKA93" s="240" t="n"/>
      <c r="JKC93" s="15" t="n"/>
      <c r="JKD93" s="15" t="n"/>
      <c r="JKE93" s="248" t="n"/>
      <c r="JKF93" s="248" t="n"/>
      <c r="JKG93" s="240" t="n"/>
      <c r="JKH93" s="240" t="n"/>
      <c r="JKJ93" s="15" t="n"/>
      <c r="JKK93" s="15" t="n"/>
      <c r="JKL93" s="248" t="n"/>
      <c r="JKM93" s="248" t="n"/>
      <c r="JKN93" s="240" t="n"/>
      <c r="JKO93" s="240" t="n"/>
      <c r="JKQ93" s="15" t="n"/>
      <c r="JKR93" s="15" t="n"/>
      <c r="JKS93" s="248" t="n"/>
      <c r="JKT93" s="248" t="n"/>
      <c r="JKU93" s="240" t="n"/>
      <c r="JKV93" s="240" t="n"/>
      <c r="JKX93" s="15" t="n"/>
      <c r="JKY93" s="15" t="n"/>
      <c r="JKZ93" s="248" t="n"/>
      <c r="JLA93" s="248" t="n"/>
      <c r="JLB93" s="240" t="n"/>
      <c r="JLC93" s="240" t="n"/>
      <c r="JLE93" s="15" t="n"/>
      <c r="JLF93" s="15" t="n"/>
      <c r="JLG93" s="248" t="n"/>
      <c r="JLH93" s="248" t="n"/>
      <c r="JLI93" s="240" t="n"/>
      <c r="JLJ93" s="240" t="n"/>
      <c r="JLL93" s="15" t="n"/>
      <c r="JLM93" s="15" t="n"/>
      <c r="JLN93" s="248" t="n"/>
      <c r="JLO93" s="248" t="n"/>
      <c r="JLP93" s="240" t="n"/>
      <c r="JLQ93" s="240" t="n"/>
      <c r="JLS93" s="15" t="n"/>
      <c r="JLT93" s="15" t="n"/>
      <c r="JLU93" s="248" t="n"/>
      <c r="JLV93" s="248" t="n"/>
      <c r="JLW93" s="240" t="n"/>
      <c r="JLX93" s="240" t="n"/>
      <c r="JLZ93" s="15" t="n"/>
      <c r="JMA93" s="15" t="n"/>
      <c r="JMB93" s="248" t="n"/>
      <c r="JMC93" s="248" t="n"/>
      <c r="JMD93" s="240" t="n"/>
      <c r="JME93" s="240" t="n"/>
      <c r="JMG93" s="15" t="n"/>
      <c r="JMH93" s="15" t="n"/>
      <c r="JMI93" s="248" t="n"/>
      <c r="JMJ93" s="248" t="n"/>
      <c r="JMK93" s="240" t="n"/>
      <c r="JML93" s="240" t="n"/>
      <c r="JMN93" s="15" t="n"/>
      <c r="JMO93" s="15" t="n"/>
      <c r="JMP93" s="248" t="n"/>
      <c r="JMQ93" s="248" t="n"/>
      <c r="JMR93" s="240" t="n"/>
      <c r="JMS93" s="240" t="n"/>
      <c r="JMU93" s="15" t="n"/>
      <c r="JMV93" s="15" t="n"/>
      <c r="JMW93" s="248" t="n"/>
      <c r="JMX93" s="248" t="n"/>
      <c r="JMY93" s="240" t="n"/>
      <c r="JMZ93" s="240" t="n"/>
      <c r="JNB93" s="15" t="n"/>
      <c r="JNC93" s="15" t="n"/>
      <c r="JND93" s="248" t="n"/>
      <c r="JNE93" s="248" t="n"/>
      <c r="JNF93" s="240" t="n"/>
      <c r="JNG93" s="240" t="n"/>
      <c r="JNI93" s="15" t="n"/>
      <c r="JNJ93" s="15" t="n"/>
      <c r="JNK93" s="248" t="n"/>
      <c r="JNL93" s="248" t="n"/>
      <c r="JNM93" s="240" t="n"/>
      <c r="JNN93" s="240" t="n"/>
      <c r="JNP93" s="15" t="n"/>
      <c r="JNQ93" s="15" t="n"/>
      <c r="JNR93" s="248" t="n"/>
      <c r="JNS93" s="248" t="n"/>
      <c r="JNT93" s="240" t="n"/>
      <c r="JNU93" s="240" t="n"/>
      <c r="JNW93" s="15" t="n"/>
      <c r="JNX93" s="15" t="n"/>
      <c r="JNY93" s="248" t="n"/>
      <c r="JNZ93" s="248" t="n"/>
      <c r="JOA93" s="240" t="n"/>
      <c r="JOB93" s="240" t="n"/>
      <c r="JOD93" s="15" t="n"/>
      <c r="JOE93" s="15" t="n"/>
      <c r="JOF93" s="248" t="n"/>
      <c r="JOG93" s="248" t="n"/>
      <c r="JOH93" s="240" t="n"/>
      <c r="JOI93" s="240" t="n"/>
      <c r="JOK93" s="15" t="n"/>
      <c r="JOL93" s="15" t="n"/>
      <c r="JOM93" s="248" t="n"/>
      <c r="JON93" s="248" t="n"/>
      <c r="JOO93" s="240" t="n"/>
      <c r="JOP93" s="240" t="n"/>
      <c r="JOR93" s="15" t="n"/>
      <c r="JOS93" s="15" t="n"/>
      <c r="JOT93" s="248" t="n"/>
      <c r="JOU93" s="248" t="n"/>
      <c r="JOV93" s="240" t="n"/>
      <c r="JOW93" s="240" t="n"/>
      <c r="JOY93" s="15" t="n"/>
      <c r="JOZ93" s="15" t="n"/>
      <c r="JPA93" s="248" t="n"/>
      <c r="JPB93" s="248" t="n"/>
      <c r="JPC93" s="240" t="n"/>
      <c r="JPD93" s="240" t="n"/>
      <c r="JPF93" s="15" t="n"/>
      <c r="JPG93" s="15" t="n"/>
      <c r="JPH93" s="248" t="n"/>
      <c r="JPI93" s="248" t="n"/>
      <c r="JPJ93" s="240" t="n"/>
      <c r="JPK93" s="240" t="n"/>
      <c r="JPM93" s="15" t="n"/>
      <c r="JPN93" s="15" t="n"/>
      <c r="JPO93" s="248" t="n"/>
      <c r="JPP93" s="248" t="n"/>
      <c r="JPQ93" s="240" t="n"/>
      <c r="JPR93" s="240" t="n"/>
      <c r="JPT93" s="15" t="n"/>
      <c r="JPU93" s="15" t="n"/>
      <c r="JPV93" s="248" t="n"/>
      <c r="JPW93" s="248" t="n"/>
      <c r="JPX93" s="240" t="n"/>
      <c r="JPY93" s="240" t="n"/>
      <c r="JQA93" s="15" t="n"/>
      <c r="JQB93" s="15" t="n"/>
      <c r="JQC93" s="248" t="n"/>
      <c r="JQD93" s="248" t="n"/>
      <c r="JQE93" s="240" t="n"/>
      <c r="JQF93" s="240" t="n"/>
      <c r="JQH93" s="15" t="n"/>
      <c r="JQI93" s="15" t="n"/>
      <c r="JQJ93" s="248" t="n"/>
      <c r="JQK93" s="248" t="n"/>
      <c r="JQL93" s="240" t="n"/>
      <c r="JQM93" s="240" t="n"/>
      <c r="JQO93" s="15" t="n"/>
      <c r="JQP93" s="15" t="n"/>
      <c r="JQQ93" s="248" t="n"/>
      <c r="JQR93" s="248" t="n"/>
      <c r="JQS93" s="240" t="n"/>
      <c r="JQT93" s="240" t="n"/>
      <c r="JQV93" s="15" t="n"/>
      <c r="JQW93" s="15" t="n"/>
      <c r="JQX93" s="248" t="n"/>
      <c r="JQY93" s="248" t="n"/>
      <c r="JQZ93" s="240" t="n"/>
      <c r="JRA93" s="240" t="n"/>
      <c r="JRC93" s="15" t="n"/>
      <c r="JRD93" s="15" t="n"/>
      <c r="JRE93" s="248" t="n"/>
      <c r="JRF93" s="248" t="n"/>
      <c r="JRG93" s="240" t="n"/>
      <c r="JRH93" s="240" t="n"/>
      <c r="JRJ93" s="15" t="n"/>
      <c r="JRK93" s="15" t="n"/>
      <c r="JRL93" s="248" t="n"/>
      <c r="JRM93" s="248" t="n"/>
      <c r="JRN93" s="240" t="n"/>
      <c r="JRO93" s="240" t="n"/>
      <c r="JRQ93" s="15" t="n"/>
      <c r="JRR93" s="15" t="n"/>
      <c r="JRS93" s="248" t="n"/>
      <c r="JRT93" s="248" t="n"/>
      <c r="JRU93" s="240" t="n"/>
      <c r="JRV93" s="240" t="n"/>
      <c r="JRX93" s="15" t="n"/>
      <c r="JRY93" s="15" t="n"/>
      <c r="JRZ93" s="248" t="n"/>
      <c r="JSA93" s="248" t="n"/>
      <c r="JSB93" s="240" t="n"/>
      <c r="JSC93" s="240" t="n"/>
      <c r="JSE93" s="15" t="n"/>
      <c r="JSF93" s="15" t="n"/>
      <c r="JSG93" s="248" t="n"/>
      <c r="JSH93" s="248" t="n"/>
      <c r="JSI93" s="240" t="n"/>
      <c r="JSJ93" s="240" t="n"/>
      <c r="JSL93" s="15" t="n"/>
      <c r="JSM93" s="15" t="n"/>
      <c r="JSN93" s="248" t="n"/>
      <c r="JSO93" s="248" t="n"/>
      <c r="JSP93" s="240" t="n"/>
      <c r="JSQ93" s="240" t="n"/>
      <c r="JSS93" s="15" t="n"/>
      <c r="JST93" s="15" t="n"/>
      <c r="JSU93" s="248" t="n"/>
      <c r="JSV93" s="248" t="n"/>
      <c r="JSW93" s="240" t="n"/>
      <c r="JSX93" s="240" t="n"/>
      <c r="JSZ93" s="15" t="n"/>
      <c r="JTA93" s="15" t="n"/>
      <c r="JTB93" s="248" t="n"/>
      <c r="JTC93" s="248" t="n"/>
      <c r="JTD93" s="240" t="n"/>
      <c r="JTE93" s="240" t="n"/>
      <c r="JTG93" s="15" t="n"/>
      <c r="JTH93" s="15" t="n"/>
      <c r="JTI93" s="248" t="n"/>
      <c r="JTJ93" s="248" t="n"/>
      <c r="JTK93" s="240" t="n"/>
      <c r="JTL93" s="240" t="n"/>
      <c r="JTN93" s="15" t="n"/>
      <c r="JTO93" s="15" t="n"/>
      <c r="JTP93" s="248" t="n"/>
      <c r="JTQ93" s="248" t="n"/>
      <c r="JTR93" s="240" t="n"/>
      <c r="JTS93" s="240" t="n"/>
      <c r="JTU93" s="15" t="n"/>
      <c r="JTV93" s="15" t="n"/>
      <c r="JTW93" s="248" t="n"/>
      <c r="JTX93" s="248" t="n"/>
      <c r="JTY93" s="240" t="n"/>
      <c r="JTZ93" s="240" t="n"/>
      <c r="JUB93" s="15" t="n"/>
      <c r="JUC93" s="15" t="n"/>
      <c r="JUD93" s="248" t="n"/>
      <c r="JUE93" s="248" t="n"/>
      <c r="JUF93" s="240" t="n"/>
      <c r="JUG93" s="240" t="n"/>
      <c r="JUI93" s="15" t="n"/>
      <c r="JUJ93" s="15" t="n"/>
      <c r="JUK93" s="248" t="n"/>
      <c r="JUL93" s="248" t="n"/>
      <c r="JUM93" s="240" t="n"/>
      <c r="JUN93" s="240" t="n"/>
      <c r="JUP93" s="15" t="n"/>
      <c r="JUQ93" s="15" t="n"/>
      <c r="JUR93" s="248" t="n"/>
      <c r="JUS93" s="248" t="n"/>
      <c r="JUT93" s="240" t="n"/>
      <c r="JUU93" s="240" t="n"/>
      <c r="JUW93" s="15" t="n"/>
      <c r="JUX93" s="15" t="n"/>
      <c r="JUY93" s="248" t="n"/>
      <c r="JUZ93" s="248" t="n"/>
      <c r="JVA93" s="240" t="n"/>
      <c r="JVB93" s="240" t="n"/>
      <c r="JVD93" s="15" t="n"/>
      <c r="JVE93" s="15" t="n"/>
      <c r="JVF93" s="248" t="n"/>
      <c r="JVG93" s="248" t="n"/>
      <c r="JVH93" s="240" t="n"/>
      <c r="JVI93" s="240" t="n"/>
      <c r="JVK93" s="15" t="n"/>
      <c r="JVL93" s="15" t="n"/>
      <c r="JVM93" s="248" t="n"/>
      <c r="JVN93" s="248" t="n"/>
      <c r="JVO93" s="240" t="n"/>
      <c r="JVP93" s="240" t="n"/>
      <c r="JVR93" s="15" t="n"/>
      <c r="JVS93" s="15" t="n"/>
      <c r="JVT93" s="248" t="n"/>
      <c r="JVU93" s="248" t="n"/>
      <c r="JVV93" s="240" t="n"/>
      <c r="JVW93" s="240" t="n"/>
      <c r="JVY93" s="15" t="n"/>
      <c r="JVZ93" s="15" t="n"/>
      <c r="JWA93" s="248" t="n"/>
      <c r="JWB93" s="248" t="n"/>
      <c r="JWC93" s="240" t="n"/>
      <c r="JWD93" s="240" t="n"/>
      <c r="JWF93" s="15" t="n"/>
      <c r="JWG93" s="15" t="n"/>
      <c r="JWH93" s="248" t="n"/>
      <c r="JWI93" s="248" t="n"/>
      <c r="JWJ93" s="240" t="n"/>
      <c r="JWK93" s="240" t="n"/>
      <c r="JWM93" s="15" t="n"/>
      <c r="JWN93" s="15" t="n"/>
      <c r="JWO93" s="248" t="n"/>
      <c r="JWP93" s="248" t="n"/>
      <c r="JWQ93" s="240" t="n"/>
      <c r="JWR93" s="240" t="n"/>
      <c r="JWT93" s="15" t="n"/>
      <c r="JWU93" s="15" t="n"/>
      <c r="JWV93" s="248" t="n"/>
      <c r="JWW93" s="248" t="n"/>
      <c r="JWX93" s="240" t="n"/>
      <c r="JWY93" s="240" t="n"/>
      <c r="JXA93" s="15" t="n"/>
      <c r="JXB93" s="15" t="n"/>
      <c r="JXC93" s="248" t="n"/>
      <c r="JXD93" s="248" t="n"/>
      <c r="JXE93" s="240" t="n"/>
      <c r="JXF93" s="240" t="n"/>
      <c r="JXH93" s="15" t="n"/>
      <c r="JXI93" s="15" t="n"/>
      <c r="JXJ93" s="248" t="n"/>
      <c r="JXK93" s="248" t="n"/>
      <c r="JXL93" s="240" t="n"/>
      <c r="JXM93" s="240" t="n"/>
      <c r="JXO93" s="15" t="n"/>
      <c r="JXP93" s="15" t="n"/>
      <c r="JXQ93" s="248" t="n"/>
      <c r="JXR93" s="248" t="n"/>
      <c r="JXS93" s="240" t="n"/>
      <c r="JXT93" s="240" t="n"/>
      <c r="JXV93" s="15" t="n"/>
      <c r="JXW93" s="15" t="n"/>
      <c r="JXX93" s="248" t="n"/>
      <c r="JXY93" s="248" t="n"/>
      <c r="JXZ93" s="240" t="n"/>
      <c r="JYA93" s="240" t="n"/>
      <c r="JYC93" s="15" t="n"/>
      <c r="JYD93" s="15" t="n"/>
      <c r="JYE93" s="248" t="n"/>
      <c r="JYF93" s="248" t="n"/>
      <c r="JYG93" s="240" t="n"/>
      <c r="JYH93" s="240" t="n"/>
      <c r="JYJ93" s="15" t="n"/>
      <c r="JYK93" s="15" t="n"/>
      <c r="JYL93" s="248" t="n"/>
      <c r="JYM93" s="248" t="n"/>
      <c r="JYN93" s="240" t="n"/>
      <c r="JYO93" s="240" t="n"/>
      <c r="JYQ93" s="15" t="n"/>
      <c r="JYR93" s="15" t="n"/>
      <c r="JYS93" s="248" t="n"/>
      <c r="JYT93" s="248" t="n"/>
      <c r="JYU93" s="240" t="n"/>
      <c r="JYV93" s="240" t="n"/>
      <c r="JYX93" s="15" t="n"/>
      <c r="JYY93" s="15" t="n"/>
      <c r="JYZ93" s="248" t="n"/>
      <c r="JZA93" s="248" t="n"/>
      <c r="JZB93" s="240" t="n"/>
      <c r="JZC93" s="240" t="n"/>
      <c r="JZE93" s="15" t="n"/>
      <c r="JZF93" s="15" t="n"/>
      <c r="JZG93" s="248" t="n"/>
      <c r="JZH93" s="248" t="n"/>
      <c r="JZI93" s="240" t="n"/>
      <c r="JZJ93" s="240" t="n"/>
      <c r="JZL93" s="15" t="n"/>
      <c r="JZM93" s="15" t="n"/>
      <c r="JZN93" s="248" t="n"/>
      <c r="JZO93" s="248" t="n"/>
      <c r="JZP93" s="240" t="n"/>
      <c r="JZQ93" s="240" t="n"/>
      <c r="JZS93" s="15" t="n"/>
      <c r="JZT93" s="15" t="n"/>
      <c r="JZU93" s="248" t="n"/>
      <c r="JZV93" s="248" t="n"/>
      <c r="JZW93" s="240" t="n"/>
      <c r="JZX93" s="240" t="n"/>
      <c r="JZZ93" s="15" t="n"/>
      <c r="KAA93" s="15" t="n"/>
      <c r="KAB93" s="248" t="n"/>
      <c r="KAC93" s="248" t="n"/>
      <c r="KAD93" s="240" t="n"/>
      <c r="KAE93" s="240" t="n"/>
      <c r="KAG93" s="15" t="n"/>
      <c r="KAH93" s="15" t="n"/>
      <c r="KAI93" s="248" t="n"/>
      <c r="KAJ93" s="248" t="n"/>
      <c r="KAK93" s="240" t="n"/>
      <c r="KAL93" s="240" t="n"/>
      <c r="KAN93" s="15" t="n"/>
      <c r="KAO93" s="15" t="n"/>
      <c r="KAP93" s="248" t="n"/>
      <c r="KAQ93" s="248" t="n"/>
      <c r="KAR93" s="240" t="n"/>
      <c r="KAS93" s="240" t="n"/>
      <c r="KAU93" s="15" t="n"/>
      <c r="KAV93" s="15" t="n"/>
      <c r="KAW93" s="248" t="n"/>
      <c r="KAX93" s="248" t="n"/>
      <c r="KAY93" s="240" t="n"/>
      <c r="KAZ93" s="240" t="n"/>
      <c r="KBB93" s="15" t="n"/>
      <c r="KBC93" s="15" t="n"/>
      <c r="KBD93" s="248" t="n"/>
      <c r="KBE93" s="248" t="n"/>
      <c r="KBF93" s="240" t="n"/>
      <c r="KBG93" s="240" t="n"/>
      <c r="KBI93" s="15" t="n"/>
      <c r="KBJ93" s="15" t="n"/>
      <c r="KBK93" s="248" t="n"/>
      <c r="KBL93" s="248" t="n"/>
      <c r="KBM93" s="240" t="n"/>
      <c r="KBN93" s="240" t="n"/>
      <c r="KBP93" s="15" t="n"/>
      <c r="KBQ93" s="15" t="n"/>
      <c r="KBR93" s="248" t="n"/>
      <c r="KBS93" s="248" t="n"/>
      <c r="KBT93" s="240" t="n"/>
      <c r="KBU93" s="240" t="n"/>
      <c r="KBW93" s="15" t="n"/>
      <c r="KBX93" s="15" t="n"/>
      <c r="KBY93" s="248" t="n"/>
      <c r="KBZ93" s="248" t="n"/>
      <c r="KCA93" s="240" t="n"/>
      <c r="KCB93" s="240" t="n"/>
      <c r="KCD93" s="15" t="n"/>
      <c r="KCE93" s="15" t="n"/>
      <c r="KCF93" s="248" t="n"/>
      <c r="KCG93" s="248" t="n"/>
      <c r="KCH93" s="240" t="n"/>
      <c r="KCI93" s="240" t="n"/>
      <c r="KCK93" s="15" t="n"/>
      <c r="KCL93" s="15" t="n"/>
      <c r="KCM93" s="248" t="n"/>
      <c r="KCN93" s="248" t="n"/>
      <c r="KCO93" s="240" t="n"/>
      <c r="KCP93" s="240" t="n"/>
      <c r="KCR93" s="15" t="n"/>
      <c r="KCS93" s="15" t="n"/>
      <c r="KCT93" s="248" t="n"/>
      <c r="KCU93" s="248" t="n"/>
      <c r="KCV93" s="240" t="n"/>
      <c r="KCW93" s="240" t="n"/>
      <c r="KCY93" s="15" t="n"/>
      <c r="KCZ93" s="15" t="n"/>
      <c r="KDA93" s="248" t="n"/>
      <c r="KDB93" s="248" t="n"/>
      <c r="KDC93" s="240" t="n"/>
      <c r="KDD93" s="240" t="n"/>
      <c r="KDF93" s="15" t="n"/>
      <c r="KDG93" s="15" t="n"/>
      <c r="KDH93" s="248" t="n"/>
      <c r="KDI93" s="248" t="n"/>
      <c r="KDJ93" s="240" t="n"/>
      <c r="KDK93" s="240" t="n"/>
      <c r="KDM93" s="15" t="n"/>
      <c r="KDN93" s="15" t="n"/>
      <c r="KDO93" s="248" t="n"/>
      <c r="KDP93" s="248" t="n"/>
      <c r="KDQ93" s="240" t="n"/>
      <c r="KDR93" s="240" t="n"/>
      <c r="KDT93" s="15" t="n"/>
      <c r="KDU93" s="15" t="n"/>
      <c r="KDV93" s="248" t="n"/>
      <c r="KDW93" s="248" t="n"/>
      <c r="KDX93" s="240" t="n"/>
      <c r="KDY93" s="240" t="n"/>
      <c r="KEA93" s="15" t="n"/>
      <c r="KEB93" s="15" t="n"/>
      <c r="KEC93" s="248" t="n"/>
      <c r="KED93" s="248" t="n"/>
      <c r="KEE93" s="240" t="n"/>
      <c r="KEF93" s="240" t="n"/>
      <c r="KEH93" s="15" t="n"/>
      <c r="KEI93" s="15" t="n"/>
      <c r="KEJ93" s="248" t="n"/>
      <c r="KEK93" s="248" t="n"/>
      <c r="KEL93" s="240" t="n"/>
      <c r="KEM93" s="240" t="n"/>
      <c r="KEO93" s="15" t="n"/>
      <c r="KEP93" s="15" t="n"/>
      <c r="KEQ93" s="248" t="n"/>
      <c r="KER93" s="248" t="n"/>
      <c r="KES93" s="240" t="n"/>
      <c r="KET93" s="240" t="n"/>
      <c r="KEV93" s="15" t="n"/>
      <c r="KEW93" s="15" t="n"/>
      <c r="KEX93" s="248" t="n"/>
      <c r="KEY93" s="248" t="n"/>
      <c r="KEZ93" s="240" t="n"/>
      <c r="KFA93" s="240" t="n"/>
      <c r="KFC93" s="15" t="n"/>
      <c r="KFD93" s="15" t="n"/>
      <c r="KFE93" s="248" t="n"/>
      <c r="KFF93" s="248" t="n"/>
      <c r="KFG93" s="240" t="n"/>
      <c r="KFH93" s="240" t="n"/>
      <c r="KFJ93" s="15" t="n"/>
      <c r="KFK93" s="15" t="n"/>
      <c r="KFL93" s="248" t="n"/>
      <c r="KFM93" s="248" t="n"/>
      <c r="KFN93" s="240" t="n"/>
      <c r="KFO93" s="240" t="n"/>
      <c r="KFQ93" s="15" t="n"/>
      <c r="KFR93" s="15" t="n"/>
      <c r="KFS93" s="248" t="n"/>
      <c r="KFT93" s="248" t="n"/>
      <c r="KFU93" s="240" t="n"/>
      <c r="KFV93" s="240" t="n"/>
      <c r="KFX93" s="15" t="n"/>
      <c r="KFY93" s="15" t="n"/>
      <c r="KFZ93" s="248" t="n"/>
      <c r="KGA93" s="248" t="n"/>
      <c r="KGB93" s="240" t="n"/>
      <c r="KGC93" s="240" t="n"/>
      <c r="KGE93" s="15" t="n"/>
      <c r="KGF93" s="15" t="n"/>
      <c r="KGG93" s="248" t="n"/>
      <c r="KGH93" s="248" t="n"/>
      <c r="KGI93" s="240" t="n"/>
      <c r="KGJ93" s="240" t="n"/>
      <c r="KGL93" s="15" t="n"/>
      <c r="KGM93" s="15" t="n"/>
      <c r="KGN93" s="248" t="n"/>
      <c r="KGO93" s="248" t="n"/>
      <c r="KGP93" s="240" t="n"/>
      <c r="KGQ93" s="240" t="n"/>
      <c r="KGS93" s="15" t="n"/>
      <c r="KGT93" s="15" t="n"/>
      <c r="KGU93" s="248" t="n"/>
      <c r="KGV93" s="248" t="n"/>
      <c r="KGW93" s="240" t="n"/>
      <c r="KGX93" s="240" t="n"/>
      <c r="KGZ93" s="15" t="n"/>
      <c r="KHA93" s="15" t="n"/>
      <c r="KHB93" s="248" t="n"/>
      <c r="KHC93" s="248" t="n"/>
      <c r="KHD93" s="240" t="n"/>
      <c r="KHE93" s="240" t="n"/>
      <c r="KHG93" s="15" t="n"/>
      <c r="KHH93" s="15" t="n"/>
      <c r="KHI93" s="248" t="n"/>
      <c r="KHJ93" s="248" t="n"/>
      <c r="KHK93" s="240" t="n"/>
      <c r="KHL93" s="240" t="n"/>
      <c r="KHN93" s="15" t="n"/>
      <c r="KHO93" s="15" t="n"/>
      <c r="KHP93" s="248" t="n"/>
      <c r="KHQ93" s="248" t="n"/>
      <c r="KHR93" s="240" t="n"/>
      <c r="KHS93" s="240" t="n"/>
      <c r="KHU93" s="15" t="n"/>
      <c r="KHV93" s="15" t="n"/>
      <c r="KHW93" s="248" t="n"/>
      <c r="KHX93" s="248" t="n"/>
      <c r="KHY93" s="240" t="n"/>
      <c r="KHZ93" s="240" t="n"/>
      <c r="KIB93" s="15" t="n"/>
      <c r="KIC93" s="15" t="n"/>
      <c r="KID93" s="248" t="n"/>
      <c r="KIE93" s="248" t="n"/>
      <c r="KIF93" s="240" t="n"/>
      <c r="KIG93" s="240" t="n"/>
      <c r="KII93" s="15" t="n"/>
      <c r="KIJ93" s="15" t="n"/>
      <c r="KIK93" s="248" t="n"/>
      <c r="KIL93" s="248" t="n"/>
      <c r="KIM93" s="240" t="n"/>
      <c r="KIN93" s="240" t="n"/>
      <c r="KIP93" s="15" t="n"/>
      <c r="KIQ93" s="15" t="n"/>
      <c r="KIR93" s="248" t="n"/>
      <c r="KIS93" s="248" t="n"/>
      <c r="KIT93" s="240" t="n"/>
      <c r="KIU93" s="240" t="n"/>
      <c r="KIW93" s="15" t="n"/>
      <c r="KIX93" s="15" t="n"/>
      <c r="KIY93" s="248" t="n"/>
      <c r="KIZ93" s="248" t="n"/>
      <c r="KJA93" s="240" t="n"/>
      <c r="KJB93" s="240" t="n"/>
      <c r="KJD93" s="15" t="n"/>
      <c r="KJE93" s="15" t="n"/>
      <c r="KJF93" s="248" t="n"/>
      <c r="KJG93" s="248" t="n"/>
      <c r="KJH93" s="240" t="n"/>
      <c r="KJI93" s="240" t="n"/>
      <c r="KJK93" s="15" t="n"/>
      <c r="KJL93" s="15" t="n"/>
      <c r="KJM93" s="248" t="n"/>
      <c r="KJN93" s="248" t="n"/>
      <c r="KJO93" s="240" t="n"/>
      <c r="KJP93" s="240" t="n"/>
      <c r="KJR93" s="15" t="n"/>
      <c r="KJS93" s="15" t="n"/>
      <c r="KJT93" s="248" t="n"/>
      <c r="KJU93" s="248" t="n"/>
      <c r="KJV93" s="240" t="n"/>
      <c r="KJW93" s="240" t="n"/>
      <c r="KJY93" s="15" t="n"/>
      <c r="KJZ93" s="15" t="n"/>
      <c r="KKA93" s="248" t="n"/>
      <c r="KKB93" s="248" t="n"/>
      <c r="KKC93" s="240" t="n"/>
      <c r="KKD93" s="240" t="n"/>
      <c r="KKF93" s="15" t="n"/>
      <c r="KKG93" s="15" t="n"/>
      <c r="KKH93" s="248" t="n"/>
      <c r="KKI93" s="248" t="n"/>
      <c r="KKJ93" s="240" t="n"/>
      <c r="KKK93" s="240" t="n"/>
      <c r="KKM93" s="15" t="n"/>
      <c r="KKN93" s="15" t="n"/>
      <c r="KKO93" s="248" t="n"/>
      <c r="KKP93" s="248" t="n"/>
      <c r="KKQ93" s="240" t="n"/>
      <c r="KKR93" s="240" t="n"/>
      <c r="KKT93" s="15" t="n"/>
      <c r="KKU93" s="15" t="n"/>
      <c r="KKV93" s="248" t="n"/>
      <c r="KKW93" s="248" t="n"/>
      <c r="KKX93" s="240" t="n"/>
      <c r="KKY93" s="240" t="n"/>
      <c r="KLA93" s="15" t="n"/>
      <c r="KLB93" s="15" t="n"/>
      <c r="KLC93" s="248" t="n"/>
      <c r="KLD93" s="248" t="n"/>
      <c r="KLE93" s="240" t="n"/>
      <c r="KLF93" s="240" t="n"/>
      <c r="KLH93" s="15" t="n"/>
      <c r="KLI93" s="15" t="n"/>
      <c r="KLJ93" s="248" t="n"/>
      <c r="KLK93" s="248" t="n"/>
      <c r="KLL93" s="240" t="n"/>
      <c r="KLM93" s="240" t="n"/>
      <c r="KLO93" s="15" t="n"/>
      <c r="KLP93" s="15" t="n"/>
      <c r="KLQ93" s="248" t="n"/>
      <c r="KLR93" s="248" t="n"/>
      <c r="KLS93" s="240" t="n"/>
      <c r="KLT93" s="240" t="n"/>
      <c r="KLV93" s="15" t="n"/>
      <c r="KLW93" s="15" t="n"/>
      <c r="KLX93" s="248" t="n"/>
      <c r="KLY93" s="248" t="n"/>
      <c r="KLZ93" s="240" t="n"/>
      <c r="KMA93" s="240" t="n"/>
      <c r="KMC93" s="15" t="n"/>
      <c r="KMD93" s="15" t="n"/>
      <c r="KME93" s="248" t="n"/>
      <c r="KMF93" s="248" t="n"/>
      <c r="KMG93" s="240" t="n"/>
      <c r="KMH93" s="240" t="n"/>
      <c r="KMJ93" s="15" t="n"/>
      <c r="KMK93" s="15" t="n"/>
      <c r="KML93" s="248" t="n"/>
      <c r="KMM93" s="248" t="n"/>
      <c r="KMN93" s="240" t="n"/>
      <c r="KMO93" s="240" t="n"/>
      <c r="KMQ93" s="15" t="n"/>
      <c r="KMR93" s="15" t="n"/>
      <c r="KMS93" s="248" t="n"/>
      <c r="KMT93" s="248" t="n"/>
      <c r="KMU93" s="240" t="n"/>
      <c r="KMV93" s="240" t="n"/>
      <c r="KMX93" s="15" t="n"/>
      <c r="KMY93" s="15" t="n"/>
      <c r="KMZ93" s="248" t="n"/>
      <c r="KNA93" s="248" t="n"/>
      <c r="KNB93" s="240" t="n"/>
      <c r="KNC93" s="240" t="n"/>
      <c r="KNE93" s="15" t="n"/>
      <c r="KNF93" s="15" t="n"/>
      <c r="KNG93" s="248" t="n"/>
      <c r="KNH93" s="248" t="n"/>
      <c r="KNI93" s="240" t="n"/>
      <c r="KNJ93" s="240" t="n"/>
      <c r="KNL93" s="15" t="n"/>
      <c r="KNM93" s="15" t="n"/>
      <c r="KNN93" s="248" t="n"/>
      <c r="KNO93" s="248" t="n"/>
      <c r="KNP93" s="240" t="n"/>
      <c r="KNQ93" s="240" t="n"/>
      <c r="KNS93" s="15" t="n"/>
      <c r="KNT93" s="15" t="n"/>
      <c r="KNU93" s="248" t="n"/>
      <c r="KNV93" s="248" t="n"/>
      <c r="KNW93" s="240" t="n"/>
      <c r="KNX93" s="240" t="n"/>
      <c r="KNZ93" s="15" t="n"/>
      <c r="KOA93" s="15" t="n"/>
      <c r="KOB93" s="248" t="n"/>
      <c r="KOC93" s="248" t="n"/>
      <c r="KOD93" s="240" t="n"/>
      <c r="KOE93" s="240" t="n"/>
      <c r="KOG93" s="15" t="n"/>
      <c r="KOH93" s="15" t="n"/>
      <c r="KOI93" s="248" t="n"/>
      <c r="KOJ93" s="248" t="n"/>
      <c r="KOK93" s="240" t="n"/>
      <c r="KOL93" s="240" t="n"/>
      <c r="KON93" s="15" t="n"/>
      <c r="KOO93" s="15" t="n"/>
      <c r="KOP93" s="248" t="n"/>
      <c r="KOQ93" s="248" t="n"/>
      <c r="KOR93" s="240" t="n"/>
      <c r="KOS93" s="240" t="n"/>
      <c r="KOU93" s="15" t="n"/>
      <c r="KOV93" s="15" t="n"/>
      <c r="KOW93" s="248" t="n"/>
      <c r="KOX93" s="248" t="n"/>
      <c r="KOY93" s="240" t="n"/>
      <c r="KOZ93" s="240" t="n"/>
      <c r="KPB93" s="15" t="n"/>
      <c r="KPC93" s="15" t="n"/>
      <c r="KPD93" s="248" t="n"/>
      <c r="KPE93" s="248" t="n"/>
      <c r="KPF93" s="240" t="n"/>
      <c r="KPG93" s="240" t="n"/>
      <c r="KPI93" s="15" t="n"/>
      <c r="KPJ93" s="15" t="n"/>
      <c r="KPK93" s="248" t="n"/>
      <c r="KPL93" s="248" t="n"/>
      <c r="KPM93" s="240" t="n"/>
      <c r="KPN93" s="240" t="n"/>
      <c r="KPP93" s="15" t="n"/>
      <c r="KPQ93" s="15" t="n"/>
      <c r="KPR93" s="248" t="n"/>
      <c r="KPS93" s="248" t="n"/>
      <c r="KPT93" s="240" t="n"/>
      <c r="KPU93" s="240" t="n"/>
      <c r="KPW93" s="15" t="n"/>
      <c r="KPX93" s="15" t="n"/>
      <c r="KPY93" s="248" t="n"/>
      <c r="KPZ93" s="248" t="n"/>
      <c r="KQA93" s="240" t="n"/>
      <c r="KQB93" s="240" t="n"/>
      <c r="KQD93" s="15" t="n"/>
      <c r="KQE93" s="15" t="n"/>
      <c r="KQF93" s="248" t="n"/>
      <c r="KQG93" s="248" t="n"/>
      <c r="KQH93" s="240" t="n"/>
      <c r="KQI93" s="240" t="n"/>
      <c r="KQK93" s="15" t="n"/>
      <c r="KQL93" s="15" t="n"/>
      <c r="KQM93" s="248" t="n"/>
      <c r="KQN93" s="248" t="n"/>
      <c r="KQO93" s="240" t="n"/>
      <c r="KQP93" s="240" t="n"/>
      <c r="KQR93" s="15" t="n"/>
      <c r="KQS93" s="15" t="n"/>
      <c r="KQT93" s="248" t="n"/>
      <c r="KQU93" s="248" t="n"/>
      <c r="KQV93" s="240" t="n"/>
      <c r="KQW93" s="240" t="n"/>
      <c r="KQY93" s="15" t="n"/>
      <c r="KQZ93" s="15" t="n"/>
      <c r="KRA93" s="248" t="n"/>
      <c r="KRB93" s="248" t="n"/>
      <c r="KRC93" s="240" t="n"/>
      <c r="KRD93" s="240" t="n"/>
      <c r="KRF93" s="15" t="n"/>
      <c r="KRG93" s="15" t="n"/>
      <c r="KRH93" s="248" t="n"/>
      <c r="KRI93" s="248" t="n"/>
      <c r="KRJ93" s="240" t="n"/>
      <c r="KRK93" s="240" t="n"/>
      <c r="KRM93" s="15" t="n"/>
      <c r="KRN93" s="15" t="n"/>
      <c r="KRO93" s="248" t="n"/>
      <c r="KRP93" s="248" t="n"/>
      <c r="KRQ93" s="240" t="n"/>
      <c r="KRR93" s="240" t="n"/>
      <c r="KRT93" s="15" t="n"/>
      <c r="KRU93" s="15" t="n"/>
      <c r="KRV93" s="248" t="n"/>
      <c r="KRW93" s="248" t="n"/>
      <c r="KRX93" s="240" t="n"/>
      <c r="KRY93" s="240" t="n"/>
      <c r="KSA93" s="15" t="n"/>
      <c r="KSB93" s="15" t="n"/>
      <c r="KSC93" s="248" t="n"/>
      <c r="KSD93" s="248" t="n"/>
      <c r="KSE93" s="240" t="n"/>
      <c r="KSF93" s="240" t="n"/>
      <c r="KSH93" s="15" t="n"/>
      <c r="KSI93" s="15" t="n"/>
      <c r="KSJ93" s="248" t="n"/>
      <c r="KSK93" s="248" t="n"/>
      <c r="KSL93" s="240" t="n"/>
      <c r="KSM93" s="240" t="n"/>
      <c r="KSO93" s="15" t="n"/>
      <c r="KSP93" s="15" t="n"/>
      <c r="KSQ93" s="248" t="n"/>
      <c r="KSR93" s="248" t="n"/>
      <c r="KSS93" s="240" t="n"/>
      <c r="KST93" s="240" t="n"/>
      <c r="KSV93" s="15" t="n"/>
      <c r="KSW93" s="15" t="n"/>
      <c r="KSX93" s="248" t="n"/>
      <c r="KSY93" s="248" t="n"/>
      <c r="KSZ93" s="240" t="n"/>
      <c r="KTA93" s="240" t="n"/>
      <c r="KTC93" s="15" t="n"/>
      <c r="KTD93" s="15" t="n"/>
      <c r="KTE93" s="248" t="n"/>
      <c r="KTF93" s="248" t="n"/>
      <c r="KTG93" s="240" t="n"/>
      <c r="KTH93" s="240" t="n"/>
      <c r="KTJ93" s="15" t="n"/>
      <c r="KTK93" s="15" t="n"/>
      <c r="KTL93" s="248" t="n"/>
      <c r="KTM93" s="248" t="n"/>
      <c r="KTN93" s="240" t="n"/>
      <c r="KTO93" s="240" t="n"/>
      <c r="KTQ93" s="15" t="n"/>
      <c r="KTR93" s="15" t="n"/>
      <c r="KTS93" s="248" t="n"/>
      <c r="KTT93" s="248" t="n"/>
      <c r="KTU93" s="240" t="n"/>
      <c r="KTV93" s="240" t="n"/>
      <c r="KTX93" s="15" t="n"/>
      <c r="KTY93" s="15" t="n"/>
      <c r="KTZ93" s="248" t="n"/>
      <c r="KUA93" s="248" t="n"/>
      <c r="KUB93" s="240" t="n"/>
      <c r="KUC93" s="240" t="n"/>
      <c r="KUE93" s="15" t="n"/>
      <c r="KUF93" s="15" t="n"/>
      <c r="KUG93" s="248" t="n"/>
      <c r="KUH93" s="248" t="n"/>
      <c r="KUI93" s="240" t="n"/>
      <c r="KUJ93" s="240" t="n"/>
      <c r="KUL93" s="15" t="n"/>
      <c r="KUM93" s="15" t="n"/>
      <c r="KUN93" s="248" t="n"/>
      <c r="KUO93" s="248" t="n"/>
      <c r="KUP93" s="240" t="n"/>
      <c r="KUQ93" s="240" t="n"/>
      <c r="KUS93" s="15" t="n"/>
      <c r="KUT93" s="15" t="n"/>
      <c r="KUU93" s="248" t="n"/>
      <c r="KUV93" s="248" t="n"/>
      <c r="KUW93" s="240" t="n"/>
      <c r="KUX93" s="240" t="n"/>
      <c r="KUZ93" s="15" t="n"/>
      <c r="KVA93" s="15" t="n"/>
      <c r="KVB93" s="248" t="n"/>
      <c r="KVC93" s="248" t="n"/>
      <c r="KVD93" s="240" t="n"/>
      <c r="KVE93" s="240" t="n"/>
      <c r="KVG93" s="15" t="n"/>
      <c r="KVH93" s="15" t="n"/>
      <c r="KVI93" s="248" t="n"/>
      <c r="KVJ93" s="248" t="n"/>
      <c r="KVK93" s="240" t="n"/>
      <c r="KVL93" s="240" t="n"/>
      <c r="KVN93" s="15" t="n"/>
      <c r="KVO93" s="15" t="n"/>
      <c r="KVP93" s="248" t="n"/>
      <c r="KVQ93" s="248" t="n"/>
      <c r="KVR93" s="240" t="n"/>
      <c r="KVS93" s="240" t="n"/>
      <c r="KVU93" s="15" t="n"/>
      <c r="KVV93" s="15" t="n"/>
      <c r="KVW93" s="248" t="n"/>
      <c r="KVX93" s="248" t="n"/>
      <c r="KVY93" s="240" t="n"/>
      <c r="KVZ93" s="240" t="n"/>
      <c r="KWB93" s="15" t="n"/>
      <c r="KWC93" s="15" t="n"/>
      <c r="KWD93" s="248" t="n"/>
      <c r="KWE93" s="248" t="n"/>
      <c r="KWF93" s="240" t="n"/>
      <c r="KWG93" s="240" t="n"/>
      <c r="KWI93" s="15" t="n"/>
      <c r="KWJ93" s="15" t="n"/>
      <c r="KWK93" s="248" t="n"/>
      <c r="KWL93" s="248" t="n"/>
      <c r="KWM93" s="240" t="n"/>
      <c r="KWN93" s="240" t="n"/>
      <c r="KWP93" s="15" t="n"/>
      <c r="KWQ93" s="15" t="n"/>
      <c r="KWR93" s="248" t="n"/>
      <c r="KWS93" s="248" t="n"/>
      <c r="KWT93" s="240" t="n"/>
      <c r="KWU93" s="240" t="n"/>
      <c r="KWW93" s="15" t="n"/>
      <c r="KWX93" s="15" t="n"/>
      <c r="KWY93" s="248" t="n"/>
      <c r="KWZ93" s="248" t="n"/>
      <c r="KXA93" s="240" t="n"/>
      <c r="KXB93" s="240" t="n"/>
      <c r="KXD93" s="15" t="n"/>
      <c r="KXE93" s="15" t="n"/>
      <c r="KXF93" s="248" t="n"/>
      <c r="KXG93" s="248" t="n"/>
      <c r="KXH93" s="240" t="n"/>
      <c r="KXI93" s="240" t="n"/>
      <c r="KXK93" s="15" t="n"/>
      <c r="KXL93" s="15" t="n"/>
      <c r="KXM93" s="248" t="n"/>
      <c r="KXN93" s="248" t="n"/>
      <c r="KXO93" s="240" t="n"/>
      <c r="KXP93" s="240" t="n"/>
      <c r="KXR93" s="15" t="n"/>
      <c r="KXS93" s="15" t="n"/>
      <c r="KXT93" s="248" t="n"/>
      <c r="KXU93" s="248" t="n"/>
      <c r="KXV93" s="240" t="n"/>
      <c r="KXW93" s="240" t="n"/>
      <c r="KXY93" s="15" t="n"/>
      <c r="KXZ93" s="15" t="n"/>
      <c r="KYA93" s="248" t="n"/>
      <c r="KYB93" s="248" t="n"/>
      <c r="KYC93" s="240" t="n"/>
      <c r="KYD93" s="240" t="n"/>
      <c r="KYF93" s="15" t="n"/>
      <c r="KYG93" s="15" t="n"/>
      <c r="KYH93" s="248" t="n"/>
      <c r="KYI93" s="248" t="n"/>
      <c r="KYJ93" s="240" t="n"/>
      <c r="KYK93" s="240" t="n"/>
      <c r="KYM93" s="15" t="n"/>
      <c r="KYN93" s="15" t="n"/>
      <c r="KYO93" s="248" t="n"/>
      <c r="KYP93" s="248" t="n"/>
      <c r="KYQ93" s="240" t="n"/>
      <c r="KYR93" s="240" t="n"/>
      <c r="KYT93" s="15" t="n"/>
      <c r="KYU93" s="15" t="n"/>
      <c r="KYV93" s="248" t="n"/>
      <c r="KYW93" s="248" t="n"/>
      <c r="KYX93" s="240" t="n"/>
      <c r="KYY93" s="240" t="n"/>
      <c r="KZA93" s="15" t="n"/>
      <c r="KZB93" s="15" t="n"/>
      <c r="KZC93" s="248" t="n"/>
      <c r="KZD93" s="248" t="n"/>
      <c r="KZE93" s="240" t="n"/>
      <c r="KZF93" s="240" t="n"/>
      <c r="KZH93" s="15" t="n"/>
      <c r="KZI93" s="15" t="n"/>
      <c r="KZJ93" s="248" t="n"/>
      <c r="KZK93" s="248" t="n"/>
      <c r="KZL93" s="240" t="n"/>
      <c r="KZM93" s="240" t="n"/>
      <c r="KZO93" s="15" t="n"/>
      <c r="KZP93" s="15" t="n"/>
      <c r="KZQ93" s="248" t="n"/>
      <c r="KZR93" s="248" t="n"/>
      <c r="KZS93" s="240" t="n"/>
      <c r="KZT93" s="240" t="n"/>
      <c r="KZV93" s="15" t="n"/>
      <c r="KZW93" s="15" t="n"/>
      <c r="KZX93" s="248" t="n"/>
      <c r="KZY93" s="248" t="n"/>
      <c r="KZZ93" s="240" t="n"/>
      <c r="LAA93" s="240" t="n"/>
      <c r="LAC93" s="15" t="n"/>
      <c r="LAD93" s="15" t="n"/>
      <c r="LAE93" s="248" t="n"/>
      <c r="LAF93" s="248" t="n"/>
      <c r="LAG93" s="240" t="n"/>
      <c r="LAH93" s="240" t="n"/>
      <c r="LAJ93" s="15" t="n"/>
      <c r="LAK93" s="15" t="n"/>
      <c r="LAL93" s="248" t="n"/>
      <c r="LAM93" s="248" t="n"/>
      <c r="LAN93" s="240" t="n"/>
      <c r="LAO93" s="240" t="n"/>
      <c r="LAQ93" s="15" t="n"/>
      <c r="LAR93" s="15" t="n"/>
      <c r="LAS93" s="248" t="n"/>
      <c r="LAT93" s="248" t="n"/>
      <c r="LAU93" s="240" t="n"/>
      <c r="LAV93" s="240" t="n"/>
      <c r="LAX93" s="15" t="n"/>
      <c r="LAY93" s="15" t="n"/>
      <c r="LAZ93" s="248" t="n"/>
      <c r="LBA93" s="248" t="n"/>
      <c r="LBB93" s="240" t="n"/>
      <c r="LBC93" s="240" t="n"/>
      <c r="LBE93" s="15" t="n"/>
      <c r="LBF93" s="15" t="n"/>
      <c r="LBG93" s="248" t="n"/>
      <c r="LBH93" s="248" t="n"/>
      <c r="LBI93" s="240" t="n"/>
      <c r="LBJ93" s="240" t="n"/>
      <c r="LBL93" s="15" t="n"/>
      <c r="LBM93" s="15" t="n"/>
      <c r="LBN93" s="248" t="n"/>
      <c r="LBO93" s="248" t="n"/>
      <c r="LBP93" s="240" t="n"/>
      <c r="LBQ93" s="240" t="n"/>
      <c r="LBS93" s="15" t="n"/>
      <c r="LBT93" s="15" t="n"/>
      <c r="LBU93" s="248" t="n"/>
      <c r="LBV93" s="248" t="n"/>
      <c r="LBW93" s="240" t="n"/>
      <c r="LBX93" s="240" t="n"/>
      <c r="LBZ93" s="15" t="n"/>
      <c r="LCA93" s="15" t="n"/>
      <c r="LCB93" s="248" t="n"/>
      <c r="LCC93" s="248" t="n"/>
      <c r="LCD93" s="240" t="n"/>
      <c r="LCE93" s="240" t="n"/>
      <c r="LCG93" s="15" t="n"/>
      <c r="LCH93" s="15" t="n"/>
      <c r="LCI93" s="248" t="n"/>
      <c r="LCJ93" s="248" t="n"/>
      <c r="LCK93" s="240" t="n"/>
      <c r="LCL93" s="240" t="n"/>
      <c r="LCN93" s="15" t="n"/>
      <c r="LCO93" s="15" t="n"/>
      <c r="LCP93" s="248" t="n"/>
      <c r="LCQ93" s="248" t="n"/>
      <c r="LCR93" s="240" t="n"/>
      <c r="LCS93" s="240" t="n"/>
      <c r="LCU93" s="15" t="n"/>
      <c r="LCV93" s="15" t="n"/>
      <c r="LCW93" s="248" t="n"/>
      <c r="LCX93" s="248" t="n"/>
      <c r="LCY93" s="240" t="n"/>
      <c r="LCZ93" s="240" t="n"/>
      <c r="LDB93" s="15" t="n"/>
      <c r="LDC93" s="15" t="n"/>
      <c r="LDD93" s="248" t="n"/>
      <c r="LDE93" s="248" t="n"/>
      <c r="LDF93" s="240" t="n"/>
      <c r="LDG93" s="240" t="n"/>
      <c r="LDI93" s="15" t="n"/>
      <c r="LDJ93" s="15" t="n"/>
      <c r="LDK93" s="248" t="n"/>
      <c r="LDL93" s="248" t="n"/>
      <c r="LDM93" s="240" t="n"/>
      <c r="LDN93" s="240" t="n"/>
      <c r="LDP93" s="15" t="n"/>
      <c r="LDQ93" s="15" t="n"/>
      <c r="LDR93" s="248" t="n"/>
      <c r="LDS93" s="248" t="n"/>
      <c r="LDT93" s="240" t="n"/>
      <c r="LDU93" s="240" t="n"/>
      <c r="LDW93" s="15" t="n"/>
      <c r="LDX93" s="15" t="n"/>
      <c r="LDY93" s="248" t="n"/>
      <c r="LDZ93" s="248" t="n"/>
      <c r="LEA93" s="240" t="n"/>
      <c r="LEB93" s="240" t="n"/>
      <c r="LED93" s="15" t="n"/>
      <c r="LEE93" s="15" t="n"/>
      <c r="LEF93" s="248" t="n"/>
      <c r="LEG93" s="248" t="n"/>
      <c r="LEH93" s="240" t="n"/>
      <c r="LEI93" s="240" t="n"/>
      <c r="LEK93" s="15" t="n"/>
      <c r="LEL93" s="15" t="n"/>
      <c r="LEM93" s="248" t="n"/>
      <c r="LEN93" s="248" t="n"/>
      <c r="LEO93" s="240" t="n"/>
      <c r="LEP93" s="240" t="n"/>
      <c r="LER93" s="15" t="n"/>
      <c r="LES93" s="15" t="n"/>
      <c r="LET93" s="248" t="n"/>
      <c r="LEU93" s="248" t="n"/>
      <c r="LEV93" s="240" t="n"/>
      <c r="LEW93" s="240" t="n"/>
      <c r="LEY93" s="15" t="n"/>
      <c r="LEZ93" s="15" t="n"/>
      <c r="LFA93" s="248" t="n"/>
      <c r="LFB93" s="248" t="n"/>
      <c r="LFC93" s="240" t="n"/>
      <c r="LFD93" s="240" t="n"/>
      <c r="LFF93" s="15" t="n"/>
      <c r="LFG93" s="15" t="n"/>
      <c r="LFH93" s="248" t="n"/>
      <c r="LFI93" s="248" t="n"/>
      <c r="LFJ93" s="240" t="n"/>
      <c r="LFK93" s="240" t="n"/>
      <c r="LFM93" s="15" t="n"/>
      <c r="LFN93" s="15" t="n"/>
      <c r="LFO93" s="248" t="n"/>
      <c r="LFP93" s="248" t="n"/>
      <c r="LFQ93" s="240" t="n"/>
      <c r="LFR93" s="240" t="n"/>
      <c r="LFT93" s="15" t="n"/>
      <c r="LFU93" s="15" t="n"/>
      <c r="LFV93" s="248" t="n"/>
      <c r="LFW93" s="248" t="n"/>
      <c r="LFX93" s="240" t="n"/>
      <c r="LFY93" s="240" t="n"/>
      <c r="LGA93" s="15" t="n"/>
      <c r="LGB93" s="15" t="n"/>
      <c r="LGC93" s="248" t="n"/>
      <c r="LGD93" s="248" t="n"/>
      <c r="LGE93" s="240" t="n"/>
      <c r="LGF93" s="240" t="n"/>
      <c r="LGH93" s="15" t="n"/>
      <c r="LGI93" s="15" t="n"/>
      <c r="LGJ93" s="248" t="n"/>
      <c r="LGK93" s="248" t="n"/>
      <c r="LGL93" s="240" t="n"/>
      <c r="LGM93" s="240" t="n"/>
      <c r="LGO93" s="15" t="n"/>
      <c r="LGP93" s="15" t="n"/>
      <c r="LGQ93" s="248" t="n"/>
      <c r="LGR93" s="248" t="n"/>
      <c r="LGS93" s="240" t="n"/>
      <c r="LGT93" s="240" t="n"/>
      <c r="LGV93" s="15" t="n"/>
      <c r="LGW93" s="15" t="n"/>
      <c r="LGX93" s="248" t="n"/>
      <c r="LGY93" s="248" t="n"/>
      <c r="LGZ93" s="240" t="n"/>
      <c r="LHA93" s="240" t="n"/>
      <c r="LHC93" s="15" t="n"/>
      <c r="LHD93" s="15" t="n"/>
      <c r="LHE93" s="248" t="n"/>
      <c r="LHF93" s="248" t="n"/>
      <c r="LHG93" s="240" t="n"/>
      <c r="LHH93" s="240" t="n"/>
      <c r="LHJ93" s="15" t="n"/>
      <c r="LHK93" s="15" t="n"/>
      <c r="LHL93" s="248" t="n"/>
      <c r="LHM93" s="248" t="n"/>
      <c r="LHN93" s="240" t="n"/>
      <c r="LHO93" s="240" t="n"/>
      <c r="LHQ93" s="15" t="n"/>
      <c r="LHR93" s="15" t="n"/>
      <c r="LHS93" s="248" t="n"/>
      <c r="LHT93" s="248" t="n"/>
      <c r="LHU93" s="240" t="n"/>
      <c r="LHV93" s="240" t="n"/>
      <c r="LHX93" s="15" t="n"/>
      <c r="LHY93" s="15" t="n"/>
      <c r="LHZ93" s="248" t="n"/>
      <c r="LIA93" s="248" t="n"/>
      <c r="LIB93" s="240" t="n"/>
      <c r="LIC93" s="240" t="n"/>
      <c r="LIE93" s="15" t="n"/>
      <c r="LIF93" s="15" t="n"/>
      <c r="LIG93" s="248" t="n"/>
      <c r="LIH93" s="248" t="n"/>
      <c r="LII93" s="240" t="n"/>
      <c r="LIJ93" s="240" t="n"/>
      <c r="LIL93" s="15" t="n"/>
      <c r="LIM93" s="15" t="n"/>
      <c r="LIN93" s="248" t="n"/>
      <c r="LIO93" s="248" t="n"/>
      <c r="LIP93" s="240" t="n"/>
      <c r="LIQ93" s="240" t="n"/>
      <c r="LIS93" s="15" t="n"/>
      <c r="LIT93" s="15" t="n"/>
      <c r="LIU93" s="248" t="n"/>
      <c r="LIV93" s="248" t="n"/>
      <c r="LIW93" s="240" t="n"/>
      <c r="LIX93" s="240" t="n"/>
      <c r="LIZ93" s="15" t="n"/>
      <c r="LJA93" s="15" t="n"/>
      <c r="LJB93" s="248" t="n"/>
      <c r="LJC93" s="248" t="n"/>
      <c r="LJD93" s="240" t="n"/>
      <c r="LJE93" s="240" t="n"/>
      <c r="LJG93" s="15" t="n"/>
      <c r="LJH93" s="15" t="n"/>
      <c r="LJI93" s="248" t="n"/>
      <c r="LJJ93" s="248" t="n"/>
      <c r="LJK93" s="240" t="n"/>
      <c r="LJL93" s="240" t="n"/>
      <c r="LJN93" s="15" t="n"/>
      <c r="LJO93" s="15" t="n"/>
      <c r="LJP93" s="248" t="n"/>
      <c r="LJQ93" s="248" t="n"/>
      <c r="LJR93" s="240" t="n"/>
      <c r="LJS93" s="240" t="n"/>
      <c r="LJU93" s="15" t="n"/>
      <c r="LJV93" s="15" t="n"/>
      <c r="LJW93" s="248" t="n"/>
      <c r="LJX93" s="248" t="n"/>
      <c r="LJY93" s="240" t="n"/>
      <c r="LJZ93" s="240" t="n"/>
      <c r="LKB93" s="15" t="n"/>
      <c r="LKC93" s="15" t="n"/>
      <c r="LKD93" s="248" t="n"/>
      <c r="LKE93" s="248" t="n"/>
      <c r="LKF93" s="240" t="n"/>
      <c r="LKG93" s="240" t="n"/>
      <c r="LKI93" s="15" t="n"/>
      <c r="LKJ93" s="15" t="n"/>
      <c r="LKK93" s="248" t="n"/>
      <c r="LKL93" s="248" t="n"/>
      <c r="LKM93" s="240" t="n"/>
      <c r="LKN93" s="240" t="n"/>
      <c r="LKP93" s="15" t="n"/>
      <c r="LKQ93" s="15" t="n"/>
      <c r="LKR93" s="248" t="n"/>
      <c r="LKS93" s="248" t="n"/>
      <c r="LKT93" s="240" t="n"/>
      <c r="LKU93" s="240" t="n"/>
      <c r="LKW93" s="15" t="n"/>
      <c r="LKX93" s="15" t="n"/>
      <c r="LKY93" s="248" t="n"/>
      <c r="LKZ93" s="248" t="n"/>
      <c r="LLA93" s="240" t="n"/>
      <c r="LLB93" s="240" t="n"/>
      <c r="LLD93" s="15" t="n"/>
      <c r="LLE93" s="15" t="n"/>
      <c r="LLF93" s="248" t="n"/>
      <c r="LLG93" s="248" t="n"/>
      <c r="LLH93" s="240" t="n"/>
      <c r="LLI93" s="240" t="n"/>
      <c r="LLK93" s="15" t="n"/>
      <c r="LLL93" s="15" t="n"/>
      <c r="LLM93" s="248" t="n"/>
      <c r="LLN93" s="248" t="n"/>
      <c r="LLO93" s="240" t="n"/>
      <c r="LLP93" s="240" t="n"/>
      <c r="LLR93" s="15" t="n"/>
      <c r="LLS93" s="15" t="n"/>
      <c r="LLT93" s="248" t="n"/>
      <c r="LLU93" s="248" t="n"/>
      <c r="LLV93" s="240" t="n"/>
      <c r="LLW93" s="240" t="n"/>
      <c r="LLY93" s="15" t="n"/>
      <c r="LLZ93" s="15" t="n"/>
      <c r="LMA93" s="248" t="n"/>
      <c r="LMB93" s="248" t="n"/>
      <c r="LMC93" s="240" t="n"/>
      <c r="LMD93" s="240" t="n"/>
      <c r="LMF93" s="15" t="n"/>
      <c r="LMG93" s="15" t="n"/>
      <c r="LMH93" s="248" t="n"/>
      <c r="LMI93" s="248" t="n"/>
      <c r="LMJ93" s="240" t="n"/>
      <c r="LMK93" s="240" t="n"/>
      <c r="LMM93" s="15" t="n"/>
      <c r="LMN93" s="15" t="n"/>
      <c r="LMO93" s="248" t="n"/>
      <c r="LMP93" s="248" t="n"/>
      <c r="LMQ93" s="240" t="n"/>
      <c r="LMR93" s="240" t="n"/>
      <c r="LMT93" s="15" t="n"/>
      <c r="LMU93" s="15" t="n"/>
      <c r="LMV93" s="248" t="n"/>
      <c r="LMW93" s="248" t="n"/>
      <c r="LMX93" s="240" t="n"/>
      <c r="LMY93" s="240" t="n"/>
      <c r="LNA93" s="15" t="n"/>
      <c r="LNB93" s="15" t="n"/>
      <c r="LNC93" s="248" t="n"/>
      <c r="LND93" s="248" t="n"/>
      <c r="LNE93" s="240" t="n"/>
      <c r="LNF93" s="240" t="n"/>
      <c r="LNH93" s="15" t="n"/>
      <c r="LNI93" s="15" t="n"/>
      <c r="LNJ93" s="248" t="n"/>
      <c r="LNK93" s="248" t="n"/>
      <c r="LNL93" s="240" t="n"/>
      <c r="LNM93" s="240" t="n"/>
      <c r="LNO93" s="15" t="n"/>
      <c r="LNP93" s="15" t="n"/>
      <c r="LNQ93" s="248" t="n"/>
      <c r="LNR93" s="248" t="n"/>
      <c r="LNS93" s="240" t="n"/>
      <c r="LNT93" s="240" t="n"/>
      <c r="LNV93" s="15" t="n"/>
      <c r="LNW93" s="15" t="n"/>
      <c r="LNX93" s="248" t="n"/>
      <c r="LNY93" s="248" t="n"/>
      <c r="LNZ93" s="240" t="n"/>
      <c r="LOA93" s="240" t="n"/>
      <c r="LOC93" s="15" t="n"/>
      <c r="LOD93" s="15" t="n"/>
      <c r="LOE93" s="248" t="n"/>
      <c r="LOF93" s="248" t="n"/>
      <c r="LOG93" s="240" t="n"/>
      <c r="LOH93" s="240" t="n"/>
      <c r="LOJ93" s="15" t="n"/>
      <c r="LOK93" s="15" t="n"/>
      <c r="LOL93" s="248" t="n"/>
      <c r="LOM93" s="248" t="n"/>
      <c r="LON93" s="240" t="n"/>
      <c r="LOO93" s="240" t="n"/>
      <c r="LOQ93" s="15" t="n"/>
      <c r="LOR93" s="15" t="n"/>
      <c r="LOS93" s="248" t="n"/>
      <c r="LOT93" s="248" t="n"/>
      <c r="LOU93" s="240" t="n"/>
      <c r="LOV93" s="240" t="n"/>
      <c r="LOX93" s="15" t="n"/>
      <c r="LOY93" s="15" t="n"/>
      <c r="LOZ93" s="248" t="n"/>
      <c r="LPA93" s="248" t="n"/>
      <c r="LPB93" s="240" t="n"/>
      <c r="LPC93" s="240" t="n"/>
      <c r="LPE93" s="15" t="n"/>
      <c r="LPF93" s="15" t="n"/>
      <c r="LPG93" s="248" t="n"/>
      <c r="LPH93" s="248" t="n"/>
      <c r="LPI93" s="240" t="n"/>
      <c r="LPJ93" s="240" t="n"/>
      <c r="LPL93" s="15" t="n"/>
      <c r="LPM93" s="15" t="n"/>
      <c r="LPN93" s="248" t="n"/>
      <c r="LPO93" s="248" t="n"/>
      <c r="LPP93" s="240" t="n"/>
      <c r="LPQ93" s="240" t="n"/>
      <c r="LPS93" s="15" t="n"/>
      <c r="LPT93" s="15" t="n"/>
      <c r="LPU93" s="248" t="n"/>
      <c r="LPV93" s="248" t="n"/>
      <c r="LPW93" s="240" t="n"/>
      <c r="LPX93" s="240" t="n"/>
      <c r="LPZ93" s="15" t="n"/>
      <c r="LQA93" s="15" t="n"/>
      <c r="LQB93" s="248" t="n"/>
      <c r="LQC93" s="248" t="n"/>
      <c r="LQD93" s="240" t="n"/>
      <c r="LQE93" s="240" t="n"/>
      <c r="LQG93" s="15" t="n"/>
      <c r="LQH93" s="15" t="n"/>
      <c r="LQI93" s="248" t="n"/>
      <c r="LQJ93" s="248" t="n"/>
      <c r="LQK93" s="240" t="n"/>
      <c r="LQL93" s="240" t="n"/>
      <c r="LQN93" s="15" t="n"/>
      <c r="LQO93" s="15" t="n"/>
      <c r="LQP93" s="248" t="n"/>
      <c r="LQQ93" s="248" t="n"/>
      <c r="LQR93" s="240" t="n"/>
      <c r="LQS93" s="240" t="n"/>
      <c r="LQU93" s="15" t="n"/>
      <c r="LQV93" s="15" t="n"/>
      <c r="LQW93" s="248" t="n"/>
      <c r="LQX93" s="248" t="n"/>
      <c r="LQY93" s="240" t="n"/>
      <c r="LQZ93" s="240" t="n"/>
      <c r="LRB93" s="15" t="n"/>
      <c r="LRC93" s="15" t="n"/>
      <c r="LRD93" s="248" t="n"/>
      <c r="LRE93" s="248" t="n"/>
      <c r="LRF93" s="240" t="n"/>
      <c r="LRG93" s="240" t="n"/>
      <c r="LRI93" s="15" t="n"/>
      <c r="LRJ93" s="15" t="n"/>
      <c r="LRK93" s="248" t="n"/>
      <c r="LRL93" s="248" t="n"/>
      <c r="LRM93" s="240" t="n"/>
      <c r="LRN93" s="240" t="n"/>
      <c r="LRP93" s="15" t="n"/>
      <c r="LRQ93" s="15" t="n"/>
      <c r="LRR93" s="248" t="n"/>
      <c r="LRS93" s="248" t="n"/>
      <c r="LRT93" s="240" t="n"/>
      <c r="LRU93" s="240" t="n"/>
      <c r="LRW93" s="15" t="n"/>
      <c r="LRX93" s="15" t="n"/>
      <c r="LRY93" s="248" t="n"/>
      <c r="LRZ93" s="248" t="n"/>
      <c r="LSA93" s="240" t="n"/>
      <c r="LSB93" s="240" t="n"/>
      <c r="LSD93" s="15" t="n"/>
      <c r="LSE93" s="15" t="n"/>
      <c r="LSF93" s="248" t="n"/>
      <c r="LSG93" s="248" t="n"/>
      <c r="LSH93" s="240" t="n"/>
      <c r="LSI93" s="240" t="n"/>
      <c r="LSK93" s="15" t="n"/>
      <c r="LSL93" s="15" t="n"/>
      <c r="LSM93" s="248" t="n"/>
      <c r="LSN93" s="248" t="n"/>
      <c r="LSO93" s="240" t="n"/>
      <c r="LSP93" s="240" t="n"/>
      <c r="LSR93" s="15" t="n"/>
      <c r="LSS93" s="15" t="n"/>
      <c r="LST93" s="248" t="n"/>
      <c r="LSU93" s="248" t="n"/>
      <c r="LSV93" s="240" t="n"/>
      <c r="LSW93" s="240" t="n"/>
      <c r="LSY93" s="15" t="n"/>
      <c r="LSZ93" s="15" t="n"/>
      <c r="LTA93" s="248" t="n"/>
      <c r="LTB93" s="248" t="n"/>
      <c r="LTC93" s="240" t="n"/>
      <c r="LTD93" s="240" t="n"/>
      <c r="LTF93" s="15" t="n"/>
      <c r="LTG93" s="15" t="n"/>
      <c r="LTH93" s="248" t="n"/>
      <c r="LTI93" s="248" t="n"/>
      <c r="LTJ93" s="240" t="n"/>
      <c r="LTK93" s="240" t="n"/>
      <c r="LTM93" s="15" t="n"/>
      <c r="LTN93" s="15" t="n"/>
      <c r="LTO93" s="248" t="n"/>
      <c r="LTP93" s="248" t="n"/>
      <c r="LTQ93" s="240" t="n"/>
      <c r="LTR93" s="240" t="n"/>
      <c r="LTT93" s="15" t="n"/>
      <c r="LTU93" s="15" t="n"/>
      <c r="LTV93" s="248" t="n"/>
      <c r="LTW93" s="248" t="n"/>
      <c r="LTX93" s="240" t="n"/>
      <c r="LTY93" s="240" t="n"/>
      <c r="LUA93" s="15" t="n"/>
      <c r="LUB93" s="15" t="n"/>
      <c r="LUC93" s="248" t="n"/>
      <c r="LUD93" s="248" t="n"/>
      <c r="LUE93" s="240" t="n"/>
      <c r="LUF93" s="240" t="n"/>
      <c r="LUH93" s="15" t="n"/>
      <c r="LUI93" s="15" t="n"/>
      <c r="LUJ93" s="248" t="n"/>
      <c r="LUK93" s="248" t="n"/>
      <c r="LUL93" s="240" t="n"/>
      <c r="LUM93" s="240" t="n"/>
      <c r="LUO93" s="15" t="n"/>
      <c r="LUP93" s="15" t="n"/>
      <c r="LUQ93" s="248" t="n"/>
      <c r="LUR93" s="248" t="n"/>
      <c r="LUS93" s="240" t="n"/>
      <c r="LUT93" s="240" t="n"/>
      <c r="LUV93" s="15" t="n"/>
      <c r="LUW93" s="15" t="n"/>
      <c r="LUX93" s="248" t="n"/>
      <c r="LUY93" s="248" t="n"/>
      <c r="LUZ93" s="240" t="n"/>
      <c r="LVA93" s="240" t="n"/>
      <c r="LVC93" s="15" t="n"/>
      <c r="LVD93" s="15" t="n"/>
      <c r="LVE93" s="248" t="n"/>
      <c r="LVF93" s="248" t="n"/>
      <c r="LVG93" s="240" t="n"/>
      <c r="LVH93" s="240" t="n"/>
      <c r="LVJ93" s="15" t="n"/>
      <c r="LVK93" s="15" t="n"/>
      <c r="LVL93" s="248" t="n"/>
      <c r="LVM93" s="248" t="n"/>
      <c r="LVN93" s="240" t="n"/>
      <c r="LVO93" s="240" t="n"/>
      <c r="LVQ93" s="15" t="n"/>
      <c r="LVR93" s="15" t="n"/>
      <c r="LVS93" s="248" t="n"/>
      <c r="LVT93" s="248" t="n"/>
      <c r="LVU93" s="240" t="n"/>
      <c r="LVV93" s="240" t="n"/>
      <c r="LVX93" s="15" t="n"/>
      <c r="LVY93" s="15" t="n"/>
      <c r="LVZ93" s="248" t="n"/>
      <c r="LWA93" s="248" t="n"/>
      <c r="LWB93" s="240" t="n"/>
      <c r="LWC93" s="240" t="n"/>
      <c r="LWE93" s="15" t="n"/>
      <c r="LWF93" s="15" t="n"/>
      <c r="LWG93" s="248" t="n"/>
      <c r="LWH93" s="248" t="n"/>
      <c r="LWI93" s="240" t="n"/>
      <c r="LWJ93" s="240" t="n"/>
      <c r="LWL93" s="15" t="n"/>
      <c r="LWM93" s="15" t="n"/>
      <c r="LWN93" s="248" t="n"/>
      <c r="LWO93" s="248" t="n"/>
      <c r="LWP93" s="240" t="n"/>
      <c r="LWQ93" s="240" t="n"/>
      <c r="LWS93" s="15" t="n"/>
      <c r="LWT93" s="15" t="n"/>
      <c r="LWU93" s="248" t="n"/>
      <c r="LWV93" s="248" t="n"/>
      <c r="LWW93" s="240" t="n"/>
      <c r="LWX93" s="240" t="n"/>
      <c r="LWZ93" s="15" t="n"/>
      <c r="LXA93" s="15" t="n"/>
      <c r="LXB93" s="248" t="n"/>
      <c r="LXC93" s="248" t="n"/>
      <c r="LXD93" s="240" t="n"/>
      <c r="LXE93" s="240" t="n"/>
      <c r="LXG93" s="15" t="n"/>
      <c r="LXH93" s="15" t="n"/>
      <c r="LXI93" s="248" t="n"/>
      <c r="LXJ93" s="248" t="n"/>
      <c r="LXK93" s="240" t="n"/>
      <c r="LXL93" s="240" t="n"/>
      <c r="LXN93" s="15" t="n"/>
      <c r="LXO93" s="15" t="n"/>
      <c r="LXP93" s="248" t="n"/>
      <c r="LXQ93" s="248" t="n"/>
      <c r="LXR93" s="240" t="n"/>
      <c r="LXS93" s="240" t="n"/>
      <c r="LXU93" s="15" t="n"/>
      <c r="LXV93" s="15" t="n"/>
      <c r="LXW93" s="248" t="n"/>
      <c r="LXX93" s="248" t="n"/>
      <c r="LXY93" s="240" t="n"/>
      <c r="LXZ93" s="240" t="n"/>
      <c r="LYB93" s="15" t="n"/>
      <c r="LYC93" s="15" t="n"/>
      <c r="LYD93" s="248" t="n"/>
      <c r="LYE93" s="248" t="n"/>
      <c r="LYF93" s="240" t="n"/>
      <c r="LYG93" s="240" t="n"/>
      <c r="LYI93" s="15" t="n"/>
      <c r="LYJ93" s="15" t="n"/>
      <c r="LYK93" s="248" t="n"/>
      <c r="LYL93" s="248" t="n"/>
      <c r="LYM93" s="240" t="n"/>
      <c r="LYN93" s="240" t="n"/>
      <c r="LYP93" s="15" t="n"/>
      <c r="LYQ93" s="15" t="n"/>
      <c r="LYR93" s="248" t="n"/>
      <c r="LYS93" s="248" t="n"/>
      <c r="LYT93" s="240" t="n"/>
      <c r="LYU93" s="240" t="n"/>
      <c r="LYW93" s="15" t="n"/>
      <c r="LYX93" s="15" t="n"/>
      <c r="LYY93" s="248" t="n"/>
      <c r="LYZ93" s="248" t="n"/>
      <c r="LZA93" s="240" t="n"/>
      <c r="LZB93" s="240" t="n"/>
      <c r="LZD93" s="15" t="n"/>
      <c r="LZE93" s="15" t="n"/>
      <c r="LZF93" s="248" t="n"/>
      <c r="LZG93" s="248" t="n"/>
      <c r="LZH93" s="240" t="n"/>
      <c r="LZI93" s="240" t="n"/>
      <c r="LZK93" s="15" t="n"/>
      <c r="LZL93" s="15" t="n"/>
      <c r="LZM93" s="248" t="n"/>
      <c r="LZN93" s="248" t="n"/>
      <c r="LZO93" s="240" t="n"/>
      <c r="LZP93" s="240" t="n"/>
      <c r="LZR93" s="15" t="n"/>
      <c r="LZS93" s="15" t="n"/>
      <c r="LZT93" s="248" t="n"/>
      <c r="LZU93" s="248" t="n"/>
      <c r="LZV93" s="240" t="n"/>
      <c r="LZW93" s="240" t="n"/>
      <c r="LZY93" s="15" t="n"/>
      <c r="LZZ93" s="15" t="n"/>
      <c r="MAA93" s="248" t="n"/>
      <c r="MAB93" s="248" t="n"/>
      <c r="MAC93" s="240" t="n"/>
      <c r="MAD93" s="240" t="n"/>
      <c r="MAF93" s="15" t="n"/>
      <c r="MAG93" s="15" t="n"/>
      <c r="MAH93" s="248" t="n"/>
      <c r="MAI93" s="248" t="n"/>
      <c r="MAJ93" s="240" t="n"/>
      <c r="MAK93" s="240" t="n"/>
      <c r="MAM93" s="15" t="n"/>
      <c r="MAN93" s="15" t="n"/>
      <c r="MAO93" s="248" t="n"/>
      <c r="MAP93" s="248" t="n"/>
      <c r="MAQ93" s="240" t="n"/>
      <c r="MAR93" s="240" t="n"/>
      <c r="MAT93" s="15" t="n"/>
      <c r="MAU93" s="15" t="n"/>
      <c r="MAV93" s="248" t="n"/>
      <c r="MAW93" s="248" t="n"/>
      <c r="MAX93" s="240" t="n"/>
      <c r="MAY93" s="240" t="n"/>
      <c r="MBA93" s="15" t="n"/>
      <c r="MBB93" s="15" t="n"/>
      <c r="MBC93" s="248" t="n"/>
      <c r="MBD93" s="248" t="n"/>
      <c r="MBE93" s="240" t="n"/>
      <c r="MBF93" s="240" t="n"/>
      <c r="MBH93" s="15" t="n"/>
      <c r="MBI93" s="15" t="n"/>
      <c r="MBJ93" s="248" t="n"/>
      <c r="MBK93" s="248" t="n"/>
      <c r="MBL93" s="240" t="n"/>
      <c r="MBM93" s="240" t="n"/>
      <c r="MBO93" s="15" t="n"/>
      <c r="MBP93" s="15" t="n"/>
      <c r="MBQ93" s="248" t="n"/>
      <c r="MBR93" s="248" t="n"/>
      <c r="MBS93" s="240" t="n"/>
      <c r="MBT93" s="240" t="n"/>
      <c r="MBV93" s="15" t="n"/>
      <c r="MBW93" s="15" t="n"/>
      <c r="MBX93" s="248" t="n"/>
      <c r="MBY93" s="248" t="n"/>
      <c r="MBZ93" s="240" t="n"/>
      <c r="MCA93" s="240" t="n"/>
      <c r="MCC93" s="15" t="n"/>
      <c r="MCD93" s="15" t="n"/>
      <c r="MCE93" s="248" t="n"/>
      <c r="MCF93" s="248" t="n"/>
      <c r="MCG93" s="240" t="n"/>
      <c r="MCH93" s="240" t="n"/>
      <c r="MCJ93" s="15" t="n"/>
      <c r="MCK93" s="15" t="n"/>
      <c r="MCL93" s="248" t="n"/>
      <c r="MCM93" s="248" t="n"/>
      <c r="MCN93" s="240" t="n"/>
      <c r="MCO93" s="240" t="n"/>
      <c r="MCQ93" s="15" t="n"/>
      <c r="MCR93" s="15" t="n"/>
      <c r="MCS93" s="248" t="n"/>
      <c r="MCT93" s="248" t="n"/>
      <c r="MCU93" s="240" t="n"/>
      <c r="MCV93" s="240" t="n"/>
      <c r="MCX93" s="15" t="n"/>
      <c r="MCY93" s="15" t="n"/>
      <c r="MCZ93" s="248" t="n"/>
      <c r="MDA93" s="248" t="n"/>
      <c r="MDB93" s="240" t="n"/>
      <c r="MDC93" s="240" t="n"/>
      <c r="MDE93" s="15" t="n"/>
      <c r="MDF93" s="15" t="n"/>
      <c r="MDG93" s="248" t="n"/>
      <c r="MDH93" s="248" t="n"/>
      <c r="MDI93" s="240" t="n"/>
      <c r="MDJ93" s="240" t="n"/>
      <c r="MDL93" s="15" t="n"/>
      <c r="MDM93" s="15" t="n"/>
      <c r="MDN93" s="248" t="n"/>
      <c r="MDO93" s="248" t="n"/>
      <c r="MDP93" s="240" t="n"/>
      <c r="MDQ93" s="240" t="n"/>
      <c r="MDS93" s="15" t="n"/>
      <c r="MDT93" s="15" t="n"/>
      <c r="MDU93" s="248" t="n"/>
      <c r="MDV93" s="248" t="n"/>
      <c r="MDW93" s="240" t="n"/>
      <c r="MDX93" s="240" t="n"/>
      <c r="MDZ93" s="15" t="n"/>
      <c r="MEA93" s="15" t="n"/>
      <c r="MEB93" s="248" t="n"/>
      <c r="MEC93" s="248" t="n"/>
      <c r="MED93" s="240" t="n"/>
      <c r="MEE93" s="240" t="n"/>
      <c r="MEG93" s="15" t="n"/>
      <c r="MEH93" s="15" t="n"/>
      <c r="MEI93" s="248" t="n"/>
      <c r="MEJ93" s="248" t="n"/>
      <c r="MEK93" s="240" t="n"/>
      <c r="MEL93" s="240" t="n"/>
      <c r="MEN93" s="15" t="n"/>
      <c r="MEO93" s="15" t="n"/>
      <c r="MEP93" s="248" t="n"/>
      <c r="MEQ93" s="248" t="n"/>
      <c r="MER93" s="240" t="n"/>
      <c r="MES93" s="240" t="n"/>
      <c r="MEU93" s="15" t="n"/>
      <c r="MEV93" s="15" t="n"/>
      <c r="MEW93" s="248" t="n"/>
      <c r="MEX93" s="248" t="n"/>
      <c r="MEY93" s="240" t="n"/>
      <c r="MEZ93" s="240" t="n"/>
      <c r="MFB93" s="15" t="n"/>
      <c r="MFC93" s="15" t="n"/>
      <c r="MFD93" s="248" t="n"/>
      <c r="MFE93" s="248" t="n"/>
      <c r="MFF93" s="240" t="n"/>
      <c r="MFG93" s="240" t="n"/>
      <c r="MFI93" s="15" t="n"/>
      <c r="MFJ93" s="15" t="n"/>
      <c r="MFK93" s="248" t="n"/>
      <c r="MFL93" s="248" t="n"/>
      <c r="MFM93" s="240" t="n"/>
      <c r="MFN93" s="240" t="n"/>
      <c r="MFP93" s="15" t="n"/>
      <c r="MFQ93" s="15" t="n"/>
      <c r="MFR93" s="248" t="n"/>
      <c r="MFS93" s="248" t="n"/>
      <c r="MFT93" s="240" t="n"/>
      <c r="MFU93" s="240" t="n"/>
      <c r="MFW93" s="15" t="n"/>
      <c r="MFX93" s="15" t="n"/>
      <c r="MFY93" s="248" t="n"/>
      <c r="MFZ93" s="248" t="n"/>
      <c r="MGA93" s="240" t="n"/>
      <c r="MGB93" s="240" t="n"/>
      <c r="MGD93" s="15" t="n"/>
      <c r="MGE93" s="15" t="n"/>
      <c r="MGF93" s="248" t="n"/>
      <c r="MGG93" s="248" t="n"/>
      <c r="MGH93" s="240" t="n"/>
      <c r="MGI93" s="240" t="n"/>
      <c r="MGK93" s="15" t="n"/>
      <c r="MGL93" s="15" t="n"/>
      <c r="MGM93" s="248" t="n"/>
      <c r="MGN93" s="248" t="n"/>
      <c r="MGO93" s="240" t="n"/>
      <c r="MGP93" s="240" t="n"/>
      <c r="MGR93" s="15" t="n"/>
      <c r="MGS93" s="15" t="n"/>
      <c r="MGT93" s="248" t="n"/>
      <c r="MGU93" s="248" t="n"/>
      <c r="MGV93" s="240" t="n"/>
      <c r="MGW93" s="240" t="n"/>
      <c r="MGY93" s="15" t="n"/>
      <c r="MGZ93" s="15" t="n"/>
      <c r="MHA93" s="248" t="n"/>
      <c r="MHB93" s="248" t="n"/>
      <c r="MHC93" s="240" t="n"/>
      <c r="MHD93" s="240" t="n"/>
      <c r="MHF93" s="15" t="n"/>
      <c r="MHG93" s="15" t="n"/>
      <c r="MHH93" s="248" t="n"/>
      <c r="MHI93" s="248" t="n"/>
      <c r="MHJ93" s="240" t="n"/>
      <c r="MHK93" s="240" t="n"/>
      <c r="MHM93" s="15" t="n"/>
      <c r="MHN93" s="15" t="n"/>
      <c r="MHO93" s="248" t="n"/>
      <c r="MHP93" s="248" t="n"/>
      <c r="MHQ93" s="240" t="n"/>
      <c r="MHR93" s="240" t="n"/>
      <c r="MHT93" s="15" t="n"/>
      <c r="MHU93" s="15" t="n"/>
      <c r="MHV93" s="248" t="n"/>
      <c r="MHW93" s="248" t="n"/>
      <c r="MHX93" s="240" t="n"/>
      <c r="MHY93" s="240" t="n"/>
      <c r="MIA93" s="15" t="n"/>
      <c r="MIB93" s="15" t="n"/>
      <c r="MIC93" s="248" t="n"/>
      <c r="MID93" s="248" t="n"/>
      <c r="MIE93" s="240" t="n"/>
      <c r="MIF93" s="240" t="n"/>
      <c r="MIH93" s="15" t="n"/>
      <c r="MII93" s="15" t="n"/>
      <c r="MIJ93" s="248" t="n"/>
      <c r="MIK93" s="248" t="n"/>
      <c r="MIL93" s="240" t="n"/>
      <c r="MIM93" s="240" t="n"/>
      <c r="MIO93" s="15" t="n"/>
      <c r="MIP93" s="15" t="n"/>
      <c r="MIQ93" s="248" t="n"/>
      <c r="MIR93" s="248" t="n"/>
      <c r="MIS93" s="240" t="n"/>
      <c r="MIT93" s="240" t="n"/>
      <c r="MIV93" s="15" t="n"/>
      <c r="MIW93" s="15" t="n"/>
      <c r="MIX93" s="248" t="n"/>
      <c r="MIY93" s="248" t="n"/>
      <c r="MIZ93" s="240" t="n"/>
      <c r="MJA93" s="240" t="n"/>
      <c r="MJC93" s="15" t="n"/>
      <c r="MJD93" s="15" t="n"/>
      <c r="MJE93" s="248" t="n"/>
      <c r="MJF93" s="248" t="n"/>
      <c r="MJG93" s="240" t="n"/>
      <c r="MJH93" s="240" t="n"/>
      <c r="MJJ93" s="15" t="n"/>
      <c r="MJK93" s="15" t="n"/>
      <c r="MJL93" s="248" t="n"/>
      <c r="MJM93" s="248" t="n"/>
      <c r="MJN93" s="240" t="n"/>
      <c r="MJO93" s="240" t="n"/>
      <c r="MJQ93" s="15" t="n"/>
      <c r="MJR93" s="15" t="n"/>
      <c r="MJS93" s="248" t="n"/>
      <c r="MJT93" s="248" t="n"/>
      <c r="MJU93" s="240" t="n"/>
      <c r="MJV93" s="240" t="n"/>
      <c r="MJX93" s="15" t="n"/>
      <c r="MJY93" s="15" t="n"/>
      <c r="MJZ93" s="248" t="n"/>
      <c r="MKA93" s="248" t="n"/>
      <c r="MKB93" s="240" t="n"/>
      <c r="MKC93" s="240" t="n"/>
      <c r="MKE93" s="15" t="n"/>
      <c r="MKF93" s="15" t="n"/>
      <c r="MKG93" s="248" t="n"/>
      <c r="MKH93" s="248" t="n"/>
      <c r="MKI93" s="240" t="n"/>
      <c r="MKJ93" s="240" t="n"/>
      <c r="MKL93" s="15" t="n"/>
      <c r="MKM93" s="15" t="n"/>
      <c r="MKN93" s="248" t="n"/>
      <c r="MKO93" s="248" t="n"/>
      <c r="MKP93" s="240" t="n"/>
      <c r="MKQ93" s="240" t="n"/>
      <c r="MKS93" s="15" t="n"/>
      <c r="MKT93" s="15" t="n"/>
      <c r="MKU93" s="248" t="n"/>
      <c r="MKV93" s="248" t="n"/>
      <c r="MKW93" s="240" t="n"/>
      <c r="MKX93" s="240" t="n"/>
      <c r="MKZ93" s="15" t="n"/>
      <c r="MLA93" s="15" t="n"/>
      <c r="MLB93" s="248" t="n"/>
      <c r="MLC93" s="248" t="n"/>
      <c r="MLD93" s="240" t="n"/>
      <c r="MLE93" s="240" t="n"/>
      <c r="MLG93" s="15" t="n"/>
      <c r="MLH93" s="15" t="n"/>
      <c r="MLI93" s="248" t="n"/>
      <c r="MLJ93" s="248" t="n"/>
      <c r="MLK93" s="240" t="n"/>
      <c r="MLL93" s="240" t="n"/>
      <c r="MLN93" s="15" t="n"/>
      <c r="MLO93" s="15" t="n"/>
      <c r="MLP93" s="248" t="n"/>
      <c r="MLQ93" s="248" t="n"/>
      <c r="MLR93" s="240" t="n"/>
      <c r="MLS93" s="240" t="n"/>
      <c r="MLU93" s="15" t="n"/>
      <c r="MLV93" s="15" t="n"/>
      <c r="MLW93" s="248" t="n"/>
      <c r="MLX93" s="248" t="n"/>
      <c r="MLY93" s="240" t="n"/>
      <c r="MLZ93" s="240" t="n"/>
      <c r="MMB93" s="15" t="n"/>
      <c r="MMC93" s="15" t="n"/>
      <c r="MMD93" s="248" t="n"/>
      <c r="MME93" s="248" t="n"/>
      <c r="MMF93" s="240" t="n"/>
      <c r="MMG93" s="240" t="n"/>
      <c r="MMI93" s="15" t="n"/>
      <c r="MMJ93" s="15" t="n"/>
      <c r="MMK93" s="248" t="n"/>
      <c r="MML93" s="248" t="n"/>
      <c r="MMM93" s="240" t="n"/>
      <c r="MMN93" s="240" t="n"/>
      <c r="MMP93" s="15" t="n"/>
      <c r="MMQ93" s="15" t="n"/>
      <c r="MMR93" s="248" t="n"/>
      <c r="MMS93" s="248" t="n"/>
      <c r="MMT93" s="240" t="n"/>
      <c r="MMU93" s="240" t="n"/>
      <c r="MMW93" s="15" t="n"/>
      <c r="MMX93" s="15" t="n"/>
      <c r="MMY93" s="248" t="n"/>
      <c r="MMZ93" s="248" t="n"/>
      <c r="MNA93" s="240" t="n"/>
      <c r="MNB93" s="240" t="n"/>
      <c r="MND93" s="15" t="n"/>
      <c r="MNE93" s="15" t="n"/>
      <c r="MNF93" s="248" t="n"/>
      <c r="MNG93" s="248" t="n"/>
      <c r="MNH93" s="240" t="n"/>
      <c r="MNI93" s="240" t="n"/>
      <c r="MNK93" s="15" t="n"/>
      <c r="MNL93" s="15" t="n"/>
      <c r="MNM93" s="248" t="n"/>
      <c r="MNN93" s="248" t="n"/>
      <c r="MNO93" s="240" t="n"/>
      <c r="MNP93" s="240" t="n"/>
      <c r="MNR93" s="15" t="n"/>
      <c r="MNS93" s="15" t="n"/>
      <c r="MNT93" s="248" t="n"/>
      <c r="MNU93" s="248" t="n"/>
      <c r="MNV93" s="240" t="n"/>
      <c r="MNW93" s="240" t="n"/>
      <c r="MNY93" s="15" t="n"/>
      <c r="MNZ93" s="15" t="n"/>
      <c r="MOA93" s="248" t="n"/>
      <c r="MOB93" s="248" t="n"/>
      <c r="MOC93" s="240" t="n"/>
      <c r="MOD93" s="240" t="n"/>
      <c r="MOF93" s="15" t="n"/>
      <c r="MOG93" s="15" t="n"/>
      <c r="MOH93" s="248" t="n"/>
      <c r="MOI93" s="248" t="n"/>
      <c r="MOJ93" s="240" t="n"/>
      <c r="MOK93" s="240" t="n"/>
      <c r="MOM93" s="15" t="n"/>
      <c r="MON93" s="15" t="n"/>
      <c r="MOO93" s="248" t="n"/>
      <c r="MOP93" s="248" t="n"/>
      <c r="MOQ93" s="240" t="n"/>
      <c r="MOR93" s="240" t="n"/>
      <c r="MOT93" s="15" t="n"/>
      <c r="MOU93" s="15" t="n"/>
      <c r="MOV93" s="248" t="n"/>
      <c r="MOW93" s="248" t="n"/>
      <c r="MOX93" s="240" t="n"/>
      <c r="MOY93" s="240" t="n"/>
      <c r="MPA93" s="15" t="n"/>
      <c r="MPB93" s="15" t="n"/>
      <c r="MPC93" s="248" t="n"/>
      <c r="MPD93" s="248" t="n"/>
      <c r="MPE93" s="240" t="n"/>
      <c r="MPF93" s="240" t="n"/>
      <c r="MPH93" s="15" t="n"/>
      <c r="MPI93" s="15" t="n"/>
      <c r="MPJ93" s="248" t="n"/>
      <c r="MPK93" s="248" t="n"/>
      <c r="MPL93" s="240" t="n"/>
      <c r="MPM93" s="240" t="n"/>
      <c r="MPO93" s="15" t="n"/>
      <c r="MPP93" s="15" t="n"/>
      <c r="MPQ93" s="248" t="n"/>
      <c r="MPR93" s="248" t="n"/>
      <c r="MPS93" s="240" t="n"/>
      <c r="MPT93" s="240" t="n"/>
      <c r="MPV93" s="15" t="n"/>
      <c r="MPW93" s="15" t="n"/>
      <c r="MPX93" s="248" t="n"/>
      <c r="MPY93" s="248" t="n"/>
      <c r="MPZ93" s="240" t="n"/>
      <c r="MQA93" s="240" t="n"/>
      <c r="MQC93" s="15" t="n"/>
      <c r="MQD93" s="15" t="n"/>
      <c r="MQE93" s="248" t="n"/>
      <c r="MQF93" s="248" t="n"/>
      <c r="MQG93" s="240" t="n"/>
      <c r="MQH93" s="240" t="n"/>
      <c r="MQJ93" s="15" t="n"/>
      <c r="MQK93" s="15" t="n"/>
      <c r="MQL93" s="248" t="n"/>
      <c r="MQM93" s="248" t="n"/>
      <c r="MQN93" s="240" t="n"/>
      <c r="MQO93" s="240" t="n"/>
      <c r="MQQ93" s="15" t="n"/>
      <c r="MQR93" s="15" t="n"/>
      <c r="MQS93" s="248" t="n"/>
      <c r="MQT93" s="248" t="n"/>
      <c r="MQU93" s="240" t="n"/>
      <c r="MQV93" s="240" t="n"/>
      <c r="MQX93" s="15" t="n"/>
      <c r="MQY93" s="15" t="n"/>
      <c r="MQZ93" s="248" t="n"/>
      <c r="MRA93" s="248" t="n"/>
      <c r="MRB93" s="240" t="n"/>
      <c r="MRC93" s="240" t="n"/>
      <c r="MRE93" s="15" t="n"/>
      <c r="MRF93" s="15" t="n"/>
      <c r="MRG93" s="248" t="n"/>
      <c r="MRH93" s="248" t="n"/>
      <c r="MRI93" s="240" t="n"/>
      <c r="MRJ93" s="240" t="n"/>
      <c r="MRL93" s="15" t="n"/>
      <c r="MRM93" s="15" t="n"/>
      <c r="MRN93" s="248" t="n"/>
      <c r="MRO93" s="248" t="n"/>
      <c r="MRP93" s="240" t="n"/>
      <c r="MRQ93" s="240" t="n"/>
      <c r="MRS93" s="15" t="n"/>
      <c r="MRT93" s="15" t="n"/>
      <c r="MRU93" s="248" t="n"/>
      <c r="MRV93" s="248" t="n"/>
      <c r="MRW93" s="240" t="n"/>
      <c r="MRX93" s="240" t="n"/>
      <c r="MRZ93" s="15" t="n"/>
      <c r="MSA93" s="15" t="n"/>
      <c r="MSB93" s="248" t="n"/>
      <c r="MSC93" s="248" t="n"/>
      <c r="MSD93" s="240" t="n"/>
      <c r="MSE93" s="240" t="n"/>
      <c r="MSG93" s="15" t="n"/>
      <c r="MSH93" s="15" t="n"/>
      <c r="MSI93" s="248" t="n"/>
      <c r="MSJ93" s="248" t="n"/>
      <c r="MSK93" s="240" t="n"/>
      <c r="MSL93" s="240" t="n"/>
      <c r="MSN93" s="15" t="n"/>
      <c r="MSO93" s="15" t="n"/>
      <c r="MSP93" s="248" t="n"/>
      <c r="MSQ93" s="248" t="n"/>
      <c r="MSR93" s="240" t="n"/>
      <c r="MSS93" s="240" t="n"/>
      <c r="MSU93" s="15" t="n"/>
      <c r="MSV93" s="15" t="n"/>
      <c r="MSW93" s="248" t="n"/>
      <c r="MSX93" s="248" t="n"/>
      <c r="MSY93" s="240" t="n"/>
      <c r="MSZ93" s="240" t="n"/>
      <c r="MTB93" s="15" t="n"/>
      <c r="MTC93" s="15" t="n"/>
      <c r="MTD93" s="248" t="n"/>
      <c r="MTE93" s="248" t="n"/>
      <c r="MTF93" s="240" t="n"/>
      <c r="MTG93" s="240" t="n"/>
      <c r="MTI93" s="15" t="n"/>
      <c r="MTJ93" s="15" t="n"/>
      <c r="MTK93" s="248" t="n"/>
      <c r="MTL93" s="248" t="n"/>
      <c r="MTM93" s="240" t="n"/>
      <c r="MTN93" s="240" t="n"/>
      <c r="MTP93" s="15" t="n"/>
      <c r="MTQ93" s="15" t="n"/>
      <c r="MTR93" s="248" t="n"/>
      <c r="MTS93" s="248" t="n"/>
      <c r="MTT93" s="240" t="n"/>
      <c r="MTU93" s="240" t="n"/>
      <c r="MTW93" s="15" t="n"/>
      <c r="MTX93" s="15" t="n"/>
      <c r="MTY93" s="248" t="n"/>
      <c r="MTZ93" s="248" t="n"/>
      <c r="MUA93" s="240" t="n"/>
      <c r="MUB93" s="240" t="n"/>
      <c r="MUD93" s="15" t="n"/>
      <c r="MUE93" s="15" t="n"/>
      <c r="MUF93" s="248" t="n"/>
      <c r="MUG93" s="248" t="n"/>
      <c r="MUH93" s="240" t="n"/>
      <c r="MUI93" s="240" t="n"/>
      <c r="MUK93" s="15" t="n"/>
      <c r="MUL93" s="15" t="n"/>
      <c r="MUM93" s="248" t="n"/>
      <c r="MUN93" s="248" t="n"/>
      <c r="MUO93" s="240" t="n"/>
      <c r="MUP93" s="240" t="n"/>
      <c r="MUR93" s="15" t="n"/>
      <c r="MUS93" s="15" t="n"/>
      <c r="MUT93" s="248" t="n"/>
      <c r="MUU93" s="248" t="n"/>
      <c r="MUV93" s="240" t="n"/>
      <c r="MUW93" s="240" t="n"/>
      <c r="MUY93" s="15" t="n"/>
      <c r="MUZ93" s="15" t="n"/>
      <c r="MVA93" s="248" t="n"/>
      <c r="MVB93" s="248" t="n"/>
      <c r="MVC93" s="240" t="n"/>
      <c r="MVD93" s="240" t="n"/>
      <c r="MVF93" s="15" t="n"/>
      <c r="MVG93" s="15" t="n"/>
      <c r="MVH93" s="248" t="n"/>
      <c r="MVI93" s="248" t="n"/>
      <c r="MVJ93" s="240" t="n"/>
      <c r="MVK93" s="240" t="n"/>
      <c r="MVM93" s="15" t="n"/>
      <c r="MVN93" s="15" t="n"/>
      <c r="MVO93" s="248" t="n"/>
      <c r="MVP93" s="248" t="n"/>
      <c r="MVQ93" s="240" t="n"/>
      <c r="MVR93" s="240" t="n"/>
      <c r="MVT93" s="15" t="n"/>
      <c r="MVU93" s="15" t="n"/>
      <c r="MVV93" s="248" t="n"/>
      <c r="MVW93" s="248" t="n"/>
      <c r="MVX93" s="240" t="n"/>
      <c r="MVY93" s="240" t="n"/>
      <c r="MWA93" s="15" t="n"/>
      <c r="MWB93" s="15" t="n"/>
      <c r="MWC93" s="248" t="n"/>
      <c r="MWD93" s="248" t="n"/>
      <c r="MWE93" s="240" t="n"/>
      <c r="MWF93" s="240" t="n"/>
      <c r="MWH93" s="15" t="n"/>
      <c r="MWI93" s="15" t="n"/>
      <c r="MWJ93" s="248" t="n"/>
      <c r="MWK93" s="248" t="n"/>
      <c r="MWL93" s="240" t="n"/>
      <c r="MWM93" s="240" t="n"/>
      <c r="MWO93" s="15" t="n"/>
      <c r="MWP93" s="15" t="n"/>
      <c r="MWQ93" s="248" t="n"/>
      <c r="MWR93" s="248" t="n"/>
      <c r="MWS93" s="240" t="n"/>
      <c r="MWT93" s="240" t="n"/>
      <c r="MWV93" s="15" t="n"/>
      <c r="MWW93" s="15" t="n"/>
      <c r="MWX93" s="248" t="n"/>
      <c r="MWY93" s="248" t="n"/>
      <c r="MWZ93" s="240" t="n"/>
      <c r="MXA93" s="240" t="n"/>
      <c r="MXC93" s="15" t="n"/>
      <c r="MXD93" s="15" t="n"/>
      <c r="MXE93" s="248" t="n"/>
      <c r="MXF93" s="248" t="n"/>
      <c r="MXG93" s="240" t="n"/>
      <c r="MXH93" s="240" t="n"/>
      <c r="MXJ93" s="15" t="n"/>
      <c r="MXK93" s="15" t="n"/>
      <c r="MXL93" s="248" t="n"/>
      <c r="MXM93" s="248" t="n"/>
      <c r="MXN93" s="240" t="n"/>
      <c r="MXO93" s="240" t="n"/>
      <c r="MXQ93" s="15" t="n"/>
      <c r="MXR93" s="15" t="n"/>
      <c r="MXS93" s="248" t="n"/>
      <c r="MXT93" s="248" t="n"/>
      <c r="MXU93" s="240" t="n"/>
      <c r="MXV93" s="240" t="n"/>
      <c r="MXX93" s="15" t="n"/>
      <c r="MXY93" s="15" t="n"/>
      <c r="MXZ93" s="248" t="n"/>
      <c r="MYA93" s="248" t="n"/>
      <c r="MYB93" s="240" t="n"/>
      <c r="MYC93" s="240" t="n"/>
      <c r="MYE93" s="15" t="n"/>
      <c r="MYF93" s="15" t="n"/>
      <c r="MYG93" s="248" t="n"/>
      <c r="MYH93" s="248" t="n"/>
      <c r="MYI93" s="240" t="n"/>
      <c r="MYJ93" s="240" t="n"/>
      <c r="MYL93" s="15" t="n"/>
      <c r="MYM93" s="15" t="n"/>
      <c r="MYN93" s="248" t="n"/>
      <c r="MYO93" s="248" t="n"/>
      <c r="MYP93" s="240" t="n"/>
      <c r="MYQ93" s="240" t="n"/>
      <c r="MYS93" s="15" t="n"/>
      <c r="MYT93" s="15" t="n"/>
      <c r="MYU93" s="248" t="n"/>
      <c r="MYV93" s="248" t="n"/>
      <c r="MYW93" s="240" t="n"/>
      <c r="MYX93" s="240" t="n"/>
      <c r="MYZ93" s="15" t="n"/>
      <c r="MZA93" s="15" t="n"/>
      <c r="MZB93" s="248" t="n"/>
      <c r="MZC93" s="248" t="n"/>
      <c r="MZD93" s="240" t="n"/>
      <c r="MZE93" s="240" t="n"/>
      <c r="MZG93" s="15" t="n"/>
      <c r="MZH93" s="15" t="n"/>
      <c r="MZI93" s="248" t="n"/>
      <c r="MZJ93" s="248" t="n"/>
      <c r="MZK93" s="240" t="n"/>
      <c r="MZL93" s="240" t="n"/>
      <c r="MZN93" s="15" t="n"/>
      <c r="MZO93" s="15" t="n"/>
      <c r="MZP93" s="248" t="n"/>
      <c r="MZQ93" s="248" t="n"/>
      <c r="MZR93" s="240" t="n"/>
      <c r="MZS93" s="240" t="n"/>
      <c r="MZU93" s="15" t="n"/>
      <c r="MZV93" s="15" t="n"/>
      <c r="MZW93" s="248" t="n"/>
      <c r="MZX93" s="248" t="n"/>
      <c r="MZY93" s="240" t="n"/>
      <c r="MZZ93" s="240" t="n"/>
      <c r="NAB93" s="15" t="n"/>
      <c r="NAC93" s="15" t="n"/>
      <c r="NAD93" s="248" t="n"/>
      <c r="NAE93" s="248" t="n"/>
      <c r="NAF93" s="240" t="n"/>
      <c r="NAG93" s="240" t="n"/>
      <c r="NAI93" s="15" t="n"/>
      <c r="NAJ93" s="15" t="n"/>
      <c r="NAK93" s="248" t="n"/>
      <c r="NAL93" s="248" t="n"/>
      <c r="NAM93" s="240" t="n"/>
      <c r="NAN93" s="240" t="n"/>
      <c r="NAP93" s="15" t="n"/>
      <c r="NAQ93" s="15" t="n"/>
      <c r="NAR93" s="248" t="n"/>
      <c r="NAS93" s="248" t="n"/>
      <c r="NAT93" s="240" t="n"/>
      <c r="NAU93" s="240" t="n"/>
      <c r="NAW93" s="15" t="n"/>
      <c r="NAX93" s="15" t="n"/>
      <c r="NAY93" s="248" t="n"/>
      <c r="NAZ93" s="248" t="n"/>
      <c r="NBA93" s="240" t="n"/>
      <c r="NBB93" s="240" t="n"/>
      <c r="NBD93" s="15" t="n"/>
      <c r="NBE93" s="15" t="n"/>
      <c r="NBF93" s="248" t="n"/>
      <c r="NBG93" s="248" t="n"/>
      <c r="NBH93" s="240" t="n"/>
      <c r="NBI93" s="240" t="n"/>
      <c r="NBK93" s="15" t="n"/>
      <c r="NBL93" s="15" t="n"/>
      <c r="NBM93" s="248" t="n"/>
      <c r="NBN93" s="248" t="n"/>
      <c r="NBO93" s="240" t="n"/>
      <c r="NBP93" s="240" t="n"/>
      <c r="NBR93" s="15" t="n"/>
      <c r="NBS93" s="15" t="n"/>
      <c r="NBT93" s="248" t="n"/>
      <c r="NBU93" s="248" t="n"/>
      <c r="NBV93" s="240" t="n"/>
      <c r="NBW93" s="240" t="n"/>
      <c r="NBY93" s="15" t="n"/>
      <c r="NBZ93" s="15" t="n"/>
      <c r="NCA93" s="248" t="n"/>
      <c r="NCB93" s="248" t="n"/>
      <c r="NCC93" s="240" t="n"/>
      <c r="NCD93" s="240" t="n"/>
      <c r="NCF93" s="15" t="n"/>
      <c r="NCG93" s="15" t="n"/>
      <c r="NCH93" s="248" t="n"/>
      <c r="NCI93" s="248" t="n"/>
      <c r="NCJ93" s="240" t="n"/>
      <c r="NCK93" s="240" t="n"/>
      <c r="NCM93" s="15" t="n"/>
      <c r="NCN93" s="15" t="n"/>
      <c r="NCO93" s="248" t="n"/>
      <c r="NCP93" s="248" t="n"/>
      <c r="NCQ93" s="240" t="n"/>
      <c r="NCR93" s="240" t="n"/>
      <c r="NCT93" s="15" t="n"/>
      <c r="NCU93" s="15" t="n"/>
      <c r="NCV93" s="248" t="n"/>
      <c r="NCW93" s="248" t="n"/>
      <c r="NCX93" s="240" t="n"/>
      <c r="NCY93" s="240" t="n"/>
      <c r="NDA93" s="15" t="n"/>
      <c r="NDB93" s="15" t="n"/>
      <c r="NDC93" s="248" t="n"/>
      <c r="NDD93" s="248" t="n"/>
      <c r="NDE93" s="240" t="n"/>
      <c r="NDF93" s="240" t="n"/>
      <c r="NDH93" s="15" t="n"/>
      <c r="NDI93" s="15" t="n"/>
      <c r="NDJ93" s="248" t="n"/>
      <c r="NDK93" s="248" t="n"/>
      <c r="NDL93" s="240" t="n"/>
      <c r="NDM93" s="240" t="n"/>
      <c r="NDO93" s="15" t="n"/>
      <c r="NDP93" s="15" t="n"/>
      <c r="NDQ93" s="248" t="n"/>
      <c r="NDR93" s="248" t="n"/>
      <c r="NDS93" s="240" t="n"/>
      <c r="NDT93" s="240" t="n"/>
      <c r="NDV93" s="15" t="n"/>
      <c r="NDW93" s="15" t="n"/>
      <c r="NDX93" s="248" t="n"/>
      <c r="NDY93" s="248" t="n"/>
      <c r="NDZ93" s="240" t="n"/>
      <c r="NEA93" s="240" t="n"/>
      <c r="NEC93" s="15" t="n"/>
      <c r="NED93" s="15" t="n"/>
      <c r="NEE93" s="248" t="n"/>
      <c r="NEF93" s="248" t="n"/>
      <c r="NEG93" s="240" t="n"/>
      <c r="NEH93" s="240" t="n"/>
      <c r="NEJ93" s="15" t="n"/>
      <c r="NEK93" s="15" t="n"/>
      <c r="NEL93" s="248" t="n"/>
      <c r="NEM93" s="248" t="n"/>
      <c r="NEN93" s="240" t="n"/>
      <c r="NEO93" s="240" t="n"/>
      <c r="NEQ93" s="15" t="n"/>
      <c r="NER93" s="15" t="n"/>
      <c r="NES93" s="248" t="n"/>
      <c r="NET93" s="248" t="n"/>
      <c r="NEU93" s="240" t="n"/>
      <c r="NEV93" s="240" t="n"/>
      <c r="NEX93" s="15" t="n"/>
      <c r="NEY93" s="15" t="n"/>
      <c r="NEZ93" s="248" t="n"/>
      <c r="NFA93" s="248" t="n"/>
      <c r="NFB93" s="240" t="n"/>
      <c r="NFC93" s="240" t="n"/>
      <c r="NFE93" s="15" t="n"/>
      <c r="NFF93" s="15" t="n"/>
      <c r="NFG93" s="248" t="n"/>
      <c r="NFH93" s="248" t="n"/>
      <c r="NFI93" s="240" t="n"/>
      <c r="NFJ93" s="240" t="n"/>
      <c r="NFL93" s="15" t="n"/>
      <c r="NFM93" s="15" t="n"/>
      <c r="NFN93" s="248" t="n"/>
      <c r="NFO93" s="248" t="n"/>
      <c r="NFP93" s="240" t="n"/>
      <c r="NFQ93" s="240" t="n"/>
      <c r="NFS93" s="15" t="n"/>
      <c r="NFT93" s="15" t="n"/>
      <c r="NFU93" s="248" t="n"/>
      <c r="NFV93" s="248" t="n"/>
      <c r="NFW93" s="240" t="n"/>
      <c r="NFX93" s="240" t="n"/>
      <c r="NFZ93" s="15" t="n"/>
      <c r="NGA93" s="15" t="n"/>
      <c r="NGB93" s="248" t="n"/>
      <c r="NGC93" s="248" t="n"/>
      <c r="NGD93" s="240" t="n"/>
      <c r="NGE93" s="240" t="n"/>
      <c r="NGG93" s="15" t="n"/>
      <c r="NGH93" s="15" t="n"/>
      <c r="NGI93" s="248" t="n"/>
      <c r="NGJ93" s="248" t="n"/>
      <c r="NGK93" s="240" t="n"/>
      <c r="NGL93" s="240" t="n"/>
      <c r="NGN93" s="15" t="n"/>
      <c r="NGO93" s="15" t="n"/>
      <c r="NGP93" s="248" t="n"/>
      <c r="NGQ93" s="248" t="n"/>
      <c r="NGR93" s="240" t="n"/>
      <c r="NGS93" s="240" t="n"/>
      <c r="NGU93" s="15" t="n"/>
      <c r="NGV93" s="15" t="n"/>
      <c r="NGW93" s="248" t="n"/>
      <c r="NGX93" s="248" t="n"/>
      <c r="NGY93" s="240" t="n"/>
      <c r="NGZ93" s="240" t="n"/>
      <c r="NHB93" s="15" t="n"/>
      <c r="NHC93" s="15" t="n"/>
      <c r="NHD93" s="248" t="n"/>
      <c r="NHE93" s="248" t="n"/>
      <c r="NHF93" s="240" t="n"/>
      <c r="NHG93" s="240" t="n"/>
      <c r="NHI93" s="15" t="n"/>
      <c r="NHJ93" s="15" t="n"/>
      <c r="NHK93" s="248" t="n"/>
      <c r="NHL93" s="248" t="n"/>
      <c r="NHM93" s="240" t="n"/>
      <c r="NHN93" s="240" t="n"/>
      <c r="NHP93" s="15" t="n"/>
      <c r="NHQ93" s="15" t="n"/>
      <c r="NHR93" s="248" t="n"/>
      <c r="NHS93" s="248" t="n"/>
      <c r="NHT93" s="240" t="n"/>
      <c r="NHU93" s="240" t="n"/>
      <c r="NHW93" s="15" t="n"/>
      <c r="NHX93" s="15" t="n"/>
      <c r="NHY93" s="248" t="n"/>
      <c r="NHZ93" s="248" t="n"/>
      <c r="NIA93" s="240" t="n"/>
      <c r="NIB93" s="240" t="n"/>
      <c r="NID93" s="15" t="n"/>
      <c r="NIE93" s="15" t="n"/>
      <c r="NIF93" s="248" t="n"/>
      <c r="NIG93" s="248" t="n"/>
      <c r="NIH93" s="240" t="n"/>
      <c r="NII93" s="240" t="n"/>
      <c r="NIK93" s="15" t="n"/>
      <c r="NIL93" s="15" t="n"/>
      <c r="NIM93" s="248" t="n"/>
      <c r="NIN93" s="248" t="n"/>
      <c r="NIO93" s="240" t="n"/>
      <c r="NIP93" s="240" t="n"/>
      <c r="NIR93" s="15" t="n"/>
      <c r="NIS93" s="15" t="n"/>
      <c r="NIT93" s="248" t="n"/>
      <c r="NIU93" s="248" t="n"/>
      <c r="NIV93" s="240" t="n"/>
      <c r="NIW93" s="240" t="n"/>
      <c r="NIY93" s="15" t="n"/>
      <c r="NIZ93" s="15" t="n"/>
      <c r="NJA93" s="248" t="n"/>
      <c r="NJB93" s="248" t="n"/>
      <c r="NJC93" s="240" t="n"/>
      <c r="NJD93" s="240" t="n"/>
      <c r="NJF93" s="15" t="n"/>
      <c r="NJG93" s="15" t="n"/>
      <c r="NJH93" s="248" t="n"/>
      <c r="NJI93" s="248" t="n"/>
      <c r="NJJ93" s="240" t="n"/>
      <c r="NJK93" s="240" t="n"/>
      <c r="NJM93" s="15" t="n"/>
      <c r="NJN93" s="15" t="n"/>
      <c r="NJO93" s="248" t="n"/>
      <c r="NJP93" s="248" t="n"/>
      <c r="NJQ93" s="240" t="n"/>
      <c r="NJR93" s="240" t="n"/>
      <c r="NJT93" s="15" t="n"/>
      <c r="NJU93" s="15" t="n"/>
      <c r="NJV93" s="248" t="n"/>
      <c r="NJW93" s="248" t="n"/>
      <c r="NJX93" s="240" t="n"/>
      <c r="NJY93" s="240" t="n"/>
      <c r="NKA93" s="15" t="n"/>
      <c r="NKB93" s="15" t="n"/>
      <c r="NKC93" s="248" t="n"/>
      <c r="NKD93" s="248" t="n"/>
      <c r="NKE93" s="240" t="n"/>
      <c r="NKF93" s="240" t="n"/>
      <c r="NKH93" s="15" t="n"/>
      <c r="NKI93" s="15" t="n"/>
      <c r="NKJ93" s="248" t="n"/>
      <c r="NKK93" s="248" t="n"/>
      <c r="NKL93" s="240" t="n"/>
      <c r="NKM93" s="240" t="n"/>
      <c r="NKO93" s="15" t="n"/>
      <c r="NKP93" s="15" t="n"/>
      <c r="NKQ93" s="248" t="n"/>
      <c r="NKR93" s="248" t="n"/>
      <c r="NKS93" s="240" t="n"/>
      <c r="NKT93" s="240" t="n"/>
      <c r="NKV93" s="15" t="n"/>
      <c r="NKW93" s="15" t="n"/>
      <c r="NKX93" s="248" t="n"/>
      <c r="NKY93" s="248" t="n"/>
      <c r="NKZ93" s="240" t="n"/>
      <c r="NLA93" s="240" t="n"/>
      <c r="NLC93" s="15" t="n"/>
      <c r="NLD93" s="15" t="n"/>
      <c r="NLE93" s="248" t="n"/>
      <c r="NLF93" s="248" t="n"/>
      <c r="NLG93" s="240" t="n"/>
      <c r="NLH93" s="240" t="n"/>
      <c r="NLJ93" s="15" t="n"/>
      <c r="NLK93" s="15" t="n"/>
      <c r="NLL93" s="248" t="n"/>
      <c r="NLM93" s="248" t="n"/>
      <c r="NLN93" s="240" t="n"/>
      <c r="NLO93" s="240" t="n"/>
      <c r="NLQ93" s="15" t="n"/>
      <c r="NLR93" s="15" t="n"/>
      <c r="NLS93" s="248" t="n"/>
      <c r="NLT93" s="248" t="n"/>
      <c r="NLU93" s="240" t="n"/>
      <c r="NLV93" s="240" t="n"/>
      <c r="NLX93" s="15" t="n"/>
      <c r="NLY93" s="15" t="n"/>
      <c r="NLZ93" s="248" t="n"/>
      <c r="NMA93" s="248" t="n"/>
      <c r="NMB93" s="240" t="n"/>
      <c r="NMC93" s="240" t="n"/>
      <c r="NME93" s="15" t="n"/>
      <c r="NMF93" s="15" t="n"/>
      <c r="NMG93" s="248" t="n"/>
      <c r="NMH93" s="248" t="n"/>
      <c r="NMI93" s="240" t="n"/>
      <c r="NMJ93" s="240" t="n"/>
      <c r="NML93" s="15" t="n"/>
      <c r="NMM93" s="15" t="n"/>
      <c r="NMN93" s="248" t="n"/>
      <c r="NMO93" s="248" t="n"/>
      <c r="NMP93" s="240" t="n"/>
      <c r="NMQ93" s="240" t="n"/>
      <c r="NMS93" s="15" t="n"/>
      <c r="NMT93" s="15" t="n"/>
      <c r="NMU93" s="248" t="n"/>
      <c r="NMV93" s="248" t="n"/>
      <c r="NMW93" s="240" t="n"/>
      <c r="NMX93" s="240" t="n"/>
      <c r="NMZ93" s="15" t="n"/>
      <c r="NNA93" s="15" t="n"/>
      <c r="NNB93" s="248" t="n"/>
      <c r="NNC93" s="248" t="n"/>
      <c r="NND93" s="240" t="n"/>
      <c r="NNE93" s="240" t="n"/>
      <c r="NNG93" s="15" t="n"/>
      <c r="NNH93" s="15" t="n"/>
      <c r="NNI93" s="248" t="n"/>
      <c r="NNJ93" s="248" t="n"/>
      <c r="NNK93" s="240" t="n"/>
      <c r="NNL93" s="240" t="n"/>
      <c r="NNN93" s="15" t="n"/>
      <c r="NNO93" s="15" t="n"/>
      <c r="NNP93" s="248" t="n"/>
      <c r="NNQ93" s="248" t="n"/>
      <c r="NNR93" s="240" t="n"/>
      <c r="NNS93" s="240" t="n"/>
      <c r="NNU93" s="15" t="n"/>
      <c r="NNV93" s="15" t="n"/>
      <c r="NNW93" s="248" t="n"/>
      <c r="NNX93" s="248" t="n"/>
      <c r="NNY93" s="240" t="n"/>
      <c r="NNZ93" s="240" t="n"/>
      <c r="NOB93" s="15" t="n"/>
      <c r="NOC93" s="15" t="n"/>
      <c r="NOD93" s="248" t="n"/>
      <c r="NOE93" s="248" t="n"/>
      <c r="NOF93" s="240" t="n"/>
      <c r="NOG93" s="240" t="n"/>
      <c r="NOI93" s="15" t="n"/>
      <c r="NOJ93" s="15" t="n"/>
      <c r="NOK93" s="248" t="n"/>
      <c r="NOL93" s="248" t="n"/>
      <c r="NOM93" s="240" t="n"/>
      <c r="NON93" s="240" t="n"/>
      <c r="NOP93" s="15" t="n"/>
      <c r="NOQ93" s="15" t="n"/>
      <c r="NOR93" s="248" t="n"/>
      <c r="NOS93" s="248" t="n"/>
      <c r="NOT93" s="240" t="n"/>
      <c r="NOU93" s="240" t="n"/>
      <c r="NOW93" s="15" t="n"/>
      <c r="NOX93" s="15" t="n"/>
      <c r="NOY93" s="248" t="n"/>
      <c r="NOZ93" s="248" t="n"/>
      <c r="NPA93" s="240" t="n"/>
      <c r="NPB93" s="240" t="n"/>
      <c r="NPD93" s="15" t="n"/>
      <c r="NPE93" s="15" t="n"/>
      <c r="NPF93" s="248" t="n"/>
      <c r="NPG93" s="248" t="n"/>
      <c r="NPH93" s="240" t="n"/>
      <c r="NPI93" s="240" t="n"/>
      <c r="NPK93" s="15" t="n"/>
      <c r="NPL93" s="15" t="n"/>
      <c r="NPM93" s="248" t="n"/>
      <c r="NPN93" s="248" t="n"/>
      <c r="NPO93" s="240" t="n"/>
      <c r="NPP93" s="240" t="n"/>
      <c r="NPR93" s="15" t="n"/>
      <c r="NPS93" s="15" t="n"/>
      <c r="NPT93" s="248" t="n"/>
      <c r="NPU93" s="248" t="n"/>
      <c r="NPV93" s="240" t="n"/>
      <c r="NPW93" s="240" t="n"/>
      <c r="NPY93" s="15" t="n"/>
      <c r="NPZ93" s="15" t="n"/>
      <c r="NQA93" s="248" t="n"/>
      <c r="NQB93" s="248" t="n"/>
      <c r="NQC93" s="240" t="n"/>
      <c r="NQD93" s="240" t="n"/>
      <c r="NQF93" s="15" t="n"/>
      <c r="NQG93" s="15" t="n"/>
      <c r="NQH93" s="248" t="n"/>
      <c r="NQI93" s="248" t="n"/>
      <c r="NQJ93" s="240" t="n"/>
      <c r="NQK93" s="240" t="n"/>
      <c r="NQM93" s="15" t="n"/>
      <c r="NQN93" s="15" t="n"/>
      <c r="NQO93" s="248" t="n"/>
      <c r="NQP93" s="248" t="n"/>
      <c r="NQQ93" s="240" t="n"/>
      <c r="NQR93" s="240" t="n"/>
      <c r="NQT93" s="15" t="n"/>
      <c r="NQU93" s="15" t="n"/>
      <c r="NQV93" s="248" t="n"/>
      <c r="NQW93" s="248" t="n"/>
      <c r="NQX93" s="240" t="n"/>
      <c r="NQY93" s="240" t="n"/>
      <c r="NRA93" s="15" t="n"/>
      <c r="NRB93" s="15" t="n"/>
      <c r="NRC93" s="248" t="n"/>
      <c r="NRD93" s="248" t="n"/>
      <c r="NRE93" s="240" t="n"/>
      <c r="NRF93" s="240" t="n"/>
      <c r="NRH93" s="15" t="n"/>
      <c r="NRI93" s="15" t="n"/>
      <c r="NRJ93" s="248" t="n"/>
      <c r="NRK93" s="248" t="n"/>
      <c r="NRL93" s="240" t="n"/>
      <c r="NRM93" s="240" t="n"/>
      <c r="NRO93" s="15" t="n"/>
      <c r="NRP93" s="15" t="n"/>
      <c r="NRQ93" s="248" t="n"/>
      <c r="NRR93" s="248" t="n"/>
      <c r="NRS93" s="240" t="n"/>
      <c r="NRT93" s="240" t="n"/>
      <c r="NRV93" s="15" t="n"/>
      <c r="NRW93" s="15" t="n"/>
      <c r="NRX93" s="248" t="n"/>
      <c r="NRY93" s="248" t="n"/>
      <c r="NRZ93" s="240" t="n"/>
      <c r="NSA93" s="240" t="n"/>
      <c r="NSC93" s="15" t="n"/>
      <c r="NSD93" s="15" t="n"/>
      <c r="NSE93" s="248" t="n"/>
      <c r="NSF93" s="248" t="n"/>
      <c r="NSG93" s="240" t="n"/>
      <c r="NSH93" s="240" t="n"/>
      <c r="NSJ93" s="15" t="n"/>
      <c r="NSK93" s="15" t="n"/>
      <c r="NSL93" s="248" t="n"/>
      <c r="NSM93" s="248" t="n"/>
      <c r="NSN93" s="240" t="n"/>
      <c r="NSO93" s="240" t="n"/>
      <c r="NSQ93" s="15" t="n"/>
      <c r="NSR93" s="15" t="n"/>
      <c r="NSS93" s="248" t="n"/>
      <c r="NST93" s="248" t="n"/>
      <c r="NSU93" s="240" t="n"/>
      <c r="NSV93" s="240" t="n"/>
      <c r="NSX93" s="15" t="n"/>
      <c r="NSY93" s="15" t="n"/>
      <c r="NSZ93" s="248" t="n"/>
      <c r="NTA93" s="248" t="n"/>
      <c r="NTB93" s="240" t="n"/>
      <c r="NTC93" s="240" t="n"/>
      <c r="NTE93" s="15" t="n"/>
      <c r="NTF93" s="15" t="n"/>
      <c r="NTG93" s="248" t="n"/>
      <c r="NTH93" s="248" t="n"/>
      <c r="NTI93" s="240" t="n"/>
      <c r="NTJ93" s="240" t="n"/>
      <c r="NTL93" s="15" t="n"/>
      <c r="NTM93" s="15" t="n"/>
      <c r="NTN93" s="248" t="n"/>
      <c r="NTO93" s="248" t="n"/>
      <c r="NTP93" s="240" t="n"/>
      <c r="NTQ93" s="240" t="n"/>
      <c r="NTS93" s="15" t="n"/>
      <c r="NTT93" s="15" t="n"/>
      <c r="NTU93" s="248" t="n"/>
      <c r="NTV93" s="248" t="n"/>
      <c r="NTW93" s="240" t="n"/>
      <c r="NTX93" s="240" t="n"/>
      <c r="NTZ93" s="15" t="n"/>
      <c r="NUA93" s="15" t="n"/>
      <c r="NUB93" s="248" t="n"/>
      <c r="NUC93" s="248" t="n"/>
      <c r="NUD93" s="240" t="n"/>
      <c r="NUE93" s="240" t="n"/>
      <c r="NUG93" s="15" t="n"/>
      <c r="NUH93" s="15" t="n"/>
      <c r="NUI93" s="248" t="n"/>
      <c r="NUJ93" s="248" t="n"/>
      <c r="NUK93" s="240" t="n"/>
      <c r="NUL93" s="240" t="n"/>
      <c r="NUN93" s="15" t="n"/>
      <c r="NUO93" s="15" t="n"/>
      <c r="NUP93" s="248" t="n"/>
      <c r="NUQ93" s="248" t="n"/>
      <c r="NUR93" s="240" t="n"/>
      <c r="NUS93" s="240" t="n"/>
      <c r="NUU93" s="15" t="n"/>
      <c r="NUV93" s="15" t="n"/>
      <c r="NUW93" s="248" t="n"/>
      <c r="NUX93" s="248" t="n"/>
      <c r="NUY93" s="240" t="n"/>
      <c r="NUZ93" s="240" t="n"/>
      <c r="NVB93" s="15" t="n"/>
      <c r="NVC93" s="15" t="n"/>
      <c r="NVD93" s="248" t="n"/>
      <c r="NVE93" s="248" t="n"/>
      <c r="NVF93" s="240" t="n"/>
      <c r="NVG93" s="240" t="n"/>
      <c r="NVI93" s="15" t="n"/>
      <c r="NVJ93" s="15" t="n"/>
      <c r="NVK93" s="248" t="n"/>
      <c r="NVL93" s="248" t="n"/>
      <c r="NVM93" s="240" t="n"/>
      <c r="NVN93" s="240" t="n"/>
      <c r="NVP93" s="15" t="n"/>
      <c r="NVQ93" s="15" t="n"/>
      <c r="NVR93" s="248" t="n"/>
      <c r="NVS93" s="248" t="n"/>
      <c r="NVT93" s="240" t="n"/>
      <c r="NVU93" s="240" t="n"/>
      <c r="NVW93" s="15" t="n"/>
      <c r="NVX93" s="15" t="n"/>
      <c r="NVY93" s="248" t="n"/>
      <c r="NVZ93" s="248" t="n"/>
      <c r="NWA93" s="240" t="n"/>
      <c r="NWB93" s="240" t="n"/>
      <c r="NWD93" s="15" t="n"/>
      <c r="NWE93" s="15" t="n"/>
      <c r="NWF93" s="248" t="n"/>
      <c r="NWG93" s="248" t="n"/>
      <c r="NWH93" s="240" t="n"/>
      <c r="NWI93" s="240" t="n"/>
      <c r="NWK93" s="15" t="n"/>
      <c r="NWL93" s="15" t="n"/>
      <c r="NWM93" s="248" t="n"/>
      <c r="NWN93" s="248" t="n"/>
      <c r="NWO93" s="240" t="n"/>
      <c r="NWP93" s="240" t="n"/>
      <c r="NWR93" s="15" t="n"/>
      <c r="NWS93" s="15" t="n"/>
      <c r="NWT93" s="248" t="n"/>
      <c r="NWU93" s="248" t="n"/>
      <c r="NWV93" s="240" t="n"/>
      <c r="NWW93" s="240" t="n"/>
      <c r="NWY93" s="15" t="n"/>
      <c r="NWZ93" s="15" t="n"/>
      <c r="NXA93" s="248" t="n"/>
      <c r="NXB93" s="248" t="n"/>
      <c r="NXC93" s="240" t="n"/>
      <c r="NXD93" s="240" t="n"/>
      <c r="NXF93" s="15" t="n"/>
      <c r="NXG93" s="15" t="n"/>
      <c r="NXH93" s="248" t="n"/>
      <c r="NXI93" s="248" t="n"/>
      <c r="NXJ93" s="240" t="n"/>
      <c r="NXK93" s="240" t="n"/>
      <c r="NXM93" s="15" t="n"/>
      <c r="NXN93" s="15" t="n"/>
      <c r="NXO93" s="248" t="n"/>
      <c r="NXP93" s="248" t="n"/>
      <c r="NXQ93" s="240" t="n"/>
      <c r="NXR93" s="240" t="n"/>
      <c r="NXT93" s="15" t="n"/>
      <c r="NXU93" s="15" t="n"/>
      <c r="NXV93" s="248" t="n"/>
      <c r="NXW93" s="248" t="n"/>
      <c r="NXX93" s="240" t="n"/>
      <c r="NXY93" s="240" t="n"/>
      <c r="NYA93" s="15" t="n"/>
      <c r="NYB93" s="15" t="n"/>
      <c r="NYC93" s="248" t="n"/>
      <c r="NYD93" s="248" t="n"/>
      <c r="NYE93" s="240" t="n"/>
      <c r="NYF93" s="240" t="n"/>
      <c r="NYH93" s="15" t="n"/>
      <c r="NYI93" s="15" t="n"/>
      <c r="NYJ93" s="248" t="n"/>
      <c r="NYK93" s="248" t="n"/>
      <c r="NYL93" s="240" t="n"/>
      <c r="NYM93" s="240" t="n"/>
      <c r="NYO93" s="15" t="n"/>
      <c r="NYP93" s="15" t="n"/>
      <c r="NYQ93" s="248" t="n"/>
      <c r="NYR93" s="248" t="n"/>
      <c r="NYS93" s="240" t="n"/>
      <c r="NYT93" s="240" t="n"/>
      <c r="NYV93" s="15" t="n"/>
      <c r="NYW93" s="15" t="n"/>
      <c r="NYX93" s="248" t="n"/>
      <c r="NYY93" s="248" t="n"/>
      <c r="NYZ93" s="240" t="n"/>
      <c r="NZA93" s="240" t="n"/>
      <c r="NZC93" s="15" t="n"/>
      <c r="NZD93" s="15" t="n"/>
      <c r="NZE93" s="248" t="n"/>
      <c r="NZF93" s="248" t="n"/>
      <c r="NZG93" s="240" t="n"/>
      <c r="NZH93" s="240" t="n"/>
      <c r="NZJ93" s="15" t="n"/>
      <c r="NZK93" s="15" t="n"/>
      <c r="NZL93" s="248" t="n"/>
      <c r="NZM93" s="248" t="n"/>
      <c r="NZN93" s="240" t="n"/>
      <c r="NZO93" s="240" t="n"/>
      <c r="NZQ93" s="15" t="n"/>
      <c r="NZR93" s="15" t="n"/>
      <c r="NZS93" s="248" t="n"/>
      <c r="NZT93" s="248" t="n"/>
      <c r="NZU93" s="240" t="n"/>
      <c r="NZV93" s="240" t="n"/>
      <c r="NZX93" s="15" t="n"/>
      <c r="NZY93" s="15" t="n"/>
      <c r="NZZ93" s="248" t="n"/>
      <c r="OAA93" s="248" t="n"/>
      <c r="OAB93" s="240" t="n"/>
      <c r="OAC93" s="240" t="n"/>
      <c r="OAE93" s="15" t="n"/>
      <c r="OAF93" s="15" t="n"/>
      <c r="OAG93" s="248" t="n"/>
      <c r="OAH93" s="248" t="n"/>
      <c r="OAI93" s="240" t="n"/>
      <c r="OAJ93" s="240" t="n"/>
      <c r="OAL93" s="15" t="n"/>
      <c r="OAM93" s="15" t="n"/>
      <c r="OAN93" s="248" t="n"/>
      <c r="OAO93" s="248" t="n"/>
      <c r="OAP93" s="240" t="n"/>
      <c r="OAQ93" s="240" t="n"/>
      <c r="OAS93" s="15" t="n"/>
      <c r="OAT93" s="15" t="n"/>
      <c r="OAU93" s="248" t="n"/>
      <c r="OAV93" s="248" t="n"/>
      <c r="OAW93" s="240" t="n"/>
      <c r="OAX93" s="240" t="n"/>
      <c r="OAZ93" s="15" t="n"/>
      <c r="OBA93" s="15" t="n"/>
      <c r="OBB93" s="248" t="n"/>
      <c r="OBC93" s="248" t="n"/>
      <c r="OBD93" s="240" t="n"/>
      <c r="OBE93" s="240" t="n"/>
      <c r="OBG93" s="15" t="n"/>
      <c r="OBH93" s="15" t="n"/>
      <c r="OBI93" s="248" t="n"/>
      <c r="OBJ93" s="248" t="n"/>
      <c r="OBK93" s="240" t="n"/>
      <c r="OBL93" s="240" t="n"/>
      <c r="OBN93" s="15" t="n"/>
      <c r="OBO93" s="15" t="n"/>
      <c r="OBP93" s="248" t="n"/>
      <c r="OBQ93" s="248" t="n"/>
      <c r="OBR93" s="240" t="n"/>
      <c r="OBS93" s="240" t="n"/>
      <c r="OBU93" s="15" t="n"/>
      <c r="OBV93" s="15" t="n"/>
      <c r="OBW93" s="248" t="n"/>
      <c r="OBX93" s="248" t="n"/>
      <c r="OBY93" s="240" t="n"/>
      <c r="OBZ93" s="240" t="n"/>
      <c r="OCB93" s="15" t="n"/>
      <c r="OCC93" s="15" t="n"/>
      <c r="OCD93" s="248" t="n"/>
      <c r="OCE93" s="248" t="n"/>
      <c r="OCF93" s="240" t="n"/>
      <c r="OCG93" s="240" t="n"/>
      <c r="OCI93" s="15" t="n"/>
      <c r="OCJ93" s="15" t="n"/>
      <c r="OCK93" s="248" t="n"/>
      <c r="OCL93" s="248" t="n"/>
      <c r="OCM93" s="240" t="n"/>
      <c r="OCN93" s="240" t="n"/>
      <c r="OCP93" s="15" t="n"/>
      <c r="OCQ93" s="15" t="n"/>
      <c r="OCR93" s="248" t="n"/>
      <c r="OCS93" s="248" t="n"/>
      <c r="OCT93" s="240" t="n"/>
      <c r="OCU93" s="240" t="n"/>
      <c r="OCW93" s="15" t="n"/>
      <c r="OCX93" s="15" t="n"/>
      <c r="OCY93" s="248" t="n"/>
      <c r="OCZ93" s="248" t="n"/>
      <c r="ODA93" s="240" t="n"/>
      <c r="ODB93" s="240" t="n"/>
      <c r="ODD93" s="15" t="n"/>
      <c r="ODE93" s="15" t="n"/>
      <c r="ODF93" s="248" t="n"/>
      <c r="ODG93" s="248" t="n"/>
      <c r="ODH93" s="240" t="n"/>
      <c r="ODI93" s="240" t="n"/>
      <c r="ODK93" s="15" t="n"/>
      <c r="ODL93" s="15" t="n"/>
      <c r="ODM93" s="248" t="n"/>
      <c r="ODN93" s="248" t="n"/>
      <c r="ODO93" s="240" t="n"/>
      <c r="ODP93" s="240" t="n"/>
      <c r="ODR93" s="15" t="n"/>
      <c r="ODS93" s="15" t="n"/>
      <c r="ODT93" s="248" t="n"/>
      <c r="ODU93" s="248" t="n"/>
      <c r="ODV93" s="240" t="n"/>
      <c r="ODW93" s="240" t="n"/>
      <c r="ODY93" s="15" t="n"/>
      <c r="ODZ93" s="15" t="n"/>
      <c r="OEA93" s="248" t="n"/>
      <c r="OEB93" s="248" t="n"/>
      <c r="OEC93" s="240" t="n"/>
      <c r="OED93" s="240" t="n"/>
      <c r="OEF93" s="15" t="n"/>
      <c r="OEG93" s="15" t="n"/>
      <c r="OEH93" s="248" t="n"/>
      <c r="OEI93" s="248" t="n"/>
      <c r="OEJ93" s="240" t="n"/>
      <c r="OEK93" s="240" t="n"/>
      <c r="OEM93" s="15" t="n"/>
      <c r="OEN93" s="15" t="n"/>
      <c r="OEO93" s="248" t="n"/>
      <c r="OEP93" s="248" t="n"/>
      <c r="OEQ93" s="240" t="n"/>
      <c r="OER93" s="240" t="n"/>
      <c r="OET93" s="15" t="n"/>
      <c r="OEU93" s="15" t="n"/>
      <c r="OEV93" s="248" t="n"/>
      <c r="OEW93" s="248" t="n"/>
      <c r="OEX93" s="240" t="n"/>
      <c r="OEY93" s="240" t="n"/>
      <c r="OFA93" s="15" t="n"/>
      <c r="OFB93" s="15" t="n"/>
      <c r="OFC93" s="248" t="n"/>
      <c r="OFD93" s="248" t="n"/>
      <c r="OFE93" s="240" t="n"/>
      <c r="OFF93" s="240" t="n"/>
      <c r="OFH93" s="15" t="n"/>
      <c r="OFI93" s="15" t="n"/>
      <c r="OFJ93" s="248" t="n"/>
      <c r="OFK93" s="248" t="n"/>
      <c r="OFL93" s="240" t="n"/>
      <c r="OFM93" s="240" t="n"/>
      <c r="OFO93" s="15" t="n"/>
      <c r="OFP93" s="15" t="n"/>
      <c r="OFQ93" s="248" t="n"/>
      <c r="OFR93" s="248" t="n"/>
      <c r="OFS93" s="240" t="n"/>
      <c r="OFT93" s="240" t="n"/>
      <c r="OFV93" s="15" t="n"/>
      <c r="OFW93" s="15" t="n"/>
      <c r="OFX93" s="248" t="n"/>
      <c r="OFY93" s="248" t="n"/>
      <c r="OFZ93" s="240" t="n"/>
      <c r="OGA93" s="240" t="n"/>
      <c r="OGC93" s="15" t="n"/>
      <c r="OGD93" s="15" t="n"/>
      <c r="OGE93" s="248" t="n"/>
      <c r="OGF93" s="248" t="n"/>
      <c r="OGG93" s="240" t="n"/>
      <c r="OGH93" s="240" t="n"/>
      <c r="OGJ93" s="15" t="n"/>
      <c r="OGK93" s="15" t="n"/>
      <c r="OGL93" s="248" t="n"/>
      <c r="OGM93" s="248" t="n"/>
      <c r="OGN93" s="240" t="n"/>
      <c r="OGO93" s="240" t="n"/>
      <c r="OGQ93" s="15" t="n"/>
      <c r="OGR93" s="15" t="n"/>
      <c r="OGS93" s="248" t="n"/>
      <c r="OGT93" s="248" t="n"/>
      <c r="OGU93" s="240" t="n"/>
      <c r="OGV93" s="240" t="n"/>
      <c r="OGX93" s="15" t="n"/>
      <c r="OGY93" s="15" t="n"/>
      <c r="OGZ93" s="248" t="n"/>
      <c r="OHA93" s="248" t="n"/>
      <c r="OHB93" s="240" t="n"/>
      <c r="OHC93" s="240" t="n"/>
      <c r="OHE93" s="15" t="n"/>
      <c r="OHF93" s="15" t="n"/>
      <c r="OHG93" s="248" t="n"/>
      <c r="OHH93" s="248" t="n"/>
      <c r="OHI93" s="240" t="n"/>
      <c r="OHJ93" s="240" t="n"/>
      <c r="OHL93" s="15" t="n"/>
      <c r="OHM93" s="15" t="n"/>
      <c r="OHN93" s="248" t="n"/>
      <c r="OHO93" s="248" t="n"/>
      <c r="OHP93" s="240" t="n"/>
      <c r="OHQ93" s="240" t="n"/>
      <c r="OHS93" s="15" t="n"/>
      <c r="OHT93" s="15" t="n"/>
      <c r="OHU93" s="248" t="n"/>
      <c r="OHV93" s="248" t="n"/>
      <c r="OHW93" s="240" t="n"/>
      <c r="OHX93" s="240" t="n"/>
      <c r="OHZ93" s="15" t="n"/>
      <c r="OIA93" s="15" t="n"/>
      <c r="OIB93" s="248" t="n"/>
      <c r="OIC93" s="248" t="n"/>
      <c r="OID93" s="240" t="n"/>
      <c r="OIE93" s="240" t="n"/>
      <c r="OIG93" s="15" t="n"/>
      <c r="OIH93" s="15" t="n"/>
      <c r="OII93" s="248" t="n"/>
      <c r="OIJ93" s="248" t="n"/>
      <c r="OIK93" s="240" t="n"/>
      <c r="OIL93" s="240" t="n"/>
      <c r="OIN93" s="15" t="n"/>
      <c r="OIO93" s="15" t="n"/>
      <c r="OIP93" s="248" t="n"/>
      <c r="OIQ93" s="248" t="n"/>
      <c r="OIR93" s="240" t="n"/>
      <c r="OIS93" s="240" t="n"/>
      <c r="OIU93" s="15" t="n"/>
      <c r="OIV93" s="15" t="n"/>
      <c r="OIW93" s="248" t="n"/>
      <c r="OIX93" s="248" t="n"/>
      <c r="OIY93" s="240" t="n"/>
      <c r="OIZ93" s="240" t="n"/>
      <c r="OJB93" s="15" t="n"/>
      <c r="OJC93" s="15" t="n"/>
      <c r="OJD93" s="248" t="n"/>
      <c r="OJE93" s="248" t="n"/>
      <c r="OJF93" s="240" t="n"/>
      <c r="OJG93" s="240" t="n"/>
      <c r="OJI93" s="15" t="n"/>
      <c r="OJJ93" s="15" t="n"/>
      <c r="OJK93" s="248" t="n"/>
      <c r="OJL93" s="248" t="n"/>
      <c r="OJM93" s="240" t="n"/>
      <c r="OJN93" s="240" t="n"/>
      <c r="OJP93" s="15" t="n"/>
      <c r="OJQ93" s="15" t="n"/>
      <c r="OJR93" s="248" t="n"/>
      <c r="OJS93" s="248" t="n"/>
      <c r="OJT93" s="240" t="n"/>
      <c r="OJU93" s="240" t="n"/>
      <c r="OJW93" s="15" t="n"/>
      <c r="OJX93" s="15" t="n"/>
      <c r="OJY93" s="248" t="n"/>
      <c r="OJZ93" s="248" t="n"/>
      <c r="OKA93" s="240" t="n"/>
      <c r="OKB93" s="240" t="n"/>
      <c r="OKD93" s="15" t="n"/>
      <c r="OKE93" s="15" t="n"/>
      <c r="OKF93" s="248" t="n"/>
      <c r="OKG93" s="248" t="n"/>
      <c r="OKH93" s="240" t="n"/>
      <c r="OKI93" s="240" t="n"/>
      <c r="OKK93" s="15" t="n"/>
      <c r="OKL93" s="15" t="n"/>
      <c r="OKM93" s="248" t="n"/>
      <c r="OKN93" s="248" t="n"/>
      <c r="OKO93" s="240" t="n"/>
      <c r="OKP93" s="240" t="n"/>
      <c r="OKR93" s="15" t="n"/>
      <c r="OKS93" s="15" t="n"/>
      <c r="OKT93" s="248" t="n"/>
      <c r="OKU93" s="248" t="n"/>
      <c r="OKV93" s="240" t="n"/>
      <c r="OKW93" s="240" t="n"/>
      <c r="OKY93" s="15" t="n"/>
      <c r="OKZ93" s="15" t="n"/>
      <c r="OLA93" s="248" t="n"/>
      <c r="OLB93" s="248" t="n"/>
      <c r="OLC93" s="240" t="n"/>
      <c r="OLD93" s="240" t="n"/>
      <c r="OLF93" s="15" t="n"/>
      <c r="OLG93" s="15" t="n"/>
      <c r="OLH93" s="248" t="n"/>
      <c r="OLI93" s="248" t="n"/>
      <c r="OLJ93" s="240" t="n"/>
      <c r="OLK93" s="240" t="n"/>
      <c r="OLM93" s="15" t="n"/>
      <c r="OLN93" s="15" t="n"/>
      <c r="OLO93" s="248" t="n"/>
      <c r="OLP93" s="248" t="n"/>
      <c r="OLQ93" s="240" t="n"/>
      <c r="OLR93" s="240" t="n"/>
      <c r="OLT93" s="15" t="n"/>
      <c r="OLU93" s="15" t="n"/>
      <c r="OLV93" s="248" t="n"/>
      <c r="OLW93" s="248" t="n"/>
      <c r="OLX93" s="240" t="n"/>
      <c r="OLY93" s="240" t="n"/>
      <c r="OMA93" s="15" t="n"/>
      <c r="OMB93" s="15" t="n"/>
      <c r="OMC93" s="248" t="n"/>
      <c r="OMD93" s="248" t="n"/>
      <c r="OME93" s="240" t="n"/>
      <c r="OMF93" s="240" t="n"/>
      <c r="OMH93" s="15" t="n"/>
      <c r="OMI93" s="15" t="n"/>
      <c r="OMJ93" s="248" t="n"/>
      <c r="OMK93" s="248" t="n"/>
      <c r="OML93" s="240" t="n"/>
      <c r="OMM93" s="240" t="n"/>
      <c r="OMO93" s="15" t="n"/>
      <c r="OMP93" s="15" t="n"/>
      <c r="OMQ93" s="248" t="n"/>
      <c r="OMR93" s="248" t="n"/>
      <c r="OMS93" s="240" t="n"/>
      <c r="OMT93" s="240" t="n"/>
      <c r="OMV93" s="15" t="n"/>
      <c r="OMW93" s="15" t="n"/>
      <c r="OMX93" s="248" t="n"/>
      <c r="OMY93" s="248" t="n"/>
      <c r="OMZ93" s="240" t="n"/>
      <c r="ONA93" s="240" t="n"/>
      <c r="ONC93" s="15" t="n"/>
      <c r="OND93" s="15" t="n"/>
      <c r="ONE93" s="248" t="n"/>
      <c r="ONF93" s="248" t="n"/>
      <c r="ONG93" s="240" t="n"/>
      <c r="ONH93" s="240" t="n"/>
      <c r="ONJ93" s="15" t="n"/>
      <c r="ONK93" s="15" t="n"/>
      <c r="ONL93" s="248" t="n"/>
      <c r="ONM93" s="248" t="n"/>
      <c r="ONN93" s="240" t="n"/>
      <c r="ONO93" s="240" t="n"/>
      <c r="ONQ93" s="15" t="n"/>
      <c r="ONR93" s="15" t="n"/>
      <c r="ONS93" s="248" t="n"/>
      <c r="ONT93" s="248" t="n"/>
      <c r="ONU93" s="240" t="n"/>
      <c r="ONV93" s="240" t="n"/>
      <c r="ONX93" s="15" t="n"/>
      <c r="ONY93" s="15" t="n"/>
      <c r="ONZ93" s="248" t="n"/>
      <c r="OOA93" s="248" t="n"/>
      <c r="OOB93" s="240" t="n"/>
      <c r="OOC93" s="240" t="n"/>
      <c r="OOE93" s="15" t="n"/>
      <c r="OOF93" s="15" t="n"/>
      <c r="OOG93" s="248" t="n"/>
      <c r="OOH93" s="248" t="n"/>
      <c r="OOI93" s="240" t="n"/>
      <c r="OOJ93" s="240" t="n"/>
      <c r="OOL93" s="15" t="n"/>
      <c r="OOM93" s="15" t="n"/>
      <c r="OON93" s="248" t="n"/>
      <c r="OOO93" s="248" t="n"/>
      <c r="OOP93" s="240" t="n"/>
      <c r="OOQ93" s="240" t="n"/>
      <c r="OOS93" s="15" t="n"/>
      <c r="OOT93" s="15" t="n"/>
      <c r="OOU93" s="248" t="n"/>
      <c r="OOV93" s="248" t="n"/>
      <c r="OOW93" s="240" t="n"/>
      <c r="OOX93" s="240" t="n"/>
      <c r="OOZ93" s="15" t="n"/>
      <c r="OPA93" s="15" t="n"/>
      <c r="OPB93" s="248" t="n"/>
      <c r="OPC93" s="248" t="n"/>
      <c r="OPD93" s="240" t="n"/>
      <c r="OPE93" s="240" t="n"/>
      <c r="OPG93" s="15" t="n"/>
      <c r="OPH93" s="15" t="n"/>
      <c r="OPI93" s="248" t="n"/>
      <c r="OPJ93" s="248" t="n"/>
      <c r="OPK93" s="240" t="n"/>
      <c r="OPL93" s="240" t="n"/>
      <c r="OPN93" s="15" t="n"/>
      <c r="OPO93" s="15" t="n"/>
      <c r="OPP93" s="248" t="n"/>
      <c r="OPQ93" s="248" t="n"/>
      <c r="OPR93" s="240" t="n"/>
      <c r="OPS93" s="240" t="n"/>
      <c r="OPU93" s="15" t="n"/>
      <c r="OPV93" s="15" t="n"/>
      <c r="OPW93" s="248" t="n"/>
      <c r="OPX93" s="248" t="n"/>
      <c r="OPY93" s="240" t="n"/>
      <c r="OPZ93" s="240" t="n"/>
      <c r="OQB93" s="15" t="n"/>
      <c r="OQC93" s="15" t="n"/>
      <c r="OQD93" s="248" t="n"/>
      <c r="OQE93" s="248" t="n"/>
      <c r="OQF93" s="240" t="n"/>
      <c r="OQG93" s="240" t="n"/>
      <c r="OQI93" s="15" t="n"/>
      <c r="OQJ93" s="15" t="n"/>
      <c r="OQK93" s="248" t="n"/>
      <c r="OQL93" s="248" t="n"/>
      <c r="OQM93" s="240" t="n"/>
      <c r="OQN93" s="240" t="n"/>
      <c r="OQP93" s="15" t="n"/>
      <c r="OQQ93" s="15" t="n"/>
      <c r="OQR93" s="248" t="n"/>
      <c r="OQS93" s="248" t="n"/>
      <c r="OQT93" s="240" t="n"/>
      <c r="OQU93" s="240" t="n"/>
      <c r="OQW93" s="15" t="n"/>
      <c r="OQX93" s="15" t="n"/>
      <c r="OQY93" s="248" t="n"/>
      <c r="OQZ93" s="248" t="n"/>
      <c r="ORA93" s="240" t="n"/>
      <c r="ORB93" s="240" t="n"/>
      <c r="ORD93" s="15" t="n"/>
      <c r="ORE93" s="15" t="n"/>
      <c r="ORF93" s="248" t="n"/>
      <c r="ORG93" s="248" t="n"/>
      <c r="ORH93" s="240" t="n"/>
      <c r="ORI93" s="240" t="n"/>
      <c r="ORK93" s="15" t="n"/>
      <c r="ORL93" s="15" t="n"/>
      <c r="ORM93" s="248" t="n"/>
      <c r="ORN93" s="248" t="n"/>
      <c r="ORO93" s="240" t="n"/>
      <c r="ORP93" s="240" t="n"/>
      <c r="ORR93" s="15" t="n"/>
      <c r="ORS93" s="15" t="n"/>
      <c r="ORT93" s="248" t="n"/>
      <c r="ORU93" s="248" t="n"/>
      <c r="ORV93" s="240" t="n"/>
      <c r="ORW93" s="240" t="n"/>
      <c r="ORY93" s="15" t="n"/>
      <c r="ORZ93" s="15" t="n"/>
      <c r="OSA93" s="248" t="n"/>
      <c r="OSB93" s="248" t="n"/>
      <c r="OSC93" s="240" t="n"/>
      <c r="OSD93" s="240" t="n"/>
      <c r="OSF93" s="15" t="n"/>
      <c r="OSG93" s="15" t="n"/>
      <c r="OSH93" s="248" t="n"/>
      <c r="OSI93" s="248" t="n"/>
      <c r="OSJ93" s="240" t="n"/>
      <c r="OSK93" s="240" t="n"/>
      <c r="OSM93" s="15" t="n"/>
      <c r="OSN93" s="15" t="n"/>
      <c r="OSO93" s="248" t="n"/>
      <c r="OSP93" s="248" t="n"/>
      <c r="OSQ93" s="240" t="n"/>
      <c r="OSR93" s="240" t="n"/>
      <c r="OST93" s="15" t="n"/>
      <c r="OSU93" s="15" t="n"/>
      <c r="OSV93" s="248" t="n"/>
      <c r="OSW93" s="248" t="n"/>
      <c r="OSX93" s="240" t="n"/>
      <c r="OSY93" s="240" t="n"/>
      <c r="OTA93" s="15" t="n"/>
      <c r="OTB93" s="15" t="n"/>
      <c r="OTC93" s="248" t="n"/>
      <c r="OTD93" s="248" t="n"/>
      <c r="OTE93" s="240" t="n"/>
      <c r="OTF93" s="240" t="n"/>
      <c r="OTH93" s="15" t="n"/>
      <c r="OTI93" s="15" t="n"/>
      <c r="OTJ93" s="248" t="n"/>
      <c r="OTK93" s="248" t="n"/>
      <c r="OTL93" s="240" t="n"/>
      <c r="OTM93" s="240" t="n"/>
      <c r="OTO93" s="15" t="n"/>
      <c r="OTP93" s="15" t="n"/>
      <c r="OTQ93" s="248" t="n"/>
      <c r="OTR93" s="248" t="n"/>
      <c r="OTS93" s="240" t="n"/>
      <c r="OTT93" s="240" t="n"/>
      <c r="OTV93" s="15" t="n"/>
      <c r="OTW93" s="15" t="n"/>
      <c r="OTX93" s="248" t="n"/>
      <c r="OTY93" s="248" t="n"/>
      <c r="OTZ93" s="240" t="n"/>
      <c r="OUA93" s="240" t="n"/>
      <c r="OUC93" s="15" t="n"/>
      <c r="OUD93" s="15" t="n"/>
      <c r="OUE93" s="248" t="n"/>
      <c r="OUF93" s="248" t="n"/>
      <c r="OUG93" s="240" t="n"/>
      <c r="OUH93" s="240" t="n"/>
      <c r="OUJ93" s="15" t="n"/>
      <c r="OUK93" s="15" t="n"/>
      <c r="OUL93" s="248" t="n"/>
      <c r="OUM93" s="248" t="n"/>
      <c r="OUN93" s="240" t="n"/>
      <c r="OUO93" s="240" t="n"/>
      <c r="OUQ93" s="15" t="n"/>
      <c r="OUR93" s="15" t="n"/>
      <c r="OUS93" s="248" t="n"/>
      <c r="OUT93" s="248" t="n"/>
      <c r="OUU93" s="240" t="n"/>
      <c r="OUV93" s="240" t="n"/>
      <c r="OUX93" s="15" t="n"/>
      <c r="OUY93" s="15" t="n"/>
      <c r="OUZ93" s="248" t="n"/>
      <c r="OVA93" s="248" t="n"/>
      <c r="OVB93" s="240" t="n"/>
      <c r="OVC93" s="240" t="n"/>
      <c r="OVE93" s="15" t="n"/>
      <c r="OVF93" s="15" t="n"/>
      <c r="OVG93" s="248" t="n"/>
      <c r="OVH93" s="248" t="n"/>
      <c r="OVI93" s="240" t="n"/>
      <c r="OVJ93" s="240" t="n"/>
      <c r="OVL93" s="15" t="n"/>
      <c r="OVM93" s="15" t="n"/>
      <c r="OVN93" s="248" t="n"/>
      <c r="OVO93" s="248" t="n"/>
      <c r="OVP93" s="240" t="n"/>
      <c r="OVQ93" s="240" t="n"/>
      <c r="OVS93" s="15" t="n"/>
      <c r="OVT93" s="15" t="n"/>
      <c r="OVU93" s="248" t="n"/>
      <c r="OVV93" s="248" t="n"/>
      <c r="OVW93" s="240" t="n"/>
      <c r="OVX93" s="240" t="n"/>
      <c r="OVZ93" s="15" t="n"/>
      <c r="OWA93" s="15" t="n"/>
      <c r="OWB93" s="248" t="n"/>
      <c r="OWC93" s="248" t="n"/>
      <c r="OWD93" s="240" t="n"/>
      <c r="OWE93" s="240" t="n"/>
      <c r="OWG93" s="15" t="n"/>
      <c r="OWH93" s="15" t="n"/>
      <c r="OWI93" s="248" t="n"/>
      <c r="OWJ93" s="248" t="n"/>
      <c r="OWK93" s="240" t="n"/>
      <c r="OWL93" s="240" t="n"/>
      <c r="OWN93" s="15" t="n"/>
      <c r="OWO93" s="15" t="n"/>
      <c r="OWP93" s="248" t="n"/>
      <c r="OWQ93" s="248" t="n"/>
      <c r="OWR93" s="240" t="n"/>
      <c r="OWS93" s="240" t="n"/>
      <c r="OWU93" s="15" t="n"/>
      <c r="OWV93" s="15" t="n"/>
      <c r="OWW93" s="248" t="n"/>
      <c r="OWX93" s="248" t="n"/>
      <c r="OWY93" s="240" t="n"/>
      <c r="OWZ93" s="240" t="n"/>
      <c r="OXB93" s="15" t="n"/>
      <c r="OXC93" s="15" t="n"/>
      <c r="OXD93" s="248" t="n"/>
      <c r="OXE93" s="248" t="n"/>
      <c r="OXF93" s="240" t="n"/>
      <c r="OXG93" s="240" t="n"/>
      <c r="OXI93" s="15" t="n"/>
      <c r="OXJ93" s="15" t="n"/>
      <c r="OXK93" s="248" t="n"/>
      <c r="OXL93" s="248" t="n"/>
      <c r="OXM93" s="240" t="n"/>
      <c r="OXN93" s="240" t="n"/>
      <c r="OXP93" s="15" t="n"/>
      <c r="OXQ93" s="15" t="n"/>
      <c r="OXR93" s="248" t="n"/>
      <c r="OXS93" s="248" t="n"/>
      <c r="OXT93" s="240" t="n"/>
      <c r="OXU93" s="240" t="n"/>
      <c r="OXW93" s="15" t="n"/>
      <c r="OXX93" s="15" t="n"/>
      <c r="OXY93" s="248" t="n"/>
      <c r="OXZ93" s="248" t="n"/>
      <c r="OYA93" s="240" t="n"/>
      <c r="OYB93" s="240" t="n"/>
      <c r="OYD93" s="15" t="n"/>
      <c r="OYE93" s="15" t="n"/>
      <c r="OYF93" s="248" t="n"/>
      <c r="OYG93" s="248" t="n"/>
      <c r="OYH93" s="240" t="n"/>
      <c r="OYI93" s="240" t="n"/>
      <c r="OYK93" s="15" t="n"/>
      <c r="OYL93" s="15" t="n"/>
      <c r="OYM93" s="248" t="n"/>
      <c r="OYN93" s="248" t="n"/>
      <c r="OYO93" s="240" t="n"/>
      <c r="OYP93" s="240" t="n"/>
      <c r="OYR93" s="15" t="n"/>
      <c r="OYS93" s="15" t="n"/>
      <c r="OYT93" s="248" t="n"/>
      <c r="OYU93" s="248" t="n"/>
      <c r="OYV93" s="240" t="n"/>
      <c r="OYW93" s="240" t="n"/>
      <c r="OYY93" s="15" t="n"/>
      <c r="OYZ93" s="15" t="n"/>
      <c r="OZA93" s="248" t="n"/>
      <c r="OZB93" s="248" t="n"/>
      <c r="OZC93" s="240" t="n"/>
      <c r="OZD93" s="240" t="n"/>
      <c r="OZF93" s="15" t="n"/>
      <c r="OZG93" s="15" t="n"/>
      <c r="OZH93" s="248" t="n"/>
      <c r="OZI93" s="248" t="n"/>
      <c r="OZJ93" s="240" t="n"/>
      <c r="OZK93" s="240" t="n"/>
      <c r="OZM93" s="15" t="n"/>
      <c r="OZN93" s="15" t="n"/>
      <c r="OZO93" s="248" t="n"/>
      <c r="OZP93" s="248" t="n"/>
      <c r="OZQ93" s="240" t="n"/>
      <c r="OZR93" s="240" t="n"/>
      <c r="OZT93" s="15" t="n"/>
      <c r="OZU93" s="15" t="n"/>
      <c r="OZV93" s="248" t="n"/>
      <c r="OZW93" s="248" t="n"/>
      <c r="OZX93" s="240" t="n"/>
      <c r="OZY93" s="240" t="n"/>
      <c r="PAA93" s="15" t="n"/>
      <c r="PAB93" s="15" t="n"/>
      <c r="PAC93" s="248" t="n"/>
      <c r="PAD93" s="248" t="n"/>
      <c r="PAE93" s="240" t="n"/>
      <c r="PAF93" s="240" t="n"/>
      <c r="PAH93" s="15" t="n"/>
      <c r="PAI93" s="15" t="n"/>
      <c r="PAJ93" s="248" t="n"/>
      <c r="PAK93" s="248" t="n"/>
      <c r="PAL93" s="240" t="n"/>
      <c r="PAM93" s="240" t="n"/>
      <c r="PAO93" s="15" t="n"/>
      <c r="PAP93" s="15" t="n"/>
      <c r="PAQ93" s="248" t="n"/>
      <c r="PAR93" s="248" t="n"/>
      <c r="PAS93" s="240" t="n"/>
      <c r="PAT93" s="240" t="n"/>
      <c r="PAV93" s="15" t="n"/>
      <c r="PAW93" s="15" t="n"/>
      <c r="PAX93" s="248" t="n"/>
      <c r="PAY93" s="248" t="n"/>
      <c r="PAZ93" s="240" t="n"/>
      <c r="PBA93" s="240" t="n"/>
      <c r="PBC93" s="15" t="n"/>
      <c r="PBD93" s="15" t="n"/>
      <c r="PBE93" s="248" t="n"/>
      <c r="PBF93" s="248" t="n"/>
      <c r="PBG93" s="240" t="n"/>
      <c r="PBH93" s="240" t="n"/>
      <c r="PBJ93" s="15" t="n"/>
      <c r="PBK93" s="15" t="n"/>
      <c r="PBL93" s="248" t="n"/>
      <c r="PBM93" s="248" t="n"/>
      <c r="PBN93" s="240" t="n"/>
      <c r="PBO93" s="240" t="n"/>
      <c r="PBQ93" s="15" t="n"/>
      <c r="PBR93" s="15" t="n"/>
      <c r="PBS93" s="248" t="n"/>
      <c r="PBT93" s="248" t="n"/>
      <c r="PBU93" s="240" t="n"/>
      <c r="PBV93" s="240" t="n"/>
      <c r="PBX93" s="15" t="n"/>
      <c r="PBY93" s="15" t="n"/>
      <c r="PBZ93" s="248" t="n"/>
      <c r="PCA93" s="248" t="n"/>
      <c r="PCB93" s="240" t="n"/>
      <c r="PCC93" s="240" t="n"/>
      <c r="PCE93" s="15" t="n"/>
      <c r="PCF93" s="15" t="n"/>
      <c r="PCG93" s="248" t="n"/>
      <c r="PCH93" s="248" t="n"/>
      <c r="PCI93" s="240" t="n"/>
      <c r="PCJ93" s="240" t="n"/>
      <c r="PCL93" s="15" t="n"/>
      <c r="PCM93" s="15" t="n"/>
      <c r="PCN93" s="248" t="n"/>
      <c r="PCO93" s="248" t="n"/>
      <c r="PCP93" s="240" t="n"/>
      <c r="PCQ93" s="240" t="n"/>
      <c r="PCS93" s="15" t="n"/>
      <c r="PCT93" s="15" t="n"/>
      <c r="PCU93" s="248" t="n"/>
      <c r="PCV93" s="248" t="n"/>
      <c r="PCW93" s="240" t="n"/>
      <c r="PCX93" s="240" t="n"/>
      <c r="PCZ93" s="15" t="n"/>
      <c r="PDA93" s="15" t="n"/>
      <c r="PDB93" s="248" t="n"/>
      <c r="PDC93" s="248" t="n"/>
      <c r="PDD93" s="240" t="n"/>
      <c r="PDE93" s="240" t="n"/>
      <c r="PDG93" s="15" t="n"/>
      <c r="PDH93" s="15" t="n"/>
      <c r="PDI93" s="248" t="n"/>
      <c r="PDJ93" s="248" t="n"/>
      <c r="PDK93" s="240" t="n"/>
      <c r="PDL93" s="240" t="n"/>
      <c r="PDN93" s="15" t="n"/>
      <c r="PDO93" s="15" t="n"/>
      <c r="PDP93" s="248" t="n"/>
      <c r="PDQ93" s="248" t="n"/>
      <c r="PDR93" s="240" t="n"/>
      <c r="PDS93" s="240" t="n"/>
      <c r="PDU93" s="15" t="n"/>
      <c r="PDV93" s="15" t="n"/>
      <c r="PDW93" s="248" t="n"/>
      <c r="PDX93" s="248" t="n"/>
      <c r="PDY93" s="240" t="n"/>
      <c r="PDZ93" s="240" t="n"/>
      <c r="PEB93" s="15" t="n"/>
      <c r="PEC93" s="15" t="n"/>
      <c r="PED93" s="248" t="n"/>
      <c r="PEE93" s="248" t="n"/>
      <c r="PEF93" s="240" t="n"/>
      <c r="PEG93" s="240" t="n"/>
      <c r="PEI93" s="15" t="n"/>
      <c r="PEJ93" s="15" t="n"/>
      <c r="PEK93" s="248" t="n"/>
      <c r="PEL93" s="248" t="n"/>
      <c r="PEM93" s="240" t="n"/>
      <c r="PEN93" s="240" t="n"/>
      <c r="PEP93" s="15" t="n"/>
      <c r="PEQ93" s="15" t="n"/>
      <c r="PER93" s="248" t="n"/>
      <c r="PES93" s="248" t="n"/>
      <c r="PET93" s="240" t="n"/>
      <c r="PEU93" s="240" t="n"/>
      <c r="PEW93" s="15" t="n"/>
      <c r="PEX93" s="15" t="n"/>
      <c r="PEY93" s="248" t="n"/>
      <c r="PEZ93" s="248" t="n"/>
      <c r="PFA93" s="240" t="n"/>
      <c r="PFB93" s="240" t="n"/>
      <c r="PFD93" s="15" t="n"/>
      <c r="PFE93" s="15" t="n"/>
      <c r="PFF93" s="248" t="n"/>
      <c r="PFG93" s="248" t="n"/>
      <c r="PFH93" s="240" t="n"/>
      <c r="PFI93" s="240" t="n"/>
      <c r="PFK93" s="15" t="n"/>
      <c r="PFL93" s="15" t="n"/>
      <c r="PFM93" s="248" t="n"/>
      <c r="PFN93" s="248" t="n"/>
      <c r="PFO93" s="240" t="n"/>
      <c r="PFP93" s="240" t="n"/>
      <c r="PFR93" s="15" t="n"/>
      <c r="PFS93" s="15" t="n"/>
      <c r="PFT93" s="248" t="n"/>
      <c r="PFU93" s="248" t="n"/>
      <c r="PFV93" s="240" t="n"/>
      <c r="PFW93" s="240" t="n"/>
      <c r="PFY93" s="15" t="n"/>
      <c r="PFZ93" s="15" t="n"/>
      <c r="PGA93" s="248" t="n"/>
      <c r="PGB93" s="248" t="n"/>
      <c r="PGC93" s="240" t="n"/>
      <c r="PGD93" s="240" t="n"/>
      <c r="PGF93" s="15" t="n"/>
      <c r="PGG93" s="15" t="n"/>
      <c r="PGH93" s="248" t="n"/>
      <c r="PGI93" s="248" t="n"/>
      <c r="PGJ93" s="240" t="n"/>
      <c r="PGK93" s="240" t="n"/>
      <c r="PGM93" s="15" t="n"/>
      <c r="PGN93" s="15" t="n"/>
      <c r="PGO93" s="248" t="n"/>
      <c r="PGP93" s="248" t="n"/>
      <c r="PGQ93" s="240" t="n"/>
      <c r="PGR93" s="240" t="n"/>
      <c r="PGT93" s="15" t="n"/>
      <c r="PGU93" s="15" t="n"/>
      <c r="PGV93" s="248" t="n"/>
      <c r="PGW93" s="248" t="n"/>
      <c r="PGX93" s="240" t="n"/>
      <c r="PGY93" s="240" t="n"/>
      <c r="PHA93" s="15" t="n"/>
      <c r="PHB93" s="15" t="n"/>
      <c r="PHC93" s="248" t="n"/>
      <c r="PHD93" s="248" t="n"/>
      <c r="PHE93" s="240" t="n"/>
      <c r="PHF93" s="240" t="n"/>
      <c r="PHH93" s="15" t="n"/>
      <c r="PHI93" s="15" t="n"/>
      <c r="PHJ93" s="248" t="n"/>
      <c r="PHK93" s="248" t="n"/>
      <c r="PHL93" s="240" t="n"/>
      <c r="PHM93" s="240" t="n"/>
      <c r="PHO93" s="15" t="n"/>
      <c r="PHP93" s="15" t="n"/>
      <c r="PHQ93" s="248" t="n"/>
      <c r="PHR93" s="248" t="n"/>
      <c r="PHS93" s="240" t="n"/>
      <c r="PHT93" s="240" t="n"/>
      <c r="PHV93" s="15" t="n"/>
      <c r="PHW93" s="15" t="n"/>
      <c r="PHX93" s="248" t="n"/>
      <c r="PHY93" s="248" t="n"/>
      <c r="PHZ93" s="240" t="n"/>
      <c r="PIA93" s="240" t="n"/>
      <c r="PIC93" s="15" t="n"/>
      <c r="PID93" s="15" t="n"/>
      <c r="PIE93" s="248" t="n"/>
      <c r="PIF93" s="248" t="n"/>
      <c r="PIG93" s="240" t="n"/>
      <c r="PIH93" s="240" t="n"/>
      <c r="PIJ93" s="15" t="n"/>
      <c r="PIK93" s="15" t="n"/>
      <c r="PIL93" s="248" t="n"/>
      <c r="PIM93" s="248" t="n"/>
      <c r="PIN93" s="240" t="n"/>
      <c r="PIO93" s="240" t="n"/>
      <c r="PIQ93" s="15" t="n"/>
      <c r="PIR93" s="15" t="n"/>
      <c r="PIS93" s="248" t="n"/>
      <c r="PIT93" s="248" t="n"/>
      <c r="PIU93" s="240" t="n"/>
      <c r="PIV93" s="240" t="n"/>
      <c r="PIX93" s="15" t="n"/>
      <c r="PIY93" s="15" t="n"/>
      <c r="PIZ93" s="248" t="n"/>
      <c r="PJA93" s="248" t="n"/>
      <c r="PJB93" s="240" t="n"/>
      <c r="PJC93" s="240" t="n"/>
      <c r="PJE93" s="15" t="n"/>
      <c r="PJF93" s="15" t="n"/>
      <c r="PJG93" s="248" t="n"/>
      <c r="PJH93" s="248" t="n"/>
      <c r="PJI93" s="240" t="n"/>
      <c r="PJJ93" s="240" t="n"/>
      <c r="PJL93" s="15" t="n"/>
      <c r="PJM93" s="15" t="n"/>
      <c r="PJN93" s="248" t="n"/>
      <c r="PJO93" s="248" t="n"/>
      <c r="PJP93" s="240" t="n"/>
      <c r="PJQ93" s="240" t="n"/>
      <c r="PJS93" s="15" t="n"/>
      <c r="PJT93" s="15" t="n"/>
      <c r="PJU93" s="248" t="n"/>
      <c r="PJV93" s="248" t="n"/>
      <c r="PJW93" s="240" t="n"/>
      <c r="PJX93" s="240" t="n"/>
      <c r="PJZ93" s="15" t="n"/>
      <c r="PKA93" s="15" t="n"/>
      <c r="PKB93" s="248" t="n"/>
      <c r="PKC93" s="248" t="n"/>
      <c r="PKD93" s="240" t="n"/>
      <c r="PKE93" s="240" t="n"/>
      <c r="PKG93" s="15" t="n"/>
      <c r="PKH93" s="15" t="n"/>
      <c r="PKI93" s="248" t="n"/>
      <c r="PKJ93" s="248" t="n"/>
      <c r="PKK93" s="240" t="n"/>
      <c r="PKL93" s="240" t="n"/>
      <c r="PKN93" s="15" t="n"/>
      <c r="PKO93" s="15" t="n"/>
      <c r="PKP93" s="248" t="n"/>
      <c r="PKQ93" s="248" t="n"/>
      <c r="PKR93" s="240" t="n"/>
      <c r="PKS93" s="240" t="n"/>
      <c r="PKU93" s="15" t="n"/>
      <c r="PKV93" s="15" t="n"/>
      <c r="PKW93" s="248" t="n"/>
      <c r="PKX93" s="248" t="n"/>
      <c r="PKY93" s="240" t="n"/>
      <c r="PKZ93" s="240" t="n"/>
      <c r="PLB93" s="15" t="n"/>
      <c r="PLC93" s="15" t="n"/>
      <c r="PLD93" s="248" t="n"/>
      <c r="PLE93" s="248" t="n"/>
      <c r="PLF93" s="240" t="n"/>
      <c r="PLG93" s="240" t="n"/>
      <c r="PLI93" s="15" t="n"/>
      <c r="PLJ93" s="15" t="n"/>
      <c r="PLK93" s="248" t="n"/>
      <c r="PLL93" s="248" t="n"/>
      <c r="PLM93" s="240" t="n"/>
      <c r="PLN93" s="240" t="n"/>
      <c r="PLP93" s="15" t="n"/>
      <c r="PLQ93" s="15" t="n"/>
      <c r="PLR93" s="248" t="n"/>
      <c r="PLS93" s="248" t="n"/>
      <c r="PLT93" s="240" t="n"/>
      <c r="PLU93" s="240" t="n"/>
      <c r="PLW93" s="15" t="n"/>
      <c r="PLX93" s="15" t="n"/>
      <c r="PLY93" s="248" t="n"/>
      <c r="PLZ93" s="248" t="n"/>
      <c r="PMA93" s="240" t="n"/>
      <c r="PMB93" s="240" t="n"/>
      <c r="PMD93" s="15" t="n"/>
      <c r="PME93" s="15" t="n"/>
      <c r="PMF93" s="248" t="n"/>
      <c r="PMG93" s="248" t="n"/>
      <c r="PMH93" s="240" t="n"/>
      <c r="PMI93" s="240" t="n"/>
      <c r="PMK93" s="15" t="n"/>
      <c r="PML93" s="15" t="n"/>
      <c r="PMM93" s="248" t="n"/>
      <c r="PMN93" s="248" t="n"/>
      <c r="PMO93" s="240" t="n"/>
      <c r="PMP93" s="240" t="n"/>
      <c r="PMR93" s="15" t="n"/>
      <c r="PMS93" s="15" t="n"/>
      <c r="PMT93" s="248" t="n"/>
      <c r="PMU93" s="248" t="n"/>
      <c r="PMV93" s="240" t="n"/>
      <c r="PMW93" s="240" t="n"/>
      <c r="PMY93" s="15" t="n"/>
      <c r="PMZ93" s="15" t="n"/>
      <c r="PNA93" s="248" t="n"/>
      <c r="PNB93" s="248" t="n"/>
      <c r="PNC93" s="240" t="n"/>
      <c r="PND93" s="240" t="n"/>
      <c r="PNF93" s="15" t="n"/>
      <c r="PNG93" s="15" t="n"/>
      <c r="PNH93" s="248" t="n"/>
      <c r="PNI93" s="248" t="n"/>
      <c r="PNJ93" s="240" t="n"/>
      <c r="PNK93" s="240" t="n"/>
      <c r="PNM93" s="15" t="n"/>
      <c r="PNN93" s="15" t="n"/>
      <c r="PNO93" s="248" t="n"/>
      <c r="PNP93" s="248" t="n"/>
      <c r="PNQ93" s="240" t="n"/>
      <c r="PNR93" s="240" t="n"/>
      <c r="PNT93" s="15" t="n"/>
      <c r="PNU93" s="15" t="n"/>
      <c r="PNV93" s="248" t="n"/>
      <c r="PNW93" s="248" t="n"/>
      <c r="PNX93" s="240" t="n"/>
      <c r="PNY93" s="240" t="n"/>
      <c r="POA93" s="15" t="n"/>
      <c r="POB93" s="15" t="n"/>
      <c r="POC93" s="248" t="n"/>
      <c r="POD93" s="248" t="n"/>
      <c r="POE93" s="240" t="n"/>
      <c r="POF93" s="240" t="n"/>
      <c r="POH93" s="15" t="n"/>
      <c r="POI93" s="15" t="n"/>
      <c r="POJ93" s="248" t="n"/>
      <c r="POK93" s="248" t="n"/>
      <c r="POL93" s="240" t="n"/>
      <c r="POM93" s="240" t="n"/>
      <c r="POO93" s="15" t="n"/>
      <c r="POP93" s="15" t="n"/>
      <c r="POQ93" s="248" t="n"/>
      <c r="POR93" s="248" t="n"/>
      <c r="POS93" s="240" t="n"/>
      <c r="POT93" s="240" t="n"/>
      <c r="POV93" s="15" t="n"/>
      <c r="POW93" s="15" t="n"/>
      <c r="POX93" s="248" t="n"/>
      <c r="POY93" s="248" t="n"/>
      <c r="POZ93" s="240" t="n"/>
      <c r="PPA93" s="240" t="n"/>
      <c r="PPC93" s="15" t="n"/>
      <c r="PPD93" s="15" t="n"/>
      <c r="PPE93" s="248" t="n"/>
      <c r="PPF93" s="248" t="n"/>
      <c r="PPG93" s="240" t="n"/>
      <c r="PPH93" s="240" t="n"/>
      <c r="PPJ93" s="15" t="n"/>
      <c r="PPK93" s="15" t="n"/>
      <c r="PPL93" s="248" t="n"/>
      <c r="PPM93" s="248" t="n"/>
      <c r="PPN93" s="240" t="n"/>
      <c r="PPO93" s="240" t="n"/>
      <c r="PPQ93" s="15" t="n"/>
      <c r="PPR93" s="15" t="n"/>
      <c r="PPS93" s="248" t="n"/>
      <c r="PPT93" s="248" t="n"/>
      <c r="PPU93" s="240" t="n"/>
      <c r="PPV93" s="240" t="n"/>
      <c r="PPX93" s="15" t="n"/>
      <c r="PPY93" s="15" t="n"/>
      <c r="PPZ93" s="248" t="n"/>
      <c r="PQA93" s="248" t="n"/>
      <c r="PQB93" s="240" t="n"/>
      <c r="PQC93" s="240" t="n"/>
      <c r="PQE93" s="15" t="n"/>
      <c r="PQF93" s="15" t="n"/>
      <c r="PQG93" s="248" t="n"/>
      <c r="PQH93" s="248" t="n"/>
      <c r="PQI93" s="240" t="n"/>
      <c r="PQJ93" s="240" t="n"/>
      <c r="PQL93" s="15" t="n"/>
      <c r="PQM93" s="15" t="n"/>
      <c r="PQN93" s="248" t="n"/>
      <c r="PQO93" s="248" t="n"/>
      <c r="PQP93" s="240" t="n"/>
      <c r="PQQ93" s="240" t="n"/>
      <c r="PQS93" s="15" t="n"/>
      <c r="PQT93" s="15" t="n"/>
      <c r="PQU93" s="248" t="n"/>
      <c r="PQV93" s="248" t="n"/>
      <c r="PQW93" s="240" t="n"/>
      <c r="PQX93" s="240" t="n"/>
      <c r="PQZ93" s="15" t="n"/>
      <c r="PRA93" s="15" t="n"/>
      <c r="PRB93" s="248" t="n"/>
      <c r="PRC93" s="248" t="n"/>
      <c r="PRD93" s="240" t="n"/>
      <c r="PRE93" s="240" t="n"/>
      <c r="PRG93" s="15" t="n"/>
      <c r="PRH93" s="15" t="n"/>
      <c r="PRI93" s="248" t="n"/>
      <c r="PRJ93" s="248" t="n"/>
      <c r="PRK93" s="240" t="n"/>
      <c r="PRL93" s="240" t="n"/>
      <c r="PRN93" s="15" t="n"/>
      <c r="PRO93" s="15" t="n"/>
      <c r="PRP93" s="248" t="n"/>
      <c r="PRQ93" s="248" t="n"/>
      <c r="PRR93" s="240" t="n"/>
      <c r="PRS93" s="240" t="n"/>
      <c r="PRU93" s="15" t="n"/>
      <c r="PRV93" s="15" t="n"/>
      <c r="PRW93" s="248" t="n"/>
      <c r="PRX93" s="248" t="n"/>
      <c r="PRY93" s="240" t="n"/>
      <c r="PRZ93" s="240" t="n"/>
      <c r="PSB93" s="15" t="n"/>
      <c r="PSC93" s="15" t="n"/>
      <c r="PSD93" s="248" t="n"/>
      <c r="PSE93" s="248" t="n"/>
      <c r="PSF93" s="240" t="n"/>
      <c r="PSG93" s="240" t="n"/>
      <c r="PSI93" s="15" t="n"/>
      <c r="PSJ93" s="15" t="n"/>
      <c r="PSK93" s="248" t="n"/>
      <c r="PSL93" s="248" t="n"/>
      <c r="PSM93" s="240" t="n"/>
      <c r="PSN93" s="240" t="n"/>
      <c r="PSP93" s="15" t="n"/>
      <c r="PSQ93" s="15" t="n"/>
      <c r="PSR93" s="248" t="n"/>
      <c r="PSS93" s="248" t="n"/>
      <c r="PST93" s="240" t="n"/>
      <c r="PSU93" s="240" t="n"/>
      <c r="PSW93" s="15" t="n"/>
      <c r="PSX93" s="15" t="n"/>
      <c r="PSY93" s="248" t="n"/>
      <c r="PSZ93" s="248" t="n"/>
      <c r="PTA93" s="240" t="n"/>
      <c r="PTB93" s="240" t="n"/>
      <c r="PTD93" s="15" t="n"/>
      <c r="PTE93" s="15" t="n"/>
      <c r="PTF93" s="248" t="n"/>
      <c r="PTG93" s="248" t="n"/>
      <c r="PTH93" s="240" t="n"/>
      <c r="PTI93" s="240" t="n"/>
      <c r="PTK93" s="15" t="n"/>
      <c r="PTL93" s="15" t="n"/>
      <c r="PTM93" s="248" t="n"/>
      <c r="PTN93" s="248" t="n"/>
      <c r="PTO93" s="240" t="n"/>
      <c r="PTP93" s="240" t="n"/>
      <c r="PTR93" s="15" t="n"/>
      <c r="PTS93" s="15" t="n"/>
      <c r="PTT93" s="248" t="n"/>
      <c r="PTU93" s="248" t="n"/>
      <c r="PTV93" s="240" t="n"/>
      <c r="PTW93" s="240" t="n"/>
      <c r="PTY93" s="15" t="n"/>
      <c r="PTZ93" s="15" t="n"/>
      <c r="PUA93" s="248" t="n"/>
      <c r="PUB93" s="248" t="n"/>
      <c r="PUC93" s="240" t="n"/>
      <c r="PUD93" s="240" t="n"/>
      <c r="PUF93" s="15" t="n"/>
      <c r="PUG93" s="15" t="n"/>
      <c r="PUH93" s="248" t="n"/>
      <c r="PUI93" s="248" t="n"/>
      <c r="PUJ93" s="240" t="n"/>
      <c r="PUK93" s="240" t="n"/>
      <c r="PUM93" s="15" t="n"/>
      <c r="PUN93" s="15" t="n"/>
      <c r="PUO93" s="248" t="n"/>
      <c r="PUP93" s="248" t="n"/>
      <c r="PUQ93" s="240" t="n"/>
      <c r="PUR93" s="240" t="n"/>
      <c r="PUT93" s="15" t="n"/>
      <c r="PUU93" s="15" t="n"/>
      <c r="PUV93" s="248" t="n"/>
      <c r="PUW93" s="248" t="n"/>
      <c r="PUX93" s="240" t="n"/>
      <c r="PUY93" s="240" t="n"/>
      <c r="PVA93" s="15" t="n"/>
      <c r="PVB93" s="15" t="n"/>
      <c r="PVC93" s="248" t="n"/>
      <c r="PVD93" s="248" t="n"/>
      <c r="PVE93" s="240" t="n"/>
      <c r="PVF93" s="240" t="n"/>
      <c r="PVH93" s="15" t="n"/>
      <c r="PVI93" s="15" t="n"/>
      <c r="PVJ93" s="248" t="n"/>
      <c r="PVK93" s="248" t="n"/>
      <c r="PVL93" s="240" t="n"/>
      <c r="PVM93" s="240" t="n"/>
      <c r="PVO93" s="15" t="n"/>
      <c r="PVP93" s="15" t="n"/>
      <c r="PVQ93" s="248" t="n"/>
      <c r="PVR93" s="248" t="n"/>
      <c r="PVS93" s="240" t="n"/>
      <c r="PVT93" s="240" t="n"/>
      <c r="PVV93" s="15" t="n"/>
      <c r="PVW93" s="15" t="n"/>
      <c r="PVX93" s="248" t="n"/>
      <c r="PVY93" s="248" t="n"/>
      <c r="PVZ93" s="240" t="n"/>
      <c r="PWA93" s="240" t="n"/>
      <c r="PWC93" s="15" t="n"/>
      <c r="PWD93" s="15" t="n"/>
      <c r="PWE93" s="248" t="n"/>
      <c r="PWF93" s="248" t="n"/>
      <c r="PWG93" s="240" t="n"/>
      <c r="PWH93" s="240" t="n"/>
      <c r="PWJ93" s="15" t="n"/>
      <c r="PWK93" s="15" t="n"/>
      <c r="PWL93" s="248" t="n"/>
      <c r="PWM93" s="248" t="n"/>
      <c r="PWN93" s="240" t="n"/>
      <c r="PWO93" s="240" t="n"/>
      <c r="PWQ93" s="15" t="n"/>
      <c r="PWR93" s="15" t="n"/>
      <c r="PWS93" s="248" t="n"/>
      <c r="PWT93" s="248" t="n"/>
      <c r="PWU93" s="240" t="n"/>
      <c r="PWV93" s="240" t="n"/>
      <c r="PWX93" s="15" t="n"/>
      <c r="PWY93" s="15" t="n"/>
      <c r="PWZ93" s="248" t="n"/>
      <c r="PXA93" s="248" t="n"/>
      <c r="PXB93" s="240" t="n"/>
      <c r="PXC93" s="240" t="n"/>
      <c r="PXE93" s="15" t="n"/>
      <c r="PXF93" s="15" t="n"/>
      <c r="PXG93" s="248" t="n"/>
      <c r="PXH93" s="248" t="n"/>
      <c r="PXI93" s="240" t="n"/>
      <c r="PXJ93" s="240" t="n"/>
      <c r="PXL93" s="15" t="n"/>
      <c r="PXM93" s="15" t="n"/>
      <c r="PXN93" s="248" t="n"/>
      <c r="PXO93" s="248" t="n"/>
      <c r="PXP93" s="240" t="n"/>
      <c r="PXQ93" s="240" t="n"/>
      <c r="PXS93" s="15" t="n"/>
      <c r="PXT93" s="15" t="n"/>
      <c r="PXU93" s="248" t="n"/>
      <c r="PXV93" s="248" t="n"/>
      <c r="PXW93" s="240" t="n"/>
      <c r="PXX93" s="240" t="n"/>
      <c r="PXZ93" s="15" t="n"/>
      <c r="PYA93" s="15" t="n"/>
      <c r="PYB93" s="248" t="n"/>
      <c r="PYC93" s="248" t="n"/>
      <c r="PYD93" s="240" t="n"/>
      <c r="PYE93" s="240" t="n"/>
      <c r="PYG93" s="15" t="n"/>
      <c r="PYH93" s="15" t="n"/>
      <c r="PYI93" s="248" t="n"/>
      <c r="PYJ93" s="248" t="n"/>
      <c r="PYK93" s="240" t="n"/>
      <c r="PYL93" s="240" t="n"/>
      <c r="PYN93" s="15" t="n"/>
      <c r="PYO93" s="15" t="n"/>
      <c r="PYP93" s="248" t="n"/>
      <c r="PYQ93" s="248" t="n"/>
      <c r="PYR93" s="240" t="n"/>
      <c r="PYS93" s="240" t="n"/>
      <c r="PYU93" s="15" t="n"/>
      <c r="PYV93" s="15" t="n"/>
      <c r="PYW93" s="248" t="n"/>
      <c r="PYX93" s="248" t="n"/>
      <c r="PYY93" s="240" t="n"/>
      <c r="PYZ93" s="240" t="n"/>
      <c r="PZB93" s="15" t="n"/>
      <c r="PZC93" s="15" t="n"/>
      <c r="PZD93" s="248" t="n"/>
      <c r="PZE93" s="248" t="n"/>
      <c r="PZF93" s="240" t="n"/>
      <c r="PZG93" s="240" t="n"/>
      <c r="PZI93" s="15" t="n"/>
      <c r="PZJ93" s="15" t="n"/>
      <c r="PZK93" s="248" t="n"/>
      <c r="PZL93" s="248" t="n"/>
      <c r="PZM93" s="240" t="n"/>
      <c r="PZN93" s="240" t="n"/>
      <c r="PZP93" s="15" t="n"/>
      <c r="PZQ93" s="15" t="n"/>
      <c r="PZR93" s="248" t="n"/>
      <c r="PZS93" s="248" t="n"/>
      <c r="PZT93" s="240" t="n"/>
      <c r="PZU93" s="240" t="n"/>
      <c r="PZW93" s="15" t="n"/>
      <c r="PZX93" s="15" t="n"/>
      <c r="PZY93" s="248" t="n"/>
      <c r="PZZ93" s="248" t="n"/>
      <c r="QAA93" s="240" t="n"/>
      <c r="QAB93" s="240" t="n"/>
      <c r="QAD93" s="15" t="n"/>
      <c r="QAE93" s="15" t="n"/>
      <c r="QAF93" s="248" t="n"/>
      <c r="QAG93" s="248" t="n"/>
      <c r="QAH93" s="240" t="n"/>
      <c r="QAI93" s="240" t="n"/>
      <c r="QAK93" s="15" t="n"/>
      <c r="QAL93" s="15" t="n"/>
      <c r="QAM93" s="248" t="n"/>
      <c r="QAN93" s="248" t="n"/>
      <c r="QAO93" s="240" t="n"/>
      <c r="QAP93" s="240" t="n"/>
      <c r="QAR93" s="15" t="n"/>
      <c r="QAS93" s="15" t="n"/>
      <c r="QAT93" s="248" t="n"/>
      <c r="QAU93" s="248" t="n"/>
      <c r="QAV93" s="240" t="n"/>
      <c r="QAW93" s="240" t="n"/>
      <c r="QAY93" s="15" t="n"/>
      <c r="QAZ93" s="15" t="n"/>
      <c r="QBA93" s="248" t="n"/>
      <c r="QBB93" s="248" t="n"/>
      <c r="QBC93" s="240" t="n"/>
      <c r="QBD93" s="240" t="n"/>
      <c r="QBF93" s="15" t="n"/>
      <c r="QBG93" s="15" t="n"/>
      <c r="QBH93" s="248" t="n"/>
      <c r="QBI93" s="248" t="n"/>
      <c r="QBJ93" s="240" t="n"/>
      <c r="QBK93" s="240" t="n"/>
      <c r="QBM93" s="15" t="n"/>
      <c r="QBN93" s="15" t="n"/>
      <c r="QBO93" s="248" t="n"/>
      <c r="QBP93" s="248" t="n"/>
      <c r="QBQ93" s="240" t="n"/>
      <c r="QBR93" s="240" t="n"/>
      <c r="QBT93" s="15" t="n"/>
      <c r="QBU93" s="15" t="n"/>
      <c r="QBV93" s="248" t="n"/>
      <c r="QBW93" s="248" t="n"/>
      <c r="QBX93" s="240" t="n"/>
      <c r="QBY93" s="240" t="n"/>
      <c r="QCA93" s="15" t="n"/>
      <c r="QCB93" s="15" t="n"/>
      <c r="QCC93" s="248" t="n"/>
      <c r="QCD93" s="248" t="n"/>
      <c r="QCE93" s="240" t="n"/>
      <c r="QCF93" s="240" t="n"/>
      <c r="QCH93" s="15" t="n"/>
      <c r="QCI93" s="15" t="n"/>
      <c r="QCJ93" s="248" t="n"/>
      <c r="QCK93" s="248" t="n"/>
      <c r="QCL93" s="240" t="n"/>
      <c r="QCM93" s="240" t="n"/>
      <c r="QCO93" s="15" t="n"/>
      <c r="QCP93" s="15" t="n"/>
      <c r="QCQ93" s="248" t="n"/>
      <c r="QCR93" s="248" t="n"/>
      <c r="QCS93" s="240" t="n"/>
      <c r="QCT93" s="240" t="n"/>
      <c r="QCV93" s="15" t="n"/>
      <c r="QCW93" s="15" t="n"/>
      <c r="QCX93" s="248" t="n"/>
      <c r="QCY93" s="248" t="n"/>
      <c r="QCZ93" s="240" t="n"/>
      <c r="QDA93" s="240" t="n"/>
      <c r="QDC93" s="15" t="n"/>
      <c r="QDD93" s="15" t="n"/>
      <c r="QDE93" s="248" t="n"/>
      <c r="QDF93" s="248" t="n"/>
      <c r="QDG93" s="240" t="n"/>
      <c r="QDH93" s="240" t="n"/>
      <c r="QDJ93" s="15" t="n"/>
      <c r="QDK93" s="15" t="n"/>
      <c r="QDL93" s="248" t="n"/>
      <c r="QDM93" s="248" t="n"/>
      <c r="QDN93" s="240" t="n"/>
      <c r="QDO93" s="240" t="n"/>
      <c r="QDQ93" s="15" t="n"/>
      <c r="QDR93" s="15" t="n"/>
      <c r="QDS93" s="248" t="n"/>
      <c r="QDT93" s="248" t="n"/>
      <c r="QDU93" s="240" t="n"/>
      <c r="QDV93" s="240" t="n"/>
      <c r="QDX93" s="15" t="n"/>
      <c r="QDY93" s="15" t="n"/>
      <c r="QDZ93" s="248" t="n"/>
      <c r="QEA93" s="248" t="n"/>
      <c r="QEB93" s="240" t="n"/>
      <c r="QEC93" s="240" t="n"/>
      <c r="QEE93" s="15" t="n"/>
      <c r="QEF93" s="15" t="n"/>
      <c r="QEG93" s="248" t="n"/>
      <c r="QEH93" s="248" t="n"/>
      <c r="QEI93" s="240" t="n"/>
      <c r="QEJ93" s="240" t="n"/>
      <c r="QEL93" s="15" t="n"/>
      <c r="QEM93" s="15" t="n"/>
      <c r="QEN93" s="248" t="n"/>
      <c r="QEO93" s="248" t="n"/>
      <c r="QEP93" s="240" t="n"/>
      <c r="QEQ93" s="240" t="n"/>
      <c r="QES93" s="15" t="n"/>
      <c r="QET93" s="15" t="n"/>
      <c r="QEU93" s="248" t="n"/>
      <c r="QEV93" s="248" t="n"/>
      <c r="QEW93" s="240" t="n"/>
      <c r="QEX93" s="240" t="n"/>
      <c r="QEZ93" s="15" t="n"/>
      <c r="QFA93" s="15" t="n"/>
      <c r="QFB93" s="248" t="n"/>
      <c r="QFC93" s="248" t="n"/>
      <c r="QFD93" s="240" t="n"/>
      <c r="QFE93" s="240" t="n"/>
      <c r="QFG93" s="15" t="n"/>
      <c r="QFH93" s="15" t="n"/>
      <c r="QFI93" s="248" t="n"/>
      <c r="QFJ93" s="248" t="n"/>
      <c r="QFK93" s="240" t="n"/>
      <c r="QFL93" s="240" t="n"/>
      <c r="QFN93" s="15" t="n"/>
      <c r="QFO93" s="15" t="n"/>
      <c r="QFP93" s="248" t="n"/>
      <c r="QFQ93" s="248" t="n"/>
      <c r="QFR93" s="240" t="n"/>
      <c r="QFS93" s="240" t="n"/>
      <c r="QFU93" s="15" t="n"/>
      <c r="QFV93" s="15" t="n"/>
      <c r="QFW93" s="248" t="n"/>
      <c r="QFX93" s="248" t="n"/>
      <c r="QFY93" s="240" t="n"/>
      <c r="QFZ93" s="240" t="n"/>
      <c r="QGB93" s="15" t="n"/>
      <c r="QGC93" s="15" t="n"/>
      <c r="QGD93" s="248" t="n"/>
      <c r="QGE93" s="248" t="n"/>
      <c r="QGF93" s="240" t="n"/>
      <c r="QGG93" s="240" t="n"/>
      <c r="QGI93" s="15" t="n"/>
      <c r="QGJ93" s="15" t="n"/>
      <c r="QGK93" s="248" t="n"/>
      <c r="QGL93" s="248" t="n"/>
      <c r="QGM93" s="240" t="n"/>
      <c r="QGN93" s="240" t="n"/>
      <c r="QGP93" s="15" t="n"/>
      <c r="QGQ93" s="15" t="n"/>
      <c r="QGR93" s="248" t="n"/>
      <c r="QGS93" s="248" t="n"/>
      <c r="QGT93" s="240" t="n"/>
      <c r="QGU93" s="240" t="n"/>
      <c r="QGW93" s="15" t="n"/>
      <c r="QGX93" s="15" t="n"/>
      <c r="QGY93" s="248" t="n"/>
      <c r="QGZ93" s="248" t="n"/>
      <c r="QHA93" s="240" t="n"/>
      <c r="QHB93" s="240" t="n"/>
      <c r="QHD93" s="15" t="n"/>
      <c r="QHE93" s="15" t="n"/>
      <c r="QHF93" s="248" t="n"/>
      <c r="QHG93" s="248" t="n"/>
      <c r="QHH93" s="240" t="n"/>
      <c r="QHI93" s="240" t="n"/>
      <c r="QHK93" s="15" t="n"/>
      <c r="QHL93" s="15" t="n"/>
      <c r="QHM93" s="248" t="n"/>
      <c r="QHN93" s="248" t="n"/>
      <c r="QHO93" s="240" t="n"/>
      <c r="QHP93" s="240" t="n"/>
      <c r="QHR93" s="15" t="n"/>
      <c r="QHS93" s="15" t="n"/>
      <c r="QHT93" s="248" t="n"/>
      <c r="QHU93" s="248" t="n"/>
      <c r="QHV93" s="240" t="n"/>
      <c r="QHW93" s="240" t="n"/>
      <c r="QHY93" s="15" t="n"/>
      <c r="QHZ93" s="15" t="n"/>
      <c r="QIA93" s="248" t="n"/>
      <c r="QIB93" s="248" t="n"/>
      <c r="QIC93" s="240" t="n"/>
      <c r="QID93" s="240" t="n"/>
      <c r="QIF93" s="15" t="n"/>
      <c r="QIG93" s="15" t="n"/>
      <c r="QIH93" s="248" t="n"/>
      <c r="QII93" s="248" t="n"/>
      <c r="QIJ93" s="240" t="n"/>
      <c r="QIK93" s="240" t="n"/>
      <c r="QIM93" s="15" t="n"/>
      <c r="QIN93" s="15" t="n"/>
      <c r="QIO93" s="248" t="n"/>
      <c r="QIP93" s="248" t="n"/>
      <c r="QIQ93" s="240" t="n"/>
      <c r="QIR93" s="240" t="n"/>
      <c r="QIT93" s="15" t="n"/>
      <c r="QIU93" s="15" t="n"/>
      <c r="QIV93" s="248" t="n"/>
      <c r="QIW93" s="248" t="n"/>
      <c r="QIX93" s="240" t="n"/>
      <c r="QIY93" s="240" t="n"/>
      <c r="QJA93" s="15" t="n"/>
      <c r="QJB93" s="15" t="n"/>
      <c r="QJC93" s="248" t="n"/>
      <c r="QJD93" s="248" t="n"/>
      <c r="QJE93" s="240" t="n"/>
      <c r="QJF93" s="240" t="n"/>
      <c r="QJH93" s="15" t="n"/>
      <c r="QJI93" s="15" t="n"/>
      <c r="QJJ93" s="248" t="n"/>
      <c r="QJK93" s="248" t="n"/>
      <c r="QJL93" s="240" t="n"/>
      <c r="QJM93" s="240" t="n"/>
      <c r="QJO93" s="15" t="n"/>
      <c r="QJP93" s="15" t="n"/>
      <c r="QJQ93" s="248" t="n"/>
      <c r="QJR93" s="248" t="n"/>
      <c r="QJS93" s="240" t="n"/>
      <c r="QJT93" s="240" t="n"/>
      <c r="QJV93" s="15" t="n"/>
      <c r="QJW93" s="15" t="n"/>
      <c r="QJX93" s="248" t="n"/>
      <c r="QJY93" s="248" t="n"/>
      <c r="QJZ93" s="240" t="n"/>
      <c r="QKA93" s="240" t="n"/>
      <c r="QKC93" s="15" t="n"/>
      <c r="QKD93" s="15" t="n"/>
      <c r="QKE93" s="248" t="n"/>
      <c r="QKF93" s="248" t="n"/>
      <c r="QKG93" s="240" t="n"/>
      <c r="QKH93" s="240" t="n"/>
      <c r="QKJ93" s="15" t="n"/>
      <c r="QKK93" s="15" t="n"/>
      <c r="QKL93" s="248" t="n"/>
      <c r="QKM93" s="248" t="n"/>
      <c r="QKN93" s="240" t="n"/>
      <c r="QKO93" s="240" t="n"/>
      <c r="QKQ93" s="15" t="n"/>
      <c r="QKR93" s="15" t="n"/>
      <c r="QKS93" s="248" t="n"/>
      <c r="QKT93" s="248" t="n"/>
      <c r="QKU93" s="240" t="n"/>
      <c r="QKV93" s="240" t="n"/>
      <c r="QKX93" s="15" t="n"/>
      <c r="QKY93" s="15" t="n"/>
      <c r="QKZ93" s="248" t="n"/>
      <c r="QLA93" s="248" t="n"/>
      <c r="QLB93" s="240" t="n"/>
      <c r="QLC93" s="240" t="n"/>
      <c r="QLE93" s="15" t="n"/>
      <c r="QLF93" s="15" t="n"/>
      <c r="QLG93" s="248" t="n"/>
      <c r="QLH93" s="248" t="n"/>
      <c r="QLI93" s="240" t="n"/>
      <c r="QLJ93" s="240" t="n"/>
      <c r="QLL93" s="15" t="n"/>
      <c r="QLM93" s="15" t="n"/>
      <c r="QLN93" s="248" t="n"/>
      <c r="QLO93" s="248" t="n"/>
      <c r="QLP93" s="240" t="n"/>
      <c r="QLQ93" s="240" t="n"/>
      <c r="QLS93" s="15" t="n"/>
      <c r="QLT93" s="15" t="n"/>
      <c r="QLU93" s="248" t="n"/>
      <c r="QLV93" s="248" t="n"/>
      <c r="QLW93" s="240" t="n"/>
      <c r="QLX93" s="240" t="n"/>
      <c r="QLZ93" s="15" t="n"/>
      <c r="QMA93" s="15" t="n"/>
      <c r="QMB93" s="248" t="n"/>
      <c r="QMC93" s="248" t="n"/>
      <c r="QMD93" s="240" t="n"/>
      <c r="QME93" s="240" t="n"/>
      <c r="QMG93" s="15" t="n"/>
      <c r="QMH93" s="15" t="n"/>
      <c r="QMI93" s="248" t="n"/>
      <c r="QMJ93" s="248" t="n"/>
      <c r="QMK93" s="240" t="n"/>
      <c r="QML93" s="240" t="n"/>
      <c r="QMN93" s="15" t="n"/>
      <c r="QMO93" s="15" t="n"/>
      <c r="QMP93" s="248" t="n"/>
      <c r="QMQ93" s="248" t="n"/>
      <c r="QMR93" s="240" t="n"/>
      <c r="QMS93" s="240" t="n"/>
      <c r="QMU93" s="15" t="n"/>
      <c r="QMV93" s="15" t="n"/>
      <c r="QMW93" s="248" t="n"/>
      <c r="QMX93" s="248" t="n"/>
      <c r="QMY93" s="240" t="n"/>
      <c r="QMZ93" s="240" t="n"/>
      <c r="QNB93" s="15" t="n"/>
      <c r="QNC93" s="15" t="n"/>
      <c r="QND93" s="248" t="n"/>
      <c r="QNE93" s="248" t="n"/>
      <c r="QNF93" s="240" t="n"/>
      <c r="QNG93" s="240" t="n"/>
      <c r="QNI93" s="15" t="n"/>
      <c r="QNJ93" s="15" t="n"/>
      <c r="QNK93" s="248" t="n"/>
      <c r="QNL93" s="248" t="n"/>
      <c r="QNM93" s="240" t="n"/>
      <c r="QNN93" s="240" t="n"/>
      <c r="QNP93" s="15" t="n"/>
      <c r="QNQ93" s="15" t="n"/>
      <c r="QNR93" s="248" t="n"/>
      <c r="QNS93" s="248" t="n"/>
      <c r="QNT93" s="240" t="n"/>
      <c r="QNU93" s="240" t="n"/>
      <c r="QNW93" s="15" t="n"/>
      <c r="QNX93" s="15" t="n"/>
      <c r="QNY93" s="248" t="n"/>
      <c r="QNZ93" s="248" t="n"/>
      <c r="QOA93" s="240" t="n"/>
      <c r="QOB93" s="240" t="n"/>
      <c r="QOD93" s="15" t="n"/>
      <c r="QOE93" s="15" t="n"/>
      <c r="QOF93" s="248" t="n"/>
      <c r="QOG93" s="248" t="n"/>
      <c r="QOH93" s="240" t="n"/>
      <c r="QOI93" s="240" t="n"/>
      <c r="QOK93" s="15" t="n"/>
      <c r="QOL93" s="15" t="n"/>
      <c r="QOM93" s="248" t="n"/>
      <c r="QON93" s="248" t="n"/>
      <c r="QOO93" s="240" t="n"/>
      <c r="QOP93" s="240" t="n"/>
      <c r="QOR93" s="15" t="n"/>
      <c r="QOS93" s="15" t="n"/>
      <c r="QOT93" s="248" t="n"/>
      <c r="QOU93" s="248" t="n"/>
      <c r="QOV93" s="240" t="n"/>
      <c r="QOW93" s="240" t="n"/>
      <c r="QOY93" s="15" t="n"/>
      <c r="QOZ93" s="15" t="n"/>
      <c r="QPA93" s="248" t="n"/>
      <c r="QPB93" s="248" t="n"/>
      <c r="QPC93" s="240" t="n"/>
      <c r="QPD93" s="240" t="n"/>
      <c r="QPF93" s="15" t="n"/>
      <c r="QPG93" s="15" t="n"/>
      <c r="QPH93" s="248" t="n"/>
      <c r="QPI93" s="248" t="n"/>
      <c r="QPJ93" s="240" t="n"/>
      <c r="QPK93" s="240" t="n"/>
      <c r="QPM93" s="15" t="n"/>
      <c r="QPN93" s="15" t="n"/>
      <c r="QPO93" s="248" t="n"/>
      <c r="QPP93" s="248" t="n"/>
      <c r="QPQ93" s="240" t="n"/>
      <c r="QPR93" s="240" t="n"/>
      <c r="QPT93" s="15" t="n"/>
      <c r="QPU93" s="15" t="n"/>
      <c r="QPV93" s="248" t="n"/>
      <c r="QPW93" s="248" t="n"/>
      <c r="QPX93" s="240" t="n"/>
      <c r="QPY93" s="240" t="n"/>
      <c r="QQA93" s="15" t="n"/>
      <c r="QQB93" s="15" t="n"/>
      <c r="QQC93" s="248" t="n"/>
      <c r="QQD93" s="248" t="n"/>
      <c r="QQE93" s="240" t="n"/>
      <c r="QQF93" s="240" t="n"/>
      <c r="QQH93" s="15" t="n"/>
      <c r="QQI93" s="15" t="n"/>
      <c r="QQJ93" s="248" t="n"/>
      <c r="QQK93" s="248" t="n"/>
      <c r="QQL93" s="240" t="n"/>
      <c r="QQM93" s="240" t="n"/>
      <c r="QQO93" s="15" t="n"/>
      <c r="QQP93" s="15" t="n"/>
      <c r="QQQ93" s="248" t="n"/>
      <c r="QQR93" s="248" t="n"/>
      <c r="QQS93" s="240" t="n"/>
      <c r="QQT93" s="240" t="n"/>
      <c r="QQV93" s="15" t="n"/>
      <c r="QQW93" s="15" t="n"/>
      <c r="QQX93" s="248" t="n"/>
      <c r="QQY93" s="248" t="n"/>
      <c r="QQZ93" s="240" t="n"/>
      <c r="QRA93" s="240" t="n"/>
      <c r="QRC93" s="15" t="n"/>
      <c r="QRD93" s="15" t="n"/>
      <c r="QRE93" s="248" t="n"/>
      <c r="QRF93" s="248" t="n"/>
      <c r="QRG93" s="240" t="n"/>
      <c r="QRH93" s="240" t="n"/>
      <c r="QRJ93" s="15" t="n"/>
      <c r="QRK93" s="15" t="n"/>
      <c r="QRL93" s="248" t="n"/>
      <c r="QRM93" s="248" t="n"/>
      <c r="QRN93" s="240" t="n"/>
      <c r="QRO93" s="240" t="n"/>
      <c r="QRQ93" s="15" t="n"/>
      <c r="QRR93" s="15" t="n"/>
      <c r="QRS93" s="248" t="n"/>
      <c r="QRT93" s="248" t="n"/>
      <c r="QRU93" s="240" t="n"/>
      <c r="QRV93" s="240" t="n"/>
      <c r="QRX93" s="15" t="n"/>
      <c r="QRY93" s="15" t="n"/>
      <c r="QRZ93" s="248" t="n"/>
      <c r="QSA93" s="248" t="n"/>
      <c r="QSB93" s="240" t="n"/>
      <c r="QSC93" s="240" t="n"/>
      <c r="QSE93" s="15" t="n"/>
      <c r="QSF93" s="15" t="n"/>
      <c r="QSG93" s="248" t="n"/>
      <c r="QSH93" s="248" t="n"/>
      <c r="QSI93" s="240" t="n"/>
      <c r="QSJ93" s="240" t="n"/>
      <c r="QSL93" s="15" t="n"/>
      <c r="QSM93" s="15" t="n"/>
      <c r="QSN93" s="248" t="n"/>
      <c r="QSO93" s="248" t="n"/>
      <c r="QSP93" s="240" t="n"/>
      <c r="QSQ93" s="240" t="n"/>
      <c r="QSS93" s="15" t="n"/>
      <c r="QST93" s="15" t="n"/>
      <c r="QSU93" s="248" t="n"/>
      <c r="QSV93" s="248" t="n"/>
      <c r="QSW93" s="240" t="n"/>
      <c r="QSX93" s="240" t="n"/>
      <c r="QSZ93" s="15" t="n"/>
      <c r="QTA93" s="15" t="n"/>
      <c r="QTB93" s="248" t="n"/>
      <c r="QTC93" s="248" t="n"/>
      <c r="QTD93" s="240" t="n"/>
      <c r="QTE93" s="240" t="n"/>
      <c r="QTG93" s="15" t="n"/>
      <c r="QTH93" s="15" t="n"/>
      <c r="QTI93" s="248" t="n"/>
      <c r="QTJ93" s="248" t="n"/>
      <c r="QTK93" s="240" t="n"/>
      <c r="QTL93" s="240" t="n"/>
      <c r="QTN93" s="15" t="n"/>
      <c r="QTO93" s="15" t="n"/>
      <c r="QTP93" s="248" t="n"/>
      <c r="QTQ93" s="248" t="n"/>
      <c r="QTR93" s="240" t="n"/>
      <c r="QTS93" s="240" t="n"/>
      <c r="QTU93" s="15" t="n"/>
      <c r="QTV93" s="15" t="n"/>
      <c r="QTW93" s="248" t="n"/>
      <c r="QTX93" s="248" t="n"/>
      <c r="QTY93" s="240" t="n"/>
      <c r="QTZ93" s="240" t="n"/>
      <c r="QUB93" s="15" t="n"/>
      <c r="QUC93" s="15" t="n"/>
      <c r="QUD93" s="248" t="n"/>
      <c r="QUE93" s="248" t="n"/>
      <c r="QUF93" s="240" t="n"/>
      <c r="QUG93" s="240" t="n"/>
      <c r="QUI93" s="15" t="n"/>
      <c r="QUJ93" s="15" t="n"/>
      <c r="QUK93" s="248" t="n"/>
      <c r="QUL93" s="248" t="n"/>
      <c r="QUM93" s="240" t="n"/>
      <c r="QUN93" s="240" t="n"/>
      <c r="QUP93" s="15" t="n"/>
      <c r="QUQ93" s="15" t="n"/>
      <c r="QUR93" s="248" t="n"/>
      <c r="QUS93" s="248" t="n"/>
      <c r="QUT93" s="240" t="n"/>
      <c r="QUU93" s="240" t="n"/>
      <c r="QUW93" s="15" t="n"/>
      <c r="QUX93" s="15" t="n"/>
      <c r="QUY93" s="248" t="n"/>
      <c r="QUZ93" s="248" t="n"/>
      <c r="QVA93" s="240" t="n"/>
      <c r="QVB93" s="240" t="n"/>
      <c r="QVD93" s="15" t="n"/>
      <c r="QVE93" s="15" t="n"/>
      <c r="QVF93" s="248" t="n"/>
      <c r="QVG93" s="248" t="n"/>
      <c r="QVH93" s="240" t="n"/>
      <c r="QVI93" s="240" t="n"/>
      <c r="QVK93" s="15" t="n"/>
      <c r="QVL93" s="15" t="n"/>
      <c r="QVM93" s="248" t="n"/>
      <c r="QVN93" s="248" t="n"/>
      <c r="QVO93" s="240" t="n"/>
      <c r="QVP93" s="240" t="n"/>
      <c r="QVR93" s="15" t="n"/>
      <c r="QVS93" s="15" t="n"/>
      <c r="QVT93" s="248" t="n"/>
      <c r="QVU93" s="248" t="n"/>
      <c r="QVV93" s="240" t="n"/>
      <c r="QVW93" s="240" t="n"/>
      <c r="QVY93" s="15" t="n"/>
      <c r="QVZ93" s="15" t="n"/>
      <c r="QWA93" s="248" t="n"/>
      <c r="QWB93" s="248" t="n"/>
      <c r="QWC93" s="240" t="n"/>
      <c r="QWD93" s="240" t="n"/>
      <c r="QWF93" s="15" t="n"/>
      <c r="QWG93" s="15" t="n"/>
      <c r="QWH93" s="248" t="n"/>
      <c r="QWI93" s="248" t="n"/>
      <c r="QWJ93" s="240" t="n"/>
      <c r="QWK93" s="240" t="n"/>
      <c r="QWM93" s="15" t="n"/>
      <c r="QWN93" s="15" t="n"/>
      <c r="QWO93" s="248" t="n"/>
      <c r="QWP93" s="248" t="n"/>
      <c r="QWQ93" s="240" t="n"/>
      <c r="QWR93" s="240" t="n"/>
      <c r="QWT93" s="15" t="n"/>
      <c r="QWU93" s="15" t="n"/>
      <c r="QWV93" s="248" t="n"/>
      <c r="QWW93" s="248" t="n"/>
      <c r="QWX93" s="240" t="n"/>
      <c r="QWY93" s="240" t="n"/>
      <c r="QXA93" s="15" t="n"/>
      <c r="QXB93" s="15" t="n"/>
      <c r="QXC93" s="248" t="n"/>
      <c r="QXD93" s="248" t="n"/>
      <c r="QXE93" s="240" t="n"/>
      <c r="QXF93" s="240" t="n"/>
      <c r="QXH93" s="15" t="n"/>
      <c r="QXI93" s="15" t="n"/>
      <c r="QXJ93" s="248" t="n"/>
      <c r="QXK93" s="248" t="n"/>
      <c r="QXL93" s="240" t="n"/>
      <c r="QXM93" s="240" t="n"/>
      <c r="QXO93" s="15" t="n"/>
      <c r="QXP93" s="15" t="n"/>
      <c r="QXQ93" s="248" t="n"/>
      <c r="QXR93" s="248" t="n"/>
      <c r="QXS93" s="240" t="n"/>
      <c r="QXT93" s="240" t="n"/>
      <c r="QXV93" s="15" t="n"/>
      <c r="QXW93" s="15" t="n"/>
      <c r="QXX93" s="248" t="n"/>
      <c r="QXY93" s="248" t="n"/>
      <c r="QXZ93" s="240" t="n"/>
      <c r="QYA93" s="240" t="n"/>
      <c r="QYC93" s="15" t="n"/>
      <c r="QYD93" s="15" t="n"/>
      <c r="QYE93" s="248" t="n"/>
      <c r="QYF93" s="248" t="n"/>
      <c r="QYG93" s="240" t="n"/>
      <c r="QYH93" s="240" t="n"/>
      <c r="QYJ93" s="15" t="n"/>
      <c r="QYK93" s="15" t="n"/>
      <c r="QYL93" s="248" t="n"/>
      <c r="QYM93" s="248" t="n"/>
      <c r="QYN93" s="240" t="n"/>
      <c r="QYO93" s="240" t="n"/>
      <c r="QYQ93" s="15" t="n"/>
      <c r="QYR93" s="15" t="n"/>
      <c r="QYS93" s="248" t="n"/>
      <c r="QYT93" s="248" t="n"/>
      <c r="QYU93" s="240" t="n"/>
      <c r="QYV93" s="240" t="n"/>
      <c r="QYX93" s="15" t="n"/>
      <c r="QYY93" s="15" t="n"/>
      <c r="QYZ93" s="248" t="n"/>
      <c r="QZA93" s="248" t="n"/>
      <c r="QZB93" s="240" t="n"/>
      <c r="QZC93" s="240" t="n"/>
      <c r="QZE93" s="15" t="n"/>
      <c r="QZF93" s="15" t="n"/>
      <c r="QZG93" s="248" t="n"/>
      <c r="QZH93" s="248" t="n"/>
      <c r="QZI93" s="240" t="n"/>
      <c r="QZJ93" s="240" t="n"/>
      <c r="QZL93" s="15" t="n"/>
      <c r="QZM93" s="15" t="n"/>
      <c r="QZN93" s="248" t="n"/>
      <c r="QZO93" s="248" t="n"/>
      <c r="QZP93" s="240" t="n"/>
      <c r="QZQ93" s="240" t="n"/>
      <c r="QZS93" s="15" t="n"/>
      <c r="QZT93" s="15" t="n"/>
      <c r="QZU93" s="248" t="n"/>
      <c r="QZV93" s="248" t="n"/>
      <c r="QZW93" s="240" t="n"/>
      <c r="QZX93" s="240" t="n"/>
      <c r="QZZ93" s="15" t="n"/>
      <c r="RAA93" s="15" t="n"/>
      <c r="RAB93" s="248" t="n"/>
      <c r="RAC93" s="248" t="n"/>
      <c r="RAD93" s="240" t="n"/>
      <c r="RAE93" s="240" t="n"/>
      <c r="RAG93" s="15" t="n"/>
      <c r="RAH93" s="15" t="n"/>
      <c r="RAI93" s="248" t="n"/>
      <c r="RAJ93" s="248" t="n"/>
      <c r="RAK93" s="240" t="n"/>
      <c r="RAL93" s="240" t="n"/>
      <c r="RAN93" s="15" t="n"/>
      <c r="RAO93" s="15" t="n"/>
      <c r="RAP93" s="248" t="n"/>
      <c r="RAQ93" s="248" t="n"/>
      <c r="RAR93" s="240" t="n"/>
      <c r="RAS93" s="240" t="n"/>
      <c r="RAU93" s="15" t="n"/>
      <c r="RAV93" s="15" t="n"/>
      <c r="RAW93" s="248" t="n"/>
      <c r="RAX93" s="248" t="n"/>
      <c r="RAY93" s="240" t="n"/>
      <c r="RAZ93" s="240" t="n"/>
      <c r="RBB93" s="15" t="n"/>
      <c r="RBC93" s="15" t="n"/>
      <c r="RBD93" s="248" t="n"/>
      <c r="RBE93" s="248" t="n"/>
      <c r="RBF93" s="240" t="n"/>
      <c r="RBG93" s="240" t="n"/>
      <c r="RBI93" s="15" t="n"/>
      <c r="RBJ93" s="15" t="n"/>
      <c r="RBK93" s="248" t="n"/>
      <c r="RBL93" s="248" t="n"/>
      <c r="RBM93" s="240" t="n"/>
      <c r="RBN93" s="240" t="n"/>
      <c r="RBP93" s="15" t="n"/>
      <c r="RBQ93" s="15" t="n"/>
      <c r="RBR93" s="248" t="n"/>
      <c r="RBS93" s="248" t="n"/>
      <c r="RBT93" s="240" t="n"/>
      <c r="RBU93" s="240" t="n"/>
      <c r="RBW93" s="15" t="n"/>
      <c r="RBX93" s="15" t="n"/>
      <c r="RBY93" s="248" t="n"/>
      <c r="RBZ93" s="248" t="n"/>
      <c r="RCA93" s="240" t="n"/>
      <c r="RCB93" s="240" t="n"/>
      <c r="RCD93" s="15" t="n"/>
      <c r="RCE93" s="15" t="n"/>
      <c r="RCF93" s="248" t="n"/>
      <c r="RCG93" s="248" t="n"/>
      <c r="RCH93" s="240" t="n"/>
      <c r="RCI93" s="240" t="n"/>
      <c r="RCK93" s="15" t="n"/>
      <c r="RCL93" s="15" t="n"/>
      <c r="RCM93" s="248" t="n"/>
      <c r="RCN93" s="248" t="n"/>
      <c r="RCO93" s="240" t="n"/>
      <c r="RCP93" s="240" t="n"/>
      <c r="RCR93" s="15" t="n"/>
      <c r="RCS93" s="15" t="n"/>
      <c r="RCT93" s="248" t="n"/>
      <c r="RCU93" s="248" t="n"/>
      <c r="RCV93" s="240" t="n"/>
      <c r="RCW93" s="240" t="n"/>
      <c r="RCY93" s="15" t="n"/>
      <c r="RCZ93" s="15" t="n"/>
      <c r="RDA93" s="248" t="n"/>
      <c r="RDB93" s="248" t="n"/>
      <c r="RDC93" s="240" t="n"/>
      <c r="RDD93" s="240" t="n"/>
      <c r="RDF93" s="15" t="n"/>
      <c r="RDG93" s="15" t="n"/>
      <c r="RDH93" s="248" t="n"/>
      <c r="RDI93" s="248" t="n"/>
      <c r="RDJ93" s="240" t="n"/>
      <c r="RDK93" s="240" t="n"/>
      <c r="RDM93" s="15" t="n"/>
      <c r="RDN93" s="15" t="n"/>
      <c r="RDO93" s="248" t="n"/>
      <c r="RDP93" s="248" t="n"/>
      <c r="RDQ93" s="240" t="n"/>
      <c r="RDR93" s="240" t="n"/>
      <c r="RDT93" s="15" t="n"/>
      <c r="RDU93" s="15" t="n"/>
      <c r="RDV93" s="248" t="n"/>
      <c r="RDW93" s="248" t="n"/>
      <c r="RDX93" s="240" t="n"/>
      <c r="RDY93" s="240" t="n"/>
      <c r="REA93" s="15" t="n"/>
      <c r="REB93" s="15" t="n"/>
      <c r="REC93" s="248" t="n"/>
      <c r="RED93" s="248" t="n"/>
      <c r="REE93" s="240" t="n"/>
      <c r="REF93" s="240" t="n"/>
      <c r="REH93" s="15" t="n"/>
      <c r="REI93" s="15" t="n"/>
      <c r="REJ93" s="248" t="n"/>
      <c r="REK93" s="248" t="n"/>
      <c r="REL93" s="240" t="n"/>
      <c r="REM93" s="240" t="n"/>
      <c r="REO93" s="15" t="n"/>
      <c r="REP93" s="15" t="n"/>
      <c r="REQ93" s="248" t="n"/>
      <c r="RER93" s="248" t="n"/>
      <c r="RES93" s="240" t="n"/>
      <c r="RET93" s="240" t="n"/>
      <c r="REV93" s="15" t="n"/>
      <c r="REW93" s="15" t="n"/>
      <c r="REX93" s="248" t="n"/>
      <c r="REY93" s="248" t="n"/>
      <c r="REZ93" s="240" t="n"/>
      <c r="RFA93" s="240" t="n"/>
      <c r="RFC93" s="15" t="n"/>
      <c r="RFD93" s="15" t="n"/>
      <c r="RFE93" s="248" t="n"/>
      <c r="RFF93" s="248" t="n"/>
      <c r="RFG93" s="240" t="n"/>
      <c r="RFH93" s="240" t="n"/>
      <c r="RFJ93" s="15" t="n"/>
      <c r="RFK93" s="15" t="n"/>
      <c r="RFL93" s="248" t="n"/>
      <c r="RFM93" s="248" t="n"/>
      <c r="RFN93" s="240" t="n"/>
      <c r="RFO93" s="240" t="n"/>
      <c r="RFQ93" s="15" t="n"/>
      <c r="RFR93" s="15" t="n"/>
      <c r="RFS93" s="248" t="n"/>
      <c r="RFT93" s="248" t="n"/>
      <c r="RFU93" s="240" t="n"/>
      <c r="RFV93" s="240" t="n"/>
      <c r="RFX93" s="15" t="n"/>
      <c r="RFY93" s="15" t="n"/>
      <c r="RFZ93" s="248" t="n"/>
      <c r="RGA93" s="248" t="n"/>
      <c r="RGB93" s="240" t="n"/>
      <c r="RGC93" s="240" t="n"/>
      <c r="RGE93" s="15" t="n"/>
      <c r="RGF93" s="15" t="n"/>
      <c r="RGG93" s="248" t="n"/>
      <c r="RGH93" s="248" t="n"/>
      <c r="RGI93" s="240" t="n"/>
      <c r="RGJ93" s="240" t="n"/>
      <c r="RGL93" s="15" t="n"/>
      <c r="RGM93" s="15" t="n"/>
      <c r="RGN93" s="248" t="n"/>
      <c r="RGO93" s="248" t="n"/>
      <c r="RGP93" s="240" t="n"/>
      <c r="RGQ93" s="240" t="n"/>
      <c r="RGS93" s="15" t="n"/>
      <c r="RGT93" s="15" t="n"/>
      <c r="RGU93" s="248" t="n"/>
      <c r="RGV93" s="248" t="n"/>
      <c r="RGW93" s="240" t="n"/>
      <c r="RGX93" s="240" t="n"/>
      <c r="RGZ93" s="15" t="n"/>
      <c r="RHA93" s="15" t="n"/>
      <c r="RHB93" s="248" t="n"/>
      <c r="RHC93" s="248" t="n"/>
      <c r="RHD93" s="240" t="n"/>
      <c r="RHE93" s="240" t="n"/>
      <c r="RHG93" s="15" t="n"/>
      <c r="RHH93" s="15" t="n"/>
      <c r="RHI93" s="248" t="n"/>
      <c r="RHJ93" s="248" t="n"/>
      <c r="RHK93" s="240" t="n"/>
      <c r="RHL93" s="240" t="n"/>
      <c r="RHN93" s="15" t="n"/>
      <c r="RHO93" s="15" t="n"/>
      <c r="RHP93" s="248" t="n"/>
      <c r="RHQ93" s="248" t="n"/>
      <c r="RHR93" s="240" t="n"/>
      <c r="RHS93" s="240" t="n"/>
      <c r="RHU93" s="15" t="n"/>
      <c r="RHV93" s="15" t="n"/>
      <c r="RHW93" s="248" t="n"/>
      <c r="RHX93" s="248" t="n"/>
      <c r="RHY93" s="240" t="n"/>
      <c r="RHZ93" s="240" t="n"/>
      <c r="RIB93" s="15" t="n"/>
      <c r="RIC93" s="15" t="n"/>
      <c r="RID93" s="248" t="n"/>
      <c r="RIE93" s="248" t="n"/>
      <c r="RIF93" s="240" t="n"/>
      <c r="RIG93" s="240" t="n"/>
      <c r="RII93" s="15" t="n"/>
      <c r="RIJ93" s="15" t="n"/>
      <c r="RIK93" s="248" t="n"/>
      <c r="RIL93" s="248" t="n"/>
      <c r="RIM93" s="240" t="n"/>
      <c r="RIN93" s="240" t="n"/>
      <c r="RIP93" s="15" t="n"/>
      <c r="RIQ93" s="15" t="n"/>
      <c r="RIR93" s="248" t="n"/>
      <c r="RIS93" s="248" t="n"/>
      <c r="RIT93" s="240" t="n"/>
      <c r="RIU93" s="240" t="n"/>
      <c r="RIW93" s="15" t="n"/>
      <c r="RIX93" s="15" t="n"/>
      <c r="RIY93" s="248" t="n"/>
      <c r="RIZ93" s="248" t="n"/>
      <c r="RJA93" s="240" t="n"/>
      <c r="RJB93" s="240" t="n"/>
      <c r="RJD93" s="15" t="n"/>
      <c r="RJE93" s="15" t="n"/>
      <c r="RJF93" s="248" t="n"/>
      <c r="RJG93" s="248" t="n"/>
      <c r="RJH93" s="240" t="n"/>
      <c r="RJI93" s="240" t="n"/>
      <c r="RJK93" s="15" t="n"/>
      <c r="RJL93" s="15" t="n"/>
      <c r="RJM93" s="248" t="n"/>
      <c r="RJN93" s="248" t="n"/>
      <c r="RJO93" s="240" t="n"/>
      <c r="RJP93" s="240" t="n"/>
      <c r="RJR93" s="15" t="n"/>
      <c r="RJS93" s="15" t="n"/>
      <c r="RJT93" s="248" t="n"/>
      <c r="RJU93" s="248" t="n"/>
      <c r="RJV93" s="240" t="n"/>
      <c r="RJW93" s="240" t="n"/>
      <c r="RJY93" s="15" t="n"/>
      <c r="RJZ93" s="15" t="n"/>
      <c r="RKA93" s="248" t="n"/>
      <c r="RKB93" s="248" t="n"/>
      <c r="RKC93" s="240" t="n"/>
      <c r="RKD93" s="240" t="n"/>
      <c r="RKF93" s="15" t="n"/>
      <c r="RKG93" s="15" t="n"/>
      <c r="RKH93" s="248" t="n"/>
      <c r="RKI93" s="248" t="n"/>
      <c r="RKJ93" s="240" t="n"/>
      <c r="RKK93" s="240" t="n"/>
      <c r="RKM93" s="15" t="n"/>
      <c r="RKN93" s="15" t="n"/>
      <c r="RKO93" s="248" t="n"/>
      <c r="RKP93" s="248" t="n"/>
      <c r="RKQ93" s="240" t="n"/>
      <c r="RKR93" s="240" t="n"/>
      <c r="RKT93" s="15" t="n"/>
      <c r="RKU93" s="15" t="n"/>
      <c r="RKV93" s="248" t="n"/>
      <c r="RKW93" s="248" t="n"/>
      <c r="RKX93" s="240" t="n"/>
      <c r="RKY93" s="240" t="n"/>
      <c r="RLA93" s="15" t="n"/>
      <c r="RLB93" s="15" t="n"/>
      <c r="RLC93" s="248" t="n"/>
      <c r="RLD93" s="248" t="n"/>
      <c r="RLE93" s="240" t="n"/>
      <c r="RLF93" s="240" t="n"/>
      <c r="RLH93" s="15" t="n"/>
      <c r="RLI93" s="15" t="n"/>
      <c r="RLJ93" s="248" t="n"/>
      <c r="RLK93" s="248" t="n"/>
      <c r="RLL93" s="240" t="n"/>
      <c r="RLM93" s="240" t="n"/>
      <c r="RLO93" s="15" t="n"/>
      <c r="RLP93" s="15" t="n"/>
      <c r="RLQ93" s="248" t="n"/>
      <c r="RLR93" s="248" t="n"/>
      <c r="RLS93" s="240" t="n"/>
      <c r="RLT93" s="240" t="n"/>
      <c r="RLV93" s="15" t="n"/>
      <c r="RLW93" s="15" t="n"/>
      <c r="RLX93" s="248" t="n"/>
      <c r="RLY93" s="248" t="n"/>
      <c r="RLZ93" s="240" t="n"/>
      <c r="RMA93" s="240" t="n"/>
      <c r="RMC93" s="15" t="n"/>
      <c r="RMD93" s="15" t="n"/>
      <c r="RME93" s="248" t="n"/>
      <c r="RMF93" s="248" t="n"/>
      <c r="RMG93" s="240" t="n"/>
      <c r="RMH93" s="240" t="n"/>
      <c r="RMJ93" s="15" t="n"/>
      <c r="RMK93" s="15" t="n"/>
      <c r="RML93" s="248" t="n"/>
      <c r="RMM93" s="248" t="n"/>
      <c r="RMN93" s="240" t="n"/>
      <c r="RMO93" s="240" t="n"/>
      <c r="RMQ93" s="15" t="n"/>
      <c r="RMR93" s="15" t="n"/>
      <c r="RMS93" s="248" t="n"/>
      <c r="RMT93" s="248" t="n"/>
      <c r="RMU93" s="240" t="n"/>
      <c r="RMV93" s="240" t="n"/>
      <c r="RMX93" s="15" t="n"/>
      <c r="RMY93" s="15" t="n"/>
      <c r="RMZ93" s="248" t="n"/>
      <c r="RNA93" s="248" t="n"/>
      <c r="RNB93" s="240" t="n"/>
      <c r="RNC93" s="240" t="n"/>
      <c r="RNE93" s="15" t="n"/>
      <c r="RNF93" s="15" t="n"/>
      <c r="RNG93" s="248" t="n"/>
      <c r="RNH93" s="248" t="n"/>
      <c r="RNI93" s="240" t="n"/>
      <c r="RNJ93" s="240" t="n"/>
      <c r="RNL93" s="15" t="n"/>
      <c r="RNM93" s="15" t="n"/>
      <c r="RNN93" s="248" t="n"/>
      <c r="RNO93" s="248" t="n"/>
      <c r="RNP93" s="240" t="n"/>
      <c r="RNQ93" s="240" t="n"/>
      <c r="RNS93" s="15" t="n"/>
      <c r="RNT93" s="15" t="n"/>
      <c r="RNU93" s="248" t="n"/>
      <c r="RNV93" s="248" t="n"/>
      <c r="RNW93" s="240" t="n"/>
      <c r="RNX93" s="240" t="n"/>
      <c r="RNZ93" s="15" t="n"/>
      <c r="ROA93" s="15" t="n"/>
      <c r="ROB93" s="248" t="n"/>
      <c r="ROC93" s="248" t="n"/>
      <c r="ROD93" s="240" t="n"/>
      <c r="ROE93" s="240" t="n"/>
      <c r="ROG93" s="15" t="n"/>
      <c r="ROH93" s="15" t="n"/>
      <c r="ROI93" s="248" t="n"/>
      <c r="ROJ93" s="248" t="n"/>
      <c r="ROK93" s="240" t="n"/>
      <c r="ROL93" s="240" t="n"/>
      <c r="RON93" s="15" t="n"/>
      <c r="ROO93" s="15" t="n"/>
      <c r="ROP93" s="248" t="n"/>
      <c r="ROQ93" s="248" t="n"/>
      <c r="ROR93" s="240" t="n"/>
      <c r="ROS93" s="240" t="n"/>
      <c r="ROU93" s="15" t="n"/>
      <c r="ROV93" s="15" t="n"/>
      <c r="ROW93" s="248" t="n"/>
      <c r="ROX93" s="248" t="n"/>
      <c r="ROY93" s="240" t="n"/>
      <c r="ROZ93" s="240" t="n"/>
      <c r="RPB93" s="15" t="n"/>
      <c r="RPC93" s="15" t="n"/>
      <c r="RPD93" s="248" t="n"/>
      <c r="RPE93" s="248" t="n"/>
      <c r="RPF93" s="240" t="n"/>
      <c r="RPG93" s="240" t="n"/>
      <c r="RPI93" s="15" t="n"/>
      <c r="RPJ93" s="15" t="n"/>
      <c r="RPK93" s="248" t="n"/>
      <c r="RPL93" s="248" t="n"/>
      <c r="RPM93" s="240" t="n"/>
      <c r="RPN93" s="240" t="n"/>
      <c r="RPP93" s="15" t="n"/>
      <c r="RPQ93" s="15" t="n"/>
      <c r="RPR93" s="248" t="n"/>
      <c r="RPS93" s="248" t="n"/>
      <c r="RPT93" s="240" t="n"/>
      <c r="RPU93" s="240" t="n"/>
      <c r="RPW93" s="15" t="n"/>
      <c r="RPX93" s="15" t="n"/>
      <c r="RPY93" s="248" t="n"/>
      <c r="RPZ93" s="248" t="n"/>
      <c r="RQA93" s="240" t="n"/>
      <c r="RQB93" s="240" t="n"/>
      <c r="RQD93" s="15" t="n"/>
      <c r="RQE93" s="15" t="n"/>
      <c r="RQF93" s="248" t="n"/>
      <c r="RQG93" s="248" t="n"/>
      <c r="RQH93" s="240" t="n"/>
      <c r="RQI93" s="240" t="n"/>
      <c r="RQK93" s="15" t="n"/>
      <c r="RQL93" s="15" t="n"/>
      <c r="RQM93" s="248" t="n"/>
      <c r="RQN93" s="248" t="n"/>
      <c r="RQO93" s="240" t="n"/>
      <c r="RQP93" s="240" t="n"/>
      <c r="RQR93" s="15" t="n"/>
      <c r="RQS93" s="15" t="n"/>
      <c r="RQT93" s="248" t="n"/>
      <c r="RQU93" s="248" t="n"/>
      <c r="RQV93" s="240" t="n"/>
      <c r="RQW93" s="240" t="n"/>
      <c r="RQY93" s="15" t="n"/>
      <c r="RQZ93" s="15" t="n"/>
      <c r="RRA93" s="248" t="n"/>
      <c r="RRB93" s="248" t="n"/>
      <c r="RRC93" s="240" t="n"/>
      <c r="RRD93" s="240" t="n"/>
      <c r="RRF93" s="15" t="n"/>
      <c r="RRG93" s="15" t="n"/>
      <c r="RRH93" s="248" t="n"/>
      <c r="RRI93" s="248" t="n"/>
      <c r="RRJ93" s="240" t="n"/>
      <c r="RRK93" s="240" t="n"/>
      <c r="RRM93" s="15" t="n"/>
      <c r="RRN93" s="15" t="n"/>
      <c r="RRO93" s="248" t="n"/>
      <c r="RRP93" s="248" t="n"/>
      <c r="RRQ93" s="240" t="n"/>
      <c r="RRR93" s="240" t="n"/>
      <c r="RRT93" s="15" t="n"/>
      <c r="RRU93" s="15" t="n"/>
      <c r="RRV93" s="248" t="n"/>
      <c r="RRW93" s="248" t="n"/>
      <c r="RRX93" s="240" t="n"/>
      <c r="RRY93" s="240" t="n"/>
      <c r="RSA93" s="15" t="n"/>
      <c r="RSB93" s="15" t="n"/>
      <c r="RSC93" s="248" t="n"/>
      <c r="RSD93" s="248" t="n"/>
      <c r="RSE93" s="240" t="n"/>
      <c r="RSF93" s="240" t="n"/>
      <c r="RSH93" s="15" t="n"/>
      <c r="RSI93" s="15" t="n"/>
      <c r="RSJ93" s="248" t="n"/>
      <c r="RSK93" s="248" t="n"/>
      <c r="RSL93" s="240" t="n"/>
      <c r="RSM93" s="240" t="n"/>
      <c r="RSO93" s="15" t="n"/>
      <c r="RSP93" s="15" t="n"/>
      <c r="RSQ93" s="248" t="n"/>
      <c r="RSR93" s="248" t="n"/>
      <c r="RSS93" s="240" t="n"/>
      <c r="RST93" s="240" t="n"/>
      <c r="RSV93" s="15" t="n"/>
      <c r="RSW93" s="15" t="n"/>
      <c r="RSX93" s="248" t="n"/>
      <c r="RSY93" s="248" t="n"/>
      <c r="RSZ93" s="240" t="n"/>
      <c r="RTA93" s="240" t="n"/>
      <c r="RTC93" s="15" t="n"/>
      <c r="RTD93" s="15" t="n"/>
      <c r="RTE93" s="248" t="n"/>
      <c r="RTF93" s="248" t="n"/>
      <c r="RTG93" s="240" t="n"/>
      <c r="RTH93" s="240" t="n"/>
      <c r="RTJ93" s="15" t="n"/>
      <c r="RTK93" s="15" t="n"/>
      <c r="RTL93" s="248" t="n"/>
      <c r="RTM93" s="248" t="n"/>
      <c r="RTN93" s="240" t="n"/>
      <c r="RTO93" s="240" t="n"/>
      <c r="RTQ93" s="15" t="n"/>
      <c r="RTR93" s="15" t="n"/>
      <c r="RTS93" s="248" t="n"/>
      <c r="RTT93" s="248" t="n"/>
      <c r="RTU93" s="240" t="n"/>
      <c r="RTV93" s="240" t="n"/>
      <c r="RTX93" s="15" t="n"/>
      <c r="RTY93" s="15" t="n"/>
      <c r="RTZ93" s="248" t="n"/>
      <c r="RUA93" s="248" t="n"/>
      <c r="RUB93" s="240" t="n"/>
      <c r="RUC93" s="240" t="n"/>
      <c r="RUE93" s="15" t="n"/>
      <c r="RUF93" s="15" t="n"/>
      <c r="RUG93" s="248" t="n"/>
      <c r="RUH93" s="248" t="n"/>
      <c r="RUI93" s="240" t="n"/>
      <c r="RUJ93" s="240" t="n"/>
      <c r="RUL93" s="15" t="n"/>
      <c r="RUM93" s="15" t="n"/>
      <c r="RUN93" s="248" t="n"/>
      <c r="RUO93" s="248" t="n"/>
      <c r="RUP93" s="240" t="n"/>
      <c r="RUQ93" s="240" t="n"/>
      <c r="RUS93" s="15" t="n"/>
      <c r="RUT93" s="15" t="n"/>
      <c r="RUU93" s="248" t="n"/>
      <c r="RUV93" s="248" t="n"/>
      <c r="RUW93" s="240" t="n"/>
      <c r="RUX93" s="240" t="n"/>
      <c r="RUZ93" s="15" t="n"/>
      <c r="RVA93" s="15" t="n"/>
      <c r="RVB93" s="248" t="n"/>
      <c r="RVC93" s="248" t="n"/>
      <c r="RVD93" s="240" t="n"/>
      <c r="RVE93" s="240" t="n"/>
      <c r="RVG93" s="15" t="n"/>
      <c r="RVH93" s="15" t="n"/>
      <c r="RVI93" s="248" t="n"/>
      <c r="RVJ93" s="248" t="n"/>
      <c r="RVK93" s="240" t="n"/>
      <c r="RVL93" s="240" t="n"/>
      <c r="RVN93" s="15" t="n"/>
      <c r="RVO93" s="15" t="n"/>
      <c r="RVP93" s="248" t="n"/>
      <c r="RVQ93" s="248" t="n"/>
      <c r="RVR93" s="240" t="n"/>
      <c r="RVS93" s="240" t="n"/>
      <c r="RVU93" s="15" t="n"/>
      <c r="RVV93" s="15" t="n"/>
      <c r="RVW93" s="248" t="n"/>
      <c r="RVX93" s="248" t="n"/>
      <c r="RVY93" s="240" t="n"/>
      <c r="RVZ93" s="240" t="n"/>
      <c r="RWB93" s="15" t="n"/>
      <c r="RWC93" s="15" t="n"/>
      <c r="RWD93" s="248" t="n"/>
      <c r="RWE93" s="248" t="n"/>
      <c r="RWF93" s="240" t="n"/>
      <c r="RWG93" s="240" t="n"/>
      <c r="RWI93" s="15" t="n"/>
      <c r="RWJ93" s="15" t="n"/>
      <c r="RWK93" s="248" t="n"/>
      <c r="RWL93" s="248" t="n"/>
      <c r="RWM93" s="240" t="n"/>
      <c r="RWN93" s="240" t="n"/>
      <c r="RWP93" s="15" t="n"/>
      <c r="RWQ93" s="15" t="n"/>
      <c r="RWR93" s="248" t="n"/>
      <c r="RWS93" s="248" t="n"/>
      <c r="RWT93" s="240" t="n"/>
      <c r="RWU93" s="240" t="n"/>
      <c r="RWW93" s="15" t="n"/>
      <c r="RWX93" s="15" t="n"/>
      <c r="RWY93" s="248" t="n"/>
      <c r="RWZ93" s="248" t="n"/>
      <c r="RXA93" s="240" t="n"/>
      <c r="RXB93" s="240" t="n"/>
      <c r="RXD93" s="15" t="n"/>
      <c r="RXE93" s="15" t="n"/>
      <c r="RXF93" s="248" t="n"/>
      <c r="RXG93" s="248" t="n"/>
      <c r="RXH93" s="240" t="n"/>
      <c r="RXI93" s="240" t="n"/>
      <c r="RXK93" s="15" t="n"/>
      <c r="RXL93" s="15" t="n"/>
      <c r="RXM93" s="248" t="n"/>
      <c r="RXN93" s="248" t="n"/>
      <c r="RXO93" s="240" t="n"/>
      <c r="RXP93" s="240" t="n"/>
      <c r="RXR93" s="15" t="n"/>
      <c r="RXS93" s="15" t="n"/>
      <c r="RXT93" s="248" t="n"/>
      <c r="RXU93" s="248" t="n"/>
      <c r="RXV93" s="240" t="n"/>
      <c r="RXW93" s="240" t="n"/>
      <c r="RXY93" s="15" t="n"/>
      <c r="RXZ93" s="15" t="n"/>
      <c r="RYA93" s="248" t="n"/>
      <c r="RYB93" s="248" t="n"/>
      <c r="RYC93" s="240" t="n"/>
      <c r="RYD93" s="240" t="n"/>
      <c r="RYF93" s="15" t="n"/>
      <c r="RYG93" s="15" t="n"/>
      <c r="RYH93" s="248" t="n"/>
      <c r="RYI93" s="248" t="n"/>
      <c r="RYJ93" s="240" t="n"/>
      <c r="RYK93" s="240" t="n"/>
      <c r="RYM93" s="15" t="n"/>
      <c r="RYN93" s="15" t="n"/>
      <c r="RYO93" s="248" t="n"/>
      <c r="RYP93" s="248" t="n"/>
      <c r="RYQ93" s="240" t="n"/>
      <c r="RYR93" s="240" t="n"/>
      <c r="RYT93" s="15" t="n"/>
      <c r="RYU93" s="15" t="n"/>
      <c r="RYV93" s="248" t="n"/>
      <c r="RYW93" s="248" t="n"/>
      <c r="RYX93" s="240" t="n"/>
      <c r="RYY93" s="240" t="n"/>
      <c r="RZA93" s="15" t="n"/>
      <c r="RZB93" s="15" t="n"/>
      <c r="RZC93" s="248" t="n"/>
      <c r="RZD93" s="248" t="n"/>
      <c r="RZE93" s="240" t="n"/>
      <c r="RZF93" s="240" t="n"/>
      <c r="RZH93" s="15" t="n"/>
      <c r="RZI93" s="15" t="n"/>
      <c r="RZJ93" s="248" t="n"/>
      <c r="RZK93" s="248" t="n"/>
      <c r="RZL93" s="240" t="n"/>
      <c r="RZM93" s="240" t="n"/>
      <c r="RZO93" s="15" t="n"/>
      <c r="RZP93" s="15" t="n"/>
      <c r="RZQ93" s="248" t="n"/>
      <c r="RZR93" s="248" t="n"/>
      <c r="RZS93" s="240" t="n"/>
      <c r="RZT93" s="240" t="n"/>
      <c r="RZV93" s="15" t="n"/>
      <c r="RZW93" s="15" t="n"/>
      <c r="RZX93" s="248" t="n"/>
      <c r="RZY93" s="248" t="n"/>
      <c r="RZZ93" s="240" t="n"/>
      <c r="SAA93" s="240" t="n"/>
      <c r="SAC93" s="15" t="n"/>
      <c r="SAD93" s="15" t="n"/>
      <c r="SAE93" s="248" t="n"/>
      <c r="SAF93" s="248" t="n"/>
      <c r="SAG93" s="240" t="n"/>
      <c r="SAH93" s="240" t="n"/>
      <c r="SAJ93" s="15" t="n"/>
      <c r="SAK93" s="15" t="n"/>
      <c r="SAL93" s="248" t="n"/>
      <c r="SAM93" s="248" t="n"/>
      <c r="SAN93" s="240" t="n"/>
      <c r="SAO93" s="240" t="n"/>
      <c r="SAQ93" s="15" t="n"/>
      <c r="SAR93" s="15" t="n"/>
      <c r="SAS93" s="248" t="n"/>
      <c r="SAT93" s="248" t="n"/>
      <c r="SAU93" s="240" t="n"/>
      <c r="SAV93" s="240" t="n"/>
      <c r="SAX93" s="15" t="n"/>
      <c r="SAY93" s="15" t="n"/>
      <c r="SAZ93" s="248" t="n"/>
      <c r="SBA93" s="248" t="n"/>
      <c r="SBB93" s="240" t="n"/>
      <c r="SBC93" s="240" t="n"/>
      <c r="SBE93" s="15" t="n"/>
      <c r="SBF93" s="15" t="n"/>
      <c r="SBG93" s="248" t="n"/>
      <c r="SBH93" s="248" t="n"/>
      <c r="SBI93" s="240" t="n"/>
      <c r="SBJ93" s="240" t="n"/>
      <c r="SBL93" s="15" t="n"/>
      <c r="SBM93" s="15" t="n"/>
      <c r="SBN93" s="248" t="n"/>
      <c r="SBO93" s="248" t="n"/>
      <c r="SBP93" s="240" t="n"/>
      <c r="SBQ93" s="240" t="n"/>
      <c r="SBS93" s="15" t="n"/>
      <c r="SBT93" s="15" t="n"/>
      <c r="SBU93" s="248" t="n"/>
      <c r="SBV93" s="248" t="n"/>
      <c r="SBW93" s="240" t="n"/>
      <c r="SBX93" s="240" t="n"/>
      <c r="SBZ93" s="15" t="n"/>
      <c r="SCA93" s="15" t="n"/>
      <c r="SCB93" s="248" t="n"/>
      <c r="SCC93" s="248" t="n"/>
      <c r="SCD93" s="240" t="n"/>
      <c r="SCE93" s="240" t="n"/>
      <c r="SCG93" s="15" t="n"/>
      <c r="SCH93" s="15" t="n"/>
      <c r="SCI93" s="248" t="n"/>
      <c r="SCJ93" s="248" t="n"/>
      <c r="SCK93" s="240" t="n"/>
      <c r="SCL93" s="240" t="n"/>
      <c r="SCN93" s="15" t="n"/>
      <c r="SCO93" s="15" t="n"/>
      <c r="SCP93" s="248" t="n"/>
      <c r="SCQ93" s="248" t="n"/>
      <c r="SCR93" s="240" t="n"/>
      <c r="SCS93" s="240" t="n"/>
      <c r="SCU93" s="15" t="n"/>
      <c r="SCV93" s="15" t="n"/>
      <c r="SCW93" s="248" t="n"/>
      <c r="SCX93" s="248" t="n"/>
      <c r="SCY93" s="240" t="n"/>
      <c r="SCZ93" s="240" t="n"/>
      <c r="SDB93" s="15" t="n"/>
      <c r="SDC93" s="15" t="n"/>
      <c r="SDD93" s="248" t="n"/>
      <c r="SDE93" s="248" t="n"/>
      <c r="SDF93" s="240" t="n"/>
      <c r="SDG93" s="240" t="n"/>
      <c r="SDI93" s="15" t="n"/>
      <c r="SDJ93" s="15" t="n"/>
      <c r="SDK93" s="248" t="n"/>
      <c r="SDL93" s="248" t="n"/>
      <c r="SDM93" s="240" t="n"/>
      <c r="SDN93" s="240" t="n"/>
      <c r="SDP93" s="15" t="n"/>
      <c r="SDQ93" s="15" t="n"/>
      <c r="SDR93" s="248" t="n"/>
      <c r="SDS93" s="248" t="n"/>
      <c r="SDT93" s="240" t="n"/>
      <c r="SDU93" s="240" t="n"/>
      <c r="SDW93" s="15" t="n"/>
      <c r="SDX93" s="15" t="n"/>
      <c r="SDY93" s="248" t="n"/>
      <c r="SDZ93" s="248" t="n"/>
      <c r="SEA93" s="240" t="n"/>
      <c r="SEB93" s="240" t="n"/>
      <c r="SED93" s="15" t="n"/>
      <c r="SEE93" s="15" t="n"/>
      <c r="SEF93" s="248" t="n"/>
      <c r="SEG93" s="248" t="n"/>
      <c r="SEH93" s="240" t="n"/>
      <c r="SEI93" s="240" t="n"/>
      <c r="SEK93" s="15" t="n"/>
      <c r="SEL93" s="15" t="n"/>
      <c r="SEM93" s="248" t="n"/>
      <c r="SEN93" s="248" t="n"/>
      <c r="SEO93" s="240" t="n"/>
      <c r="SEP93" s="240" t="n"/>
      <c r="SER93" s="15" t="n"/>
      <c r="SES93" s="15" t="n"/>
      <c r="SET93" s="248" t="n"/>
      <c r="SEU93" s="248" t="n"/>
      <c r="SEV93" s="240" t="n"/>
      <c r="SEW93" s="240" t="n"/>
      <c r="SEY93" s="15" t="n"/>
      <c r="SEZ93" s="15" t="n"/>
      <c r="SFA93" s="248" t="n"/>
      <c r="SFB93" s="248" t="n"/>
      <c r="SFC93" s="240" t="n"/>
      <c r="SFD93" s="240" t="n"/>
      <c r="SFF93" s="15" t="n"/>
      <c r="SFG93" s="15" t="n"/>
      <c r="SFH93" s="248" t="n"/>
      <c r="SFI93" s="248" t="n"/>
      <c r="SFJ93" s="240" t="n"/>
      <c r="SFK93" s="240" t="n"/>
      <c r="SFM93" s="15" t="n"/>
      <c r="SFN93" s="15" t="n"/>
      <c r="SFO93" s="248" t="n"/>
      <c r="SFP93" s="248" t="n"/>
      <c r="SFQ93" s="240" t="n"/>
      <c r="SFR93" s="240" t="n"/>
      <c r="SFT93" s="15" t="n"/>
      <c r="SFU93" s="15" t="n"/>
      <c r="SFV93" s="248" t="n"/>
      <c r="SFW93" s="248" t="n"/>
      <c r="SFX93" s="240" t="n"/>
      <c r="SFY93" s="240" t="n"/>
      <c r="SGA93" s="15" t="n"/>
      <c r="SGB93" s="15" t="n"/>
      <c r="SGC93" s="248" t="n"/>
      <c r="SGD93" s="248" t="n"/>
      <c r="SGE93" s="240" t="n"/>
      <c r="SGF93" s="240" t="n"/>
      <c r="SGH93" s="15" t="n"/>
      <c r="SGI93" s="15" t="n"/>
      <c r="SGJ93" s="248" t="n"/>
      <c r="SGK93" s="248" t="n"/>
      <c r="SGL93" s="240" t="n"/>
      <c r="SGM93" s="240" t="n"/>
      <c r="SGO93" s="15" t="n"/>
      <c r="SGP93" s="15" t="n"/>
      <c r="SGQ93" s="248" t="n"/>
      <c r="SGR93" s="248" t="n"/>
      <c r="SGS93" s="240" t="n"/>
      <c r="SGT93" s="240" t="n"/>
      <c r="SGV93" s="15" t="n"/>
      <c r="SGW93" s="15" t="n"/>
      <c r="SGX93" s="248" t="n"/>
      <c r="SGY93" s="248" t="n"/>
      <c r="SGZ93" s="240" t="n"/>
      <c r="SHA93" s="240" t="n"/>
      <c r="SHC93" s="15" t="n"/>
      <c r="SHD93" s="15" t="n"/>
      <c r="SHE93" s="248" t="n"/>
      <c r="SHF93" s="248" t="n"/>
      <c r="SHG93" s="240" t="n"/>
      <c r="SHH93" s="240" t="n"/>
      <c r="SHJ93" s="15" t="n"/>
      <c r="SHK93" s="15" t="n"/>
      <c r="SHL93" s="248" t="n"/>
      <c r="SHM93" s="248" t="n"/>
      <c r="SHN93" s="240" t="n"/>
      <c r="SHO93" s="240" t="n"/>
      <c r="SHQ93" s="15" t="n"/>
      <c r="SHR93" s="15" t="n"/>
      <c r="SHS93" s="248" t="n"/>
      <c r="SHT93" s="248" t="n"/>
      <c r="SHU93" s="240" t="n"/>
      <c r="SHV93" s="240" t="n"/>
      <c r="SHX93" s="15" t="n"/>
      <c r="SHY93" s="15" t="n"/>
      <c r="SHZ93" s="248" t="n"/>
      <c r="SIA93" s="248" t="n"/>
      <c r="SIB93" s="240" t="n"/>
      <c r="SIC93" s="240" t="n"/>
      <c r="SIE93" s="15" t="n"/>
      <c r="SIF93" s="15" t="n"/>
      <c r="SIG93" s="248" t="n"/>
      <c r="SIH93" s="248" t="n"/>
      <c r="SII93" s="240" t="n"/>
      <c r="SIJ93" s="240" t="n"/>
      <c r="SIL93" s="15" t="n"/>
      <c r="SIM93" s="15" t="n"/>
      <c r="SIN93" s="248" t="n"/>
      <c r="SIO93" s="248" t="n"/>
      <c r="SIP93" s="240" t="n"/>
      <c r="SIQ93" s="240" t="n"/>
      <c r="SIS93" s="15" t="n"/>
      <c r="SIT93" s="15" t="n"/>
      <c r="SIU93" s="248" t="n"/>
      <c r="SIV93" s="248" t="n"/>
      <c r="SIW93" s="240" t="n"/>
      <c r="SIX93" s="240" t="n"/>
      <c r="SIZ93" s="15" t="n"/>
      <c r="SJA93" s="15" t="n"/>
      <c r="SJB93" s="248" t="n"/>
      <c r="SJC93" s="248" t="n"/>
      <c r="SJD93" s="240" t="n"/>
      <c r="SJE93" s="240" t="n"/>
      <c r="SJG93" s="15" t="n"/>
      <c r="SJH93" s="15" t="n"/>
      <c r="SJI93" s="248" t="n"/>
      <c r="SJJ93" s="248" t="n"/>
      <c r="SJK93" s="240" t="n"/>
      <c r="SJL93" s="240" t="n"/>
      <c r="SJN93" s="15" t="n"/>
      <c r="SJO93" s="15" t="n"/>
      <c r="SJP93" s="248" t="n"/>
      <c r="SJQ93" s="248" t="n"/>
      <c r="SJR93" s="240" t="n"/>
      <c r="SJS93" s="240" t="n"/>
      <c r="SJU93" s="15" t="n"/>
      <c r="SJV93" s="15" t="n"/>
      <c r="SJW93" s="248" t="n"/>
      <c r="SJX93" s="248" t="n"/>
      <c r="SJY93" s="240" t="n"/>
      <c r="SJZ93" s="240" t="n"/>
      <c r="SKB93" s="15" t="n"/>
      <c r="SKC93" s="15" t="n"/>
      <c r="SKD93" s="248" t="n"/>
      <c r="SKE93" s="248" t="n"/>
      <c r="SKF93" s="240" t="n"/>
      <c r="SKG93" s="240" t="n"/>
      <c r="SKI93" s="15" t="n"/>
      <c r="SKJ93" s="15" t="n"/>
      <c r="SKK93" s="248" t="n"/>
      <c r="SKL93" s="248" t="n"/>
      <c r="SKM93" s="240" t="n"/>
      <c r="SKN93" s="240" t="n"/>
      <c r="SKP93" s="15" t="n"/>
      <c r="SKQ93" s="15" t="n"/>
      <c r="SKR93" s="248" t="n"/>
      <c r="SKS93" s="248" t="n"/>
      <c r="SKT93" s="240" t="n"/>
      <c r="SKU93" s="240" t="n"/>
      <c r="SKW93" s="15" t="n"/>
      <c r="SKX93" s="15" t="n"/>
      <c r="SKY93" s="248" t="n"/>
      <c r="SKZ93" s="248" t="n"/>
      <c r="SLA93" s="240" t="n"/>
      <c r="SLB93" s="240" t="n"/>
      <c r="SLD93" s="15" t="n"/>
      <c r="SLE93" s="15" t="n"/>
      <c r="SLF93" s="248" t="n"/>
      <c r="SLG93" s="248" t="n"/>
      <c r="SLH93" s="240" t="n"/>
      <c r="SLI93" s="240" t="n"/>
      <c r="SLK93" s="15" t="n"/>
      <c r="SLL93" s="15" t="n"/>
      <c r="SLM93" s="248" t="n"/>
      <c r="SLN93" s="248" t="n"/>
      <c r="SLO93" s="240" t="n"/>
      <c r="SLP93" s="240" t="n"/>
      <c r="SLR93" s="15" t="n"/>
      <c r="SLS93" s="15" t="n"/>
      <c r="SLT93" s="248" t="n"/>
      <c r="SLU93" s="248" t="n"/>
      <c r="SLV93" s="240" t="n"/>
      <c r="SLW93" s="240" t="n"/>
      <c r="SLY93" s="15" t="n"/>
      <c r="SLZ93" s="15" t="n"/>
      <c r="SMA93" s="248" t="n"/>
      <c r="SMB93" s="248" t="n"/>
      <c r="SMC93" s="240" t="n"/>
      <c r="SMD93" s="240" t="n"/>
      <c r="SMF93" s="15" t="n"/>
      <c r="SMG93" s="15" t="n"/>
      <c r="SMH93" s="248" t="n"/>
      <c r="SMI93" s="248" t="n"/>
      <c r="SMJ93" s="240" t="n"/>
      <c r="SMK93" s="240" t="n"/>
      <c r="SMM93" s="15" t="n"/>
      <c r="SMN93" s="15" t="n"/>
      <c r="SMO93" s="248" t="n"/>
      <c r="SMP93" s="248" t="n"/>
      <c r="SMQ93" s="240" t="n"/>
      <c r="SMR93" s="240" t="n"/>
      <c r="SMT93" s="15" t="n"/>
      <c r="SMU93" s="15" t="n"/>
      <c r="SMV93" s="248" t="n"/>
      <c r="SMW93" s="248" t="n"/>
      <c r="SMX93" s="240" t="n"/>
      <c r="SMY93" s="240" t="n"/>
      <c r="SNA93" s="15" t="n"/>
      <c r="SNB93" s="15" t="n"/>
      <c r="SNC93" s="248" t="n"/>
      <c r="SND93" s="248" t="n"/>
      <c r="SNE93" s="240" t="n"/>
      <c r="SNF93" s="240" t="n"/>
      <c r="SNH93" s="15" t="n"/>
      <c r="SNI93" s="15" t="n"/>
      <c r="SNJ93" s="248" t="n"/>
      <c r="SNK93" s="248" t="n"/>
      <c r="SNL93" s="240" t="n"/>
      <c r="SNM93" s="240" t="n"/>
      <c r="SNO93" s="15" t="n"/>
      <c r="SNP93" s="15" t="n"/>
      <c r="SNQ93" s="248" t="n"/>
      <c r="SNR93" s="248" t="n"/>
      <c r="SNS93" s="240" t="n"/>
      <c r="SNT93" s="240" t="n"/>
      <c r="SNV93" s="15" t="n"/>
      <c r="SNW93" s="15" t="n"/>
      <c r="SNX93" s="248" t="n"/>
      <c r="SNY93" s="248" t="n"/>
      <c r="SNZ93" s="240" t="n"/>
      <c r="SOA93" s="240" t="n"/>
      <c r="SOC93" s="15" t="n"/>
      <c r="SOD93" s="15" t="n"/>
      <c r="SOE93" s="248" t="n"/>
      <c r="SOF93" s="248" t="n"/>
      <c r="SOG93" s="240" t="n"/>
      <c r="SOH93" s="240" t="n"/>
      <c r="SOJ93" s="15" t="n"/>
      <c r="SOK93" s="15" t="n"/>
      <c r="SOL93" s="248" t="n"/>
      <c r="SOM93" s="248" t="n"/>
      <c r="SON93" s="240" t="n"/>
      <c r="SOO93" s="240" t="n"/>
      <c r="SOQ93" s="15" t="n"/>
      <c r="SOR93" s="15" t="n"/>
      <c r="SOS93" s="248" t="n"/>
      <c r="SOT93" s="248" t="n"/>
      <c r="SOU93" s="240" t="n"/>
      <c r="SOV93" s="240" t="n"/>
      <c r="SOX93" s="15" t="n"/>
      <c r="SOY93" s="15" t="n"/>
      <c r="SOZ93" s="248" t="n"/>
      <c r="SPA93" s="248" t="n"/>
      <c r="SPB93" s="240" t="n"/>
      <c r="SPC93" s="240" t="n"/>
      <c r="SPE93" s="15" t="n"/>
      <c r="SPF93" s="15" t="n"/>
      <c r="SPG93" s="248" t="n"/>
      <c r="SPH93" s="248" t="n"/>
      <c r="SPI93" s="240" t="n"/>
      <c r="SPJ93" s="240" t="n"/>
      <c r="SPL93" s="15" t="n"/>
      <c r="SPM93" s="15" t="n"/>
      <c r="SPN93" s="248" t="n"/>
      <c r="SPO93" s="248" t="n"/>
      <c r="SPP93" s="240" t="n"/>
      <c r="SPQ93" s="240" t="n"/>
      <c r="SPS93" s="15" t="n"/>
      <c r="SPT93" s="15" t="n"/>
      <c r="SPU93" s="248" t="n"/>
      <c r="SPV93" s="248" t="n"/>
      <c r="SPW93" s="240" t="n"/>
      <c r="SPX93" s="240" t="n"/>
      <c r="SPZ93" s="15" t="n"/>
      <c r="SQA93" s="15" t="n"/>
      <c r="SQB93" s="248" t="n"/>
      <c r="SQC93" s="248" t="n"/>
      <c r="SQD93" s="240" t="n"/>
      <c r="SQE93" s="240" t="n"/>
      <c r="SQG93" s="15" t="n"/>
      <c r="SQH93" s="15" t="n"/>
      <c r="SQI93" s="248" t="n"/>
      <c r="SQJ93" s="248" t="n"/>
      <c r="SQK93" s="240" t="n"/>
      <c r="SQL93" s="240" t="n"/>
      <c r="SQN93" s="15" t="n"/>
      <c r="SQO93" s="15" t="n"/>
      <c r="SQP93" s="248" t="n"/>
      <c r="SQQ93" s="248" t="n"/>
      <c r="SQR93" s="240" t="n"/>
      <c r="SQS93" s="240" t="n"/>
      <c r="SQU93" s="15" t="n"/>
      <c r="SQV93" s="15" t="n"/>
      <c r="SQW93" s="248" t="n"/>
      <c r="SQX93" s="248" t="n"/>
      <c r="SQY93" s="240" t="n"/>
      <c r="SQZ93" s="240" t="n"/>
      <c r="SRB93" s="15" t="n"/>
      <c r="SRC93" s="15" t="n"/>
      <c r="SRD93" s="248" t="n"/>
      <c r="SRE93" s="248" t="n"/>
      <c r="SRF93" s="240" t="n"/>
      <c r="SRG93" s="240" t="n"/>
      <c r="SRI93" s="15" t="n"/>
      <c r="SRJ93" s="15" t="n"/>
      <c r="SRK93" s="248" t="n"/>
      <c r="SRL93" s="248" t="n"/>
      <c r="SRM93" s="240" t="n"/>
      <c r="SRN93" s="240" t="n"/>
      <c r="SRP93" s="15" t="n"/>
      <c r="SRQ93" s="15" t="n"/>
      <c r="SRR93" s="248" t="n"/>
      <c r="SRS93" s="248" t="n"/>
      <c r="SRT93" s="240" t="n"/>
      <c r="SRU93" s="240" t="n"/>
      <c r="SRW93" s="15" t="n"/>
      <c r="SRX93" s="15" t="n"/>
      <c r="SRY93" s="248" t="n"/>
      <c r="SRZ93" s="248" t="n"/>
      <c r="SSA93" s="240" t="n"/>
      <c r="SSB93" s="240" t="n"/>
      <c r="SSD93" s="15" t="n"/>
      <c r="SSE93" s="15" t="n"/>
      <c r="SSF93" s="248" t="n"/>
      <c r="SSG93" s="248" t="n"/>
      <c r="SSH93" s="240" t="n"/>
      <c r="SSI93" s="240" t="n"/>
      <c r="SSK93" s="15" t="n"/>
      <c r="SSL93" s="15" t="n"/>
      <c r="SSM93" s="248" t="n"/>
      <c r="SSN93" s="248" t="n"/>
      <c r="SSO93" s="240" t="n"/>
      <c r="SSP93" s="240" t="n"/>
      <c r="SSR93" s="15" t="n"/>
      <c r="SSS93" s="15" t="n"/>
      <c r="SST93" s="248" t="n"/>
      <c r="SSU93" s="248" t="n"/>
      <c r="SSV93" s="240" t="n"/>
      <c r="SSW93" s="240" t="n"/>
      <c r="SSY93" s="15" t="n"/>
      <c r="SSZ93" s="15" t="n"/>
      <c r="STA93" s="248" t="n"/>
      <c r="STB93" s="248" t="n"/>
      <c r="STC93" s="240" t="n"/>
      <c r="STD93" s="240" t="n"/>
      <c r="STF93" s="15" t="n"/>
      <c r="STG93" s="15" t="n"/>
      <c r="STH93" s="248" t="n"/>
      <c r="STI93" s="248" t="n"/>
      <c r="STJ93" s="240" t="n"/>
      <c r="STK93" s="240" t="n"/>
      <c r="STM93" s="15" t="n"/>
      <c r="STN93" s="15" t="n"/>
      <c r="STO93" s="248" t="n"/>
      <c r="STP93" s="248" t="n"/>
      <c r="STQ93" s="240" t="n"/>
      <c r="STR93" s="240" t="n"/>
      <c r="STT93" s="15" t="n"/>
      <c r="STU93" s="15" t="n"/>
      <c r="STV93" s="248" t="n"/>
      <c r="STW93" s="248" t="n"/>
      <c r="STX93" s="240" t="n"/>
      <c r="STY93" s="240" t="n"/>
      <c r="SUA93" s="15" t="n"/>
      <c r="SUB93" s="15" t="n"/>
      <c r="SUC93" s="248" t="n"/>
      <c r="SUD93" s="248" t="n"/>
      <c r="SUE93" s="240" t="n"/>
      <c r="SUF93" s="240" t="n"/>
      <c r="SUH93" s="15" t="n"/>
      <c r="SUI93" s="15" t="n"/>
      <c r="SUJ93" s="248" t="n"/>
      <c r="SUK93" s="248" t="n"/>
      <c r="SUL93" s="240" t="n"/>
      <c r="SUM93" s="240" t="n"/>
      <c r="SUO93" s="15" t="n"/>
      <c r="SUP93" s="15" t="n"/>
      <c r="SUQ93" s="248" t="n"/>
      <c r="SUR93" s="248" t="n"/>
      <c r="SUS93" s="240" t="n"/>
      <c r="SUT93" s="240" t="n"/>
      <c r="SUV93" s="15" t="n"/>
      <c r="SUW93" s="15" t="n"/>
      <c r="SUX93" s="248" t="n"/>
      <c r="SUY93" s="248" t="n"/>
      <c r="SUZ93" s="240" t="n"/>
      <c r="SVA93" s="240" t="n"/>
      <c r="SVC93" s="15" t="n"/>
      <c r="SVD93" s="15" t="n"/>
      <c r="SVE93" s="248" t="n"/>
      <c r="SVF93" s="248" t="n"/>
      <c r="SVG93" s="240" t="n"/>
      <c r="SVH93" s="240" t="n"/>
      <c r="SVJ93" s="15" t="n"/>
      <c r="SVK93" s="15" t="n"/>
      <c r="SVL93" s="248" t="n"/>
      <c r="SVM93" s="248" t="n"/>
      <c r="SVN93" s="240" t="n"/>
      <c r="SVO93" s="240" t="n"/>
      <c r="SVQ93" s="15" t="n"/>
      <c r="SVR93" s="15" t="n"/>
      <c r="SVS93" s="248" t="n"/>
      <c r="SVT93" s="248" t="n"/>
      <c r="SVU93" s="240" t="n"/>
      <c r="SVV93" s="240" t="n"/>
      <c r="SVX93" s="15" t="n"/>
      <c r="SVY93" s="15" t="n"/>
      <c r="SVZ93" s="248" t="n"/>
      <c r="SWA93" s="248" t="n"/>
      <c r="SWB93" s="240" t="n"/>
      <c r="SWC93" s="240" t="n"/>
      <c r="SWE93" s="15" t="n"/>
      <c r="SWF93" s="15" t="n"/>
      <c r="SWG93" s="248" t="n"/>
      <c r="SWH93" s="248" t="n"/>
      <c r="SWI93" s="240" t="n"/>
      <c r="SWJ93" s="240" t="n"/>
      <c r="SWL93" s="15" t="n"/>
      <c r="SWM93" s="15" t="n"/>
      <c r="SWN93" s="248" t="n"/>
      <c r="SWO93" s="248" t="n"/>
      <c r="SWP93" s="240" t="n"/>
      <c r="SWQ93" s="240" t="n"/>
      <c r="SWS93" s="15" t="n"/>
      <c r="SWT93" s="15" t="n"/>
      <c r="SWU93" s="248" t="n"/>
      <c r="SWV93" s="248" t="n"/>
      <c r="SWW93" s="240" t="n"/>
      <c r="SWX93" s="240" t="n"/>
      <c r="SWZ93" s="15" t="n"/>
      <c r="SXA93" s="15" t="n"/>
      <c r="SXB93" s="248" t="n"/>
      <c r="SXC93" s="248" t="n"/>
      <c r="SXD93" s="240" t="n"/>
      <c r="SXE93" s="240" t="n"/>
      <c r="SXG93" s="15" t="n"/>
      <c r="SXH93" s="15" t="n"/>
      <c r="SXI93" s="248" t="n"/>
      <c r="SXJ93" s="248" t="n"/>
      <c r="SXK93" s="240" t="n"/>
      <c r="SXL93" s="240" t="n"/>
      <c r="SXN93" s="15" t="n"/>
      <c r="SXO93" s="15" t="n"/>
      <c r="SXP93" s="248" t="n"/>
      <c r="SXQ93" s="248" t="n"/>
      <c r="SXR93" s="240" t="n"/>
      <c r="SXS93" s="240" t="n"/>
      <c r="SXU93" s="15" t="n"/>
      <c r="SXV93" s="15" t="n"/>
      <c r="SXW93" s="248" t="n"/>
      <c r="SXX93" s="248" t="n"/>
      <c r="SXY93" s="240" t="n"/>
      <c r="SXZ93" s="240" t="n"/>
      <c r="SYB93" s="15" t="n"/>
      <c r="SYC93" s="15" t="n"/>
      <c r="SYD93" s="248" t="n"/>
      <c r="SYE93" s="248" t="n"/>
      <c r="SYF93" s="240" t="n"/>
      <c r="SYG93" s="240" t="n"/>
      <c r="SYI93" s="15" t="n"/>
      <c r="SYJ93" s="15" t="n"/>
      <c r="SYK93" s="248" t="n"/>
      <c r="SYL93" s="248" t="n"/>
      <c r="SYM93" s="240" t="n"/>
      <c r="SYN93" s="240" t="n"/>
      <c r="SYP93" s="15" t="n"/>
      <c r="SYQ93" s="15" t="n"/>
      <c r="SYR93" s="248" t="n"/>
      <c r="SYS93" s="248" t="n"/>
      <c r="SYT93" s="240" t="n"/>
      <c r="SYU93" s="240" t="n"/>
      <c r="SYW93" s="15" t="n"/>
      <c r="SYX93" s="15" t="n"/>
      <c r="SYY93" s="248" t="n"/>
      <c r="SYZ93" s="248" t="n"/>
      <c r="SZA93" s="240" t="n"/>
      <c r="SZB93" s="240" t="n"/>
      <c r="SZD93" s="15" t="n"/>
      <c r="SZE93" s="15" t="n"/>
      <c r="SZF93" s="248" t="n"/>
      <c r="SZG93" s="248" t="n"/>
      <c r="SZH93" s="240" t="n"/>
      <c r="SZI93" s="240" t="n"/>
      <c r="SZK93" s="15" t="n"/>
      <c r="SZL93" s="15" t="n"/>
      <c r="SZM93" s="248" t="n"/>
      <c r="SZN93" s="248" t="n"/>
      <c r="SZO93" s="240" t="n"/>
      <c r="SZP93" s="240" t="n"/>
      <c r="SZR93" s="15" t="n"/>
      <c r="SZS93" s="15" t="n"/>
      <c r="SZT93" s="248" t="n"/>
      <c r="SZU93" s="248" t="n"/>
      <c r="SZV93" s="240" t="n"/>
      <c r="SZW93" s="240" t="n"/>
      <c r="SZY93" s="15" t="n"/>
      <c r="SZZ93" s="15" t="n"/>
      <c r="TAA93" s="248" t="n"/>
      <c r="TAB93" s="248" t="n"/>
      <c r="TAC93" s="240" t="n"/>
      <c r="TAD93" s="240" t="n"/>
      <c r="TAF93" s="15" t="n"/>
      <c r="TAG93" s="15" t="n"/>
      <c r="TAH93" s="248" t="n"/>
      <c r="TAI93" s="248" t="n"/>
      <c r="TAJ93" s="240" t="n"/>
      <c r="TAK93" s="240" t="n"/>
      <c r="TAM93" s="15" t="n"/>
      <c r="TAN93" s="15" t="n"/>
      <c r="TAO93" s="248" t="n"/>
      <c r="TAP93" s="248" t="n"/>
      <c r="TAQ93" s="240" t="n"/>
      <c r="TAR93" s="240" t="n"/>
      <c r="TAT93" s="15" t="n"/>
      <c r="TAU93" s="15" t="n"/>
      <c r="TAV93" s="248" t="n"/>
      <c r="TAW93" s="248" t="n"/>
      <c r="TAX93" s="240" t="n"/>
      <c r="TAY93" s="240" t="n"/>
      <c r="TBA93" s="15" t="n"/>
      <c r="TBB93" s="15" t="n"/>
      <c r="TBC93" s="248" t="n"/>
      <c r="TBD93" s="248" t="n"/>
      <c r="TBE93" s="240" t="n"/>
      <c r="TBF93" s="240" t="n"/>
      <c r="TBH93" s="15" t="n"/>
      <c r="TBI93" s="15" t="n"/>
      <c r="TBJ93" s="248" t="n"/>
      <c r="TBK93" s="248" t="n"/>
      <c r="TBL93" s="240" t="n"/>
      <c r="TBM93" s="240" t="n"/>
      <c r="TBO93" s="15" t="n"/>
      <c r="TBP93" s="15" t="n"/>
      <c r="TBQ93" s="248" t="n"/>
      <c r="TBR93" s="248" t="n"/>
      <c r="TBS93" s="240" t="n"/>
      <c r="TBT93" s="240" t="n"/>
      <c r="TBV93" s="15" t="n"/>
      <c r="TBW93" s="15" t="n"/>
      <c r="TBX93" s="248" t="n"/>
      <c r="TBY93" s="248" t="n"/>
      <c r="TBZ93" s="240" t="n"/>
      <c r="TCA93" s="240" t="n"/>
      <c r="TCC93" s="15" t="n"/>
      <c r="TCD93" s="15" t="n"/>
      <c r="TCE93" s="248" t="n"/>
      <c r="TCF93" s="248" t="n"/>
      <c r="TCG93" s="240" t="n"/>
      <c r="TCH93" s="240" t="n"/>
      <c r="TCJ93" s="15" t="n"/>
      <c r="TCK93" s="15" t="n"/>
      <c r="TCL93" s="248" t="n"/>
      <c r="TCM93" s="248" t="n"/>
      <c r="TCN93" s="240" t="n"/>
      <c r="TCO93" s="240" t="n"/>
      <c r="TCQ93" s="15" t="n"/>
      <c r="TCR93" s="15" t="n"/>
      <c r="TCS93" s="248" t="n"/>
      <c r="TCT93" s="248" t="n"/>
      <c r="TCU93" s="240" t="n"/>
      <c r="TCV93" s="240" t="n"/>
      <c r="TCX93" s="15" t="n"/>
      <c r="TCY93" s="15" t="n"/>
      <c r="TCZ93" s="248" t="n"/>
      <c r="TDA93" s="248" t="n"/>
      <c r="TDB93" s="240" t="n"/>
      <c r="TDC93" s="240" t="n"/>
      <c r="TDE93" s="15" t="n"/>
      <c r="TDF93" s="15" t="n"/>
      <c r="TDG93" s="248" t="n"/>
      <c r="TDH93" s="248" t="n"/>
      <c r="TDI93" s="240" t="n"/>
      <c r="TDJ93" s="240" t="n"/>
      <c r="TDL93" s="15" t="n"/>
      <c r="TDM93" s="15" t="n"/>
      <c r="TDN93" s="248" t="n"/>
      <c r="TDO93" s="248" t="n"/>
      <c r="TDP93" s="240" t="n"/>
      <c r="TDQ93" s="240" t="n"/>
      <c r="TDS93" s="15" t="n"/>
      <c r="TDT93" s="15" t="n"/>
      <c r="TDU93" s="248" t="n"/>
      <c r="TDV93" s="248" t="n"/>
      <c r="TDW93" s="240" t="n"/>
      <c r="TDX93" s="240" t="n"/>
      <c r="TDZ93" s="15" t="n"/>
      <c r="TEA93" s="15" t="n"/>
      <c r="TEB93" s="248" t="n"/>
      <c r="TEC93" s="248" t="n"/>
      <c r="TED93" s="240" t="n"/>
      <c r="TEE93" s="240" t="n"/>
      <c r="TEG93" s="15" t="n"/>
      <c r="TEH93" s="15" t="n"/>
      <c r="TEI93" s="248" t="n"/>
      <c r="TEJ93" s="248" t="n"/>
      <c r="TEK93" s="240" t="n"/>
      <c r="TEL93" s="240" t="n"/>
      <c r="TEN93" s="15" t="n"/>
      <c r="TEO93" s="15" t="n"/>
      <c r="TEP93" s="248" t="n"/>
      <c r="TEQ93" s="248" t="n"/>
      <c r="TER93" s="240" t="n"/>
      <c r="TES93" s="240" t="n"/>
      <c r="TEU93" s="15" t="n"/>
      <c r="TEV93" s="15" t="n"/>
      <c r="TEW93" s="248" t="n"/>
      <c r="TEX93" s="248" t="n"/>
      <c r="TEY93" s="240" t="n"/>
      <c r="TEZ93" s="240" t="n"/>
      <c r="TFB93" s="15" t="n"/>
      <c r="TFC93" s="15" t="n"/>
      <c r="TFD93" s="248" t="n"/>
      <c r="TFE93" s="248" t="n"/>
      <c r="TFF93" s="240" t="n"/>
      <c r="TFG93" s="240" t="n"/>
      <c r="TFI93" s="15" t="n"/>
      <c r="TFJ93" s="15" t="n"/>
      <c r="TFK93" s="248" t="n"/>
      <c r="TFL93" s="248" t="n"/>
      <c r="TFM93" s="240" t="n"/>
      <c r="TFN93" s="240" t="n"/>
      <c r="TFP93" s="15" t="n"/>
      <c r="TFQ93" s="15" t="n"/>
      <c r="TFR93" s="248" t="n"/>
      <c r="TFS93" s="248" t="n"/>
      <c r="TFT93" s="240" t="n"/>
      <c r="TFU93" s="240" t="n"/>
      <c r="TFW93" s="15" t="n"/>
      <c r="TFX93" s="15" t="n"/>
      <c r="TFY93" s="248" t="n"/>
      <c r="TFZ93" s="248" t="n"/>
      <c r="TGA93" s="240" t="n"/>
      <c r="TGB93" s="240" t="n"/>
      <c r="TGD93" s="15" t="n"/>
      <c r="TGE93" s="15" t="n"/>
      <c r="TGF93" s="248" t="n"/>
      <c r="TGG93" s="248" t="n"/>
      <c r="TGH93" s="240" t="n"/>
      <c r="TGI93" s="240" t="n"/>
      <c r="TGK93" s="15" t="n"/>
      <c r="TGL93" s="15" t="n"/>
      <c r="TGM93" s="248" t="n"/>
      <c r="TGN93" s="248" t="n"/>
      <c r="TGO93" s="240" t="n"/>
      <c r="TGP93" s="240" t="n"/>
      <c r="TGR93" s="15" t="n"/>
      <c r="TGS93" s="15" t="n"/>
      <c r="TGT93" s="248" t="n"/>
      <c r="TGU93" s="248" t="n"/>
      <c r="TGV93" s="240" t="n"/>
      <c r="TGW93" s="240" t="n"/>
      <c r="TGY93" s="15" t="n"/>
      <c r="TGZ93" s="15" t="n"/>
      <c r="THA93" s="248" t="n"/>
      <c r="THB93" s="248" t="n"/>
      <c r="THC93" s="240" t="n"/>
      <c r="THD93" s="240" t="n"/>
      <c r="THF93" s="15" t="n"/>
      <c r="THG93" s="15" t="n"/>
      <c r="THH93" s="248" t="n"/>
      <c r="THI93" s="248" t="n"/>
      <c r="THJ93" s="240" t="n"/>
      <c r="THK93" s="240" t="n"/>
      <c r="THM93" s="15" t="n"/>
      <c r="THN93" s="15" t="n"/>
      <c r="THO93" s="248" t="n"/>
      <c r="THP93" s="248" t="n"/>
      <c r="THQ93" s="240" t="n"/>
      <c r="THR93" s="240" t="n"/>
      <c r="THT93" s="15" t="n"/>
      <c r="THU93" s="15" t="n"/>
      <c r="THV93" s="248" t="n"/>
      <c r="THW93" s="248" t="n"/>
      <c r="THX93" s="240" t="n"/>
      <c r="THY93" s="240" t="n"/>
      <c r="TIA93" s="15" t="n"/>
      <c r="TIB93" s="15" t="n"/>
      <c r="TIC93" s="248" t="n"/>
      <c r="TID93" s="248" t="n"/>
      <c r="TIE93" s="240" t="n"/>
      <c r="TIF93" s="240" t="n"/>
      <c r="TIH93" s="15" t="n"/>
      <c r="TII93" s="15" t="n"/>
      <c r="TIJ93" s="248" t="n"/>
      <c r="TIK93" s="248" t="n"/>
      <c r="TIL93" s="240" t="n"/>
      <c r="TIM93" s="240" t="n"/>
      <c r="TIO93" s="15" t="n"/>
      <c r="TIP93" s="15" t="n"/>
      <c r="TIQ93" s="248" t="n"/>
      <c r="TIR93" s="248" t="n"/>
      <c r="TIS93" s="240" t="n"/>
      <c r="TIT93" s="240" t="n"/>
      <c r="TIV93" s="15" t="n"/>
      <c r="TIW93" s="15" t="n"/>
      <c r="TIX93" s="248" t="n"/>
      <c r="TIY93" s="248" t="n"/>
      <c r="TIZ93" s="240" t="n"/>
      <c r="TJA93" s="240" t="n"/>
      <c r="TJC93" s="15" t="n"/>
      <c r="TJD93" s="15" t="n"/>
      <c r="TJE93" s="248" t="n"/>
      <c r="TJF93" s="248" t="n"/>
      <c r="TJG93" s="240" t="n"/>
      <c r="TJH93" s="240" t="n"/>
      <c r="TJJ93" s="15" t="n"/>
      <c r="TJK93" s="15" t="n"/>
      <c r="TJL93" s="248" t="n"/>
      <c r="TJM93" s="248" t="n"/>
      <c r="TJN93" s="240" t="n"/>
      <c r="TJO93" s="240" t="n"/>
      <c r="TJQ93" s="15" t="n"/>
      <c r="TJR93" s="15" t="n"/>
      <c r="TJS93" s="248" t="n"/>
      <c r="TJT93" s="248" t="n"/>
      <c r="TJU93" s="240" t="n"/>
      <c r="TJV93" s="240" t="n"/>
      <c r="TJX93" s="15" t="n"/>
      <c r="TJY93" s="15" t="n"/>
      <c r="TJZ93" s="248" t="n"/>
      <c r="TKA93" s="248" t="n"/>
      <c r="TKB93" s="240" t="n"/>
      <c r="TKC93" s="240" t="n"/>
      <c r="TKE93" s="15" t="n"/>
      <c r="TKF93" s="15" t="n"/>
      <c r="TKG93" s="248" t="n"/>
      <c r="TKH93" s="248" t="n"/>
      <c r="TKI93" s="240" t="n"/>
      <c r="TKJ93" s="240" t="n"/>
      <c r="TKL93" s="15" t="n"/>
      <c r="TKM93" s="15" t="n"/>
      <c r="TKN93" s="248" t="n"/>
      <c r="TKO93" s="248" t="n"/>
      <c r="TKP93" s="240" t="n"/>
      <c r="TKQ93" s="240" t="n"/>
      <c r="TKS93" s="15" t="n"/>
      <c r="TKT93" s="15" t="n"/>
      <c r="TKU93" s="248" t="n"/>
      <c r="TKV93" s="248" t="n"/>
      <c r="TKW93" s="240" t="n"/>
      <c r="TKX93" s="240" t="n"/>
      <c r="TKZ93" s="15" t="n"/>
      <c r="TLA93" s="15" t="n"/>
      <c r="TLB93" s="248" t="n"/>
      <c r="TLC93" s="248" t="n"/>
      <c r="TLD93" s="240" t="n"/>
      <c r="TLE93" s="240" t="n"/>
      <c r="TLG93" s="15" t="n"/>
      <c r="TLH93" s="15" t="n"/>
      <c r="TLI93" s="248" t="n"/>
      <c r="TLJ93" s="248" t="n"/>
      <c r="TLK93" s="240" t="n"/>
      <c r="TLL93" s="240" t="n"/>
      <c r="TLN93" s="15" t="n"/>
      <c r="TLO93" s="15" t="n"/>
      <c r="TLP93" s="248" t="n"/>
      <c r="TLQ93" s="248" t="n"/>
      <c r="TLR93" s="240" t="n"/>
      <c r="TLS93" s="240" t="n"/>
      <c r="TLU93" s="15" t="n"/>
      <c r="TLV93" s="15" t="n"/>
      <c r="TLW93" s="248" t="n"/>
      <c r="TLX93" s="248" t="n"/>
      <c r="TLY93" s="240" t="n"/>
      <c r="TLZ93" s="240" t="n"/>
      <c r="TMB93" s="15" t="n"/>
      <c r="TMC93" s="15" t="n"/>
      <c r="TMD93" s="248" t="n"/>
      <c r="TME93" s="248" t="n"/>
      <c r="TMF93" s="240" t="n"/>
      <c r="TMG93" s="240" t="n"/>
      <c r="TMI93" s="15" t="n"/>
      <c r="TMJ93" s="15" t="n"/>
      <c r="TMK93" s="248" t="n"/>
      <c r="TML93" s="248" t="n"/>
      <c r="TMM93" s="240" t="n"/>
      <c r="TMN93" s="240" t="n"/>
      <c r="TMP93" s="15" t="n"/>
      <c r="TMQ93" s="15" t="n"/>
      <c r="TMR93" s="248" t="n"/>
      <c r="TMS93" s="248" t="n"/>
      <c r="TMT93" s="240" t="n"/>
      <c r="TMU93" s="240" t="n"/>
      <c r="TMW93" s="15" t="n"/>
      <c r="TMX93" s="15" t="n"/>
      <c r="TMY93" s="248" t="n"/>
      <c r="TMZ93" s="248" t="n"/>
      <c r="TNA93" s="240" t="n"/>
      <c r="TNB93" s="240" t="n"/>
      <c r="TND93" s="15" t="n"/>
      <c r="TNE93" s="15" t="n"/>
      <c r="TNF93" s="248" t="n"/>
      <c r="TNG93" s="248" t="n"/>
      <c r="TNH93" s="240" t="n"/>
      <c r="TNI93" s="240" t="n"/>
      <c r="TNK93" s="15" t="n"/>
      <c r="TNL93" s="15" t="n"/>
      <c r="TNM93" s="248" t="n"/>
      <c r="TNN93" s="248" t="n"/>
      <c r="TNO93" s="240" t="n"/>
      <c r="TNP93" s="240" t="n"/>
      <c r="TNR93" s="15" t="n"/>
      <c r="TNS93" s="15" t="n"/>
      <c r="TNT93" s="248" t="n"/>
      <c r="TNU93" s="248" t="n"/>
      <c r="TNV93" s="240" t="n"/>
      <c r="TNW93" s="240" t="n"/>
      <c r="TNY93" s="15" t="n"/>
      <c r="TNZ93" s="15" t="n"/>
      <c r="TOA93" s="248" t="n"/>
      <c r="TOB93" s="248" t="n"/>
      <c r="TOC93" s="240" t="n"/>
      <c r="TOD93" s="240" t="n"/>
      <c r="TOF93" s="15" t="n"/>
      <c r="TOG93" s="15" t="n"/>
      <c r="TOH93" s="248" t="n"/>
      <c r="TOI93" s="248" t="n"/>
      <c r="TOJ93" s="240" t="n"/>
      <c r="TOK93" s="240" t="n"/>
      <c r="TOM93" s="15" t="n"/>
      <c r="TON93" s="15" t="n"/>
      <c r="TOO93" s="248" t="n"/>
      <c r="TOP93" s="248" t="n"/>
      <c r="TOQ93" s="240" t="n"/>
      <c r="TOR93" s="240" t="n"/>
      <c r="TOT93" s="15" t="n"/>
      <c r="TOU93" s="15" t="n"/>
      <c r="TOV93" s="248" t="n"/>
      <c r="TOW93" s="248" t="n"/>
      <c r="TOX93" s="240" t="n"/>
      <c r="TOY93" s="240" t="n"/>
      <c r="TPA93" s="15" t="n"/>
      <c r="TPB93" s="15" t="n"/>
      <c r="TPC93" s="248" t="n"/>
      <c r="TPD93" s="248" t="n"/>
      <c r="TPE93" s="240" t="n"/>
      <c r="TPF93" s="240" t="n"/>
      <c r="TPH93" s="15" t="n"/>
      <c r="TPI93" s="15" t="n"/>
      <c r="TPJ93" s="248" t="n"/>
      <c r="TPK93" s="248" t="n"/>
      <c r="TPL93" s="240" t="n"/>
      <c r="TPM93" s="240" t="n"/>
      <c r="TPO93" s="15" t="n"/>
      <c r="TPP93" s="15" t="n"/>
      <c r="TPQ93" s="248" t="n"/>
      <c r="TPR93" s="248" t="n"/>
      <c r="TPS93" s="240" t="n"/>
      <c r="TPT93" s="240" t="n"/>
      <c r="TPV93" s="15" t="n"/>
      <c r="TPW93" s="15" t="n"/>
      <c r="TPX93" s="248" t="n"/>
      <c r="TPY93" s="248" t="n"/>
      <c r="TPZ93" s="240" t="n"/>
      <c r="TQA93" s="240" t="n"/>
      <c r="TQC93" s="15" t="n"/>
      <c r="TQD93" s="15" t="n"/>
      <c r="TQE93" s="248" t="n"/>
      <c r="TQF93" s="248" t="n"/>
      <c r="TQG93" s="240" t="n"/>
      <c r="TQH93" s="240" t="n"/>
      <c r="TQJ93" s="15" t="n"/>
      <c r="TQK93" s="15" t="n"/>
      <c r="TQL93" s="248" t="n"/>
      <c r="TQM93" s="248" t="n"/>
      <c r="TQN93" s="240" t="n"/>
      <c r="TQO93" s="240" t="n"/>
      <c r="TQQ93" s="15" t="n"/>
      <c r="TQR93" s="15" t="n"/>
      <c r="TQS93" s="248" t="n"/>
      <c r="TQT93" s="248" t="n"/>
      <c r="TQU93" s="240" t="n"/>
      <c r="TQV93" s="240" t="n"/>
      <c r="TQX93" s="15" t="n"/>
      <c r="TQY93" s="15" t="n"/>
      <c r="TQZ93" s="248" t="n"/>
      <c r="TRA93" s="248" t="n"/>
      <c r="TRB93" s="240" t="n"/>
      <c r="TRC93" s="240" t="n"/>
      <c r="TRE93" s="15" t="n"/>
      <c r="TRF93" s="15" t="n"/>
      <c r="TRG93" s="248" t="n"/>
      <c r="TRH93" s="248" t="n"/>
      <c r="TRI93" s="240" t="n"/>
      <c r="TRJ93" s="240" t="n"/>
      <c r="TRL93" s="15" t="n"/>
      <c r="TRM93" s="15" t="n"/>
      <c r="TRN93" s="248" t="n"/>
      <c r="TRO93" s="248" t="n"/>
      <c r="TRP93" s="240" t="n"/>
      <c r="TRQ93" s="240" t="n"/>
      <c r="TRS93" s="15" t="n"/>
      <c r="TRT93" s="15" t="n"/>
      <c r="TRU93" s="248" t="n"/>
      <c r="TRV93" s="248" t="n"/>
      <c r="TRW93" s="240" t="n"/>
      <c r="TRX93" s="240" t="n"/>
      <c r="TRZ93" s="15" t="n"/>
      <c r="TSA93" s="15" t="n"/>
      <c r="TSB93" s="248" t="n"/>
      <c r="TSC93" s="248" t="n"/>
      <c r="TSD93" s="240" t="n"/>
      <c r="TSE93" s="240" t="n"/>
      <c r="TSG93" s="15" t="n"/>
      <c r="TSH93" s="15" t="n"/>
      <c r="TSI93" s="248" t="n"/>
      <c r="TSJ93" s="248" t="n"/>
      <c r="TSK93" s="240" t="n"/>
      <c r="TSL93" s="240" t="n"/>
      <c r="TSN93" s="15" t="n"/>
      <c r="TSO93" s="15" t="n"/>
      <c r="TSP93" s="248" t="n"/>
      <c r="TSQ93" s="248" t="n"/>
      <c r="TSR93" s="240" t="n"/>
      <c r="TSS93" s="240" t="n"/>
      <c r="TSU93" s="15" t="n"/>
      <c r="TSV93" s="15" t="n"/>
      <c r="TSW93" s="248" t="n"/>
      <c r="TSX93" s="248" t="n"/>
      <c r="TSY93" s="240" t="n"/>
      <c r="TSZ93" s="240" t="n"/>
      <c r="TTB93" s="15" t="n"/>
      <c r="TTC93" s="15" t="n"/>
      <c r="TTD93" s="248" t="n"/>
      <c r="TTE93" s="248" t="n"/>
      <c r="TTF93" s="240" t="n"/>
      <c r="TTG93" s="240" t="n"/>
      <c r="TTI93" s="15" t="n"/>
      <c r="TTJ93" s="15" t="n"/>
      <c r="TTK93" s="248" t="n"/>
      <c r="TTL93" s="248" t="n"/>
      <c r="TTM93" s="240" t="n"/>
      <c r="TTN93" s="240" t="n"/>
      <c r="TTP93" s="15" t="n"/>
      <c r="TTQ93" s="15" t="n"/>
      <c r="TTR93" s="248" t="n"/>
      <c r="TTS93" s="248" t="n"/>
      <c r="TTT93" s="240" t="n"/>
      <c r="TTU93" s="240" t="n"/>
      <c r="TTW93" s="15" t="n"/>
      <c r="TTX93" s="15" t="n"/>
      <c r="TTY93" s="248" t="n"/>
      <c r="TTZ93" s="248" t="n"/>
      <c r="TUA93" s="240" t="n"/>
      <c r="TUB93" s="240" t="n"/>
      <c r="TUD93" s="15" t="n"/>
      <c r="TUE93" s="15" t="n"/>
      <c r="TUF93" s="248" t="n"/>
      <c r="TUG93" s="248" t="n"/>
      <c r="TUH93" s="240" t="n"/>
      <c r="TUI93" s="240" t="n"/>
      <c r="TUK93" s="15" t="n"/>
      <c r="TUL93" s="15" t="n"/>
      <c r="TUM93" s="248" t="n"/>
      <c r="TUN93" s="248" t="n"/>
      <c r="TUO93" s="240" t="n"/>
      <c r="TUP93" s="240" t="n"/>
      <c r="TUR93" s="15" t="n"/>
      <c r="TUS93" s="15" t="n"/>
      <c r="TUT93" s="248" t="n"/>
      <c r="TUU93" s="248" t="n"/>
      <c r="TUV93" s="240" t="n"/>
      <c r="TUW93" s="240" t="n"/>
      <c r="TUY93" s="15" t="n"/>
      <c r="TUZ93" s="15" t="n"/>
      <c r="TVA93" s="248" t="n"/>
      <c r="TVB93" s="248" t="n"/>
      <c r="TVC93" s="240" t="n"/>
      <c r="TVD93" s="240" t="n"/>
      <c r="TVF93" s="15" t="n"/>
      <c r="TVG93" s="15" t="n"/>
      <c r="TVH93" s="248" t="n"/>
      <c r="TVI93" s="248" t="n"/>
      <c r="TVJ93" s="240" t="n"/>
      <c r="TVK93" s="240" t="n"/>
      <c r="TVM93" s="15" t="n"/>
      <c r="TVN93" s="15" t="n"/>
      <c r="TVO93" s="248" t="n"/>
      <c r="TVP93" s="248" t="n"/>
      <c r="TVQ93" s="240" t="n"/>
      <c r="TVR93" s="240" t="n"/>
      <c r="TVT93" s="15" t="n"/>
      <c r="TVU93" s="15" t="n"/>
      <c r="TVV93" s="248" t="n"/>
      <c r="TVW93" s="248" t="n"/>
      <c r="TVX93" s="240" t="n"/>
      <c r="TVY93" s="240" t="n"/>
      <c r="TWA93" s="15" t="n"/>
      <c r="TWB93" s="15" t="n"/>
      <c r="TWC93" s="248" t="n"/>
      <c r="TWD93" s="248" t="n"/>
      <c r="TWE93" s="240" t="n"/>
      <c r="TWF93" s="240" t="n"/>
      <c r="TWH93" s="15" t="n"/>
      <c r="TWI93" s="15" t="n"/>
      <c r="TWJ93" s="248" t="n"/>
      <c r="TWK93" s="248" t="n"/>
      <c r="TWL93" s="240" t="n"/>
      <c r="TWM93" s="240" t="n"/>
      <c r="TWO93" s="15" t="n"/>
      <c r="TWP93" s="15" t="n"/>
      <c r="TWQ93" s="248" t="n"/>
      <c r="TWR93" s="248" t="n"/>
      <c r="TWS93" s="240" t="n"/>
      <c r="TWT93" s="240" t="n"/>
      <c r="TWV93" s="15" t="n"/>
      <c r="TWW93" s="15" t="n"/>
      <c r="TWX93" s="248" t="n"/>
      <c r="TWY93" s="248" t="n"/>
      <c r="TWZ93" s="240" t="n"/>
      <c r="TXA93" s="240" t="n"/>
      <c r="TXC93" s="15" t="n"/>
      <c r="TXD93" s="15" t="n"/>
      <c r="TXE93" s="248" t="n"/>
      <c r="TXF93" s="248" t="n"/>
      <c r="TXG93" s="240" t="n"/>
      <c r="TXH93" s="240" t="n"/>
      <c r="TXJ93" s="15" t="n"/>
      <c r="TXK93" s="15" t="n"/>
      <c r="TXL93" s="248" t="n"/>
      <c r="TXM93" s="248" t="n"/>
      <c r="TXN93" s="240" t="n"/>
      <c r="TXO93" s="240" t="n"/>
      <c r="TXQ93" s="15" t="n"/>
      <c r="TXR93" s="15" t="n"/>
      <c r="TXS93" s="248" t="n"/>
      <c r="TXT93" s="248" t="n"/>
      <c r="TXU93" s="240" t="n"/>
      <c r="TXV93" s="240" t="n"/>
      <c r="TXX93" s="15" t="n"/>
      <c r="TXY93" s="15" t="n"/>
      <c r="TXZ93" s="248" t="n"/>
      <c r="TYA93" s="248" t="n"/>
      <c r="TYB93" s="240" t="n"/>
      <c r="TYC93" s="240" t="n"/>
      <c r="TYE93" s="15" t="n"/>
      <c r="TYF93" s="15" t="n"/>
      <c r="TYG93" s="248" t="n"/>
      <c r="TYH93" s="248" t="n"/>
      <c r="TYI93" s="240" t="n"/>
      <c r="TYJ93" s="240" t="n"/>
      <c r="TYL93" s="15" t="n"/>
      <c r="TYM93" s="15" t="n"/>
      <c r="TYN93" s="248" t="n"/>
      <c r="TYO93" s="248" t="n"/>
      <c r="TYP93" s="240" t="n"/>
      <c r="TYQ93" s="240" t="n"/>
      <c r="TYS93" s="15" t="n"/>
      <c r="TYT93" s="15" t="n"/>
      <c r="TYU93" s="248" t="n"/>
      <c r="TYV93" s="248" t="n"/>
      <c r="TYW93" s="240" t="n"/>
      <c r="TYX93" s="240" t="n"/>
      <c r="TYZ93" s="15" t="n"/>
      <c r="TZA93" s="15" t="n"/>
      <c r="TZB93" s="248" t="n"/>
      <c r="TZC93" s="248" t="n"/>
      <c r="TZD93" s="240" t="n"/>
      <c r="TZE93" s="240" t="n"/>
      <c r="TZG93" s="15" t="n"/>
      <c r="TZH93" s="15" t="n"/>
      <c r="TZI93" s="248" t="n"/>
      <c r="TZJ93" s="248" t="n"/>
      <c r="TZK93" s="240" t="n"/>
      <c r="TZL93" s="240" t="n"/>
      <c r="TZN93" s="15" t="n"/>
      <c r="TZO93" s="15" t="n"/>
      <c r="TZP93" s="248" t="n"/>
      <c r="TZQ93" s="248" t="n"/>
      <c r="TZR93" s="240" t="n"/>
      <c r="TZS93" s="240" t="n"/>
      <c r="TZU93" s="15" t="n"/>
      <c r="TZV93" s="15" t="n"/>
      <c r="TZW93" s="248" t="n"/>
      <c r="TZX93" s="248" t="n"/>
      <c r="TZY93" s="240" t="n"/>
      <c r="TZZ93" s="240" t="n"/>
      <c r="UAB93" s="15" t="n"/>
      <c r="UAC93" s="15" t="n"/>
      <c r="UAD93" s="248" t="n"/>
      <c r="UAE93" s="248" t="n"/>
      <c r="UAF93" s="240" t="n"/>
      <c r="UAG93" s="240" t="n"/>
      <c r="UAI93" s="15" t="n"/>
      <c r="UAJ93" s="15" t="n"/>
      <c r="UAK93" s="248" t="n"/>
      <c r="UAL93" s="248" t="n"/>
      <c r="UAM93" s="240" t="n"/>
      <c r="UAN93" s="240" t="n"/>
      <c r="UAP93" s="15" t="n"/>
      <c r="UAQ93" s="15" t="n"/>
      <c r="UAR93" s="248" t="n"/>
      <c r="UAS93" s="248" t="n"/>
      <c r="UAT93" s="240" t="n"/>
      <c r="UAU93" s="240" t="n"/>
      <c r="UAW93" s="15" t="n"/>
      <c r="UAX93" s="15" t="n"/>
      <c r="UAY93" s="248" t="n"/>
      <c r="UAZ93" s="248" t="n"/>
      <c r="UBA93" s="240" t="n"/>
      <c r="UBB93" s="240" t="n"/>
      <c r="UBD93" s="15" t="n"/>
      <c r="UBE93" s="15" t="n"/>
      <c r="UBF93" s="248" t="n"/>
      <c r="UBG93" s="248" t="n"/>
      <c r="UBH93" s="240" t="n"/>
      <c r="UBI93" s="240" t="n"/>
      <c r="UBK93" s="15" t="n"/>
      <c r="UBL93" s="15" t="n"/>
      <c r="UBM93" s="248" t="n"/>
      <c r="UBN93" s="248" t="n"/>
      <c r="UBO93" s="240" t="n"/>
      <c r="UBP93" s="240" t="n"/>
      <c r="UBR93" s="15" t="n"/>
      <c r="UBS93" s="15" t="n"/>
      <c r="UBT93" s="248" t="n"/>
      <c r="UBU93" s="248" t="n"/>
      <c r="UBV93" s="240" t="n"/>
      <c r="UBW93" s="240" t="n"/>
      <c r="UBY93" s="15" t="n"/>
      <c r="UBZ93" s="15" t="n"/>
      <c r="UCA93" s="248" t="n"/>
      <c r="UCB93" s="248" t="n"/>
      <c r="UCC93" s="240" t="n"/>
      <c r="UCD93" s="240" t="n"/>
      <c r="UCF93" s="15" t="n"/>
      <c r="UCG93" s="15" t="n"/>
      <c r="UCH93" s="248" t="n"/>
      <c r="UCI93" s="248" t="n"/>
      <c r="UCJ93" s="240" t="n"/>
      <c r="UCK93" s="240" t="n"/>
      <c r="UCM93" s="15" t="n"/>
      <c r="UCN93" s="15" t="n"/>
      <c r="UCO93" s="248" t="n"/>
      <c r="UCP93" s="248" t="n"/>
      <c r="UCQ93" s="240" t="n"/>
      <c r="UCR93" s="240" t="n"/>
      <c r="UCT93" s="15" t="n"/>
      <c r="UCU93" s="15" t="n"/>
      <c r="UCV93" s="248" t="n"/>
      <c r="UCW93" s="248" t="n"/>
      <c r="UCX93" s="240" t="n"/>
      <c r="UCY93" s="240" t="n"/>
      <c r="UDA93" s="15" t="n"/>
      <c r="UDB93" s="15" t="n"/>
      <c r="UDC93" s="248" t="n"/>
      <c r="UDD93" s="248" t="n"/>
      <c r="UDE93" s="240" t="n"/>
      <c r="UDF93" s="240" t="n"/>
      <c r="UDH93" s="15" t="n"/>
      <c r="UDI93" s="15" t="n"/>
      <c r="UDJ93" s="248" t="n"/>
      <c r="UDK93" s="248" t="n"/>
      <c r="UDL93" s="240" t="n"/>
      <c r="UDM93" s="240" t="n"/>
      <c r="UDO93" s="15" t="n"/>
      <c r="UDP93" s="15" t="n"/>
      <c r="UDQ93" s="248" t="n"/>
      <c r="UDR93" s="248" t="n"/>
      <c r="UDS93" s="240" t="n"/>
      <c r="UDT93" s="240" t="n"/>
      <c r="UDV93" s="15" t="n"/>
      <c r="UDW93" s="15" t="n"/>
      <c r="UDX93" s="248" t="n"/>
      <c r="UDY93" s="248" t="n"/>
      <c r="UDZ93" s="240" t="n"/>
      <c r="UEA93" s="240" t="n"/>
      <c r="UEC93" s="15" t="n"/>
      <c r="UED93" s="15" t="n"/>
      <c r="UEE93" s="248" t="n"/>
      <c r="UEF93" s="248" t="n"/>
      <c r="UEG93" s="240" t="n"/>
      <c r="UEH93" s="240" t="n"/>
      <c r="UEJ93" s="15" t="n"/>
      <c r="UEK93" s="15" t="n"/>
      <c r="UEL93" s="248" t="n"/>
      <c r="UEM93" s="248" t="n"/>
      <c r="UEN93" s="240" t="n"/>
      <c r="UEO93" s="240" t="n"/>
      <c r="UEQ93" s="15" t="n"/>
      <c r="UER93" s="15" t="n"/>
      <c r="UES93" s="248" t="n"/>
      <c r="UET93" s="248" t="n"/>
      <c r="UEU93" s="240" t="n"/>
      <c r="UEV93" s="240" t="n"/>
      <c r="UEX93" s="15" t="n"/>
      <c r="UEY93" s="15" t="n"/>
      <c r="UEZ93" s="248" t="n"/>
      <c r="UFA93" s="248" t="n"/>
      <c r="UFB93" s="240" t="n"/>
      <c r="UFC93" s="240" t="n"/>
      <c r="UFE93" s="15" t="n"/>
      <c r="UFF93" s="15" t="n"/>
      <c r="UFG93" s="248" t="n"/>
      <c r="UFH93" s="248" t="n"/>
      <c r="UFI93" s="240" t="n"/>
      <c r="UFJ93" s="240" t="n"/>
      <c r="UFL93" s="15" t="n"/>
      <c r="UFM93" s="15" t="n"/>
      <c r="UFN93" s="248" t="n"/>
      <c r="UFO93" s="248" t="n"/>
      <c r="UFP93" s="240" t="n"/>
      <c r="UFQ93" s="240" t="n"/>
      <c r="UFS93" s="15" t="n"/>
      <c r="UFT93" s="15" t="n"/>
      <c r="UFU93" s="248" t="n"/>
      <c r="UFV93" s="248" t="n"/>
      <c r="UFW93" s="240" t="n"/>
      <c r="UFX93" s="240" t="n"/>
      <c r="UFZ93" s="15" t="n"/>
      <c r="UGA93" s="15" t="n"/>
      <c r="UGB93" s="248" t="n"/>
      <c r="UGC93" s="248" t="n"/>
      <c r="UGD93" s="240" t="n"/>
      <c r="UGE93" s="240" t="n"/>
      <c r="UGG93" s="15" t="n"/>
      <c r="UGH93" s="15" t="n"/>
      <c r="UGI93" s="248" t="n"/>
      <c r="UGJ93" s="248" t="n"/>
      <c r="UGK93" s="240" t="n"/>
      <c r="UGL93" s="240" t="n"/>
      <c r="UGN93" s="15" t="n"/>
      <c r="UGO93" s="15" t="n"/>
      <c r="UGP93" s="248" t="n"/>
      <c r="UGQ93" s="248" t="n"/>
      <c r="UGR93" s="240" t="n"/>
      <c r="UGS93" s="240" t="n"/>
      <c r="UGU93" s="15" t="n"/>
      <c r="UGV93" s="15" t="n"/>
      <c r="UGW93" s="248" t="n"/>
      <c r="UGX93" s="248" t="n"/>
      <c r="UGY93" s="240" t="n"/>
      <c r="UGZ93" s="240" t="n"/>
      <c r="UHB93" s="15" t="n"/>
      <c r="UHC93" s="15" t="n"/>
      <c r="UHD93" s="248" t="n"/>
      <c r="UHE93" s="248" t="n"/>
      <c r="UHF93" s="240" t="n"/>
      <c r="UHG93" s="240" t="n"/>
      <c r="UHI93" s="15" t="n"/>
      <c r="UHJ93" s="15" t="n"/>
      <c r="UHK93" s="248" t="n"/>
      <c r="UHL93" s="248" t="n"/>
      <c r="UHM93" s="240" t="n"/>
      <c r="UHN93" s="240" t="n"/>
      <c r="UHP93" s="15" t="n"/>
      <c r="UHQ93" s="15" t="n"/>
      <c r="UHR93" s="248" t="n"/>
      <c r="UHS93" s="248" t="n"/>
      <c r="UHT93" s="240" t="n"/>
      <c r="UHU93" s="240" t="n"/>
      <c r="UHW93" s="15" t="n"/>
      <c r="UHX93" s="15" t="n"/>
      <c r="UHY93" s="248" t="n"/>
      <c r="UHZ93" s="248" t="n"/>
      <c r="UIA93" s="240" t="n"/>
      <c r="UIB93" s="240" t="n"/>
      <c r="UID93" s="15" t="n"/>
      <c r="UIE93" s="15" t="n"/>
      <c r="UIF93" s="248" t="n"/>
      <c r="UIG93" s="248" t="n"/>
      <c r="UIH93" s="240" t="n"/>
      <c r="UII93" s="240" t="n"/>
      <c r="UIK93" s="15" t="n"/>
      <c r="UIL93" s="15" t="n"/>
      <c r="UIM93" s="248" t="n"/>
      <c r="UIN93" s="248" t="n"/>
      <c r="UIO93" s="240" t="n"/>
      <c r="UIP93" s="240" t="n"/>
      <c r="UIR93" s="15" t="n"/>
      <c r="UIS93" s="15" t="n"/>
      <c r="UIT93" s="248" t="n"/>
      <c r="UIU93" s="248" t="n"/>
      <c r="UIV93" s="240" t="n"/>
      <c r="UIW93" s="240" t="n"/>
      <c r="UIY93" s="15" t="n"/>
      <c r="UIZ93" s="15" t="n"/>
      <c r="UJA93" s="248" t="n"/>
      <c r="UJB93" s="248" t="n"/>
      <c r="UJC93" s="240" t="n"/>
      <c r="UJD93" s="240" t="n"/>
      <c r="UJF93" s="15" t="n"/>
      <c r="UJG93" s="15" t="n"/>
      <c r="UJH93" s="248" t="n"/>
      <c r="UJI93" s="248" t="n"/>
      <c r="UJJ93" s="240" t="n"/>
      <c r="UJK93" s="240" t="n"/>
      <c r="UJM93" s="15" t="n"/>
      <c r="UJN93" s="15" t="n"/>
      <c r="UJO93" s="248" t="n"/>
      <c r="UJP93" s="248" t="n"/>
      <c r="UJQ93" s="240" t="n"/>
      <c r="UJR93" s="240" t="n"/>
      <c r="UJT93" s="15" t="n"/>
      <c r="UJU93" s="15" t="n"/>
      <c r="UJV93" s="248" t="n"/>
      <c r="UJW93" s="248" t="n"/>
      <c r="UJX93" s="240" t="n"/>
      <c r="UJY93" s="240" t="n"/>
      <c r="UKA93" s="15" t="n"/>
      <c r="UKB93" s="15" t="n"/>
      <c r="UKC93" s="248" t="n"/>
      <c r="UKD93" s="248" t="n"/>
      <c r="UKE93" s="240" t="n"/>
      <c r="UKF93" s="240" t="n"/>
      <c r="UKH93" s="15" t="n"/>
      <c r="UKI93" s="15" t="n"/>
      <c r="UKJ93" s="248" t="n"/>
      <c r="UKK93" s="248" t="n"/>
      <c r="UKL93" s="240" t="n"/>
      <c r="UKM93" s="240" t="n"/>
      <c r="UKO93" s="15" t="n"/>
      <c r="UKP93" s="15" t="n"/>
      <c r="UKQ93" s="248" t="n"/>
      <c r="UKR93" s="248" t="n"/>
      <c r="UKS93" s="240" t="n"/>
      <c r="UKT93" s="240" t="n"/>
      <c r="UKV93" s="15" t="n"/>
      <c r="UKW93" s="15" t="n"/>
      <c r="UKX93" s="248" t="n"/>
      <c r="UKY93" s="248" t="n"/>
      <c r="UKZ93" s="240" t="n"/>
      <c r="ULA93" s="240" t="n"/>
      <c r="ULC93" s="15" t="n"/>
      <c r="ULD93" s="15" t="n"/>
      <c r="ULE93" s="248" t="n"/>
      <c r="ULF93" s="248" t="n"/>
      <c r="ULG93" s="240" t="n"/>
      <c r="ULH93" s="240" t="n"/>
      <c r="ULJ93" s="15" t="n"/>
      <c r="ULK93" s="15" t="n"/>
      <c r="ULL93" s="248" t="n"/>
      <c r="ULM93" s="248" t="n"/>
      <c r="ULN93" s="240" t="n"/>
      <c r="ULO93" s="240" t="n"/>
      <c r="ULQ93" s="15" t="n"/>
      <c r="ULR93" s="15" t="n"/>
      <c r="ULS93" s="248" t="n"/>
      <c r="ULT93" s="248" t="n"/>
      <c r="ULU93" s="240" t="n"/>
      <c r="ULV93" s="240" t="n"/>
      <c r="ULX93" s="15" t="n"/>
      <c r="ULY93" s="15" t="n"/>
      <c r="ULZ93" s="248" t="n"/>
      <c r="UMA93" s="248" t="n"/>
      <c r="UMB93" s="240" t="n"/>
      <c r="UMC93" s="240" t="n"/>
      <c r="UME93" s="15" t="n"/>
      <c r="UMF93" s="15" t="n"/>
      <c r="UMG93" s="248" t="n"/>
      <c r="UMH93" s="248" t="n"/>
      <c r="UMI93" s="240" t="n"/>
      <c r="UMJ93" s="240" t="n"/>
      <c r="UML93" s="15" t="n"/>
      <c r="UMM93" s="15" t="n"/>
      <c r="UMN93" s="248" t="n"/>
      <c r="UMO93" s="248" t="n"/>
      <c r="UMP93" s="240" t="n"/>
      <c r="UMQ93" s="240" t="n"/>
      <c r="UMS93" s="15" t="n"/>
      <c r="UMT93" s="15" t="n"/>
      <c r="UMU93" s="248" t="n"/>
      <c r="UMV93" s="248" t="n"/>
      <c r="UMW93" s="240" t="n"/>
      <c r="UMX93" s="240" t="n"/>
      <c r="UMZ93" s="15" t="n"/>
      <c r="UNA93" s="15" t="n"/>
      <c r="UNB93" s="248" t="n"/>
      <c r="UNC93" s="248" t="n"/>
      <c r="UND93" s="240" t="n"/>
      <c r="UNE93" s="240" t="n"/>
      <c r="UNG93" s="15" t="n"/>
      <c r="UNH93" s="15" t="n"/>
      <c r="UNI93" s="248" t="n"/>
      <c r="UNJ93" s="248" t="n"/>
      <c r="UNK93" s="240" t="n"/>
      <c r="UNL93" s="240" t="n"/>
      <c r="UNN93" s="15" t="n"/>
      <c r="UNO93" s="15" t="n"/>
      <c r="UNP93" s="248" t="n"/>
      <c r="UNQ93" s="248" t="n"/>
      <c r="UNR93" s="240" t="n"/>
      <c r="UNS93" s="240" t="n"/>
      <c r="UNU93" s="15" t="n"/>
      <c r="UNV93" s="15" t="n"/>
      <c r="UNW93" s="248" t="n"/>
      <c r="UNX93" s="248" t="n"/>
      <c r="UNY93" s="240" t="n"/>
      <c r="UNZ93" s="240" t="n"/>
      <c r="UOB93" s="15" t="n"/>
      <c r="UOC93" s="15" t="n"/>
      <c r="UOD93" s="248" t="n"/>
      <c r="UOE93" s="248" t="n"/>
      <c r="UOF93" s="240" t="n"/>
      <c r="UOG93" s="240" t="n"/>
      <c r="UOI93" s="15" t="n"/>
      <c r="UOJ93" s="15" t="n"/>
      <c r="UOK93" s="248" t="n"/>
      <c r="UOL93" s="248" t="n"/>
      <c r="UOM93" s="240" t="n"/>
      <c r="UON93" s="240" t="n"/>
      <c r="UOP93" s="15" t="n"/>
      <c r="UOQ93" s="15" t="n"/>
      <c r="UOR93" s="248" t="n"/>
      <c r="UOS93" s="248" t="n"/>
      <c r="UOT93" s="240" t="n"/>
      <c r="UOU93" s="240" t="n"/>
      <c r="UOW93" s="15" t="n"/>
      <c r="UOX93" s="15" t="n"/>
      <c r="UOY93" s="248" t="n"/>
      <c r="UOZ93" s="248" t="n"/>
      <c r="UPA93" s="240" t="n"/>
      <c r="UPB93" s="240" t="n"/>
      <c r="UPD93" s="15" t="n"/>
      <c r="UPE93" s="15" t="n"/>
      <c r="UPF93" s="248" t="n"/>
      <c r="UPG93" s="248" t="n"/>
      <c r="UPH93" s="240" t="n"/>
      <c r="UPI93" s="240" t="n"/>
      <c r="UPK93" s="15" t="n"/>
      <c r="UPL93" s="15" t="n"/>
      <c r="UPM93" s="248" t="n"/>
      <c r="UPN93" s="248" t="n"/>
      <c r="UPO93" s="240" t="n"/>
      <c r="UPP93" s="240" t="n"/>
      <c r="UPR93" s="15" t="n"/>
      <c r="UPS93" s="15" t="n"/>
      <c r="UPT93" s="248" t="n"/>
      <c r="UPU93" s="248" t="n"/>
      <c r="UPV93" s="240" t="n"/>
      <c r="UPW93" s="240" t="n"/>
      <c r="UPY93" s="15" t="n"/>
      <c r="UPZ93" s="15" t="n"/>
      <c r="UQA93" s="248" t="n"/>
      <c r="UQB93" s="248" t="n"/>
      <c r="UQC93" s="240" t="n"/>
      <c r="UQD93" s="240" t="n"/>
      <c r="UQF93" s="15" t="n"/>
      <c r="UQG93" s="15" t="n"/>
      <c r="UQH93" s="248" t="n"/>
      <c r="UQI93" s="248" t="n"/>
      <c r="UQJ93" s="240" t="n"/>
      <c r="UQK93" s="240" t="n"/>
      <c r="UQM93" s="15" t="n"/>
      <c r="UQN93" s="15" t="n"/>
      <c r="UQO93" s="248" t="n"/>
      <c r="UQP93" s="248" t="n"/>
      <c r="UQQ93" s="240" t="n"/>
      <c r="UQR93" s="240" t="n"/>
      <c r="UQT93" s="15" t="n"/>
      <c r="UQU93" s="15" t="n"/>
      <c r="UQV93" s="248" t="n"/>
      <c r="UQW93" s="248" t="n"/>
      <c r="UQX93" s="240" t="n"/>
      <c r="UQY93" s="240" t="n"/>
      <c r="URA93" s="15" t="n"/>
      <c r="URB93" s="15" t="n"/>
      <c r="URC93" s="248" t="n"/>
      <c r="URD93" s="248" t="n"/>
      <c r="URE93" s="240" t="n"/>
      <c r="URF93" s="240" t="n"/>
      <c r="URH93" s="15" t="n"/>
      <c r="URI93" s="15" t="n"/>
      <c r="URJ93" s="248" t="n"/>
      <c r="URK93" s="248" t="n"/>
      <c r="URL93" s="240" t="n"/>
      <c r="URM93" s="240" t="n"/>
      <c r="URO93" s="15" t="n"/>
      <c r="URP93" s="15" t="n"/>
      <c r="URQ93" s="248" t="n"/>
      <c r="URR93" s="248" t="n"/>
      <c r="URS93" s="240" t="n"/>
      <c r="URT93" s="240" t="n"/>
      <c r="URV93" s="15" t="n"/>
      <c r="URW93" s="15" t="n"/>
      <c r="URX93" s="248" t="n"/>
      <c r="URY93" s="248" t="n"/>
      <c r="URZ93" s="240" t="n"/>
      <c r="USA93" s="240" t="n"/>
      <c r="USC93" s="15" t="n"/>
      <c r="USD93" s="15" t="n"/>
      <c r="USE93" s="248" t="n"/>
      <c r="USF93" s="248" t="n"/>
      <c r="USG93" s="240" t="n"/>
      <c r="USH93" s="240" t="n"/>
      <c r="USJ93" s="15" t="n"/>
      <c r="USK93" s="15" t="n"/>
      <c r="USL93" s="248" t="n"/>
      <c r="USM93" s="248" t="n"/>
      <c r="USN93" s="240" t="n"/>
      <c r="USO93" s="240" t="n"/>
      <c r="USQ93" s="15" t="n"/>
      <c r="USR93" s="15" t="n"/>
      <c r="USS93" s="248" t="n"/>
      <c r="UST93" s="248" t="n"/>
      <c r="USU93" s="240" t="n"/>
      <c r="USV93" s="240" t="n"/>
      <c r="USX93" s="15" t="n"/>
      <c r="USY93" s="15" t="n"/>
      <c r="USZ93" s="248" t="n"/>
      <c r="UTA93" s="248" t="n"/>
      <c r="UTB93" s="240" t="n"/>
      <c r="UTC93" s="240" t="n"/>
      <c r="UTE93" s="15" t="n"/>
      <c r="UTF93" s="15" t="n"/>
      <c r="UTG93" s="248" t="n"/>
      <c r="UTH93" s="248" t="n"/>
      <c r="UTI93" s="240" t="n"/>
      <c r="UTJ93" s="240" t="n"/>
      <c r="UTL93" s="15" t="n"/>
      <c r="UTM93" s="15" t="n"/>
      <c r="UTN93" s="248" t="n"/>
      <c r="UTO93" s="248" t="n"/>
      <c r="UTP93" s="240" t="n"/>
      <c r="UTQ93" s="240" t="n"/>
      <c r="UTS93" s="15" t="n"/>
      <c r="UTT93" s="15" t="n"/>
      <c r="UTU93" s="248" t="n"/>
      <c r="UTV93" s="248" t="n"/>
      <c r="UTW93" s="240" t="n"/>
      <c r="UTX93" s="240" t="n"/>
      <c r="UTZ93" s="15" t="n"/>
      <c r="UUA93" s="15" t="n"/>
      <c r="UUB93" s="248" t="n"/>
      <c r="UUC93" s="248" t="n"/>
      <c r="UUD93" s="240" t="n"/>
      <c r="UUE93" s="240" t="n"/>
      <c r="UUG93" s="15" t="n"/>
      <c r="UUH93" s="15" t="n"/>
      <c r="UUI93" s="248" t="n"/>
      <c r="UUJ93" s="248" t="n"/>
      <c r="UUK93" s="240" t="n"/>
      <c r="UUL93" s="240" t="n"/>
      <c r="UUN93" s="15" t="n"/>
      <c r="UUO93" s="15" t="n"/>
      <c r="UUP93" s="248" t="n"/>
      <c r="UUQ93" s="248" t="n"/>
      <c r="UUR93" s="240" t="n"/>
      <c r="UUS93" s="240" t="n"/>
      <c r="UUU93" s="15" t="n"/>
      <c r="UUV93" s="15" t="n"/>
      <c r="UUW93" s="248" t="n"/>
      <c r="UUX93" s="248" t="n"/>
      <c r="UUY93" s="240" t="n"/>
      <c r="UUZ93" s="240" t="n"/>
      <c r="UVB93" s="15" t="n"/>
      <c r="UVC93" s="15" t="n"/>
      <c r="UVD93" s="248" t="n"/>
      <c r="UVE93" s="248" t="n"/>
      <c r="UVF93" s="240" t="n"/>
      <c r="UVG93" s="240" t="n"/>
      <c r="UVI93" s="15" t="n"/>
      <c r="UVJ93" s="15" t="n"/>
      <c r="UVK93" s="248" t="n"/>
      <c r="UVL93" s="248" t="n"/>
      <c r="UVM93" s="240" t="n"/>
      <c r="UVN93" s="240" t="n"/>
      <c r="UVP93" s="15" t="n"/>
      <c r="UVQ93" s="15" t="n"/>
      <c r="UVR93" s="248" t="n"/>
      <c r="UVS93" s="248" t="n"/>
      <c r="UVT93" s="240" t="n"/>
      <c r="UVU93" s="240" t="n"/>
      <c r="UVW93" s="15" t="n"/>
      <c r="UVX93" s="15" t="n"/>
      <c r="UVY93" s="248" t="n"/>
      <c r="UVZ93" s="248" t="n"/>
      <c r="UWA93" s="240" t="n"/>
      <c r="UWB93" s="240" t="n"/>
      <c r="UWD93" s="15" t="n"/>
      <c r="UWE93" s="15" t="n"/>
      <c r="UWF93" s="248" t="n"/>
      <c r="UWG93" s="248" t="n"/>
      <c r="UWH93" s="240" t="n"/>
      <c r="UWI93" s="240" t="n"/>
      <c r="UWK93" s="15" t="n"/>
      <c r="UWL93" s="15" t="n"/>
      <c r="UWM93" s="248" t="n"/>
      <c r="UWN93" s="248" t="n"/>
      <c r="UWO93" s="240" t="n"/>
      <c r="UWP93" s="240" t="n"/>
      <c r="UWR93" s="15" t="n"/>
      <c r="UWS93" s="15" t="n"/>
      <c r="UWT93" s="248" t="n"/>
      <c r="UWU93" s="248" t="n"/>
      <c r="UWV93" s="240" t="n"/>
      <c r="UWW93" s="240" t="n"/>
      <c r="UWY93" s="15" t="n"/>
      <c r="UWZ93" s="15" t="n"/>
      <c r="UXA93" s="248" t="n"/>
      <c r="UXB93" s="248" t="n"/>
      <c r="UXC93" s="240" t="n"/>
      <c r="UXD93" s="240" t="n"/>
      <c r="UXF93" s="15" t="n"/>
      <c r="UXG93" s="15" t="n"/>
      <c r="UXH93" s="248" t="n"/>
      <c r="UXI93" s="248" t="n"/>
      <c r="UXJ93" s="240" t="n"/>
      <c r="UXK93" s="240" t="n"/>
      <c r="UXM93" s="15" t="n"/>
      <c r="UXN93" s="15" t="n"/>
      <c r="UXO93" s="248" t="n"/>
      <c r="UXP93" s="248" t="n"/>
      <c r="UXQ93" s="240" t="n"/>
      <c r="UXR93" s="240" t="n"/>
      <c r="UXT93" s="15" t="n"/>
      <c r="UXU93" s="15" t="n"/>
      <c r="UXV93" s="248" t="n"/>
      <c r="UXW93" s="248" t="n"/>
      <c r="UXX93" s="240" t="n"/>
      <c r="UXY93" s="240" t="n"/>
      <c r="UYA93" s="15" t="n"/>
      <c r="UYB93" s="15" t="n"/>
      <c r="UYC93" s="248" t="n"/>
      <c r="UYD93" s="248" t="n"/>
      <c r="UYE93" s="240" t="n"/>
      <c r="UYF93" s="240" t="n"/>
      <c r="UYH93" s="15" t="n"/>
      <c r="UYI93" s="15" t="n"/>
      <c r="UYJ93" s="248" t="n"/>
      <c r="UYK93" s="248" t="n"/>
      <c r="UYL93" s="240" t="n"/>
      <c r="UYM93" s="240" t="n"/>
      <c r="UYO93" s="15" t="n"/>
      <c r="UYP93" s="15" t="n"/>
      <c r="UYQ93" s="248" t="n"/>
      <c r="UYR93" s="248" t="n"/>
      <c r="UYS93" s="240" t="n"/>
      <c r="UYT93" s="240" t="n"/>
      <c r="UYV93" s="15" t="n"/>
      <c r="UYW93" s="15" t="n"/>
      <c r="UYX93" s="248" t="n"/>
      <c r="UYY93" s="248" t="n"/>
      <c r="UYZ93" s="240" t="n"/>
      <c r="UZA93" s="240" t="n"/>
      <c r="UZC93" s="15" t="n"/>
      <c r="UZD93" s="15" t="n"/>
      <c r="UZE93" s="248" t="n"/>
      <c r="UZF93" s="248" t="n"/>
      <c r="UZG93" s="240" t="n"/>
      <c r="UZH93" s="240" t="n"/>
      <c r="UZJ93" s="15" t="n"/>
      <c r="UZK93" s="15" t="n"/>
      <c r="UZL93" s="248" t="n"/>
      <c r="UZM93" s="248" t="n"/>
      <c r="UZN93" s="240" t="n"/>
      <c r="UZO93" s="240" t="n"/>
      <c r="UZQ93" s="15" t="n"/>
      <c r="UZR93" s="15" t="n"/>
      <c r="UZS93" s="248" t="n"/>
      <c r="UZT93" s="248" t="n"/>
      <c r="UZU93" s="240" t="n"/>
      <c r="UZV93" s="240" t="n"/>
      <c r="UZX93" s="15" t="n"/>
      <c r="UZY93" s="15" t="n"/>
      <c r="UZZ93" s="248" t="n"/>
      <c r="VAA93" s="248" t="n"/>
      <c r="VAB93" s="240" t="n"/>
      <c r="VAC93" s="240" t="n"/>
      <c r="VAE93" s="15" t="n"/>
      <c r="VAF93" s="15" t="n"/>
      <c r="VAG93" s="248" t="n"/>
      <c r="VAH93" s="248" t="n"/>
      <c r="VAI93" s="240" t="n"/>
      <c r="VAJ93" s="240" t="n"/>
      <c r="VAL93" s="15" t="n"/>
      <c r="VAM93" s="15" t="n"/>
      <c r="VAN93" s="248" t="n"/>
      <c r="VAO93" s="248" t="n"/>
      <c r="VAP93" s="240" t="n"/>
      <c r="VAQ93" s="240" t="n"/>
      <c r="VAS93" s="15" t="n"/>
      <c r="VAT93" s="15" t="n"/>
      <c r="VAU93" s="248" t="n"/>
      <c r="VAV93" s="248" t="n"/>
      <c r="VAW93" s="240" t="n"/>
      <c r="VAX93" s="240" t="n"/>
      <c r="VAZ93" s="15" t="n"/>
      <c r="VBA93" s="15" t="n"/>
      <c r="VBB93" s="248" t="n"/>
      <c r="VBC93" s="248" t="n"/>
      <c r="VBD93" s="240" t="n"/>
      <c r="VBE93" s="240" t="n"/>
      <c r="VBG93" s="15" t="n"/>
      <c r="VBH93" s="15" t="n"/>
      <c r="VBI93" s="248" t="n"/>
      <c r="VBJ93" s="248" t="n"/>
      <c r="VBK93" s="240" t="n"/>
      <c r="VBL93" s="240" t="n"/>
      <c r="VBN93" s="15" t="n"/>
      <c r="VBO93" s="15" t="n"/>
      <c r="VBP93" s="248" t="n"/>
      <c r="VBQ93" s="248" t="n"/>
      <c r="VBR93" s="240" t="n"/>
      <c r="VBS93" s="240" t="n"/>
      <c r="VBU93" s="15" t="n"/>
      <c r="VBV93" s="15" t="n"/>
      <c r="VBW93" s="248" t="n"/>
      <c r="VBX93" s="248" t="n"/>
      <c r="VBY93" s="240" t="n"/>
      <c r="VBZ93" s="240" t="n"/>
      <c r="VCB93" s="15" t="n"/>
      <c r="VCC93" s="15" t="n"/>
      <c r="VCD93" s="248" t="n"/>
      <c r="VCE93" s="248" t="n"/>
      <c r="VCF93" s="240" t="n"/>
      <c r="VCG93" s="240" t="n"/>
      <c r="VCI93" s="15" t="n"/>
      <c r="VCJ93" s="15" t="n"/>
      <c r="VCK93" s="248" t="n"/>
      <c r="VCL93" s="248" t="n"/>
      <c r="VCM93" s="240" t="n"/>
      <c r="VCN93" s="240" t="n"/>
      <c r="VCP93" s="15" t="n"/>
      <c r="VCQ93" s="15" t="n"/>
      <c r="VCR93" s="248" t="n"/>
      <c r="VCS93" s="248" t="n"/>
      <c r="VCT93" s="240" t="n"/>
      <c r="VCU93" s="240" t="n"/>
      <c r="VCW93" s="15" t="n"/>
      <c r="VCX93" s="15" t="n"/>
      <c r="VCY93" s="248" t="n"/>
      <c r="VCZ93" s="248" t="n"/>
      <c r="VDA93" s="240" t="n"/>
      <c r="VDB93" s="240" t="n"/>
      <c r="VDD93" s="15" t="n"/>
      <c r="VDE93" s="15" t="n"/>
      <c r="VDF93" s="248" t="n"/>
      <c r="VDG93" s="248" t="n"/>
      <c r="VDH93" s="240" t="n"/>
      <c r="VDI93" s="240" t="n"/>
      <c r="VDK93" s="15" t="n"/>
      <c r="VDL93" s="15" t="n"/>
      <c r="VDM93" s="248" t="n"/>
      <c r="VDN93" s="248" t="n"/>
      <c r="VDO93" s="240" t="n"/>
      <c r="VDP93" s="240" t="n"/>
      <c r="VDR93" s="15" t="n"/>
      <c r="VDS93" s="15" t="n"/>
      <c r="VDT93" s="248" t="n"/>
      <c r="VDU93" s="248" t="n"/>
      <c r="VDV93" s="240" t="n"/>
      <c r="VDW93" s="240" t="n"/>
      <c r="VDY93" s="15" t="n"/>
      <c r="VDZ93" s="15" t="n"/>
      <c r="VEA93" s="248" t="n"/>
      <c r="VEB93" s="248" t="n"/>
      <c r="VEC93" s="240" t="n"/>
      <c r="VED93" s="240" t="n"/>
      <c r="VEF93" s="15" t="n"/>
      <c r="VEG93" s="15" t="n"/>
      <c r="VEH93" s="248" t="n"/>
      <c r="VEI93" s="248" t="n"/>
      <c r="VEJ93" s="240" t="n"/>
      <c r="VEK93" s="240" t="n"/>
      <c r="VEM93" s="15" t="n"/>
      <c r="VEN93" s="15" t="n"/>
      <c r="VEO93" s="248" t="n"/>
      <c r="VEP93" s="248" t="n"/>
      <c r="VEQ93" s="240" t="n"/>
      <c r="VER93" s="240" t="n"/>
      <c r="VET93" s="15" t="n"/>
      <c r="VEU93" s="15" t="n"/>
      <c r="VEV93" s="248" t="n"/>
      <c r="VEW93" s="248" t="n"/>
      <c r="VEX93" s="240" t="n"/>
      <c r="VEY93" s="240" t="n"/>
      <c r="VFA93" s="15" t="n"/>
      <c r="VFB93" s="15" t="n"/>
      <c r="VFC93" s="248" t="n"/>
      <c r="VFD93" s="248" t="n"/>
      <c r="VFE93" s="240" t="n"/>
      <c r="VFF93" s="240" t="n"/>
      <c r="VFH93" s="15" t="n"/>
      <c r="VFI93" s="15" t="n"/>
      <c r="VFJ93" s="248" t="n"/>
      <c r="VFK93" s="248" t="n"/>
      <c r="VFL93" s="240" t="n"/>
      <c r="VFM93" s="240" t="n"/>
      <c r="VFO93" s="15" t="n"/>
      <c r="VFP93" s="15" t="n"/>
      <c r="VFQ93" s="248" t="n"/>
      <c r="VFR93" s="248" t="n"/>
      <c r="VFS93" s="240" t="n"/>
      <c r="VFT93" s="240" t="n"/>
      <c r="VFV93" s="15" t="n"/>
      <c r="VFW93" s="15" t="n"/>
      <c r="VFX93" s="248" t="n"/>
      <c r="VFY93" s="248" t="n"/>
      <c r="VFZ93" s="240" t="n"/>
      <c r="VGA93" s="240" t="n"/>
      <c r="VGC93" s="15" t="n"/>
      <c r="VGD93" s="15" t="n"/>
      <c r="VGE93" s="248" t="n"/>
      <c r="VGF93" s="248" t="n"/>
      <c r="VGG93" s="240" t="n"/>
      <c r="VGH93" s="240" t="n"/>
      <c r="VGJ93" s="15" t="n"/>
      <c r="VGK93" s="15" t="n"/>
      <c r="VGL93" s="248" t="n"/>
      <c r="VGM93" s="248" t="n"/>
      <c r="VGN93" s="240" t="n"/>
      <c r="VGO93" s="240" t="n"/>
      <c r="VGQ93" s="15" t="n"/>
      <c r="VGR93" s="15" t="n"/>
      <c r="VGS93" s="248" t="n"/>
      <c r="VGT93" s="248" t="n"/>
      <c r="VGU93" s="240" t="n"/>
      <c r="VGV93" s="240" t="n"/>
      <c r="VGX93" s="15" t="n"/>
      <c r="VGY93" s="15" t="n"/>
      <c r="VGZ93" s="248" t="n"/>
      <c r="VHA93" s="248" t="n"/>
      <c r="VHB93" s="240" t="n"/>
      <c r="VHC93" s="240" t="n"/>
      <c r="VHE93" s="15" t="n"/>
      <c r="VHF93" s="15" t="n"/>
      <c r="VHG93" s="248" t="n"/>
      <c r="VHH93" s="248" t="n"/>
      <c r="VHI93" s="240" t="n"/>
      <c r="VHJ93" s="240" t="n"/>
      <c r="VHL93" s="15" t="n"/>
      <c r="VHM93" s="15" t="n"/>
      <c r="VHN93" s="248" t="n"/>
      <c r="VHO93" s="248" t="n"/>
      <c r="VHP93" s="240" t="n"/>
      <c r="VHQ93" s="240" t="n"/>
      <c r="VHS93" s="15" t="n"/>
      <c r="VHT93" s="15" t="n"/>
      <c r="VHU93" s="248" t="n"/>
      <c r="VHV93" s="248" t="n"/>
      <c r="VHW93" s="240" t="n"/>
      <c r="VHX93" s="240" t="n"/>
      <c r="VHZ93" s="15" t="n"/>
      <c r="VIA93" s="15" t="n"/>
      <c r="VIB93" s="248" t="n"/>
      <c r="VIC93" s="248" t="n"/>
      <c r="VID93" s="240" t="n"/>
      <c r="VIE93" s="240" t="n"/>
      <c r="VIG93" s="15" t="n"/>
      <c r="VIH93" s="15" t="n"/>
      <c r="VII93" s="248" t="n"/>
      <c r="VIJ93" s="248" t="n"/>
      <c r="VIK93" s="240" t="n"/>
      <c r="VIL93" s="240" t="n"/>
      <c r="VIN93" s="15" t="n"/>
      <c r="VIO93" s="15" t="n"/>
      <c r="VIP93" s="248" t="n"/>
      <c r="VIQ93" s="248" t="n"/>
      <c r="VIR93" s="240" t="n"/>
      <c r="VIS93" s="240" t="n"/>
      <c r="VIU93" s="15" t="n"/>
      <c r="VIV93" s="15" t="n"/>
      <c r="VIW93" s="248" t="n"/>
      <c r="VIX93" s="248" t="n"/>
      <c r="VIY93" s="240" t="n"/>
      <c r="VIZ93" s="240" t="n"/>
      <c r="VJB93" s="15" t="n"/>
      <c r="VJC93" s="15" t="n"/>
      <c r="VJD93" s="248" t="n"/>
      <c r="VJE93" s="248" t="n"/>
      <c r="VJF93" s="240" t="n"/>
      <c r="VJG93" s="240" t="n"/>
      <c r="VJI93" s="15" t="n"/>
      <c r="VJJ93" s="15" t="n"/>
      <c r="VJK93" s="248" t="n"/>
      <c r="VJL93" s="248" t="n"/>
      <c r="VJM93" s="240" t="n"/>
      <c r="VJN93" s="240" t="n"/>
      <c r="VJP93" s="15" t="n"/>
      <c r="VJQ93" s="15" t="n"/>
      <c r="VJR93" s="248" t="n"/>
      <c r="VJS93" s="248" t="n"/>
      <c r="VJT93" s="240" t="n"/>
      <c r="VJU93" s="240" t="n"/>
      <c r="VJW93" s="15" t="n"/>
      <c r="VJX93" s="15" t="n"/>
      <c r="VJY93" s="248" t="n"/>
      <c r="VJZ93" s="248" t="n"/>
      <c r="VKA93" s="240" t="n"/>
      <c r="VKB93" s="240" t="n"/>
      <c r="VKD93" s="15" t="n"/>
      <c r="VKE93" s="15" t="n"/>
      <c r="VKF93" s="248" t="n"/>
      <c r="VKG93" s="248" t="n"/>
      <c r="VKH93" s="240" t="n"/>
      <c r="VKI93" s="240" t="n"/>
      <c r="VKK93" s="15" t="n"/>
      <c r="VKL93" s="15" t="n"/>
      <c r="VKM93" s="248" t="n"/>
      <c r="VKN93" s="248" t="n"/>
      <c r="VKO93" s="240" t="n"/>
      <c r="VKP93" s="240" t="n"/>
      <c r="VKR93" s="15" t="n"/>
      <c r="VKS93" s="15" t="n"/>
      <c r="VKT93" s="248" t="n"/>
      <c r="VKU93" s="248" t="n"/>
      <c r="VKV93" s="240" t="n"/>
      <c r="VKW93" s="240" t="n"/>
      <c r="VKY93" s="15" t="n"/>
      <c r="VKZ93" s="15" t="n"/>
      <c r="VLA93" s="248" t="n"/>
      <c r="VLB93" s="248" t="n"/>
      <c r="VLC93" s="240" t="n"/>
      <c r="VLD93" s="240" t="n"/>
      <c r="VLF93" s="15" t="n"/>
      <c r="VLG93" s="15" t="n"/>
      <c r="VLH93" s="248" t="n"/>
      <c r="VLI93" s="248" t="n"/>
      <c r="VLJ93" s="240" t="n"/>
      <c r="VLK93" s="240" t="n"/>
      <c r="VLM93" s="15" t="n"/>
      <c r="VLN93" s="15" t="n"/>
      <c r="VLO93" s="248" t="n"/>
      <c r="VLP93" s="248" t="n"/>
      <c r="VLQ93" s="240" t="n"/>
      <c r="VLR93" s="240" t="n"/>
      <c r="VLT93" s="15" t="n"/>
      <c r="VLU93" s="15" t="n"/>
      <c r="VLV93" s="248" t="n"/>
      <c r="VLW93" s="248" t="n"/>
      <c r="VLX93" s="240" t="n"/>
      <c r="VLY93" s="240" t="n"/>
      <c r="VMA93" s="15" t="n"/>
      <c r="VMB93" s="15" t="n"/>
      <c r="VMC93" s="248" t="n"/>
      <c r="VMD93" s="248" t="n"/>
      <c r="VME93" s="240" t="n"/>
      <c r="VMF93" s="240" t="n"/>
      <c r="VMH93" s="15" t="n"/>
      <c r="VMI93" s="15" t="n"/>
      <c r="VMJ93" s="248" t="n"/>
      <c r="VMK93" s="248" t="n"/>
      <c r="VML93" s="240" t="n"/>
      <c r="VMM93" s="240" t="n"/>
      <c r="VMO93" s="15" t="n"/>
      <c r="VMP93" s="15" t="n"/>
      <c r="VMQ93" s="248" t="n"/>
      <c r="VMR93" s="248" t="n"/>
      <c r="VMS93" s="240" t="n"/>
      <c r="VMT93" s="240" t="n"/>
      <c r="VMV93" s="15" t="n"/>
      <c r="VMW93" s="15" t="n"/>
      <c r="VMX93" s="248" t="n"/>
      <c r="VMY93" s="248" t="n"/>
      <c r="VMZ93" s="240" t="n"/>
      <c r="VNA93" s="240" t="n"/>
      <c r="VNC93" s="15" t="n"/>
      <c r="VND93" s="15" t="n"/>
      <c r="VNE93" s="248" t="n"/>
      <c r="VNF93" s="248" t="n"/>
      <c r="VNG93" s="240" t="n"/>
      <c r="VNH93" s="240" t="n"/>
      <c r="VNJ93" s="15" t="n"/>
      <c r="VNK93" s="15" t="n"/>
      <c r="VNL93" s="248" t="n"/>
      <c r="VNM93" s="248" t="n"/>
      <c r="VNN93" s="240" t="n"/>
      <c r="VNO93" s="240" t="n"/>
      <c r="VNQ93" s="15" t="n"/>
      <c r="VNR93" s="15" t="n"/>
      <c r="VNS93" s="248" t="n"/>
      <c r="VNT93" s="248" t="n"/>
      <c r="VNU93" s="240" t="n"/>
      <c r="VNV93" s="240" t="n"/>
      <c r="VNX93" s="15" t="n"/>
      <c r="VNY93" s="15" t="n"/>
      <c r="VNZ93" s="248" t="n"/>
      <c r="VOA93" s="248" t="n"/>
      <c r="VOB93" s="240" t="n"/>
      <c r="VOC93" s="240" t="n"/>
      <c r="VOE93" s="15" t="n"/>
      <c r="VOF93" s="15" t="n"/>
      <c r="VOG93" s="248" t="n"/>
      <c r="VOH93" s="248" t="n"/>
      <c r="VOI93" s="240" t="n"/>
      <c r="VOJ93" s="240" t="n"/>
      <c r="VOL93" s="15" t="n"/>
      <c r="VOM93" s="15" t="n"/>
      <c r="VON93" s="248" t="n"/>
      <c r="VOO93" s="248" t="n"/>
      <c r="VOP93" s="240" t="n"/>
      <c r="VOQ93" s="240" t="n"/>
      <c r="VOS93" s="15" t="n"/>
      <c r="VOT93" s="15" t="n"/>
      <c r="VOU93" s="248" t="n"/>
      <c r="VOV93" s="248" t="n"/>
      <c r="VOW93" s="240" t="n"/>
      <c r="VOX93" s="240" t="n"/>
      <c r="VOZ93" s="15" t="n"/>
      <c r="VPA93" s="15" t="n"/>
      <c r="VPB93" s="248" t="n"/>
      <c r="VPC93" s="248" t="n"/>
      <c r="VPD93" s="240" t="n"/>
      <c r="VPE93" s="240" t="n"/>
      <c r="VPG93" s="15" t="n"/>
      <c r="VPH93" s="15" t="n"/>
      <c r="VPI93" s="248" t="n"/>
      <c r="VPJ93" s="248" t="n"/>
      <c r="VPK93" s="240" t="n"/>
      <c r="VPL93" s="240" t="n"/>
      <c r="VPN93" s="15" t="n"/>
      <c r="VPO93" s="15" t="n"/>
      <c r="VPP93" s="248" t="n"/>
      <c r="VPQ93" s="248" t="n"/>
      <c r="VPR93" s="240" t="n"/>
      <c r="VPS93" s="240" t="n"/>
      <c r="VPU93" s="15" t="n"/>
      <c r="VPV93" s="15" t="n"/>
      <c r="VPW93" s="248" t="n"/>
      <c r="VPX93" s="248" t="n"/>
      <c r="VPY93" s="240" t="n"/>
      <c r="VPZ93" s="240" t="n"/>
      <c r="VQB93" s="15" t="n"/>
      <c r="VQC93" s="15" t="n"/>
      <c r="VQD93" s="248" t="n"/>
      <c r="VQE93" s="248" t="n"/>
      <c r="VQF93" s="240" t="n"/>
      <c r="VQG93" s="240" t="n"/>
      <c r="VQI93" s="15" t="n"/>
      <c r="VQJ93" s="15" t="n"/>
      <c r="VQK93" s="248" t="n"/>
      <c r="VQL93" s="248" t="n"/>
      <c r="VQM93" s="240" t="n"/>
      <c r="VQN93" s="240" t="n"/>
      <c r="VQP93" s="15" t="n"/>
      <c r="VQQ93" s="15" t="n"/>
      <c r="VQR93" s="248" t="n"/>
      <c r="VQS93" s="248" t="n"/>
      <c r="VQT93" s="240" t="n"/>
      <c r="VQU93" s="240" t="n"/>
      <c r="VQW93" s="15" t="n"/>
      <c r="VQX93" s="15" t="n"/>
      <c r="VQY93" s="248" t="n"/>
      <c r="VQZ93" s="248" t="n"/>
      <c r="VRA93" s="240" t="n"/>
      <c r="VRB93" s="240" t="n"/>
      <c r="VRD93" s="15" t="n"/>
      <c r="VRE93" s="15" t="n"/>
      <c r="VRF93" s="248" t="n"/>
      <c r="VRG93" s="248" t="n"/>
      <c r="VRH93" s="240" t="n"/>
      <c r="VRI93" s="240" t="n"/>
      <c r="VRK93" s="15" t="n"/>
      <c r="VRL93" s="15" t="n"/>
      <c r="VRM93" s="248" t="n"/>
      <c r="VRN93" s="248" t="n"/>
      <c r="VRO93" s="240" t="n"/>
      <c r="VRP93" s="240" t="n"/>
      <c r="VRR93" s="15" t="n"/>
      <c r="VRS93" s="15" t="n"/>
      <c r="VRT93" s="248" t="n"/>
      <c r="VRU93" s="248" t="n"/>
      <c r="VRV93" s="240" t="n"/>
      <c r="VRW93" s="240" t="n"/>
      <c r="VRY93" s="15" t="n"/>
      <c r="VRZ93" s="15" t="n"/>
      <c r="VSA93" s="248" t="n"/>
      <c r="VSB93" s="248" t="n"/>
      <c r="VSC93" s="240" t="n"/>
      <c r="VSD93" s="240" t="n"/>
      <c r="VSF93" s="15" t="n"/>
      <c r="VSG93" s="15" t="n"/>
      <c r="VSH93" s="248" t="n"/>
      <c r="VSI93" s="248" t="n"/>
      <c r="VSJ93" s="240" t="n"/>
      <c r="VSK93" s="240" t="n"/>
      <c r="VSM93" s="15" t="n"/>
      <c r="VSN93" s="15" t="n"/>
      <c r="VSO93" s="248" t="n"/>
      <c r="VSP93" s="248" t="n"/>
      <c r="VSQ93" s="240" t="n"/>
      <c r="VSR93" s="240" t="n"/>
      <c r="VST93" s="15" t="n"/>
      <c r="VSU93" s="15" t="n"/>
      <c r="VSV93" s="248" t="n"/>
      <c r="VSW93" s="248" t="n"/>
      <c r="VSX93" s="240" t="n"/>
      <c r="VSY93" s="240" t="n"/>
      <c r="VTA93" s="15" t="n"/>
      <c r="VTB93" s="15" t="n"/>
      <c r="VTC93" s="248" t="n"/>
      <c r="VTD93" s="248" t="n"/>
      <c r="VTE93" s="240" t="n"/>
      <c r="VTF93" s="240" t="n"/>
      <c r="VTH93" s="15" t="n"/>
      <c r="VTI93" s="15" t="n"/>
      <c r="VTJ93" s="248" t="n"/>
      <c r="VTK93" s="248" t="n"/>
      <c r="VTL93" s="240" t="n"/>
      <c r="VTM93" s="240" t="n"/>
      <c r="VTO93" s="15" t="n"/>
      <c r="VTP93" s="15" t="n"/>
      <c r="VTQ93" s="248" t="n"/>
      <c r="VTR93" s="248" t="n"/>
      <c r="VTS93" s="240" t="n"/>
      <c r="VTT93" s="240" t="n"/>
      <c r="VTV93" s="15" t="n"/>
      <c r="VTW93" s="15" t="n"/>
      <c r="VTX93" s="248" t="n"/>
      <c r="VTY93" s="248" t="n"/>
      <c r="VTZ93" s="240" t="n"/>
      <c r="VUA93" s="240" t="n"/>
      <c r="VUC93" s="15" t="n"/>
      <c r="VUD93" s="15" t="n"/>
      <c r="VUE93" s="248" t="n"/>
      <c r="VUF93" s="248" t="n"/>
      <c r="VUG93" s="240" t="n"/>
      <c r="VUH93" s="240" t="n"/>
      <c r="VUJ93" s="15" t="n"/>
      <c r="VUK93" s="15" t="n"/>
      <c r="VUL93" s="248" t="n"/>
      <c r="VUM93" s="248" t="n"/>
      <c r="VUN93" s="240" t="n"/>
      <c r="VUO93" s="240" t="n"/>
      <c r="VUQ93" s="15" t="n"/>
      <c r="VUR93" s="15" t="n"/>
      <c r="VUS93" s="248" t="n"/>
      <c r="VUT93" s="248" t="n"/>
      <c r="VUU93" s="240" t="n"/>
      <c r="VUV93" s="240" t="n"/>
      <c r="VUX93" s="15" t="n"/>
      <c r="VUY93" s="15" t="n"/>
      <c r="VUZ93" s="248" t="n"/>
      <c r="VVA93" s="248" t="n"/>
      <c r="VVB93" s="240" t="n"/>
      <c r="VVC93" s="240" t="n"/>
      <c r="VVE93" s="15" t="n"/>
      <c r="VVF93" s="15" t="n"/>
      <c r="VVG93" s="248" t="n"/>
      <c r="VVH93" s="248" t="n"/>
      <c r="VVI93" s="240" t="n"/>
      <c r="VVJ93" s="240" t="n"/>
      <c r="VVL93" s="15" t="n"/>
      <c r="VVM93" s="15" t="n"/>
      <c r="VVN93" s="248" t="n"/>
      <c r="VVO93" s="248" t="n"/>
      <c r="VVP93" s="240" t="n"/>
      <c r="VVQ93" s="240" t="n"/>
      <c r="VVS93" s="15" t="n"/>
      <c r="VVT93" s="15" t="n"/>
      <c r="VVU93" s="248" t="n"/>
      <c r="VVV93" s="248" t="n"/>
      <c r="VVW93" s="240" t="n"/>
      <c r="VVX93" s="240" t="n"/>
      <c r="VVZ93" s="15" t="n"/>
      <c r="VWA93" s="15" t="n"/>
      <c r="VWB93" s="248" t="n"/>
      <c r="VWC93" s="248" t="n"/>
      <c r="VWD93" s="240" t="n"/>
      <c r="VWE93" s="240" t="n"/>
      <c r="VWG93" s="15" t="n"/>
      <c r="VWH93" s="15" t="n"/>
      <c r="VWI93" s="248" t="n"/>
      <c r="VWJ93" s="248" t="n"/>
      <c r="VWK93" s="240" t="n"/>
      <c r="VWL93" s="240" t="n"/>
      <c r="VWN93" s="15" t="n"/>
      <c r="VWO93" s="15" t="n"/>
      <c r="VWP93" s="248" t="n"/>
      <c r="VWQ93" s="248" t="n"/>
      <c r="VWR93" s="240" t="n"/>
      <c r="VWS93" s="240" t="n"/>
      <c r="VWU93" s="15" t="n"/>
      <c r="VWV93" s="15" t="n"/>
      <c r="VWW93" s="248" t="n"/>
      <c r="VWX93" s="248" t="n"/>
      <c r="VWY93" s="240" t="n"/>
      <c r="VWZ93" s="240" t="n"/>
      <c r="VXB93" s="15" t="n"/>
      <c r="VXC93" s="15" t="n"/>
      <c r="VXD93" s="248" t="n"/>
      <c r="VXE93" s="248" t="n"/>
      <c r="VXF93" s="240" t="n"/>
      <c r="VXG93" s="240" t="n"/>
      <c r="VXI93" s="15" t="n"/>
      <c r="VXJ93" s="15" t="n"/>
      <c r="VXK93" s="248" t="n"/>
      <c r="VXL93" s="248" t="n"/>
      <c r="VXM93" s="240" t="n"/>
      <c r="VXN93" s="240" t="n"/>
      <c r="VXP93" s="15" t="n"/>
      <c r="VXQ93" s="15" t="n"/>
      <c r="VXR93" s="248" t="n"/>
      <c r="VXS93" s="248" t="n"/>
      <c r="VXT93" s="240" t="n"/>
      <c r="VXU93" s="240" t="n"/>
      <c r="VXW93" s="15" t="n"/>
      <c r="VXX93" s="15" t="n"/>
      <c r="VXY93" s="248" t="n"/>
      <c r="VXZ93" s="248" t="n"/>
      <c r="VYA93" s="240" t="n"/>
      <c r="VYB93" s="240" t="n"/>
      <c r="VYD93" s="15" t="n"/>
      <c r="VYE93" s="15" t="n"/>
      <c r="VYF93" s="248" t="n"/>
      <c r="VYG93" s="248" t="n"/>
      <c r="VYH93" s="240" t="n"/>
      <c r="VYI93" s="240" t="n"/>
      <c r="VYK93" s="15" t="n"/>
      <c r="VYL93" s="15" t="n"/>
      <c r="VYM93" s="248" t="n"/>
      <c r="VYN93" s="248" t="n"/>
      <c r="VYO93" s="240" t="n"/>
      <c r="VYP93" s="240" t="n"/>
      <c r="VYR93" s="15" t="n"/>
      <c r="VYS93" s="15" t="n"/>
      <c r="VYT93" s="248" t="n"/>
      <c r="VYU93" s="248" t="n"/>
      <c r="VYV93" s="240" t="n"/>
      <c r="VYW93" s="240" t="n"/>
      <c r="VYY93" s="15" t="n"/>
      <c r="VYZ93" s="15" t="n"/>
      <c r="VZA93" s="248" t="n"/>
      <c r="VZB93" s="248" t="n"/>
      <c r="VZC93" s="240" t="n"/>
      <c r="VZD93" s="240" t="n"/>
      <c r="VZF93" s="15" t="n"/>
      <c r="VZG93" s="15" t="n"/>
      <c r="VZH93" s="248" t="n"/>
      <c r="VZI93" s="248" t="n"/>
      <c r="VZJ93" s="240" t="n"/>
      <c r="VZK93" s="240" t="n"/>
      <c r="VZM93" s="15" t="n"/>
      <c r="VZN93" s="15" t="n"/>
      <c r="VZO93" s="248" t="n"/>
      <c r="VZP93" s="248" t="n"/>
      <c r="VZQ93" s="240" t="n"/>
      <c r="VZR93" s="240" t="n"/>
      <c r="VZT93" s="15" t="n"/>
      <c r="VZU93" s="15" t="n"/>
      <c r="VZV93" s="248" t="n"/>
      <c r="VZW93" s="248" t="n"/>
      <c r="VZX93" s="240" t="n"/>
      <c r="VZY93" s="240" t="n"/>
      <c r="WAA93" s="15" t="n"/>
      <c r="WAB93" s="15" t="n"/>
      <c r="WAC93" s="248" t="n"/>
      <c r="WAD93" s="248" t="n"/>
      <c r="WAE93" s="240" t="n"/>
      <c r="WAF93" s="240" t="n"/>
      <c r="WAH93" s="15" t="n"/>
      <c r="WAI93" s="15" t="n"/>
      <c r="WAJ93" s="248" t="n"/>
      <c r="WAK93" s="248" t="n"/>
      <c r="WAL93" s="240" t="n"/>
      <c r="WAM93" s="240" t="n"/>
      <c r="WAO93" s="15" t="n"/>
      <c r="WAP93" s="15" t="n"/>
      <c r="WAQ93" s="248" t="n"/>
      <c r="WAR93" s="248" t="n"/>
      <c r="WAS93" s="240" t="n"/>
      <c r="WAT93" s="240" t="n"/>
      <c r="WAV93" s="15" t="n"/>
      <c r="WAW93" s="15" t="n"/>
      <c r="WAX93" s="248" t="n"/>
      <c r="WAY93" s="248" t="n"/>
      <c r="WAZ93" s="240" t="n"/>
      <c r="WBA93" s="240" t="n"/>
      <c r="WBC93" s="15" t="n"/>
      <c r="WBD93" s="15" t="n"/>
      <c r="WBE93" s="248" t="n"/>
      <c r="WBF93" s="248" t="n"/>
      <c r="WBG93" s="240" t="n"/>
      <c r="WBH93" s="240" t="n"/>
      <c r="WBJ93" s="15" t="n"/>
      <c r="WBK93" s="15" t="n"/>
      <c r="WBL93" s="248" t="n"/>
      <c r="WBM93" s="248" t="n"/>
      <c r="WBN93" s="240" t="n"/>
      <c r="WBO93" s="240" t="n"/>
      <c r="WBQ93" s="15" t="n"/>
      <c r="WBR93" s="15" t="n"/>
      <c r="WBS93" s="248" t="n"/>
      <c r="WBT93" s="248" t="n"/>
      <c r="WBU93" s="240" t="n"/>
      <c r="WBV93" s="240" t="n"/>
      <c r="WBX93" s="15" t="n"/>
      <c r="WBY93" s="15" t="n"/>
      <c r="WBZ93" s="248" t="n"/>
      <c r="WCA93" s="248" t="n"/>
      <c r="WCB93" s="240" t="n"/>
      <c r="WCC93" s="240" t="n"/>
      <c r="WCE93" s="15" t="n"/>
      <c r="WCF93" s="15" t="n"/>
      <c r="WCG93" s="248" t="n"/>
      <c r="WCH93" s="248" t="n"/>
      <c r="WCI93" s="240" t="n"/>
      <c r="WCJ93" s="240" t="n"/>
      <c r="WCL93" s="15" t="n"/>
      <c r="WCM93" s="15" t="n"/>
      <c r="WCN93" s="248" t="n"/>
      <c r="WCO93" s="248" t="n"/>
      <c r="WCP93" s="240" t="n"/>
      <c r="WCQ93" s="240" t="n"/>
      <c r="WCS93" s="15" t="n"/>
      <c r="WCT93" s="15" t="n"/>
      <c r="WCU93" s="248" t="n"/>
      <c r="WCV93" s="248" t="n"/>
      <c r="WCW93" s="240" t="n"/>
      <c r="WCX93" s="240" t="n"/>
      <c r="WCZ93" s="15" t="n"/>
      <c r="WDA93" s="15" t="n"/>
      <c r="WDB93" s="248" t="n"/>
      <c r="WDC93" s="248" t="n"/>
      <c r="WDD93" s="240" t="n"/>
      <c r="WDE93" s="240" t="n"/>
      <c r="WDG93" s="15" t="n"/>
      <c r="WDH93" s="15" t="n"/>
      <c r="WDI93" s="248" t="n"/>
      <c r="WDJ93" s="248" t="n"/>
      <c r="WDK93" s="240" t="n"/>
      <c r="WDL93" s="240" t="n"/>
      <c r="WDN93" s="15" t="n"/>
      <c r="WDO93" s="15" t="n"/>
      <c r="WDP93" s="248" t="n"/>
      <c r="WDQ93" s="248" t="n"/>
      <c r="WDR93" s="240" t="n"/>
      <c r="WDS93" s="240" t="n"/>
      <c r="WDU93" s="15" t="n"/>
      <c r="WDV93" s="15" t="n"/>
      <c r="WDW93" s="248" t="n"/>
      <c r="WDX93" s="248" t="n"/>
      <c r="WDY93" s="240" t="n"/>
      <c r="WDZ93" s="240" t="n"/>
      <c r="WEB93" s="15" t="n"/>
      <c r="WEC93" s="15" t="n"/>
      <c r="WED93" s="248" t="n"/>
      <c r="WEE93" s="248" t="n"/>
      <c r="WEF93" s="240" t="n"/>
      <c r="WEG93" s="240" t="n"/>
      <c r="WEI93" s="15" t="n"/>
      <c r="WEJ93" s="15" t="n"/>
      <c r="WEK93" s="248" t="n"/>
      <c r="WEL93" s="248" t="n"/>
      <c r="WEM93" s="240" t="n"/>
      <c r="WEN93" s="240" t="n"/>
      <c r="WEP93" s="15" t="n"/>
      <c r="WEQ93" s="15" t="n"/>
      <c r="WER93" s="248" t="n"/>
      <c r="WES93" s="248" t="n"/>
      <c r="WET93" s="240" t="n"/>
      <c r="WEU93" s="240" t="n"/>
      <c r="WEW93" s="15" t="n"/>
      <c r="WEX93" s="15" t="n"/>
      <c r="WEY93" s="248" t="n"/>
      <c r="WEZ93" s="248" t="n"/>
      <c r="WFA93" s="240" t="n"/>
      <c r="WFB93" s="240" t="n"/>
      <c r="WFD93" s="15" t="n"/>
      <c r="WFE93" s="15" t="n"/>
      <c r="WFF93" s="248" t="n"/>
      <c r="WFG93" s="248" t="n"/>
      <c r="WFH93" s="240" t="n"/>
      <c r="WFI93" s="240" t="n"/>
      <c r="WFK93" s="15" t="n"/>
      <c r="WFL93" s="15" t="n"/>
      <c r="WFM93" s="248" t="n"/>
      <c r="WFN93" s="248" t="n"/>
      <c r="WFO93" s="240" t="n"/>
      <c r="WFP93" s="240" t="n"/>
      <c r="WFR93" s="15" t="n"/>
      <c r="WFS93" s="15" t="n"/>
      <c r="WFT93" s="248" t="n"/>
      <c r="WFU93" s="248" t="n"/>
      <c r="WFV93" s="240" t="n"/>
      <c r="WFW93" s="240" t="n"/>
      <c r="WFY93" s="15" t="n"/>
      <c r="WFZ93" s="15" t="n"/>
      <c r="WGA93" s="248" t="n"/>
      <c r="WGB93" s="248" t="n"/>
      <c r="WGC93" s="240" t="n"/>
      <c r="WGD93" s="240" t="n"/>
      <c r="WGF93" s="15" t="n"/>
      <c r="WGG93" s="15" t="n"/>
      <c r="WGH93" s="248" t="n"/>
      <c r="WGI93" s="248" t="n"/>
      <c r="WGJ93" s="240" t="n"/>
      <c r="WGK93" s="240" t="n"/>
      <c r="WGM93" s="15" t="n"/>
      <c r="WGN93" s="15" t="n"/>
      <c r="WGO93" s="248" t="n"/>
      <c r="WGP93" s="248" t="n"/>
      <c r="WGQ93" s="240" t="n"/>
      <c r="WGR93" s="240" t="n"/>
      <c r="WGT93" s="15" t="n"/>
      <c r="WGU93" s="15" t="n"/>
      <c r="WGV93" s="248" t="n"/>
      <c r="WGW93" s="248" t="n"/>
      <c r="WGX93" s="240" t="n"/>
      <c r="WGY93" s="240" t="n"/>
      <c r="WHA93" s="15" t="n"/>
      <c r="WHB93" s="15" t="n"/>
      <c r="WHC93" s="248" t="n"/>
      <c r="WHD93" s="248" t="n"/>
      <c r="WHE93" s="240" t="n"/>
      <c r="WHF93" s="240" t="n"/>
      <c r="WHH93" s="15" t="n"/>
      <c r="WHI93" s="15" t="n"/>
      <c r="WHJ93" s="248" t="n"/>
      <c r="WHK93" s="248" t="n"/>
      <c r="WHL93" s="240" t="n"/>
      <c r="WHM93" s="240" t="n"/>
      <c r="WHO93" s="15" t="n"/>
      <c r="WHP93" s="15" t="n"/>
      <c r="WHQ93" s="248" t="n"/>
      <c r="WHR93" s="248" t="n"/>
      <c r="WHS93" s="240" t="n"/>
      <c r="WHT93" s="240" t="n"/>
      <c r="WHV93" s="15" t="n"/>
      <c r="WHW93" s="15" t="n"/>
      <c r="WHX93" s="248" t="n"/>
      <c r="WHY93" s="248" t="n"/>
      <c r="WHZ93" s="240" t="n"/>
      <c r="WIA93" s="240" t="n"/>
      <c r="WIC93" s="15" t="n"/>
      <c r="WID93" s="15" t="n"/>
      <c r="WIE93" s="248" t="n"/>
      <c r="WIF93" s="248" t="n"/>
      <c r="WIG93" s="240" t="n"/>
      <c r="WIH93" s="240" t="n"/>
      <c r="WIJ93" s="15" t="n"/>
      <c r="WIK93" s="15" t="n"/>
      <c r="WIL93" s="248" t="n"/>
      <c r="WIM93" s="248" t="n"/>
      <c r="WIN93" s="240" t="n"/>
      <c r="WIO93" s="240" t="n"/>
      <c r="WIQ93" s="15" t="n"/>
      <c r="WIR93" s="15" t="n"/>
      <c r="WIS93" s="248" t="n"/>
      <c r="WIT93" s="248" t="n"/>
      <c r="WIU93" s="240" t="n"/>
      <c r="WIV93" s="240" t="n"/>
      <c r="WIX93" s="15" t="n"/>
      <c r="WIY93" s="15" t="n"/>
      <c r="WIZ93" s="248" t="n"/>
      <c r="WJA93" s="248" t="n"/>
      <c r="WJB93" s="240" t="n"/>
      <c r="WJC93" s="240" t="n"/>
      <c r="WJE93" s="15" t="n"/>
      <c r="WJF93" s="15" t="n"/>
      <c r="WJG93" s="248" t="n"/>
      <c r="WJH93" s="248" t="n"/>
      <c r="WJI93" s="240" t="n"/>
      <c r="WJJ93" s="240" t="n"/>
      <c r="WJL93" s="15" t="n"/>
      <c r="WJM93" s="15" t="n"/>
      <c r="WJN93" s="248" t="n"/>
      <c r="WJO93" s="248" t="n"/>
      <c r="WJP93" s="240" t="n"/>
      <c r="WJQ93" s="240" t="n"/>
      <c r="WJS93" s="15" t="n"/>
      <c r="WJT93" s="15" t="n"/>
      <c r="WJU93" s="248" t="n"/>
      <c r="WJV93" s="248" t="n"/>
      <c r="WJW93" s="240" t="n"/>
      <c r="WJX93" s="240" t="n"/>
      <c r="WJZ93" s="15" t="n"/>
      <c r="WKA93" s="15" t="n"/>
      <c r="WKB93" s="248" t="n"/>
      <c r="WKC93" s="248" t="n"/>
      <c r="WKD93" s="240" t="n"/>
      <c r="WKE93" s="240" t="n"/>
      <c r="WKG93" s="15" t="n"/>
      <c r="WKH93" s="15" t="n"/>
      <c r="WKI93" s="248" t="n"/>
      <c r="WKJ93" s="248" t="n"/>
      <c r="WKK93" s="240" t="n"/>
      <c r="WKL93" s="240" t="n"/>
      <c r="WKN93" s="15" t="n"/>
      <c r="WKO93" s="15" t="n"/>
      <c r="WKP93" s="248" t="n"/>
      <c r="WKQ93" s="248" t="n"/>
      <c r="WKR93" s="240" t="n"/>
      <c r="WKS93" s="240" t="n"/>
      <c r="WKU93" s="15" t="n"/>
      <c r="WKV93" s="15" t="n"/>
      <c r="WKW93" s="248" t="n"/>
      <c r="WKX93" s="248" t="n"/>
      <c r="WKY93" s="240" t="n"/>
      <c r="WKZ93" s="240" t="n"/>
      <c r="WLB93" s="15" t="n"/>
      <c r="WLC93" s="15" t="n"/>
      <c r="WLD93" s="248" t="n"/>
      <c r="WLE93" s="248" t="n"/>
      <c r="WLF93" s="240" t="n"/>
      <c r="WLG93" s="240" t="n"/>
      <c r="WLI93" s="15" t="n"/>
      <c r="WLJ93" s="15" t="n"/>
      <c r="WLK93" s="248" t="n"/>
      <c r="WLL93" s="248" t="n"/>
      <c r="WLM93" s="240" t="n"/>
      <c r="WLN93" s="240" t="n"/>
      <c r="WLP93" s="15" t="n"/>
      <c r="WLQ93" s="15" t="n"/>
      <c r="WLR93" s="248" t="n"/>
      <c r="WLS93" s="248" t="n"/>
      <c r="WLT93" s="240" t="n"/>
      <c r="WLU93" s="240" t="n"/>
      <c r="WLW93" s="15" t="n"/>
      <c r="WLX93" s="15" t="n"/>
      <c r="WLY93" s="248" t="n"/>
      <c r="WLZ93" s="248" t="n"/>
      <c r="WMA93" s="240" t="n"/>
      <c r="WMB93" s="240" t="n"/>
      <c r="WMD93" s="15" t="n"/>
      <c r="WME93" s="15" t="n"/>
      <c r="WMF93" s="248" t="n"/>
      <c r="WMG93" s="248" t="n"/>
      <c r="WMH93" s="240" t="n"/>
      <c r="WMI93" s="240" t="n"/>
      <c r="WMK93" s="15" t="n"/>
      <c r="WML93" s="15" t="n"/>
      <c r="WMM93" s="248" t="n"/>
      <c r="WMN93" s="248" t="n"/>
      <c r="WMO93" s="240" t="n"/>
      <c r="WMP93" s="240" t="n"/>
      <c r="WMR93" s="15" t="n"/>
      <c r="WMS93" s="15" t="n"/>
      <c r="WMT93" s="248" t="n"/>
      <c r="WMU93" s="248" t="n"/>
      <c r="WMV93" s="240" t="n"/>
      <c r="WMW93" s="240" t="n"/>
      <c r="WMY93" s="15" t="n"/>
      <c r="WMZ93" s="15" t="n"/>
      <c r="WNA93" s="248" t="n"/>
      <c r="WNB93" s="248" t="n"/>
      <c r="WNC93" s="240" t="n"/>
      <c r="WND93" s="240" t="n"/>
      <c r="WNF93" s="15" t="n"/>
      <c r="WNG93" s="15" t="n"/>
      <c r="WNH93" s="248" t="n"/>
      <c r="WNI93" s="248" t="n"/>
      <c r="WNJ93" s="240" t="n"/>
      <c r="WNK93" s="240" t="n"/>
      <c r="WNM93" s="15" t="n"/>
      <c r="WNN93" s="15" t="n"/>
      <c r="WNO93" s="248" t="n"/>
      <c r="WNP93" s="248" t="n"/>
      <c r="WNQ93" s="240" t="n"/>
      <c r="WNR93" s="240" t="n"/>
      <c r="WNT93" s="15" t="n"/>
      <c r="WNU93" s="15" t="n"/>
      <c r="WNV93" s="248" t="n"/>
      <c r="WNW93" s="248" t="n"/>
      <c r="WNX93" s="240" t="n"/>
      <c r="WNY93" s="240" t="n"/>
      <c r="WOA93" s="15" t="n"/>
      <c r="WOB93" s="15" t="n"/>
      <c r="WOC93" s="248" t="n"/>
      <c r="WOD93" s="248" t="n"/>
      <c r="WOE93" s="240" t="n"/>
      <c r="WOF93" s="240" t="n"/>
      <c r="WOH93" s="15" t="n"/>
      <c r="WOI93" s="15" t="n"/>
      <c r="WOJ93" s="248" t="n"/>
      <c r="WOK93" s="248" t="n"/>
      <c r="WOL93" s="240" t="n"/>
      <c r="WOM93" s="240" t="n"/>
      <c r="WOO93" s="15" t="n"/>
      <c r="WOP93" s="15" t="n"/>
      <c r="WOQ93" s="248" t="n"/>
      <c r="WOR93" s="248" t="n"/>
      <c r="WOS93" s="240" t="n"/>
      <c r="WOT93" s="240" t="n"/>
      <c r="WOV93" s="15" t="n"/>
      <c r="WOW93" s="15" t="n"/>
      <c r="WOX93" s="248" t="n"/>
      <c r="WOY93" s="248" t="n"/>
      <c r="WOZ93" s="240" t="n"/>
      <c r="WPA93" s="240" t="n"/>
      <c r="WPC93" s="15" t="n"/>
      <c r="WPD93" s="15" t="n"/>
      <c r="WPE93" s="248" t="n"/>
      <c r="WPF93" s="248" t="n"/>
      <c r="WPG93" s="240" t="n"/>
      <c r="WPH93" s="240" t="n"/>
      <c r="WPJ93" s="15" t="n"/>
      <c r="WPK93" s="15" t="n"/>
      <c r="WPL93" s="248" t="n"/>
      <c r="WPM93" s="248" t="n"/>
      <c r="WPN93" s="240" t="n"/>
      <c r="WPO93" s="240" t="n"/>
      <c r="WPQ93" s="15" t="n"/>
      <c r="WPR93" s="15" t="n"/>
      <c r="WPS93" s="248" t="n"/>
      <c r="WPT93" s="248" t="n"/>
      <c r="WPU93" s="240" t="n"/>
      <c r="WPV93" s="240" t="n"/>
      <c r="WPX93" s="15" t="n"/>
      <c r="WPY93" s="15" t="n"/>
      <c r="WPZ93" s="248" t="n"/>
      <c r="WQA93" s="248" t="n"/>
      <c r="WQB93" s="240" t="n"/>
      <c r="WQC93" s="240" t="n"/>
      <c r="WQE93" s="15" t="n"/>
      <c r="WQF93" s="15" t="n"/>
      <c r="WQG93" s="248" t="n"/>
      <c r="WQH93" s="248" t="n"/>
      <c r="WQI93" s="240" t="n"/>
      <c r="WQJ93" s="240" t="n"/>
      <c r="WQL93" s="15" t="n"/>
      <c r="WQM93" s="15" t="n"/>
      <c r="WQN93" s="248" t="n"/>
      <c r="WQO93" s="248" t="n"/>
      <c r="WQP93" s="240" t="n"/>
      <c r="WQQ93" s="240" t="n"/>
      <c r="WQS93" s="15" t="n"/>
      <c r="WQT93" s="15" t="n"/>
      <c r="WQU93" s="248" t="n"/>
      <c r="WQV93" s="248" t="n"/>
      <c r="WQW93" s="240" t="n"/>
      <c r="WQX93" s="240" t="n"/>
      <c r="WQZ93" s="15" t="n"/>
      <c r="WRA93" s="15" t="n"/>
      <c r="WRB93" s="248" t="n"/>
      <c r="WRC93" s="248" t="n"/>
      <c r="WRD93" s="240" t="n"/>
      <c r="WRE93" s="240" t="n"/>
      <c r="WRG93" s="15" t="n"/>
      <c r="WRH93" s="15" t="n"/>
      <c r="WRI93" s="248" t="n"/>
      <c r="WRJ93" s="248" t="n"/>
      <c r="WRK93" s="240" t="n"/>
      <c r="WRL93" s="240" t="n"/>
      <c r="WRN93" s="15" t="n"/>
      <c r="WRO93" s="15" t="n"/>
      <c r="WRP93" s="248" t="n"/>
      <c r="WRQ93" s="248" t="n"/>
      <c r="WRR93" s="240" t="n"/>
      <c r="WRS93" s="240" t="n"/>
      <c r="WRU93" s="15" t="n"/>
      <c r="WRV93" s="15" t="n"/>
      <c r="WRW93" s="248" t="n"/>
      <c r="WRX93" s="248" t="n"/>
      <c r="WRY93" s="240" t="n"/>
      <c r="WRZ93" s="240" t="n"/>
      <c r="WSB93" s="15" t="n"/>
      <c r="WSC93" s="15" t="n"/>
      <c r="WSD93" s="248" t="n"/>
      <c r="WSE93" s="248" t="n"/>
      <c r="WSF93" s="240" t="n"/>
      <c r="WSG93" s="240" t="n"/>
      <c r="WSI93" s="15" t="n"/>
      <c r="WSJ93" s="15" t="n"/>
      <c r="WSK93" s="248" t="n"/>
      <c r="WSL93" s="248" t="n"/>
      <c r="WSM93" s="240" t="n"/>
      <c r="WSN93" s="240" t="n"/>
      <c r="WSP93" s="15" t="n"/>
      <c r="WSQ93" s="15" t="n"/>
      <c r="WSR93" s="248" t="n"/>
      <c r="WSS93" s="248" t="n"/>
      <c r="WST93" s="240" t="n"/>
      <c r="WSU93" s="240" t="n"/>
      <c r="WSW93" s="15" t="n"/>
      <c r="WSX93" s="15" t="n"/>
      <c r="WSY93" s="248" t="n"/>
      <c r="WSZ93" s="248" t="n"/>
      <c r="WTA93" s="240" t="n"/>
      <c r="WTB93" s="240" t="n"/>
      <c r="WTD93" s="15" t="n"/>
      <c r="WTE93" s="15" t="n"/>
      <c r="WTF93" s="248" t="n"/>
      <c r="WTG93" s="248" t="n"/>
      <c r="WTH93" s="240" t="n"/>
      <c r="WTI93" s="240" t="n"/>
      <c r="WTK93" s="15" t="n"/>
      <c r="WTL93" s="15" t="n"/>
      <c r="WTM93" s="248" t="n"/>
      <c r="WTN93" s="248" t="n"/>
      <c r="WTO93" s="240" t="n"/>
      <c r="WTP93" s="240" t="n"/>
      <c r="WTR93" s="15" t="n"/>
      <c r="WTS93" s="15" t="n"/>
      <c r="WTT93" s="248" t="n"/>
      <c r="WTU93" s="248" t="n"/>
      <c r="WTV93" s="240" t="n"/>
      <c r="WTW93" s="240" t="n"/>
      <c r="WTY93" s="15" t="n"/>
      <c r="WTZ93" s="15" t="n"/>
      <c r="WUA93" s="248" t="n"/>
      <c r="WUB93" s="248" t="n"/>
      <c r="WUC93" s="240" t="n"/>
      <c r="WUD93" s="240" t="n"/>
      <c r="WUF93" s="15" t="n"/>
      <c r="WUG93" s="15" t="n"/>
      <c r="WUH93" s="248" t="n"/>
      <c r="WUI93" s="248" t="n"/>
      <c r="WUJ93" s="240" t="n"/>
      <c r="WUK93" s="240" t="n"/>
      <c r="WUM93" s="15" t="n"/>
      <c r="WUN93" s="15" t="n"/>
      <c r="WUO93" s="248" t="n"/>
      <c r="WUP93" s="248" t="n"/>
      <c r="WUQ93" s="240" t="n"/>
      <c r="WUR93" s="240" t="n"/>
      <c r="WUT93" s="15" t="n"/>
      <c r="WUU93" s="15" t="n"/>
      <c r="WUV93" s="248" t="n"/>
      <c r="WUW93" s="248" t="n"/>
      <c r="WUX93" s="240" t="n"/>
      <c r="WUY93" s="240" t="n"/>
      <c r="WVA93" s="15" t="n"/>
      <c r="WVB93" s="15" t="n"/>
      <c r="WVC93" s="248" t="n"/>
      <c r="WVD93" s="248" t="n"/>
      <c r="WVE93" s="240" t="n"/>
      <c r="WVF93" s="240" t="n"/>
      <c r="WVH93" s="15" t="n"/>
      <c r="WVI93" s="15" t="n"/>
      <c r="WVJ93" s="248" t="n"/>
      <c r="WVK93" s="248" t="n"/>
      <c r="WVL93" s="240" t="n"/>
      <c r="WVM93" s="240" t="n"/>
      <c r="WVO93" s="15" t="n"/>
      <c r="WVP93" s="15" t="n"/>
      <c r="WVQ93" s="248" t="n"/>
      <c r="WVR93" s="248" t="n"/>
      <c r="WVS93" s="240" t="n"/>
      <c r="WVT93" s="240" t="n"/>
      <c r="WVV93" s="15" t="n"/>
      <c r="WVW93" s="15" t="n"/>
      <c r="WVX93" s="248" t="n"/>
      <c r="WVY93" s="248" t="n"/>
      <c r="WVZ93" s="240" t="n"/>
      <c r="WWA93" s="240" t="n"/>
      <c r="WWC93" s="15" t="n"/>
      <c r="WWD93" s="15" t="n"/>
      <c r="WWE93" s="248" t="n"/>
      <c r="WWF93" s="248" t="n"/>
      <c r="WWG93" s="240" t="n"/>
      <c r="WWH93" s="240" t="n"/>
      <c r="WWJ93" s="15" t="n"/>
      <c r="WWK93" s="15" t="n"/>
      <c r="WWL93" s="248" t="n"/>
      <c r="WWM93" s="248" t="n"/>
      <c r="WWN93" s="240" t="n"/>
      <c r="WWO93" s="240" t="n"/>
      <c r="WWQ93" s="15" t="n"/>
      <c r="WWR93" s="15" t="n"/>
      <c r="WWS93" s="248" t="n"/>
      <c r="WWT93" s="248" t="n"/>
      <c r="WWU93" s="240" t="n"/>
      <c r="WWV93" s="240" t="n"/>
      <c r="WWX93" s="15" t="n"/>
      <c r="WWY93" s="15" t="n"/>
      <c r="WWZ93" s="248" t="n"/>
      <c r="WXA93" s="248" t="n"/>
      <c r="WXB93" s="240" t="n"/>
      <c r="WXC93" s="240" t="n"/>
      <c r="WXE93" s="15" t="n"/>
      <c r="WXF93" s="15" t="n"/>
      <c r="WXG93" s="248" t="n"/>
      <c r="WXH93" s="248" t="n"/>
      <c r="WXI93" s="240" t="n"/>
      <c r="WXJ93" s="240" t="n"/>
      <c r="WXL93" s="15" t="n"/>
      <c r="WXM93" s="15" t="n"/>
      <c r="WXN93" s="248" t="n"/>
      <c r="WXO93" s="248" t="n"/>
      <c r="WXP93" s="240" t="n"/>
      <c r="WXQ93" s="240" t="n"/>
      <c r="WXS93" s="15" t="n"/>
      <c r="WXT93" s="15" t="n"/>
      <c r="WXU93" s="248" t="n"/>
      <c r="WXV93" s="248" t="n"/>
      <c r="WXW93" s="240" t="n"/>
      <c r="WXX93" s="240" t="n"/>
      <c r="WXZ93" s="15" t="n"/>
      <c r="WYA93" s="15" t="n"/>
      <c r="WYB93" s="248" t="n"/>
      <c r="WYC93" s="248" t="n"/>
      <c r="WYD93" s="240" t="n"/>
      <c r="WYE93" s="240" t="n"/>
      <c r="WYG93" s="15" t="n"/>
      <c r="WYH93" s="15" t="n"/>
      <c r="WYI93" s="248" t="n"/>
      <c r="WYJ93" s="248" t="n"/>
      <c r="WYK93" s="240" t="n"/>
      <c r="WYL93" s="240" t="n"/>
      <c r="WYN93" s="15" t="n"/>
      <c r="WYO93" s="15" t="n"/>
      <c r="WYP93" s="248" t="n"/>
      <c r="WYQ93" s="248" t="n"/>
      <c r="WYR93" s="240" t="n"/>
      <c r="WYS93" s="240" t="n"/>
      <c r="WYU93" s="15" t="n"/>
      <c r="WYV93" s="15" t="n"/>
      <c r="WYW93" s="248" t="n"/>
      <c r="WYX93" s="248" t="n"/>
      <c r="WYY93" s="240" t="n"/>
      <c r="WYZ93" s="240" t="n"/>
      <c r="WZB93" s="15" t="n"/>
      <c r="WZC93" s="15" t="n"/>
      <c r="WZD93" s="248" t="n"/>
      <c r="WZE93" s="248" t="n"/>
      <c r="WZF93" s="240" t="n"/>
      <c r="WZG93" s="240" t="n"/>
      <c r="WZI93" s="15" t="n"/>
      <c r="WZJ93" s="15" t="n"/>
      <c r="WZK93" s="248" t="n"/>
      <c r="WZL93" s="248" t="n"/>
      <c r="WZM93" s="240" t="n"/>
      <c r="WZN93" s="240" t="n"/>
      <c r="WZP93" s="15" t="n"/>
      <c r="WZQ93" s="15" t="n"/>
      <c r="WZR93" s="248" t="n"/>
      <c r="WZS93" s="248" t="n"/>
      <c r="WZT93" s="240" t="n"/>
      <c r="WZU93" s="240" t="n"/>
      <c r="WZW93" s="15" t="n"/>
      <c r="WZX93" s="15" t="n"/>
      <c r="WZY93" s="248" t="n"/>
      <c r="WZZ93" s="248" t="n"/>
      <c r="XAA93" s="240" t="n"/>
      <c r="XAB93" s="240" t="n"/>
      <c r="XAD93" s="15" t="n"/>
      <c r="XAE93" s="15" t="n"/>
      <c r="XAF93" s="248" t="n"/>
      <c r="XAG93" s="248" t="n"/>
      <c r="XAH93" s="240" t="n"/>
      <c r="XAI93" s="240" t="n"/>
      <c r="XAK93" s="15" t="n"/>
      <c r="XAL93" s="15" t="n"/>
      <c r="XAM93" s="248" t="n"/>
      <c r="XAN93" s="248" t="n"/>
      <c r="XAO93" s="240" t="n"/>
      <c r="XAP93" s="240" t="n"/>
      <c r="XAR93" s="15" t="n"/>
      <c r="XAS93" s="15" t="n"/>
      <c r="XAT93" s="248" t="n"/>
      <c r="XAU93" s="248" t="n"/>
      <c r="XAV93" s="240" t="n"/>
      <c r="XAW93" s="240" t="n"/>
      <c r="XAY93" s="15" t="n"/>
      <c r="XAZ93" s="15" t="n"/>
      <c r="XBA93" s="248" t="n"/>
      <c r="XBB93" s="248" t="n"/>
      <c r="XBC93" s="240" t="n"/>
      <c r="XBD93" s="240" t="n"/>
      <c r="XBF93" s="15" t="n"/>
      <c r="XBG93" s="15" t="n"/>
      <c r="XBH93" s="248" t="n"/>
      <c r="XBI93" s="248" t="n"/>
      <c r="XBJ93" s="240" t="n"/>
      <c r="XBK93" s="240" t="n"/>
      <c r="XBM93" s="15" t="n"/>
      <c r="XBN93" s="15" t="n"/>
      <c r="XBO93" s="248" t="n"/>
      <c r="XBP93" s="248" t="n"/>
      <c r="XBQ93" s="240" t="n"/>
      <c r="XBR93" s="240" t="n"/>
      <c r="XBT93" s="15" t="n"/>
      <c r="XBU93" s="15" t="n"/>
      <c r="XBV93" s="248" t="n"/>
      <c r="XBW93" s="248" t="n"/>
      <c r="XBX93" s="240" t="n"/>
      <c r="XBY93" s="240" t="n"/>
      <c r="XCA93" s="15" t="n"/>
      <c r="XCB93" s="15" t="n"/>
      <c r="XCC93" s="248" t="n"/>
      <c r="XCD93" s="248" t="n"/>
      <c r="XCE93" s="240" t="n"/>
      <c r="XCF93" s="240" t="n"/>
      <c r="XCH93" s="15" t="n"/>
      <c r="XCI93" s="15" t="n"/>
      <c r="XCJ93" s="248" t="n"/>
      <c r="XCK93" s="248" t="n"/>
      <c r="XCL93" s="240" t="n"/>
      <c r="XCM93" s="240" t="n"/>
      <c r="XCO93" s="15" t="n"/>
      <c r="XCP93" s="15" t="n"/>
      <c r="XCQ93" s="248" t="n"/>
      <c r="XCR93" s="248" t="n"/>
      <c r="XCS93" s="240" t="n"/>
      <c r="XCT93" s="240" t="n"/>
      <c r="XCV93" s="15" t="n"/>
      <c r="XCW93" s="15" t="n"/>
      <c r="XCX93" s="248" t="n"/>
      <c r="XCY93" s="248" t="n"/>
      <c r="XCZ93" s="240" t="n"/>
      <c r="XDA93" s="240" t="n"/>
      <c r="XDC93" s="15" t="n"/>
      <c r="XDD93" s="15" t="n"/>
      <c r="XDE93" s="248" t="n"/>
      <c r="XDF93" s="248" t="n"/>
      <c r="XDG93" s="240" t="n"/>
      <c r="XDH93" s="240" t="n"/>
      <c r="XDJ93" s="15" t="n"/>
      <c r="XDK93" s="15" t="n"/>
      <c r="XDL93" s="248" t="n"/>
      <c r="XDM93" s="248" t="n"/>
      <c r="XDN93" s="240" t="n"/>
      <c r="XDO93" s="240" t="n"/>
      <c r="XDQ93" s="15" t="n"/>
      <c r="XDR93" s="15" t="n"/>
      <c r="XDS93" s="248" t="n"/>
      <c r="XDT93" s="248" t="n"/>
      <c r="XDU93" s="240" t="n"/>
      <c r="XDV93" s="240" t="n"/>
      <c r="XDX93" s="15" t="n"/>
      <c r="XDY93" s="15" t="n"/>
      <c r="XDZ93" s="248" t="n"/>
      <c r="XEA93" s="248" t="n"/>
      <c r="XEB93" s="240" t="n"/>
      <c r="XEC93" s="240" t="n"/>
      <c r="XEE93" s="15" t="n"/>
      <c r="XEF93" s="15" t="n"/>
      <c r="XEG93" s="248" t="n"/>
      <c r="XEH93" s="248" t="n"/>
      <c r="XEI93" s="240" t="n"/>
      <c r="XEJ93" s="240" t="n"/>
      <c r="XEL93" s="15" t="n"/>
      <c r="XEM93" s="15" t="n"/>
      <c r="XEN93" s="248" t="n"/>
      <c r="XEO93" s="248" t="n"/>
      <c r="XEP93" s="240" t="n"/>
      <c r="XEQ93" s="240" t="n"/>
      <c r="XES93" s="15" t="n"/>
      <c r="XET93" s="15" t="n"/>
      <c r="XEU93" s="248" t="n"/>
      <c r="XEV93" s="248" t="n"/>
      <c r="XEW93" s="240" t="n"/>
      <c r="XEX93" s="240" t="n"/>
      <c r="XEZ93" s="15" t="n"/>
      <c r="XFA93" s="15" t="n"/>
      <c r="XFB93" s="248" t="n"/>
      <c r="XFC93" s="248" t="n"/>
      <c r="XFD93" s="240" t="n"/>
    </row>
    <row r="94">
      <c r="A94" s="41" t="inlineStr">
        <is>
          <t>Coverage L</t>
        </is>
      </c>
      <c r="B94" s="42" t="inlineStr">
        <is>
          <t>Care, Custody and Control</t>
        </is>
      </c>
      <c r="C94" s="42" t="n"/>
      <c r="D94" s="42" t="n"/>
      <c r="E94" s="253" t="n">
        <v>0</v>
      </c>
      <c r="F94" s="253" t="n"/>
      <c r="G94" s="253" t="n"/>
      <c r="H94" s="253" t="n"/>
      <c r="I94" s="253" t="n"/>
      <c r="J94" s="253" t="n"/>
      <c r="K94" s="154" t="n"/>
      <c r="L94" s="142">
        <f>K94</f>
        <v/>
      </c>
      <c r="M94" s="254" t="n"/>
      <c r="N94" s="93" t="n"/>
      <c r="O94" s="15" t="n"/>
      <c r="P94" s="248" t="n"/>
      <c r="Q94" s="248" t="n"/>
      <c r="R94" s="240" t="n"/>
      <c r="S94" s="240" t="n"/>
      <c r="U94" s="15" t="n"/>
      <c r="V94" s="15" t="n"/>
      <c r="W94" s="248" t="n"/>
      <c r="X94" s="248" t="n"/>
      <c r="Y94" s="240" t="n"/>
      <c r="Z94" s="240" t="n"/>
      <c r="AB94" s="15" t="n"/>
      <c r="AC94" s="15" t="n"/>
      <c r="AD94" s="248" t="n"/>
      <c r="AE94" s="248" t="n"/>
      <c r="AF94" s="240" t="n"/>
      <c r="AG94" s="240" t="n"/>
      <c r="AI94" s="15" t="n"/>
      <c r="AJ94" s="15" t="n"/>
      <c r="AK94" s="248" t="n"/>
      <c r="AL94" s="248" t="n"/>
      <c r="AM94" s="240" t="n"/>
      <c r="AN94" s="240" t="n"/>
      <c r="AP94" s="15" t="n"/>
      <c r="AQ94" s="15" t="n"/>
      <c r="AR94" s="248" t="n"/>
      <c r="AS94" s="248" t="n"/>
      <c r="AT94" s="240" t="n"/>
      <c r="AU94" s="240" t="n"/>
      <c r="AW94" s="15" t="n"/>
      <c r="AX94" s="15" t="n"/>
      <c r="AY94" s="248" t="n"/>
      <c r="AZ94" s="248" t="n"/>
      <c r="BA94" s="240" t="n"/>
      <c r="BB94" s="240" t="n"/>
      <c r="BD94" s="15" t="n"/>
      <c r="BE94" s="15" t="n"/>
      <c r="BF94" s="248" t="n"/>
      <c r="BG94" s="248" t="n"/>
      <c r="BH94" s="240" t="n"/>
      <c r="BI94" s="240" t="n"/>
      <c r="BK94" s="15" t="n"/>
      <c r="BL94" s="15" t="n"/>
      <c r="BM94" s="248" t="n"/>
      <c r="BN94" s="248" t="n"/>
      <c r="BO94" s="240" t="n"/>
      <c r="BP94" s="240" t="n"/>
      <c r="BR94" s="15" t="n"/>
      <c r="BS94" s="15" t="n"/>
      <c r="BT94" s="248" t="n"/>
      <c r="BU94" s="248" t="n"/>
      <c r="BV94" s="240" t="n"/>
      <c r="BW94" s="240" t="n"/>
      <c r="BY94" s="15" t="n"/>
      <c r="BZ94" s="15" t="n"/>
      <c r="CA94" s="248" t="n"/>
      <c r="CB94" s="248" t="n"/>
      <c r="CC94" s="240" t="n"/>
      <c r="CD94" s="240" t="n"/>
      <c r="CF94" s="15" t="n"/>
      <c r="CG94" s="15" t="n"/>
      <c r="CH94" s="248" t="n"/>
      <c r="CI94" s="248" t="n"/>
      <c r="CJ94" s="240" t="n"/>
      <c r="CK94" s="240" t="n"/>
      <c r="CM94" s="15" t="n"/>
      <c r="CN94" s="15" t="n"/>
      <c r="CO94" s="248" t="n"/>
      <c r="CP94" s="248" t="n"/>
      <c r="CQ94" s="240" t="n"/>
      <c r="CR94" s="240" t="n"/>
      <c r="CT94" s="15" t="n"/>
      <c r="CU94" s="15" t="n"/>
      <c r="CV94" s="248" t="n"/>
      <c r="CW94" s="248" t="n"/>
      <c r="CX94" s="240" t="n"/>
      <c r="CY94" s="240" t="n"/>
      <c r="DA94" s="15" t="n"/>
      <c r="DB94" s="15" t="n"/>
      <c r="DC94" s="248" t="n"/>
      <c r="DD94" s="248" t="n"/>
      <c r="DE94" s="240" t="n"/>
      <c r="DF94" s="240" t="n"/>
      <c r="DH94" s="15" t="n"/>
      <c r="DI94" s="15" t="n"/>
      <c r="DJ94" s="248" t="n"/>
      <c r="DK94" s="248" t="n"/>
      <c r="DL94" s="240" t="n"/>
      <c r="DM94" s="240" t="n"/>
      <c r="DO94" s="15" t="n"/>
      <c r="DP94" s="15" t="n"/>
      <c r="DQ94" s="248" t="n"/>
      <c r="DR94" s="248" t="n"/>
      <c r="DS94" s="240" t="n"/>
      <c r="DT94" s="240" t="n"/>
      <c r="DV94" s="15" t="n"/>
      <c r="DW94" s="15" t="n"/>
      <c r="DX94" s="248" t="n"/>
      <c r="DY94" s="248" t="n"/>
      <c r="DZ94" s="240" t="n"/>
      <c r="EA94" s="240" t="n"/>
      <c r="EC94" s="15" t="n"/>
      <c r="ED94" s="15" t="n"/>
      <c r="EE94" s="248" t="n"/>
      <c r="EF94" s="248" t="n"/>
      <c r="EG94" s="240" t="n"/>
      <c r="EH94" s="240" t="n"/>
      <c r="EJ94" s="15" t="n"/>
      <c r="EK94" s="15" t="n"/>
      <c r="EL94" s="248" t="n"/>
      <c r="EM94" s="248" t="n"/>
      <c r="EN94" s="240" t="n"/>
      <c r="EO94" s="240" t="n"/>
      <c r="EQ94" s="15" t="n"/>
      <c r="ER94" s="15" t="n"/>
      <c r="ES94" s="248" t="n"/>
      <c r="ET94" s="248" t="n"/>
      <c r="EU94" s="240" t="n"/>
      <c r="EV94" s="240" t="n"/>
      <c r="EX94" s="15" t="n"/>
      <c r="EY94" s="15" t="n"/>
      <c r="EZ94" s="248" t="n"/>
      <c r="FA94" s="248" t="n"/>
      <c r="FB94" s="240" t="n"/>
      <c r="FC94" s="240" t="n"/>
      <c r="FE94" s="15" t="n"/>
      <c r="FF94" s="15" t="n"/>
      <c r="FG94" s="248" t="n"/>
      <c r="FH94" s="248" t="n"/>
      <c r="FI94" s="240" t="n"/>
      <c r="FJ94" s="240" t="n"/>
      <c r="FL94" s="15" t="n"/>
      <c r="FM94" s="15" t="n"/>
      <c r="FN94" s="248" t="n"/>
      <c r="FO94" s="248" t="n"/>
      <c r="FP94" s="240" t="n"/>
      <c r="FQ94" s="240" t="n"/>
      <c r="FS94" s="15" t="n"/>
      <c r="FT94" s="15" t="n"/>
      <c r="FU94" s="248" t="n"/>
      <c r="FV94" s="248" t="n"/>
      <c r="FW94" s="240" t="n"/>
      <c r="FX94" s="240" t="n"/>
      <c r="FZ94" s="15" t="n"/>
      <c r="GA94" s="15" t="n"/>
      <c r="GB94" s="248" t="n"/>
      <c r="GC94" s="248" t="n"/>
      <c r="GD94" s="240" t="n"/>
      <c r="GE94" s="240" t="n"/>
      <c r="GG94" s="15" t="n"/>
      <c r="GH94" s="15" t="n"/>
      <c r="GI94" s="248" t="n"/>
      <c r="GJ94" s="248" t="n"/>
      <c r="GK94" s="240" t="n"/>
      <c r="GL94" s="240" t="n"/>
      <c r="GN94" s="15" t="n"/>
      <c r="GO94" s="15" t="n"/>
      <c r="GP94" s="248" t="n"/>
      <c r="GQ94" s="248" t="n"/>
      <c r="GR94" s="240" t="n"/>
      <c r="GS94" s="240" t="n"/>
      <c r="GU94" s="15" t="n"/>
      <c r="GV94" s="15" t="n"/>
      <c r="GW94" s="248" t="n"/>
      <c r="GX94" s="248" t="n"/>
      <c r="GY94" s="240" t="n"/>
      <c r="GZ94" s="240" t="n"/>
      <c r="HB94" s="15" t="n"/>
      <c r="HC94" s="15" t="n"/>
      <c r="HD94" s="248" t="n"/>
      <c r="HE94" s="248" t="n"/>
      <c r="HF94" s="240" t="n"/>
      <c r="HG94" s="240" t="n"/>
      <c r="HI94" s="15" t="n"/>
      <c r="HJ94" s="15" t="n"/>
      <c r="HK94" s="248" t="n"/>
      <c r="HL94" s="248" t="n"/>
      <c r="HM94" s="240" t="n"/>
      <c r="HN94" s="240" t="n"/>
      <c r="HP94" s="15" t="n"/>
      <c r="HQ94" s="15" t="n"/>
      <c r="HR94" s="248" t="n"/>
      <c r="HS94" s="248" t="n"/>
      <c r="HT94" s="240" t="n"/>
      <c r="HU94" s="240" t="n"/>
      <c r="HW94" s="15" t="n"/>
      <c r="HX94" s="15" t="n"/>
      <c r="HY94" s="248" t="n"/>
      <c r="HZ94" s="248" t="n"/>
      <c r="IA94" s="240" t="n"/>
      <c r="IB94" s="240" t="n"/>
      <c r="ID94" s="15" t="n"/>
      <c r="IE94" s="15" t="n"/>
      <c r="IF94" s="248" t="n"/>
      <c r="IG94" s="248" t="n"/>
      <c r="IH94" s="240" t="n"/>
      <c r="II94" s="240" t="n"/>
      <c r="IK94" s="15" t="n"/>
      <c r="IL94" s="15" t="n"/>
      <c r="IM94" s="248" t="n"/>
      <c r="IN94" s="248" t="n"/>
      <c r="IO94" s="240" t="n"/>
      <c r="IP94" s="240" t="n"/>
      <c r="IR94" s="15" t="n"/>
      <c r="IS94" s="15" t="n"/>
      <c r="IT94" s="248" t="n"/>
      <c r="IU94" s="248" t="n"/>
      <c r="IV94" s="240" t="n"/>
      <c r="IW94" s="240" t="n"/>
      <c r="IY94" s="15" t="n"/>
      <c r="IZ94" s="15" t="n"/>
      <c r="JA94" s="248" t="n"/>
      <c r="JB94" s="248" t="n"/>
      <c r="JC94" s="240" t="n"/>
      <c r="JD94" s="240" t="n"/>
      <c r="JF94" s="15" t="n"/>
      <c r="JG94" s="15" t="n"/>
      <c r="JH94" s="248" t="n"/>
      <c r="JI94" s="248" t="n"/>
      <c r="JJ94" s="240" t="n"/>
      <c r="JK94" s="240" t="n"/>
      <c r="JM94" s="15" t="n"/>
      <c r="JN94" s="15" t="n"/>
      <c r="JO94" s="248" t="n"/>
      <c r="JP94" s="248" t="n"/>
      <c r="JQ94" s="240" t="n"/>
      <c r="JR94" s="240" t="n"/>
      <c r="JT94" s="15" t="n"/>
      <c r="JU94" s="15" t="n"/>
      <c r="JV94" s="248" t="n"/>
      <c r="JW94" s="248" t="n"/>
      <c r="JX94" s="240" t="n"/>
      <c r="JY94" s="240" t="n"/>
      <c r="KA94" s="15" t="n"/>
      <c r="KB94" s="15" t="n"/>
      <c r="KC94" s="248" t="n"/>
      <c r="KD94" s="248" t="n"/>
      <c r="KE94" s="240" t="n"/>
      <c r="KF94" s="240" t="n"/>
      <c r="KH94" s="15" t="n"/>
      <c r="KI94" s="15" t="n"/>
      <c r="KJ94" s="248" t="n"/>
      <c r="KK94" s="248" t="n"/>
      <c r="KL94" s="240" t="n"/>
      <c r="KM94" s="240" t="n"/>
      <c r="KO94" s="15" t="n"/>
      <c r="KP94" s="15" t="n"/>
      <c r="KQ94" s="248" t="n"/>
      <c r="KR94" s="248" t="n"/>
      <c r="KS94" s="240" t="n"/>
      <c r="KT94" s="240" t="n"/>
      <c r="KV94" s="15" t="n"/>
      <c r="KW94" s="15" t="n"/>
      <c r="KX94" s="248" t="n"/>
      <c r="KY94" s="248" t="n"/>
      <c r="KZ94" s="240" t="n"/>
      <c r="LA94" s="240" t="n"/>
      <c r="LC94" s="15" t="n"/>
      <c r="LD94" s="15" t="n"/>
      <c r="LE94" s="248" t="n"/>
      <c r="LF94" s="248" t="n"/>
      <c r="LG94" s="240" t="n"/>
      <c r="LH94" s="240" t="n"/>
      <c r="LJ94" s="15" t="n"/>
      <c r="LK94" s="15" t="n"/>
      <c r="LL94" s="248" t="n"/>
      <c r="LM94" s="248" t="n"/>
      <c r="LN94" s="240" t="n"/>
      <c r="LO94" s="240" t="n"/>
      <c r="LQ94" s="15" t="n"/>
      <c r="LR94" s="15" t="n"/>
      <c r="LS94" s="248" t="n"/>
      <c r="LT94" s="248" t="n"/>
      <c r="LU94" s="240" t="n"/>
      <c r="LV94" s="240" t="n"/>
      <c r="LX94" s="15" t="n"/>
      <c r="LY94" s="15" t="n"/>
      <c r="LZ94" s="248" t="n"/>
      <c r="MA94" s="248" t="n"/>
      <c r="MB94" s="240" t="n"/>
      <c r="MC94" s="240" t="n"/>
      <c r="ME94" s="15" t="n"/>
      <c r="MF94" s="15" t="n"/>
      <c r="MG94" s="248" t="n"/>
      <c r="MH94" s="248" t="n"/>
      <c r="MI94" s="240" t="n"/>
      <c r="MJ94" s="240" t="n"/>
      <c r="ML94" s="15" t="n"/>
      <c r="MM94" s="15" t="n"/>
      <c r="MN94" s="248" t="n"/>
      <c r="MO94" s="248" t="n"/>
      <c r="MP94" s="240" t="n"/>
      <c r="MQ94" s="240" t="n"/>
      <c r="MS94" s="15" t="n"/>
      <c r="MT94" s="15" t="n"/>
      <c r="MU94" s="248" t="n"/>
      <c r="MV94" s="248" t="n"/>
      <c r="MW94" s="240" t="n"/>
      <c r="MX94" s="240" t="n"/>
      <c r="MZ94" s="15" t="n"/>
      <c r="NA94" s="15" t="n"/>
      <c r="NB94" s="248" t="n"/>
      <c r="NC94" s="248" t="n"/>
      <c r="ND94" s="240" t="n"/>
      <c r="NE94" s="240" t="n"/>
      <c r="NG94" s="15" t="n"/>
      <c r="NH94" s="15" t="n"/>
      <c r="NI94" s="248" t="n"/>
      <c r="NJ94" s="248" t="n"/>
      <c r="NK94" s="240" t="n"/>
      <c r="NL94" s="240" t="n"/>
      <c r="NN94" s="15" t="n"/>
      <c r="NO94" s="15" t="n"/>
      <c r="NP94" s="248" t="n"/>
      <c r="NQ94" s="248" t="n"/>
      <c r="NR94" s="240" t="n"/>
      <c r="NS94" s="240" t="n"/>
      <c r="NU94" s="15" t="n"/>
      <c r="NV94" s="15" t="n"/>
      <c r="NW94" s="248" t="n"/>
      <c r="NX94" s="248" t="n"/>
      <c r="NY94" s="240" t="n"/>
      <c r="NZ94" s="240" t="n"/>
      <c r="OB94" s="15" t="n"/>
      <c r="OC94" s="15" t="n"/>
      <c r="OD94" s="248" t="n"/>
      <c r="OE94" s="248" t="n"/>
      <c r="OF94" s="240" t="n"/>
      <c r="OG94" s="240" t="n"/>
      <c r="OI94" s="15" t="n"/>
      <c r="OJ94" s="15" t="n"/>
      <c r="OK94" s="248" t="n"/>
      <c r="OL94" s="248" t="n"/>
      <c r="OM94" s="240" t="n"/>
      <c r="ON94" s="240" t="n"/>
      <c r="OP94" s="15" t="n"/>
      <c r="OQ94" s="15" t="n"/>
      <c r="OR94" s="248" t="n"/>
      <c r="OS94" s="248" t="n"/>
      <c r="OT94" s="240" t="n"/>
      <c r="OU94" s="240" t="n"/>
      <c r="OW94" s="15" t="n"/>
      <c r="OX94" s="15" t="n"/>
      <c r="OY94" s="248" t="n"/>
      <c r="OZ94" s="248" t="n"/>
      <c r="PA94" s="240" t="n"/>
      <c r="PB94" s="240" t="n"/>
      <c r="PD94" s="15" t="n"/>
      <c r="PE94" s="15" t="n"/>
      <c r="PF94" s="248" t="n"/>
      <c r="PG94" s="248" t="n"/>
      <c r="PH94" s="240" t="n"/>
      <c r="PI94" s="240" t="n"/>
      <c r="PK94" s="15" t="n"/>
      <c r="PL94" s="15" t="n"/>
      <c r="PM94" s="248" t="n"/>
      <c r="PN94" s="248" t="n"/>
      <c r="PO94" s="240" t="n"/>
      <c r="PP94" s="240" t="n"/>
      <c r="PR94" s="15" t="n"/>
      <c r="PS94" s="15" t="n"/>
      <c r="PT94" s="248" t="n"/>
      <c r="PU94" s="248" t="n"/>
      <c r="PV94" s="240" t="n"/>
      <c r="PW94" s="240" t="n"/>
      <c r="PY94" s="15" t="n"/>
      <c r="PZ94" s="15" t="n"/>
      <c r="QA94" s="248" t="n"/>
      <c r="QB94" s="248" t="n"/>
      <c r="QC94" s="240" t="n"/>
      <c r="QD94" s="240" t="n"/>
      <c r="QF94" s="15" t="n"/>
      <c r="QG94" s="15" t="n"/>
      <c r="QH94" s="248" t="n"/>
      <c r="QI94" s="248" t="n"/>
      <c r="QJ94" s="240" t="n"/>
      <c r="QK94" s="240" t="n"/>
      <c r="QM94" s="15" t="n"/>
      <c r="QN94" s="15" t="n"/>
      <c r="QO94" s="248" t="n"/>
      <c r="QP94" s="248" t="n"/>
      <c r="QQ94" s="240" t="n"/>
      <c r="QR94" s="240" t="n"/>
      <c r="QT94" s="15" t="n"/>
      <c r="QU94" s="15" t="n"/>
      <c r="QV94" s="248" t="n"/>
      <c r="QW94" s="248" t="n"/>
      <c r="QX94" s="240" t="n"/>
      <c r="QY94" s="240" t="n"/>
      <c r="RA94" s="15" t="n"/>
      <c r="RB94" s="15" t="n"/>
      <c r="RC94" s="248" t="n"/>
      <c r="RD94" s="248" t="n"/>
      <c r="RE94" s="240" t="n"/>
      <c r="RF94" s="240" t="n"/>
      <c r="RH94" s="15" t="n"/>
      <c r="RI94" s="15" t="n"/>
      <c r="RJ94" s="248" t="n"/>
      <c r="RK94" s="248" t="n"/>
      <c r="RL94" s="240" t="n"/>
      <c r="RM94" s="240" t="n"/>
      <c r="RO94" s="15" t="n"/>
      <c r="RP94" s="15" t="n"/>
      <c r="RQ94" s="248" t="n"/>
      <c r="RR94" s="248" t="n"/>
      <c r="RS94" s="240" t="n"/>
      <c r="RT94" s="240" t="n"/>
      <c r="RV94" s="15" t="n"/>
      <c r="RW94" s="15" t="n"/>
      <c r="RX94" s="248" t="n"/>
      <c r="RY94" s="248" t="n"/>
      <c r="RZ94" s="240" t="n"/>
      <c r="SA94" s="240" t="n"/>
      <c r="SC94" s="15" t="n"/>
      <c r="SD94" s="15" t="n"/>
      <c r="SE94" s="248" t="n"/>
      <c r="SF94" s="248" t="n"/>
      <c r="SG94" s="240" t="n"/>
      <c r="SH94" s="240" t="n"/>
      <c r="SJ94" s="15" t="n"/>
      <c r="SK94" s="15" t="n"/>
      <c r="SL94" s="248" t="n"/>
      <c r="SM94" s="248" t="n"/>
      <c r="SN94" s="240" t="n"/>
      <c r="SO94" s="240" t="n"/>
      <c r="SQ94" s="15" t="n"/>
      <c r="SR94" s="15" t="n"/>
      <c r="SS94" s="248" t="n"/>
      <c r="ST94" s="248" t="n"/>
      <c r="SU94" s="240" t="n"/>
      <c r="SV94" s="240" t="n"/>
      <c r="SX94" s="15" t="n"/>
      <c r="SY94" s="15" t="n"/>
      <c r="SZ94" s="248" t="n"/>
      <c r="TA94" s="248" t="n"/>
      <c r="TB94" s="240" t="n"/>
      <c r="TC94" s="240" t="n"/>
      <c r="TE94" s="15" t="n"/>
      <c r="TF94" s="15" t="n"/>
      <c r="TG94" s="248" t="n"/>
      <c r="TH94" s="248" t="n"/>
      <c r="TI94" s="240" t="n"/>
      <c r="TJ94" s="240" t="n"/>
      <c r="TL94" s="15" t="n"/>
      <c r="TM94" s="15" t="n"/>
      <c r="TN94" s="248" t="n"/>
      <c r="TO94" s="248" t="n"/>
      <c r="TP94" s="240" t="n"/>
      <c r="TQ94" s="240" t="n"/>
      <c r="TS94" s="15" t="n"/>
      <c r="TT94" s="15" t="n"/>
      <c r="TU94" s="248" t="n"/>
      <c r="TV94" s="248" t="n"/>
      <c r="TW94" s="240" t="n"/>
      <c r="TX94" s="240" t="n"/>
      <c r="TZ94" s="15" t="n"/>
      <c r="UA94" s="15" t="n"/>
      <c r="UB94" s="248" t="n"/>
      <c r="UC94" s="248" t="n"/>
      <c r="UD94" s="240" t="n"/>
      <c r="UE94" s="240" t="n"/>
      <c r="UG94" s="15" t="n"/>
      <c r="UH94" s="15" t="n"/>
      <c r="UI94" s="248" t="n"/>
      <c r="UJ94" s="248" t="n"/>
      <c r="UK94" s="240" t="n"/>
      <c r="UL94" s="240" t="n"/>
      <c r="UN94" s="15" t="n"/>
      <c r="UO94" s="15" t="n"/>
      <c r="UP94" s="248" t="n"/>
      <c r="UQ94" s="248" t="n"/>
      <c r="UR94" s="240" t="n"/>
      <c r="US94" s="240" t="n"/>
      <c r="UU94" s="15" t="n"/>
      <c r="UV94" s="15" t="n"/>
      <c r="UW94" s="248" t="n"/>
      <c r="UX94" s="248" t="n"/>
      <c r="UY94" s="240" t="n"/>
      <c r="UZ94" s="240" t="n"/>
      <c r="VB94" s="15" t="n"/>
      <c r="VC94" s="15" t="n"/>
      <c r="VD94" s="248" t="n"/>
      <c r="VE94" s="248" t="n"/>
      <c r="VF94" s="240" t="n"/>
      <c r="VG94" s="240" t="n"/>
      <c r="VI94" s="15" t="n"/>
      <c r="VJ94" s="15" t="n"/>
      <c r="VK94" s="248" t="n"/>
      <c r="VL94" s="248" t="n"/>
      <c r="VM94" s="240" t="n"/>
      <c r="VN94" s="240" t="n"/>
      <c r="VP94" s="15" t="n"/>
      <c r="VQ94" s="15" t="n"/>
      <c r="VR94" s="248" t="n"/>
      <c r="VS94" s="248" t="n"/>
      <c r="VT94" s="240" t="n"/>
      <c r="VU94" s="240" t="n"/>
      <c r="VW94" s="15" t="n"/>
      <c r="VX94" s="15" t="n"/>
      <c r="VY94" s="248" t="n"/>
      <c r="VZ94" s="248" t="n"/>
      <c r="WA94" s="240" t="n"/>
      <c r="WB94" s="240" t="n"/>
      <c r="WD94" s="15" t="n"/>
      <c r="WE94" s="15" t="n"/>
      <c r="WF94" s="248" t="n"/>
      <c r="WG94" s="248" t="n"/>
      <c r="WH94" s="240" t="n"/>
      <c r="WI94" s="240" t="n"/>
      <c r="WK94" s="15" t="n"/>
      <c r="WL94" s="15" t="n"/>
      <c r="WM94" s="248" t="n"/>
      <c r="WN94" s="248" t="n"/>
      <c r="WO94" s="240" t="n"/>
      <c r="WP94" s="240" t="n"/>
      <c r="WR94" s="15" t="n"/>
      <c r="WS94" s="15" t="n"/>
      <c r="WT94" s="248" t="n"/>
      <c r="WU94" s="248" t="n"/>
      <c r="WV94" s="240" t="n"/>
      <c r="WW94" s="240" t="n"/>
      <c r="WY94" s="15" t="n"/>
      <c r="WZ94" s="15" t="n"/>
      <c r="XA94" s="248" t="n"/>
      <c r="XB94" s="248" t="n"/>
      <c r="XC94" s="240" t="n"/>
      <c r="XD94" s="240" t="n"/>
      <c r="XF94" s="15" t="n"/>
      <c r="XG94" s="15" t="n"/>
      <c r="XH94" s="248" t="n"/>
      <c r="XI94" s="248" t="n"/>
      <c r="XJ94" s="240" t="n"/>
      <c r="XK94" s="240" t="n"/>
      <c r="XM94" s="15" t="n"/>
      <c r="XN94" s="15" t="n"/>
      <c r="XO94" s="248" t="n"/>
      <c r="XP94" s="248" t="n"/>
      <c r="XQ94" s="240" t="n"/>
      <c r="XR94" s="240" t="n"/>
      <c r="XT94" s="15" t="n"/>
      <c r="XU94" s="15" t="n"/>
      <c r="XV94" s="248" t="n"/>
      <c r="XW94" s="248" t="n"/>
      <c r="XX94" s="240" t="n"/>
      <c r="XY94" s="240" t="n"/>
      <c r="YA94" s="15" t="n"/>
      <c r="YB94" s="15" t="n"/>
      <c r="YC94" s="248" t="n"/>
      <c r="YD94" s="248" t="n"/>
      <c r="YE94" s="240" t="n"/>
      <c r="YF94" s="240" t="n"/>
      <c r="YH94" s="15" t="n"/>
      <c r="YI94" s="15" t="n"/>
      <c r="YJ94" s="248" t="n"/>
      <c r="YK94" s="248" t="n"/>
      <c r="YL94" s="240" t="n"/>
      <c r="YM94" s="240" t="n"/>
      <c r="YO94" s="15" t="n"/>
      <c r="YP94" s="15" t="n"/>
      <c r="YQ94" s="248" t="n"/>
      <c r="YR94" s="248" t="n"/>
      <c r="YS94" s="240" t="n"/>
      <c r="YT94" s="240" t="n"/>
      <c r="YV94" s="15" t="n"/>
      <c r="YW94" s="15" t="n"/>
      <c r="YX94" s="248" t="n"/>
      <c r="YY94" s="248" t="n"/>
      <c r="YZ94" s="240" t="n"/>
      <c r="ZA94" s="240" t="n"/>
      <c r="ZC94" s="15" t="n"/>
      <c r="ZD94" s="15" t="n"/>
      <c r="ZE94" s="248" t="n"/>
      <c r="ZF94" s="248" t="n"/>
      <c r="ZG94" s="240" t="n"/>
      <c r="ZH94" s="240" t="n"/>
      <c r="ZJ94" s="15" t="n"/>
      <c r="ZK94" s="15" t="n"/>
      <c r="ZL94" s="248" t="n"/>
      <c r="ZM94" s="248" t="n"/>
      <c r="ZN94" s="240" t="n"/>
      <c r="ZO94" s="240" t="n"/>
      <c r="ZQ94" s="15" t="n"/>
      <c r="ZR94" s="15" t="n"/>
      <c r="ZS94" s="248" t="n"/>
      <c r="ZT94" s="248" t="n"/>
      <c r="ZU94" s="240" t="n"/>
      <c r="ZV94" s="240" t="n"/>
      <c r="ZX94" s="15" t="n"/>
      <c r="ZY94" s="15" t="n"/>
      <c r="ZZ94" s="248" t="n"/>
      <c r="AAA94" s="248" t="n"/>
      <c r="AAB94" s="240" t="n"/>
      <c r="AAC94" s="240" t="n"/>
      <c r="AAE94" s="15" t="n"/>
      <c r="AAF94" s="15" t="n"/>
      <c r="AAG94" s="248" t="n"/>
      <c r="AAH94" s="248" t="n"/>
      <c r="AAI94" s="240" t="n"/>
      <c r="AAJ94" s="240" t="n"/>
      <c r="AAL94" s="15" t="n"/>
      <c r="AAM94" s="15" t="n"/>
      <c r="AAN94" s="248" t="n"/>
      <c r="AAO94" s="248" t="n"/>
      <c r="AAP94" s="240" t="n"/>
      <c r="AAQ94" s="240" t="n"/>
      <c r="AAS94" s="15" t="n"/>
      <c r="AAT94" s="15" t="n"/>
      <c r="AAU94" s="248" t="n"/>
      <c r="AAV94" s="248" t="n"/>
      <c r="AAW94" s="240" t="n"/>
      <c r="AAX94" s="240" t="n"/>
      <c r="AAZ94" s="15" t="n"/>
      <c r="ABA94" s="15" t="n"/>
      <c r="ABB94" s="248" t="n"/>
      <c r="ABC94" s="248" t="n"/>
      <c r="ABD94" s="240" t="n"/>
      <c r="ABE94" s="240" t="n"/>
      <c r="ABG94" s="15" t="n"/>
      <c r="ABH94" s="15" t="n"/>
      <c r="ABI94" s="248" t="n"/>
      <c r="ABJ94" s="248" t="n"/>
      <c r="ABK94" s="240" t="n"/>
      <c r="ABL94" s="240" t="n"/>
      <c r="ABN94" s="15" t="n"/>
      <c r="ABO94" s="15" t="n"/>
      <c r="ABP94" s="248" t="n"/>
      <c r="ABQ94" s="248" t="n"/>
      <c r="ABR94" s="240" t="n"/>
      <c r="ABS94" s="240" t="n"/>
      <c r="ABU94" s="15" t="n"/>
      <c r="ABV94" s="15" t="n"/>
      <c r="ABW94" s="248" t="n"/>
      <c r="ABX94" s="248" t="n"/>
      <c r="ABY94" s="240" t="n"/>
      <c r="ABZ94" s="240" t="n"/>
      <c r="ACB94" s="15" t="n"/>
      <c r="ACC94" s="15" t="n"/>
      <c r="ACD94" s="248" t="n"/>
      <c r="ACE94" s="248" t="n"/>
      <c r="ACF94" s="240" t="n"/>
      <c r="ACG94" s="240" t="n"/>
      <c r="ACI94" s="15" t="n"/>
      <c r="ACJ94" s="15" t="n"/>
      <c r="ACK94" s="248" t="n"/>
      <c r="ACL94" s="248" t="n"/>
      <c r="ACM94" s="240" t="n"/>
      <c r="ACN94" s="240" t="n"/>
      <c r="ACP94" s="15" t="n"/>
      <c r="ACQ94" s="15" t="n"/>
      <c r="ACR94" s="248" t="n"/>
      <c r="ACS94" s="248" t="n"/>
      <c r="ACT94" s="240" t="n"/>
      <c r="ACU94" s="240" t="n"/>
      <c r="ACW94" s="15" t="n"/>
      <c r="ACX94" s="15" t="n"/>
      <c r="ACY94" s="248" t="n"/>
      <c r="ACZ94" s="248" t="n"/>
      <c r="ADA94" s="240" t="n"/>
      <c r="ADB94" s="240" t="n"/>
      <c r="ADD94" s="15" t="n"/>
      <c r="ADE94" s="15" t="n"/>
      <c r="ADF94" s="248" t="n"/>
      <c r="ADG94" s="248" t="n"/>
      <c r="ADH94" s="240" t="n"/>
      <c r="ADI94" s="240" t="n"/>
      <c r="ADK94" s="15" t="n"/>
      <c r="ADL94" s="15" t="n"/>
      <c r="ADM94" s="248" t="n"/>
      <c r="ADN94" s="248" t="n"/>
      <c r="ADO94" s="240" t="n"/>
      <c r="ADP94" s="240" t="n"/>
      <c r="ADR94" s="15" t="n"/>
      <c r="ADS94" s="15" t="n"/>
      <c r="ADT94" s="248" t="n"/>
      <c r="ADU94" s="248" t="n"/>
      <c r="ADV94" s="240" t="n"/>
      <c r="ADW94" s="240" t="n"/>
      <c r="ADY94" s="15" t="n"/>
      <c r="ADZ94" s="15" t="n"/>
      <c r="AEA94" s="248" t="n"/>
      <c r="AEB94" s="248" t="n"/>
      <c r="AEC94" s="240" t="n"/>
      <c r="AED94" s="240" t="n"/>
      <c r="AEF94" s="15" t="n"/>
      <c r="AEG94" s="15" t="n"/>
      <c r="AEH94" s="248" t="n"/>
      <c r="AEI94" s="248" t="n"/>
      <c r="AEJ94" s="240" t="n"/>
      <c r="AEK94" s="240" t="n"/>
      <c r="AEM94" s="15" t="n"/>
      <c r="AEN94" s="15" t="n"/>
      <c r="AEO94" s="248" t="n"/>
      <c r="AEP94" s="248" t="n"/>
      <c r="AEQ94" s="240" t="n"/>
      <c r="AER94" s="240" t="n"/>
      <c r="AET94" s="15" t="n"/>
      <c r="AEU94" s="15" t="n"/>
      <c r="AEV94" s="248" t="n"/>
      <c r="AEW94" s="248" t="n"/>
      <c r="AEX94" s="240" t="n"/>
      <c r="AEY94" s="240" t="n"/>
      <c r="AFA94" s="15" t="n"/>
      <c r="AFB94" s="15" t="n"/>
      <c r="AFC94" s="248" t="n"/>
      <c r="AFD94" s="248" t="n"/>
      <c r="AFE94" s="240" t="n"/>
      <c r="AFF94" s="240" t="n"/>
      <c r="AFH94" s="15" t="n"/>
      <c r="AFI94" s="15" t="n"/>
      <c r="AFJ94" s="248" t="n"/>
      <c r="AFK94" s="248" t="n"/>
      <c r="AFL94" s="240" t="n"/>
      <c r="AFM94" s="240" t="n"/>
      <c r="AFO94" s="15" t="n"/>
      <c r="AFP94" s="15" t="n"/>
      <c r="AFQ94" s="248" t="n"/>
      <c r="AFR94" s="248" t="n"/>
      <c r="AFS94" s="240" t="n"/>
      <c r="AFT94" s="240" t="n"/>
      <c r="AFV94" s="15" t="n"/>
      <c r="AFW94" s="15" t="n"/>
      <c r="AFX94" s="248" t="n"/>
      <c r="AFY94" s="248" t="n"/>
      <c r="AFZ94" s="240" t="n"/>
      <c r="AGA94" s="240" t="n"/>
      <c r="AGC94" s="15" t="n"/>
      <c r="AGD94" s="15" t="n"/>
      <c r="AGE94" s="248" t="n"/>
      <c r="AGF94" s="248" t="n"/>
      <c r="AGG94" s="240" t="n"/>
      <c r="AGH94" s="240" t="n"/>
      <c r="AGJ94" s="15" t="n"/>
      <c r="AGK94" s="15" t="n"/>
      <c r="AGL94" s="248" t="n"/>
      <c r="AGM94" s="248" t="n"/>
      <c r="AGN94" s="240" t="n"/>
      <c r="AGO94" s="240" t="n"/>
      <c r="AGQ94" s="15" t="n"/>
      <c r="AGR94" s="15" t="n"/>
      <c r="AGS94" s="248" t="n"/>
      <c r="AGT94" s="248" t="n"/>
      <c r="AGU94" s="240" t="n"/>
      <c r="AGV94" s="240" t="n"/>
      <c r="AGX94" s="15" t="n"/>
      <c r="AGY94" s="15" t="n"/>
      <c r="AGZ94" s="248" t="n"/>
      <c r="AHA94" s="248" t="n"/>
      <c r="AHB94" s="240" t="n"/>
      <c r="AHC94" s="240" t="n"/>
      <c r="AHE94" s="15" t="n"/>
      <c r="AHF94" s="15" t="n"/>
      <c r="AHG94" s="248" t="n"/>
      <c r="AHH94" s="248" t="n"/>
      <c r="AHI94" s="240" t="n"/>
      <c r="AHJ94" s="240" t="n"/>
      <c r="AHL94" s="15" t="n"/>
      <c r="AHM94" s="15" t="n"/>
      <c r="AHN94" s="248" t="n"/>
      <c r="AHO94" s="248" t="n"/>
      <c r="AHP94" s="240" t="n"/>
      <c r="AHQ94" s="240" t="n"/>
      <c r="AHS94" s="15" t="n"/>
      <c r="AHT94" s="15" t="n"/>
      <c r="AHU94" s="248" t="n"/>
      <c r="AHV94" s="248" t="n"/>
      <c r="AHW94" s="240" t="n"/>
      <c r="AHX94" s="240" t="n"/>
      <c r="AHZ94" s="15" t="n"/>
      <c r="AIA94" s="15" t="n"/>
      <c r="AIB94" s="248" t="n"/>
      <c r="AIC94" s="248" t="n"/>
      <c r="AID94" s="240" t="n"/>
      <c r="AIE94" s="240" t="n"/>
      <c r="AIG94" s="15" t="n"/>
      <c r="AIH94" s="15" t="n"/>
      <c r="AII94" s="248" t="n"/>
      <c r="AIJ94" s="248" t="n"/>
      <c r="AIK94" s="240" t="n"/>
      <c r="AIL94" s="240" t="n"/>
      <c r="AIN94" s="15" t="n"/>
      <c r="AIO94" s="15" t="n"/>
      <c r="AIP94" s="248" t="n"/>
      <c r="AIQ94" s="248" t="n"/>
      <c r="AIR94" s="240" t="n"/>
      <c r="AIS94" s="240" t="n"/>
      <c r="AIU94" s="15" t="n"/>
      <c r="AIV94" s="15" t="n"/>
      <c r="AIW94" s="248" t="n"/>
      <c r="AIX94" s="248" t="n"/>
      <c r="AIY94" s="240" t="n"/>
      <c r="AIZ94" s="240" t="n"/>
      <c r="AJB94" s="15" t="n"/>
      <c r="AJC94" s="15" t="n"/>
      <c r="AJD94" s="248" t="n"/>
      <c r="AJE94" s="248" t="n"/>
      <c r="AJF94" s="240" t="n"/>
      <c r="AJG94" s="240" t="n"/>
      <c r="AJI94" s="15" t="n"/>
      <c r="AJJ94" s="15" t="n"/>
      <c r="AJK94" s="248" t="n"/>
      <c r="AJL94" s="248" t="n"/>
      <c r="AJM94" s="240" t="n"/>
      <c r="AJN94" s="240" t="n"/>
      <c r="AJP94" s="15" t="n"/>
      <c r="AJQ94" s="15" t="n"/>
      <c r="AJR94" s="248" t="n"/>
      <c r="AJS94" s="248" t="n"/>
      <c r="AJT94" s="240" t="n"/>
      <c r="AJU94" s="240" t="n"/>
      <c r="AJW94" s="15" t="n"/>
      <c r="AJX94" s="15" t="n"/>
      <c r="AJY94" s="248" t="n"/>
      <c r="AJZ94" s="248" t="n"/>
      <c r="AKA94" s="240" t="n"/>
      <c r="AKB94" s="240" t="n"/>
      <c r="AKD94" s="15" t="n"/>
      <c r="AKE94" s="15" t="n"/>
      <c r="AKF94" s="248" t="n"/>
      <c r="AKG94" s="248" t="n"/>
      <c r="AKH94" s="240" t="n"/>
      <c r="AKI94" s="240" t="n"/>
      <c r="AKK94" s="15" t="n"/>
      <c r="AKL94" s="15" t="n"/>
      <c r="AKM94" s="248" t="n"/>
      <c r="AKN94" s="248" t="n"/>
      <c r="AKO94" s="240" t="n"/>
      <c r="AKP94" s="240" t="n"/>
      <c r="AKR94" s="15" t="n"/>
      <c r="AKS94" s="15" t="n"/>
      <c r="AKT94" s="248" t="n"/>
      <c r="AKU94" s="248" t="n"/>
      <c r="AKV94" s="240" t="n"/>
      <c r="AKW94" s="240" t="n"/>
      <c r="AKY94" s="15" t="n"/>
      <c r="AKZ94" s="15" t="n"/>
      <c r="ALA94" s="248" t="n"/>
      <c r="ALB94" s="248" t="n"/>
      <c r="ALC94" s="240" t="n"/>
      <c r="ALD94" s="240" t="n"/>
      <c r="ALF94" s="15" t="n"/>
      <c r="ALG94" s="15" t="n"/>
      <c r="ALH94" s="248" t="n"/>
      <c r="ALI94" s="248" t="n"/>
      <c r="ALJ94" s="240" t="n"/>
      <c r="ALK94" s="240" t="n"/>
      <c r="ALM94" s="15" t="n"/>
      <c r="ALN94" s="15" t="n"/>
      <c r="ALO94" s="248" t="n"/>
      <c r="ALP94" s="248" t="n"/>
      <c r="ALQ94" s="240" t="n"/>
      <c r="ALR94" s="240" t="n"/>
      <c r="ALT94" s="15" t="n"/>
      <c r="ALU94" s="15" t="n"/>
      <c r="ALV94" s="248" t="n"/>
      <c r="ALW94" s="248" t="n"/>
      <c r="ALX94" s="240" t="n"/>
      <c r="ALY94" s="240" t="n"/>
      <c r="AMA94" s="15" t="n"/>
      <c r="AMB94" s="15" t="n"/>
      <c r="AMC94" s="248" t="n"/>
      <c r="AMD94" s="248" t="n"/>
      <c r="AME94" s="240" t="n"/>
      <c r="AMF94" s="240" t="n"/>
      <c r="AMH94" s="15" t="n"/>
      <c r="AMI94" s="15" t="n"/>
      <c r="AMJ94" s="248" t="n"/>
      <c r="AMK94" s="248" t="n"/>
      <c r="AML94" s="240" t="n"/>
      <c r="AMM94" s="240" t="n"/>
      <c r="AMO94" s="15" t="n"/>
      <c r="AMP94" s="15" t="n"/>
      <c r="AMQ94" s="248" t="n"/>
      <c r="AMR94" s="248" t="n"/>
      <c r="AMS94" s="240" t="n"/>
      <c r="AMT94" s="240" t="n"/>
      <c r="AMV94" s="15" t="n"/>
      <c r="AMW94" s="15" t="n"/>
      <c r="AMX94" s="248" t="n"/>
      <c r="AMY94" s="248" t="n"/>
      <c r="AMZ94" s="240" t="n"/>
      <c r="ANA94" s="240" t="n"/>
      <c r="ANC94" s="15" t="n"/>
      <c r="AND94" s="15" t="n"/>
      <c r="ANE94" s="248" t="n"/>
      <c r="ANF94" s="248" t="n"/>
      <c r="ANG94" s="240" t="n"/>
      <c r="ANH94" s="240" t="n"/>
      <c r="ANJ94" s="15" t="n"/>
      <c r="ANK94" s="15" t="n"/>
      <c r="ANL94" s="248" t="n"/>
      <c r="ANM94" s="248" t="n"/>
      <c r="ANN94" s="240" t="n"/>
      <c r="ANO94" s="240" t="n"/>
      <c r="ANQ94" s="15" t="n"/>
      <c r="ANR94" s="15" t="n"/>
      <c r="ANS94" s="248" t="n"/>
      <c r="ANT94" s="248" t="n"/>
      <c r="ANU94" s="240" t="n"/>
      <c r="ANV94" s="240" t="n"/>
      <c r="ANX94" s="15" t="n"/>
      <c r="ANY94" s="15" t="n"/>
      <c r="ANZ94" s="248" t="n"/>
      <c r="AOA94" s="248" t="n"/>
      <c r="AOB94" s="240" t="n"/>
      <c r="AOC94" s="240" t="n"/>
      <c r="AOE94" s="15" t="n"/>
      <c r="AOF94" s="15" t="n"/>
      <c r="AOG94" s="248" t="n"/>
      <c r="AOH94" s="248" t="n"/>
      <c r="AOI94" s="240" t="n"/>
      <c r="AOJ94" s="240" t="n"/>
      <c r="AOL94" s="15" t="n"/>
      <c r="AOM94" s="15" t="n"/>
      <c r="AON94" s="248" t="n"/>
      <c r="AOO94" s="248" t="n"/>
      <c r="AOP94" s="240" t="n"/>
      <c r="AOQ94" s="240" t="n"/>
      <c r="AOS94" s="15" t="n"/>
      <c r="AOT94" s="15" t="n"/>
      <c r="AOU94" s="248" t="n"/>
      <c r="AOV94" s="248" t="n"/>
      <c r="AOW94" s="240" t="n"/>
      <c r="AOX94" s="240" t="n"/>
      <c r="AOZ94" s="15" t="n"/>
      <c r="APA94" s="15" t="n"/>
      <c r="APB94" s="248" t="n"/>
      <c r="APC94" s="248" t="n"/>
      <c r="APD94" s="240" t="n"/>
      <c r="APE94" s="240" t="n"/>
      <c r="APG94" s="15" t="n"/>
      <c r="APH94" s="15" t="n"/>
      <c r="API94" s="248" t="n"/>
      <c r="APJ94" s="248" t="n"/>
      <c r="APK94" s="240" t="n"/>
      <c r="APL94" s="240" t="n"/>
      <c r="APN94" s="15" t="n"/>
      <c r="APO94" s="15" t="n"/>
      <c r="APP94" s="248" t="n"/>
      <c r="APQ94" s="248" t="n"/>
      <c r="APR94" s="240" t="n"/>
      <c r="APS94" s="240" t="n"/>
      <c r="APU94" s="15" t="n"/>
      <c r="APV94" s="15" t="n"/>
      <c r="APW94" s="248" t="n"/>
      <c r="APX94" s="248" t="n"/>
      <c r="APY94" s="240" t="n"/>
      <c r="APZ94" s="240" t="n"/>
      <c r="AQB94" s="15" t="n"/>
      <c r="AQC94" s="15" t="n"/>
      <c r="AQD94" s="248" t="n"/>
      <c r="AQE94" s="248" t="n"/>
      <c r="AQF94" s="240" t="n"/>
      <c r="AQG94" s="240" t="n"/>
      <c r="AQI94" s="15" t="n"/>
      <c r="AQJ94" s="15" t="n"/>
      <c r="AQK94" s="248" t="n"/>
      <c r="AQL94" s="248" t="n"/>
      <c r="AQM94" s="240" t="n"/>
      <c r="AQN94" s="240" t="n"/>
      <c r="AQP94" s="15" t="n"/>
      <c r="AQQ94" s="15" t="n"/>
      <c r="AQR94" s="248" t="n"/>
      <c r="AQS94" s="248" t="n"/>
      <c r="AQT94" s="240" t="n"/>
      <c r="AQU94" s="240" t="n"/>
      <c r="AQW94" s="15" t="n"/>
      <c r="AQX94" s="15" t="n"/>
      <c r="AQY94" s="248" t="n"/>
      <c r="AQZ94" s="248" t="n"/>
      <c r="ARA94" s="240" t="n"/>
      <c r="ARB94" s="240" t="n"/>
      <c r="ARD94" s="15" t="n"/>
      <c r="ARE94" s="15" t="n"/>
      <c r="ARF94" s="248" t="n"/>
      <c r="ARG94" s="248" t="n"/>
      <c r="ARH94" s="240" t="n"/>
      <c r="ARI94" s="240" t="n"/>
      <c r="ARK94" s="15" t="n"/>
      <c r="ARL94" s="15" t="n"/>
      <c r="ARM94" s="248" t="n"/>
      <c r="ARN94" s="248" t="n"/>
      <c r="ARO94" s="240" t="n"/>
      <c r="ARP94" s="240" t="n"/>
      <c r="ARR94" s="15" t="n"/>
      <c r="ARS94" s="15" t="n"/>
      <c r="ART94" s="248" t="n"/>
      <c r="ARU94" s="248" t="n"/>
      <c r="ARV94" s="240" t="n"/>
      <c r="ARW94" s="240" t="n"/>
      <c r="ARY94" s="15" t="n"/>
      <c r="ARZ94" s="15" t="n"/>
      <c r="ASA94" s="248" t="n"/>
      <c r="ASB94" s="248" t="n"/>
      <c r="ASC94" s="240" t="n"/>
      <c r="ASD94" s="240" t="n"/>
      <c r="ASF94" s="15" t="n"/>
      <c r="ASG94" s="15" t="n"/>
      <c r="ASH94" s="248" t="n"/>
      <c r="ASI94" s="248" t="n"/>
      <c r="ASJ94" s="240" t="n"/>
      <c r="ASK94" s="240" t="n"/>
      <c r="ASM94" s="15" t="n"/>
      <c r="ASN94" s="15" t="n"/>
      <c r="ASO94" s="248" t="n"/>
      <c r="ASP94" s="248" t="n"/>
      <c r="ASQ94" s="240" t="n"/>
      <c r="ASR94" s="240" t="n"/>
      <c r="AST94" s="15" t="n"/>
      <c r="ASU94" s="15" t="n"/>
      <c r="ASV94" s="248" t="n"/>
      <c r="ASW94" s="248" t="n"/>
      <c r="ASX94" s="240" t="n"/>
      <c r="ASY94" s="240" t="n"/>
      <c r="ATA94" s="15" t="n"/>
      <c r="ATB94" s="15" t="n"/>
      <c r="ATC94" s="248" t="n"/>
      <c r="ATD94" s="248" t="n"/>
      <c r="ATE94" s="240" t="n"/>
      <c r="ATF94" s="240" t="n"/>
      <c r="ATH94" s="15" t="n"/>
      <c r="ATI94" s="15" t="n"/>
      <c r="ATJ94" s="248" t="n"/>
      <c r="ATK94" s="248" t="n"/>
      <c r="ATL94" s="240" t="n"/>
      <c r="ATM94" s="240" t="n"/>
      <c r="ATO94" s="15" t="n"/>
      <c r="ATP94" s="15" t="n"/>
      <c r="ATQ94" s="248" t="n"/>
      <c r="ATR94" s="248" t="n"/>
      <c r="ATS94" s="240" t="n"/>
      <c r="ATT94" s="240" t="n"/>
      <c r="ATV94" s="15" t="n"/>
      <c r="ATW94" s="15" t="n"/>
      <c r="ATX94" s="248" t="n"/>
      <c r="ATY94" s="248" t="n"/>
      <c r="ATZ94" s="240" t="n"/>
      <c r="AUA94" s="240" t="n"/>
      <c r="AUC94" s="15" t="n"/>
      <c r="AUD94" s="15" t="n"/>
      <c r="AUE94" s="248" t="n"/>
      <c r="AUF94" s="248" t="n"/>
      <c r="AUG94" s="240" t="n"/>
      <c r="AUH94" s="240" t="n"/>
      <c r="AUJ94" s="15" t="n"/>
      <c r="AUK94" s="15" t="n"/>
      <c r="AUL94" s="248" t="n"/>
      <c r="AUM94" s="248" t="n"/>
      <c r="AUN94" s="240" t="n"/>
      <c r="AUO94" s="240" t="n"/>
      <c r="AUQ94" s="15" t="n"/>
      <c r="AUR94" s="15" t="n"/>
      <c r="AUS94" s="248" t="n"/>
      <c r="AUT94" s="248" t="n"/>
      <c r="AUU94" s="240" t="n"/>
      <c r="AUV94" s="240" t="n"/>
      <c r="AUX94" s="15" t="n"/>
      <c r="AUY94" s="15" t="n"/>
      <c r="AUZ94" s="248" t="n"/>
      <c r="AVA94" s="248" t="n"/>
      <c r="AVB94" s="240" t="n"/>
      <c r="AVC94" s="240" t="n"/>
      <c r="AVE94" s="15" t="n"/>
      <c r="AVF94" s="15" t="n"/>
      <c r="AVG94" s="248" t="n"/>
      <c r="AVH94" s="248" t="n"/>
      <c r="AVI94" s="240" t="n"/>
      <c r="AVJ94" s="240" t="n"/>
      <c r="AVL94" s="15" t="n"/>
      <c r="AVM94" s="15" t="n"/>
      <c r="AVN94" s="248" t="n"/>
      <c r="AVO94" s="248" t="n"/>
      <c r="AVP94" s="240" t="n"/>
      <c r="AVQ94" s="240" t="n"/>
      <c r="AVS94" s="15" t="n"/>
      <c r="AVT94" s="15" t="n"/>
      <c r="AVU94" s="248" t="n"/>
      <c r="AVV94" s="248" t="n"/>
      <c r="AVW94" s="240" t="n"/>
      <c r="AVX94" s="240" t="n"/>
      <c r="AVZ94" s="15" t="n"/>
      <c r="AWA94" s="15" t="n"/>
      <c r="AWB94" s="248" t="n"/>
      <c r="AWC94" s="248" t="n"/>
      <c r="AWD94" s="240" t="n"/>
      <c r="AWE94" s="240" t="n"/>
      <c r="AWG94" s="15" t="n"/>
      <c r="AWH94" s="15" t="n"/>
      <c r="AWI94" s="248" t="n"/>
      <c r="AWJ94" s="248" t="n"/>
      <c r="AWK94" s="240" t="n"/>
      <c r="AWL94" s="240" t="n"/>
      <c r="AWN94" s="15" t="n"/>
      <c r="AWO94" s="15" t="n"/>
      <c r="AWP94" s="248" t="n"/>
      <c r="AWQ94" s="248" t="n"/>
      <c r="AWR94" s="240" t="n"/>
      <c r="AWS94" s="240" t="n"/>
      <c r="AWU94" s="15" t="n"/>
      <c r="AWV94" s="15" t="n"/>
      <c r="AWW94" s="248" t="n"/>
      <c r="AWX94" s="248" t="n"/>
      <c r="AWY94" s="240" t="n"/>
      <c r="AWZ94" s="240" t="n"/>
      <c r="AXB94" s="15" t="n"/>
      <c r="AXC94" s="15" t="n"/>
      <c r="AXD94" s="248" t="n"/>
      <c r="AXE94" s="248" t="n"/>
      <c r="AXF94" s="240" t="n"/>
      <c r="AXG94" s="240" t="n"/>
      <c r="AXI94" s="15" t="n"/>
      <c r="AXJ94" s="15" t="n"/>
      <c r="AXK94" s="248" t="n"/>
      <c r="AXL94" s="248" t="n"/>
      <c r="AXM94" s="240" t="n"/>
      <c r="AXN94" s="240" t="n"/>
      <c r="AXP94" s="15" t="n"/>
      <c r="AXQ94" s="15" t="n"/>
      <c r="AXR94" s="248" t="n"/>
      <c r="AXS94" s="248" t="n"/>
      <c r="AXT94" s="240" t="n"/>
      <c r="AXU94" s="240" t="n"/>
      <c r="AXW94" s="15" t="n"/>
      <c r="AXX94" s="15" t="n"/>
      <c r="AXY94" s="248" t="n"/>
      <c r="AXZ94" s="248" t="n"/>
      <c r="AYA94" s="240" t="n"/>
      <c r="AYB94" s="240" t="n"/>
      <c r="AYD94" s="15" t="n"/>
      <c r="AYE94" s="15" t="n"/>
      <c r="AYF94" s="248" t="n"/>
      <c r="AYG94" s="248" t="n"/>
      <c r="AYH94" s="240" t="n"/>
      <c r="AYI94" s="240" t="n"/>
      <c r="AYK94" s="15" t="n"/>
      <c r="AYL94" s="15" t="n"/>
      <c r="AYM94" s="248" t="n"/>
      <c r="AYN94" s="248" t="n"/>
      <c r="AYO94" s="240" t="n"/>
      <c r="AYP94" s="240" t="n"/>
      <c r="AYR94" s="15" t="n"/>
      <c r="AYS94" s="15" t="n"/>
      <c r="AYT94" s="248" t="n"/>
      <c r="AYU94" s="248" t="n"/>
      <c r="AYV94" s="240" t="n"/>
      <c r="AYW94" s="240" t="n"/>
      <c r="AYY94" s="15" t="n"/>
      <c r="AYZ94" s="15" t="n"/>
      <c r="AZA94" s="248" t="n"/>
      <c r="AZB94" s="248" t="n"/>
      <c r="AZC94" s="240" t="n"/>
      <c r="AZD94" s="240" t="n"/>
      <c r="AZF94" s="15" t="n"/>
      <c r="AZG94" s="15" t="n"/>
      <c r="AZH94" s="248" t="n"/>
      <c r="AZI94" s="248" t="n"/>
      <c r="AZJ94" s="240" t="n"/>
      <c r="AZK94" s="240" t="n"/>
      <c r="AZM94" s="15" t="n"/>
      <c r="AZN94" s="15" t="n"/>
      <c r="AZO94" s="248" t="n"/>
      <c r="AZP94" s="248" t="n"/>
      <c r="AZQ94" s="240" t="n"/>
      <c r="AZR94" s="240" t="n"/>
      <c r="AZT94" s="15" t="n"/>
      <c r="AZU94" s="15" t="n"/>
      <c r="AZV94" s="248" t="n"/>
      <c r="AZW94" s="248" t="n"/>
      <c r="AZX94" s="240" t="n"/>
      <c r="AZY94" s="240" t="n"/>
      <c r="BAA94" s="15" t="n"/>
      <c r="BAB94" s="15" t="n"/>
      <c r="BAC94" s="248" t="n"/>
      <c r="BAD94" s="248" t="n"/>
      <c r="BAE94" s="240" t="n"/>
      <c r="BAF94" s="240" t="n"/>
      <c r="BAH94" s="15" t="n"/>
      <c r="BAI94" s="15" t="n"/>
      <c r="BAJ94" s="248" t="n"/>
      <c r="BAK94" s="248" t="n"/>
      <c r="BAL94" s="240" t="n"/>
      <c r="BAM94" s="240" t="n"/>
      <c r="BAO94" s="15" t="n"/>
      <c r="BAP94" s="15" t="n"/>
      <c r="BAQ94" s="248" t="n"/>
      <c r="BAR94" s="248" t="n"/>
      <c r="BAS94" s="240" t="n"/>
      <c r="BAT94" s="240" t="n"/>
      <c r="BAV94" s="15" t="n"/>
      <c r="BAW94" s="15" t="n"/>
      <c r="BAX94" s="248" t="n"/>
      <c r="BAY94" s="248" t="n"/>
      <c r="BAZ94" s="240" t="n"/>
      <c r="BBA94" s="240" t="n"/>
      <c r="BBC94" s="15" t="n"/>
      <c r="BBD94" s="15" t="n"/>
      <c r="BBE94" s="248" t="n"/>
      <c r="BBF94" s="248" t="n"/>
      <c r="BBG94" s="240" t="n"/>
      <c r="BBH94" s="240" t="n"/>
      <c r="BBJ94" s="15" t="n"/>
      <c r="BBK94" s="15" t="n"/>
      <c r="BBL94" s="248" t="n"/>
      <c r="BBM94" s="248" t="n"/>
      <c r="BBN94" s="240" t="n"/>
      <c r="BBO94" s="240" t="n"/>
      <c r="BBQ94" s="15" t="n"/>
      <c r="BBR94" s="15" t="n"/>
      <c r="BBS94" s="248" t="n"/>
      <c r="BBT94" s="248" t="n"/>
      <c r="BBU94" s="240" t="n"/>
      <c r="BBV94" s="240" t="n"/>
      <c r="BBX94" s="15" t="n"/>
      <c r="BBY94" s="15" t="n"/>
      <c r="BBZ94" s="248" t="n"/>
      <c r="BCA94" s="248" t="n"/>
      <c r="BCB94" s="240" t="n"/>
      <c r="BCC94" s="240" t="n"/>
      <c r="BCE94" s="15" t="n"/>
      <c r="BCF94" s="15" t="n"/>
      <c r="BCG94" s="248" t="n"/>
      <c r="BCH94" s="248" t="n"/>
      <c r="BCI94" s="240" t="n"/>
      <c r="BCJ94" s="240" t="n"/>
      <c r="BCL94" s="15" t="n"/>
      <c r="BCM94" s="15" t="n"/>
      <c r="BCN94" s="248" t="n"/>
      <c r="BCO94" s="248" t="n"/>
      <c r="BCP94" s="240" t="n"/>
      <c r="BCQ94" s="240" t="n"/>
      <c r="BCS94" s="15" t="n"/>
      <c r="BCT94" s="15" t="n"/>
      <c r="BCU94" s="248" t="n"/>
      <c r="BCV94" s="248" t="n"/>
      <c r="BCW94" s="240" t="n"/>
      <c r="BCX94" s="240" t="n"/>
      <c r="BCZ94" s="15" t="n"/>
      <c r="BDA94" s="15" t="n"/>
      <c r="BDB94" s="248" t="n"/>
      <c r="BDC94" s="248" t="n"/>
      <c r="BDD94" s="240" t="n"/>
      <c r="BDE94" s="240" t="n"/>
      <c r="BDG94" s="15" t="n"/>
      <c r="BDH94" s="15" t="n"/>
      <c r="BDI94" s="248" t="n"/>
      <c r="BDJ94" s="248" t="n"/>
      <c r="BDK94" s="240" t="n"/>
      <c r="BDL94" s="240" t="n"/>
      <c r="BDN94" s="15" t="n"/>
      <c r="BDO94" s="15" t="n"/>
      <c r="BDP94" s="248" t="n"/>
      <c r="BDQ94" s="248" t="n"/>
      <c r="BDR94" s="240" t="n"/>
      <c r="BDS94" s="240" t="n"/>
      <c r="BDU94" s="15" t="n"/>
      <c r="BDV94" s="15" t="n"/>
      <c r="BDW94" s="248" t="n"/>
      <c r="BDX94" s="248" t="n"/>
      <c r="BDY94" s="240" t="n"/>
      <c r="BDZ94" s="240" t="n"/>
      <c r="BEB94" s="15" t="n"/>
      <c r="BEC94" s="15" t="n"/>
      <c r="BED94" s="248" t="n"/>
      <c r="BEE94" s="248" t="n"/>
      <c r="BEF94" s="240" t="n"/>
      <c r="BEG94" s="240" t="n"/>
      <c r="BEI94" s="15" t="n"/>
      <c r="BEJ94" s="15" t="n"/>
      <c r="BEK94" s="248" t="n"/>
      <c r="BEL94" s="248" t="n"/>
      <c r="BEM94" s="240" t="n"/>
      <c r="BEN94" s="240" t="n"/>
      <c r="BEP94" s="15" t="n"/>
      <c r="BEQ94" s="15" t="n"/>
      <c r="BER94" s="248" t="n"/>
      <c r="BES94" s="248" t="n"/>
      <c r="BET94" s="240" t="n"/>
      <c r="BEU94" s="240" t="n"/>
      <c r="BEW94" s="15" t="n"/>
      <c r="BEX94" s="15" t="n"/>
      <c r="BEY94" s="248" t="n"/>
      <c r="BEZ94" s="248" t="n"/>
      <c r="BFA94" s="240" t="n"/>
      <c r="BFB94" s="240" t="n"/>
      <c r="BFD94" s="15" t="n"/>
      <c r="BFE94" s="15" t="n"/>
      <c r="BFF94" s="248" t="n"/>
      <c r="BFG94" s="248" t="n"/>
      <c r="BFH94" s="240" t="n"/>
      <c r="BFI94" s="240" t="n"/>
      <c r="BFK94" s="15" t="n"/>
      <c r="BFL94" s="15" t="n"/>
      <c r="BFM94" s="248" t="n"/>
      <c r="BFN94" s="248" t="n"/>
      <c r="BFO94" s="240" t="n"/>
      <c r="BFP94" s="240" t="n"/>
      <c r="BFR94" s="15" t="n"/>
      <c r="BFS94" s="15" t="n"/>
      <c r="BFT94" s="248" t="n"/>
      <c r="BFU94" s="248" t="n"/>
      <c r="BFV94" s="240" t="n"/>
      <c r="BFW94" s="240" t="n"/>
      <c r="BFY94" s="15" t="n"/>
      <c r="BFZ94" s="15" t="n"/>
      <c r="BGA94" s="248" t="n"/>
      <c r="BGB94" s="248" t="n"/>
      <c r="BGC94" s="240" t="n"/>
      <c r="BGD94" s="240" t="n"/>
      <c r="BGF94" s="15" t="n"/>
      <c r="BGG94" s="15" t="n"/>
      <c r="BGH94" s="248" t="n"/>
      <c r="BGI94" s="248" t="n"/>
      <c r="BGJ94" s="240" t="n"/>
      <c r="BGK94" s="240" t="n"/>
      <c r="BGM94" s="15" t="n"/>
      <c r="BGN94" s="15" t="n"/>
      <c r="BGO94" s="248" t="n"/>
      <c r="BGP94" s="248" t="n"/>
      <c r="BGQ94" s="240" t="n"/>
      <c r="BGR94" s="240" t="n"/>
      <c r="BGT94" s="15" t="n"/>
      <c r="BGU94" s="15" t="n"/>
      <c r="BGV94" s="248" t="n"/>
      <c r="BGW94" s="248" t="n"/>
      <c r="BGX94" s="240" t="n"/>
      <c r="BGY94" s="240" t="n"/>
      <c r="BHA94" s="15" t="n"/>
      <c r="BHB94" s="15" t="n"/>
      <c r="BHC94" s="248" t="n"/>
      <c r="BHD94" s="248" t="n"/>
      <c r="BHE94" s="240" t="n"/>
      <c r="BHF94" s="240" t="n"/>
      <c r="BHH94" s="15" t="n"/>
      <c r="BHI94" s="15" t="n"/>
      <c r="BHJ94" s="248" t="n"/>
      <c r="BHK94" s="248" t="n"/>
      <c r="BHL94" s="240" t="n"/>
      <c r="BHM94" s="240" t="n"/>
      <c r="BHO94" s="15" t="n"/>
      <c r="BHP94" s="15" t="n"/>
      <c r="BHQ94" s="248" t="n"/>
      <c r="BHR94" s="248" t="n"/>
      <c r="BHS94" s="240" t="n"/>
      <c r="BHT94" s="240" t="n"/>
      <c r="BHV94" s="15" t="n"/>
      <c r="BHW94" s="15" t="n"/>
      <c r="BHX94" s="248" t="n"/>
      <c r="BHY94" s="248" t="n"/>
      <c r="BHZ94" s="240" t="n"/>
      <c r="BIA94" s="240" t="n"/>
      <c r="BIC94" s="15" t="n"/>
      <c r="BID94" s="15" t="n"/>
      <c r="BIE94" s="248" t="n"/>
      <c r="BIF94" s="248" t="n"/>
      <c r="BIG94" s="240" t="n"/>
      <c r="BIH94" s="240" t="n"/>
      <c r="BIJ94" s="15" t="n"/>
      <c r="BIK94" s="15" t="n"/>
      <c r="BIL94" s="248" t="n"/>
      <c r="BIM94" s="248" t="n"/>
      <c r="BIN94" s="240" t="n"/>
      <c r="BIO94" s="240" t="n"/>
      <c r="BIQ94" s="15" t="n"/>
      <c r="BIR94" s="15" t="n"/>
      <c r="BIS94" s="248" t="n"/>
      <c r="BIT94" s="248" t="n"/>
      <c r="BIU94" s="240" t="n"/>
      <c r="BIV94" s="240" t="n"/>
      <c r="BIX94" s="15" t="n"/>
      <c r="BIY94" s="15" t="n"/>
      <c r="BIZ94" s="248" t="n"/>
      <c r="BJA94" s="248" t="n"/>
      <c r="BJB94" s="240" t="n"/>
      <c r="BJC94" s="240" t="n"/>
      <c r="BJE94" s="15" t="n"/>
      <c r="BJF94" s="15" t="n"/>
      <c r="BJG94" s="248" t="n"/>
      <c r="BJH94" s="248" t="n"/>
      <c r="BJI94" s="240" t="n"/>
      <c r="BJJ94" s="240" t="n"/>
      <c r="BJL94" s="15" t="n"/>
      <c r="BJM94" s="15" t="n"/>
      <c r="BJN94" s="248" t="n"/>
      <c r="BJO94" s="248" t="n"/>
      <c r="BJP94" s="240" t="n"/>
      <c r="BJQ94" s="240" t="n"/>
      <c r="BJS94" s="15" t="n"/>
      <c r="BJT94" s="15" t="n"/>
      <c r="BJU94" s="248" t="n"/>
      <c r="BJV94" s="248" t="n"/>
      <c r="BJW94" s="240" t="n"/>
      <c r="BJX94" s="240" t="n"/>
      <c r="BJZ94" s="15" t="n"/>
      <c r="BKA94" s="15" t="n"/>
      <c r="BKB94" s="248" t="n"/>
      <c r="BKC94" s="248" t="n"/>
      <c r="BKD94" s="240" t="n"/>
      <c r="BKE94" s="240" t="n"/>
      <c r="BKG94" s="15" t="n"/>
      <c r="BKH94" s="15" t="n"/>
      <c r="BKI94" s="248" t="n"/>
      <c r="BKJ94" s="248" t="n"/>
      <c r="BKK94" s="240" t="n"/>
      <c r="BKL94" s="240" t="n"/>
      <c r="BKN94" s="15" t="n"/>
      <c r="BKO94" s="15" t="n"/>
      <c r="BKP94" s="248" t="n"/>
      <c r="BKQ94" s="248" t="n"/>
      <c r="BKR94" s="240" t="n"/>
      <c r="BKS94" s="240" t="n"/>
      <c r="BKU94" s="15" t="n"/>
      <c r="BKV94" s="15" t="n"/>
      <c r="BKW94" s="248" t="n"/>
      <c r="BKX94" s="248" t="n"/>
      <c r="BKY94" s="240" t="n"/>
      <c r="BKZ94" s="240" t="n"/>
      <c r="BLB94" s="15" t="n"/>
      <c r="BLC94" s="15" t="n"/>
      <c r="BLD94" s="248" t="n"/>
      <c r="BLE94" s="248" t="n"/>
      <c r="BLF94" s="240" t="n"/>
      <c r="BLG94" s="240" t="n"/>
      <c r="BLI94" s="15" t="n"/>
      <c r="BLJ94" s="15" t="n"/>
      <c r="BLK94" s="248" t="n"/>
      <c r="BLL94" s="248" t="n"/>
      <c r="BLM94" s="240" t="n"/>
      <c r="BLN94" s="240" t="n"/>
      <c r="BLP94" s="15" t="n"/>
      <c r="BLQ94" s="15" t="n"/>
      <c r="BLR94" s="248" t="n"/>
      <c r="BLS94" s="248" t="n"/>
      <c r="BLT94" s="240" t="n"/>
      <c r="BLU94" s="240" t="n"/>
      <c r="BLW94" s="15" t="n"/>
      <c r="BLX94" s="15" t="n"/>
      <c r="BLY94" s="248" t="n"/>
      <c r="BLZ94" s="248" t="n"/>
      <c r="BMA94" s="240" t="n"/>
      <c r="BMB94" s="240" t="n"/>
      <c r="BMD94" s="15" t="n"/>
      <c r="BME94" s="15" t="n"/>
      <c r="BMF94" s="248" t="n"/>
      <c r="BMG94" s="248" t="n"/>
      <c r="BMH94" s="240" t="n"/>
      <c r="BMI94" s="240" t="n"/>
      <c r="BMK94" s="15" t="n"/>
      <c r="BML94" s="15" t="n"/>
      <c r="BMM94" s="248" t="n"/>
      <c r="BMN94" s="248" t="n"/>
      <c r="BMO94" s="240" t="n"/>
      <c r="BMP94" s="240" t="n"/>
      <c r="BMR94" s="15" t="n"/>
      <c r="BMS94" s="15" t="n"/>
      <c r="BMT94" s="248" t="n"/>
      <c r="BMU94" s="248" t="n"/>
      <c r="BMV94" s="240" t="n"/>
      <c r="BMW94" s="240" t="n"/>
      <c r="BMY94" s="15" t="n"/>
      <c r="BMZ94" s="15" t="n"/>
      <c r="BNA94" s="248" t="n"/>
      <c r="BNB94" s="248" t="n"/>
      <c r="BNC94" s="240" t="n"/>
      <c r="BND94" s="240" t="n"/>
      <c r="BNF94" s="15" t="n"/>
      <c r="BNG94" s="15" t="n"/>
      <c r="BNH94" s="248" t="n"/>
      <c r="BNI94" s="248" t="n"/>
      <c r="BNJ94" s="240" t="n"/>
      <c r="BNK94" s="240" t="n"/>
      <c r="BNM94" s="15" t="n"/>
      <c r="BNN94" s="15" t="n"/>
      <c r="BNO94" s="248" t="n"/>
      <c r="BNP94" s="248" t="n"/>
      <c r="BNQ94" s="240" t="n"/>
      <c r="BNR94" s="240" t="n"/>
      <c r="BNT94" s="15" t="n"/>
      <c r="BNU94" s="15" t="n"/>
      <c r="BNV94" s="248" t="n"/>
      <c r="BNW94" s="248" t="n"/>
      <c r="BNX94" s="240" t="n"/>
      <c r="BNY94" s="240" t="n"/>
      <c r="BOA94" s="15" t="n"/>
      <c r="BOB94" s="15" t="n"/>
      <c r="BOC94" s="248" t="n"/>
      <c r="BOD94" s="248" t="n"/>
      <c r="BOE94" s="240" t="n"/>
      <c r="BOF94" s="240" t="n"/>
      <c r="BOH94" s="15" t="n"/>
      <c r="BOI94" s="15" t="n"/>
      <c r="BOJ94" s="248" t="n"/>
      <c r="BOK94" s="248" t="n"/>
      <c r="BOL94" s="240" t="n"/>
      <c r="BOM94" s="240" t="n"/>
      <c r="BOO94" s="15" t="n"/>
      <c r="BOP94" s="15" t="n"/>
      <c r="BOQ94" s="248" t="n"/>
      <c r="BOR94" s="248" t="n"/>
      <c r="BOS94" s="240" t="n"/>
      <c r="BOT94" s="240" t="n"/>
      <c r="BOV94" s="15" t="n"/>
      <c r="BOW94" s="15" t="n"/>
      <c r="BOX94" s="248" t="n"/>
      <c r="BOY94" s="248" t="n"/>
      <c r="BOZ94" s="240" t="n"/>
      <c r="BPA94" s="240" t="n"/>
      <c r="BPC94" s="15" t="n"/>
      <c r="BPD94" s="15" t="n"/>
      <c r="BPE94" s="248" t="n"/>
      <c r="BPF94" s="248" t="n"/>
      <c r="BPG94" s="240" t="n"/>
      <c r="BPH94" s="240" t="n"/>
      <c r="BPJ94" s="15" t="n"/>
      <c r="BPK94" s="15" t="n"/>
      <c r="BPL94" s="248" t="n"/>
      <c r="BPM94" s="248" t="n"/>
      <c r="BPN94" s="240" t="n"/>
      <c r="BPO94" s="240" t="n"/>
      <c r="BPQ94" s="15" t="n"/>
      <c r="BPR94" s="15" t="n"/>
      <c r="BPS94" s="248" t="n"/>
      <c r="BPT94" s="248" t="n"/>
      <c r="BPU94" s="240" t="n"/>
      <c r="BPV94" s="240" t="n"/>
      <c r="BPX94" s="15" t="n"/>
      <c r="BPY94" s="15" t="n"/>
      <c r="BPZ94" s="248" t="n"/>
      <c r="BQA94" s="248" t="n"/>
      <c r="BQB94" s="240" t="n"/>
      <c r="BQC94" s="240" t="n"/>
      <c r="BQE94" s="15" t="n"/>
      <c r="BQF94" s="15" t="n"/>
      <c r="BQG94" s="248" t="n"/>
      <c r="BQH94" s="248" t="n"/>
      <c r="BQI94" s="240" t="n"/>
      <c r="BQJ94" s="240" t="n"/>
      <c r="BQL94" s="15" t="n"/>
      <c r="BQM94" s="15" t="n"/>
      <c r="BQN94" s="248" t="n"/>
      <c r="BQO94" s="248" t="n"/>
      <c r="BQP94" s="240" t="n"/>
      <c r="BQQ94" s="240" t="n"/>
      <c r="BQS94" s="15" t="n"/>
      <c r="BQT94" s="15" t="n"/>
      <c r="BQU94" s="248" t="n"/>
      <c r="BQV94" s="248" t="n"/>
      <c r="BQW94" s="240" t="n"/>
      <c r="BQX94" s="240" t="n"/>
      <c r="BQZ94" s="15" t="n"/>
      <c r="BRA94" s="15" t="n"/>
      <c r="BRB94" s="248" t="n"/>
      <c r="BRC94" s="248" t="n"/>
      <c r="BRD94" s="240" t="n"/>
      <c r="BRE94" s="240" t="n"/>
      <c r="BRG94" s="15" t="n"/>
      <c r="BRH94" s="15" t="n"/>
      <c r="BRI94" s="248" t="n"/>
      <c r="BRJ94" s="248" t="n"/>
      <c r="BRK94" s="240" t="n"/>
      <c r="BRL94" s="240" t="n"/>
      <c r="BRN94" s="15" t="n"/>
      <c r="BRO94" s="15" t="n"/>
      <c r="BRP94" s="248" t="n"/>
      <c r="BRQ94" s="248" t="n"/>
      <c r="BRR94" s="240" t="n"/>
      <c r="BRS94" s="240" t="n"/>
      <c r="BRU94" s="15" t="n"/>
      <c r="BRV94" s="15" t="n"/>
      <c r="BRW94" s="248" t="n"/>
      <c r="BRX94" s="248" t="n"/>
      <c r="BRY94" s="240" t="n"/>
      <c r="BRZ94" s="240" t="n"/>
      <c r="BSB94" s="15" t="n"/>
      <c r="BSC94" s="15" t="n"/>
      <c r="BSD94" s="248" t="n"/>
      <c r="BSE94" s="248" t="n"/>
      <c r="BSF94" s="240" t="n"/>
      <c r="BSG94" s="240" t="n"/>
      <c r="BSI94" s="15" t="n"/>
      <c r="BSJ94" s="15" t="n"/>
      <c r="BSK94" s="248" t="n"/>
      <c r="BSL94" s="248" t="n"/>
      <c r="BSM94" s="240" t="n"/>
      <c r="BSN94" s="240" t="n"/>
      <c r="BSP94" s="15" t="n"/>
      <c r="BSQ94" s="15" t="n"/>
      <c r="BSR94" s="248" t="n"/>
      <c r="BSS94" s="248" t="n"/>
      <c r="BST94" s="240" t="n"/>
      <c r="BSU94" s="240" t="n"/>
      <c r="BSW94" s="15" t="n"/>
      <c r="BSX94" s="15" t="n"/>
      <c r="BSY94" s="248" t="n"/>
      <c r="BSZ94" s="248" t="n"/>
      <c r="BTA94" s="240" t="n"/>
      <c r="BTB94" s="240" t="n"/>
      <c r="BTD94" s="15" t="n"/>
      <c r="BTE94" s="15" t="n"/>
      <c r="BTF94" s="248" t="n"/>
      <c r="BTG94" s="248" t="n"/>
      <c r="BTH94" s="240" t="n"/>
      <c r="BTI94" s="240" t="n"/>
      <c r="BTK94" s="15" t="n"/>
      <c r="BTL94" s="15" t="n"/>
      <c r="BTM94" s="248" t="n"/>
      <c r="BTN94" s="248" t="n"/>
      <c r="BTO94" s="240" t="n"/>
      <c r="BTP94" s="240" t="n"/>
      <c r="BTR94" s="15" t="n"/>
      <c r="BTS94" s="15" t="n"/>
      <c r="BTT94" s="248" t="n"/>
      <c r="BTU94" s="248" t="n"/>
      <c r="BTV94" s="240" t="n"/>
      <c r="BTW94" s="240" t="n"/>
      <c r="BTY94" s="15" t="n"/>
      <c r="BTZ94" s="15" t="n"/>
      <c r="BUA94" s="248" t="n"/>
      <c r="BUB94" s="248" t="n"/>
      <c r="BUC94" s="240" t="n"/>
      <c r="BUD94" s="240" t="n"/>
      <c r="BUF94" s="15" t="n"/>
      <c r="BUG94" s="15" t="n"/>
      <c r="BUH94" s="248" t="n"/>
      <c r="BUI94" s="248" t="n"/>
      <c r="BUJ94" s="240" t="n"/>
      <c r="BUK94" s="240" t="n"/>
      <c r="BUM94" s="15" t="n"/>
      <c r="BUN94" s="15" t="n"/>
      <c r="BUO94" s="248" t="n"/>
      <c r="BUP94" s="248" t="n"/>
      <c r="BUQ94" s="240" t="n"/>
      <c r="BUR94" s="240" t="n"/>
      <c r="BUT94" s="15" t="n"/>
      <c r="BUU94" s="15" t="n"/>
      <c r="BUV94" s="248" t="n"/>
      <c r="BUW94" s="248" t="n"/>
      <c r="BUX94" s="240" t="n"/>
      <c r="BUY94" s="240" t="n"/>
      <c r="BVA94" s="15" t="n"/>
      <c r="BVB94" s="15" t="n"/>
      <c r="BVC94" s="248" t="n"/>
      <c r="BVD94" s="248" t="n"/>
      <c r="BVE94" s="240" t="n"/>
      <c r="BVF94" s="240" t="n"/>
      <c r="BVH94" s="15" t="n"/>
      <c r="BVI94" s="15" t="n"/>
      <c r="BVJ94" s="248" t="n"/>
      <c r="BVK94" s="248" t="n"/>
      <c r="BVL94" s="240" t="n"/>
      <c r="BVM94" s="240" t="n"/>
      <c r="BVO94" s="15" t="n"/>
      <c r="BVP94" s="15" t="n"/>
      <c r="BVQ94" s="248" t="n"/>
      <c r="BVR94" s="248" t="n"/>
      <c r="BVS94" s="240" t="n"/>
      <c r="BVT94" s="240" t="n"/>
      <c r="BVV94" s="15" t="n"/>
      <c r="BVW94" s="15" t="n"/>
      <c r="BVX94" s="248" t="n"/>
      <c r="BVY94" s="248" t="n"/>
      <c r="BVZ94" s="240" t="n"/>
      <c r="BWA94" s="240" t="n"/>
      <c r="BWC94" s="15" t="n"/>
      <c r="BWD94" s="15" t="n"/>
      <c r="BWE94" s="248" t="n"/>
      <c r="BWF94" s="248" t="n"/>
      <c r="BWG94" s="240" t="n"/>
      <c r="BWH94" s="240" t="n"/>
      <c r="BWJ94" s="15" t="n"/>
      <c r="BWK94" s="15" t="n"/>
      <c r="BWL94" s="248" t="n"/>
      <c r="BWM94" s="248" t="n"/>
      <c r="BWN94" s="240" t="n"/>
      <c r="BWO94" s="240" t="n"/>
      <c r="BWQ94" s="15" t="n"/>
      <c r="BWR94" s="15" t="n"/>
      <c r="BWS94" s="248" t="n"/>
      <c r="BWT94" s="248" t="n"/>
      <c r="BWU94" s="240" t="n"/>
      <c r="BWV94" s="240" t="n"/>
      <c r="BWX94" s="15" t="n"/>
      <c r="BWY94" s="15" t="n"/>
      <c r="BWZ94" s="248" t="n"/>
      <c r="BXA94" s="248" t="n"/>
      <c r="BXB94" s="240" t="n"/>
      <c r="BXC94" s="240" t="n"/>
      <c r="BXE94" s="15" t="n"/>
      <c r="BXF94" s="15" t="n"/>
      <c r="BXG94" s="248" t="n"/>
      <c r="BXH94" s="248" t="n"/>
      <c r="BXI94" s="240" t="n"/>
      <c r="BXJ94" s="240" t="n"/>
      <c r="BXL94" s="15" t="n"/>
      <c r="BXM94" s="15" t="n"/>
      <c r="BXN94" s="248" t="n"/>
      <c r="BXO94" s="248" t="n"/>
      <c r="BXP94" s="240" t="n"/>
      <c r="BXQ94" s="240" t="n"/>
      <c r="BXS94" s="15" t="n"/>
      <c r="BXT94" s="15" t="n"/>
      <c r="BXU94" s="248" t="n"/>
      <c r="BXV94" s="248" t="n"/>
      <c r="BXW94" s="240" t="n"/>
      <c r="BXX94" s="240" t="n"/>
      <c r="BXZ94" s="15" t="n"/>
      <c r="BYA94" s="15" t="n"/>
      <c r="BYB94" s="248" t="n"/>
      <c r="BYC94" s="248" t="n"/>
      <c r="BYD94" s="240" t="n"/>
      <c r="BYE94" s="240" t="n"/>
      <c r="BYG94" s="15" t="n"/>
      <c r="BYH94" s="15" t="n"/>
      <c r="BYI94" s="248" t="n"/>
      <c r="BYJ94" s="248" t="n"/>
      <c r="BYK94" s="240" t="n"/>
      <c r="BYL94" s="240" t="n"/>
      <c r="BYN94" s="15" t="n"/>
      <c r="BYO94" s="15" t="n"/>
      <c r="BYP94" s="248" t="n"/>
      <c r="BYQ94" s="248" t="n"/>
      <c r="BYR94" s="240" t="n"/>
      <c r="BYS94" s="240" t="n"/>
      <c r="BYU94" s="15" t="n"/>
      <c r="BYV94" s="15" t="n"/>
      <c r="BYW94" s="248" t="n"/>
      <c r="BYX94" s="248" t="n"/>
      <c r="BYY94" s="240" t="n"/>
      <c r="BYZ94" s="240" t="n"/>
      <c r="BZB94" s="15" t="n"/>
      <c r="BZC94" s="15" t="n"/>
      <c r="BZD94" s="248" t="n"/>
      <c r="BZE94" s="248" t="n"/>
      <c r="BZF94" s="240" t="n"/>
      <c r="BZG94" s="240" t="n"/>
      <c r="BZI94" s="15" t="n"/>
      <c r="BZJ94" s="15" t="n"/>
      <c r="BZK94" s="248" t="n"/>
      <c r="BZL94" s="248" t="n"/>
      <c r="BZM94" s="240" t="n"/>
      <c r="BZN94" s="240" t="n"/>
      <c r="BZP94" s="15" t="n"/>
      <c r="BZQ94" s="15" t="n"/>
      <c r="BZR94" s="248" t="n"/>
      <c r="BZS94" s="248" t="n"/>
      <c r="BZT94" s="240" t="n"/>
      <c r="BZU94" s="240" t="n"/>
      <c r="BZW94" s="15" t="n"/>
      <c r="BZX94" s="15" t="n"/>
      <c r="BZY94" s="248" t="n"/>
      <c r="BZZ94" s="248" t="n"/>
      <c r="CAA94" s="240" t="n"/>
      <c r="CAB94" s="240" t="n"/>
      <c r="CAD94" s="15" t="n"/>
      <c r="CAE94" s="15" t="n"/>
      <c r="CAF94" s="248" t="n"/>
      <c r="CAG94" s="248" t="n"/>
      <c r="CAH94" s="240" t="n"/>
      <c r="CAI94" s="240" t="n"/>
      <c r="CAK94" s="15" t="n"/>
      <c r="CAL94" s="15" t="n"/>
      <c r="CAM94" s="248" t="n"/>
      <c r="CAN94" s="248" t="n"/>
      <c r="CAO94" s="240" t="n"/>
      <c r="CAP94" s="240" t="n"/>
      <c r="CAR94" s="15" t="n"/>
      <c r="CAS94" s="15" t="n"/>
      <c r="CAT94" s="248" t="n"/>
      <c r="CAU94" s="248" t="n"/>
      <c r="CAV94" s="240" t="n"/>
      <c r="CAW94" s="240" t="n"/>
      <c r="CAY94" s="15" t="n"/>
      <c r="CAZ94" s="15" t="n"/>
      <c r="CBA94" s="248" t="n"/>
      <c r="CBB94" s="248" t="n"/>
      <c r="CBC94" s="240" t="n"/>
      <c r="CBD94" s="240" t="n"/>
      <c r="CBF94" s="15" t="n"/>
      <c r="CBG94" s="15" t="n"/>
      <c r="CBH94" s="248" t="n"/>
      <c r="CBI94" s="248" t="n"/>
      <c r="CBJ94" s="240" t="n"/>
      <c r="CBK94" s="240" t="n"/>
      <c r="CBM94" s="15" t="n"/>
      <c r="CBN94" s="15" t="n"/>
      <c r="CBO94" s="248" t="n"/>
      <c r="CBP94" s="248" t="n"/>
      <c r="CBQ94" s="240" t="n"/>
      <c r="CBR94" s="240" t="n"/>
      <c r="CBT94" s="15" t="n"/>
      <c r="CBU94" s="15" t="n"/>
      <c r="CBV94" s="248" t="n"/>
      <c r="CBW94" s="248" t="n"/>
      <c r="CBX94" s="240" t="n"/>
      <c r="CBY94" s="240" t="n"/>
      <c r="CCA94" s="15" t="n"/>
      <c r="CCB94" s="15" t="n"/>
      <c r="CCC94" s="248" t="n"/>
      <c r="CCD94" s="248" t="n"/>
      <c r="CCE94" s="240" t="n"/>
      <c r="CCF94" s="240" t="n"/>
      <c r="CCH94" s="15" t="n"/>
      <c r="CCI94" s="15" t="n"/>
      <c r="CCJ94" s="248" t="n"/>
      <c r="CCK94" s="248" t="n"/>
      <c r="CCL94" s="240" t="n"/>
      <c r="CCM94" s="240" t="n"/>
      <c r="CCO94" s="15" t="n"/>
      <c r="CCP94" s="15" t="n"/>
      <c r="CCQ94" s="248" t="n"/>
      <c r="CCR94" s="248" t="n"/>
      <c r="CCS94" s="240" t="n"/>
      <c r="CCT94" s="240" t="n"/>
      <c r="CCV94" s="15" t="n"/>
      <c r="CCW94" s="15" t="n"/>
      <c r="CCX94" s="248" t="n"/>
      <c r="CCY94" s="248" t="n"/>
      <c r="CCZ94" s="240" t="n"/>
      <c r="CDA94" s="240" t="n"/>
      <c r="CDC94" s="15" t="n"/>
      <c r="CDD94" s="15" t="n"/>
      <c r="CDE94" s="248" t="n"/>
      <c r="CDF94" s="248" t="n"/>
      <c r="CDG94" s="240" t="n"/>
      <c r="CDH94" s="240" t="n"/>
      <c r="CDJ94" s="15" t="n"/>
      <c r="CDK94" s="15" t="n"/>
      <c r="CDL94" s="248" t="n"/>
      <c r="CDM94" s="248" t="n"/>
      <c r="CDN94" s="240" t="n"/>
      <c r="CDO94" s="240" t="n"/>
      <c r="CDQ94" s="15" t="n"/>
      <c r="CDR94" s="15" t="n"/>
      <c r="CDS94" s="248" t="n"/>
      <c r="CDT94" s="248" t="n"/>
      <c r="CDU94" s="240" t="n"/>
      <c r="CDV94" s="240" t="n"/>
      <c r="CDX94" s="15" t="n"/>
      <c r="CDY94" s="15" t="n"/>
      <c r="CDZ94" s="248" t="n"/>
      <c r="CEA94" s="248" t="n"/>
      <c r="CEB94" s="240" t="n"/>
      <c r="CEC94" s="240" t="n"/>
      <c r="CEE94" s="15" t="n"/>
      <c r="CEF94" s="15" t="n"/>
      <c r="CEG94" s="248" t="n"/>
      <c r="CEH94" s="248" t="n"/>
      <c r="CEI94" s="240" t="n"/>
      <c r="CEJ94" s="240" t="n"/>
      <c r="CEL94" s="15" t="n"/>
      <c r="CEM94" s="15" t="n"/>
      <c r="CEN94" s="248" t="n"/>
      <c r="CEO94" s="248" t="n"/>
      <c r="CEP94" s="240" t="n"/>
      <c r="CEQ94" s="240" t="n"/>
      <c r="CES94" s="15" t="n"/>
      <c r="CET94" s="15" t="n"/>
      <c r="CEU94" s="248" t="n"/>
      <c r="CEV94" s="248" t="n"/>
      <c r="CEW94" s="240" t="n"/>
      <c r="CEX94" s="240" t="n"/>
      <c r="CEZ94" s="15" t="n"/>
      <c r="CFA94" s="15" t="n"/>
      <c r="CFB94" s="248" t="n"/>
      <c r="CFC94" s="248" t="n"/>
      <c r="CFD94" s="240" t="n"/>
      <c r="CFE94" s="240" t="n"/>
      <c r="CFG94" s="15" t="n"/>
      <c r="CFH94" s="15" t="n"/>
      <c r="CFI94" s="248" t="n"/>
      <c r="CFJ94" s="248" t="n"/>
      <c r="CFK94" s="240" t="n"/>
      <c r="CFL94" s="240" t="n"/>
      <c r="CFN94" s="15" t="n"/>
      <c r="CFO94" s="15" t="n"/>
      <c r="CFP94" s="248" t="n"/>
      <c r="CFQ94" s="248" t="n"/>
      <c r="CFR94" s="240" t="n"/>
      <c r="CFS94" s="240" t="n"/>
      <c r="CFU94" s="15" t="n"/>
      <c r="CFV94" s="15" t="n"/>
      <c r="CFW94" s="248" t="n"/>
      <c r="CFX94" s="248" t="n"/>
      <c r="CFY94" s="240" t="n"/>
      <c r="CFZ94" s="240" t="n"/>
      <c r="CGB94" s="15" t="n"/>
      <c r="CGC94" s="15" t="n"/>
      <c r="CGD94" s="248" t="n"/>
      <c r="CGE94" s="248" t="n"/>
      <c r="CGF94" s="240" t="n"/>
      <c r="CGG94" s="240" t="n"/>
      <c r="CGI94" s="15" t="n"/>
      <c r="CGJ94" s="15" t="n"/>
      <c r="CGK94" s="248" t="n"/>
      <c r="CGL94" s="248" t="n"/>
      <c r="CGM94" s="240" t="n"/>
      <c r="CGN94" s="240" t="n"/>
      <c r="CGP94" s="15" t="n"/>
      <c r="CGQ94" s="15" t="n"/>
      <c r="CGR94" s="248" t="n"/>
      <c r="CGS94" s="248" t="n"/>
      <c r="CGT94" s="240" t="n"/>
      <c r="CGU94" s="240" t="n"/>
      <c r="CGW94" s="15" t="n"/>
      <c r="CGX94" s="15" t="n"/>
      <c r="CGY94" s="248" t="n"/>
      <c r="CGZ94" s="248" t="n"/>
      <c r="CHA94" s="240" t="n"/>
      <c r="CHB94" s="240" t="n"/>
      <c r="CHD94" s="15" t="n"/>
      <c r="CHE94" s="15" t="n"/>
      <c r="CHF94" s="248" t="n"/>
      <c r="CHG94" s="248" t="n"/>
      <c r="CHH94" s="240" t="n"/>
      <c r="CHI94" s="240" t="n"/>
      <c r="CHK94" s="15" t="n"/>
      <c r="CHL94" s="15" t="n"/>
      <c r="CHM94" s="248" t="n"/>
      <c r="CHN94" s="248" t="n"/>
      <c r="CHO94" s="240" t="n"/>
      <c r="CHP94" s="240" t="n"/>
      <c r="CHR94" s="15" t="n"/>
      <c r="CHS94" s="15" t="n"/>
      <c r="CHT94" s="248" t="n"/>
      <c r="CHU94" s="248" t="n"/>
      <c r="CHV94" s="240" t="n"/>
      <c r="CHW94" s="240" t="n"/>
      <c r="CHY94" s="15" t="n"/>
      <c r="CHZ94" s="15" t="n"/>
      <c r="CIA94" s="248" t="n"/>
      <c r="CIB94" s="248" t="n"/>
      <c r="CIC94" s="240" t="n"/>
      <c r="CID94" s="240" t="n"/>
      <c r="CIF94" s="15" t="n"/>
      <c r="CIG94" s="15" t="n"/>
      <c r="CIH94" s="248" t="n"/>
      <c r="CII94" s="248" t="n"/>
      <c r="CIJ94" s="240" t="n"/>
      <c r="CIK94" s="240" t="n"/>
      <c r="CIM94" s="15" t="n"/>
      <c r="CIN94" s="15" t="n"/>
      <c r="CIO94" s="248" t="n"/>
      <c r="CIP94" s="248" t="n"/>
      <c r="CIQ94" s="240" t="n"/>
      <c r="CIR94" s="240" t="n"/>
      <c r="CIT94" s="15" t="n"/>
      <c r="CIU94" s="15" t="n"/>
      <c r="CIV94" s="248" t="n"/>
      <c r="CIW94" s="248" t="n"/>
      <c r="CIX94" s="240" t="n"/>
      <c r="CIY94" s="240" t="n"/>
      <c r="CJA94" s="15" t="n"/>
      <c r="CJB94" s="15" t="n"/>
      <c r="CJC94" s="248" t="n"/>
      <c r="CJD94" s="248" t="n"/>
      <c r="CJE94" s="240" t="n"/>
      <c r="CJF94" s="240" t="n"/>
      <c r="CJH94" s="15" t="n"/>
      <c r="CJI94" s="15" t="n"/>
      <c r="CJJ94" s="248" t="n"/>
      <c r="CJK94" s="248" t="n"/>
      <c r="CJL94" s="240" t="n"/>
      <c r="CJM94" s="240" t="n"/>
      <c r="CJO94" s="15" t="n"/>
      <c r="CJP94" s="15" t="n"/>
      <c r="CJQ94" s="248" t="n"/>
      <c r="CJR94" s="248" t="n"/>
      <c r="CJS94" s="240" t="n"/>
      <c r="CJT94" s="240" t="n"/>
      <c r="CJV94" s="15" t="n"/>
      <c r="CJW94" s="15" t="n"/>
      <c r="CJX94" s="248" t="n"/>
      <c r="CJY94" s="248" t="n"/>
      <c r="CJZ94" s="240" t="n"/>
      <c r="CKA94" s="240" t="n"/>
      <c r="CKC94" s="15" t="n"/>
      <c r="CKD94" s="15" t="n"/>
      <c r="CKE94" s="248" t="n"/>
      <c r="CKF94" s="248" t="n"/>
      <c r="CKG94" s="240" t="n"/>
      <c r="CKH94" s="240" t="n"/>
      <c r="CKJ94" s="15" t="n"/>
      <c r="CKK94" s="15" t="n"/>
      <c r="CKL94" s="248" t="n"/>
      <c r="CKM94" s="248" t="n"/>
      <c r="CKN94" s="240" t="n"/>
      <c r="CKO94" s="240" t="n"/>
      <c r="CKQ94" s="15" t="n"/>
      <c r="CKR94" s="15" t="n"/>
      <c r="CKS94" s="248" t="n"/>
      <c r="CKT94" s="248" t="n"/>
      <c r="CKU94" s="240" t="n"/>
      <c r="CKV94" s="240" t="n"/>
      <c r="CKX94" s="15" t="n"/>
      <c r="CKY94" s="15" t="n"/>
      <c r="CKZ94" s="248" t="n"/>
      <c r="CLA94" s="248" t="n"/>
      <c r="CLB94" s="240" t="n"/>
      <c r="CLC94" s="240" t="n"/>
      <c r="CLE94" s="15" t="n"/>
      <c r="CLF94" s="15" t="n"/>
      <c r="CLG94" s="248" t="n"/>
      <c r="CLH94" s="248" t="n"/>
      <c r="CLI94" s="240" t="n"/>
      <c r="CLJ94" s="240" t="n"/>
      <c r="CLL94" s="15" t="n"/>
      <c r="CLM94" s="15" t="n"/>
      <c r="CLN94" s="248" t="n"/>
      <c r="CLO94" s="248" t="n"/>
      <c r="CLP94" s="240" t="n"/>
      <c r="CLQ94" s="240" t="n"/>
      <c r="CLS94" s="15" t="n"/>
      <c r="CLT94" s="15" t="n"/>
      <c r="CLU94" s="248" t="n"/>
      <c r="CLV94" s="248" t="n"/>
      <c r="CLW94" s="240" t="n"/>
      <c r="CLX94" s="240" t="n"/>
      <c r="CLZ94" s="15" t="n"/>
      <c r="CMA94" s="15" t="n"/>
      <c r="CMB94" s="248" t="n"/>
      <c r="CMC94" s="248" t="n"/>
      <c r="CMD94" s="240" t="n"/>
      <c r="CME94" s="240" t="n"/>
      <c r="CMG94" s="15" t="n"/>
      <c r="CMH94" s="15" t="n"/>
      <c r="CMI94" s="248" t="n"/>
      <c r="CMJ94" s="248" t="n"/>
      <c r="CMK94" s="240" t="n"/>
      <c r="CML94" s="240" t="n"/>
      <c r="CMN94" s="15" t="n"/>
      <c r="CMO94" s="15" t="n"/>
      <c r="CMP94" s="248" t="n"/>
      <c r="CMQ94" s="248" t="n"/>
      <c r="CMR94" s="240" t="n"/>
      <c r="CMS94" s="240" t="n"/>
      <c r="CMU94" s="15" t="n"/>
      <c r="CMV94" s="15" t="n"/>
      <c r="CMW94" s="248" t="n"/>
      <c r="CMX94" s="248" t="n"/>
      <c r="CMY94" s="240" t="n"/>
      <c r="CMZ94" s="240" t="n"/>
      <c r="CNB94" s="15" t="n"/>
      <c r="CNC94" s="15" t="n"/>
      <c r="CND94" s="248" t="n"/>
      <c r="CNE94" s="248" t="n"/>
      <c r="CNF94" s="240" t="n"/>
      <c r="CNG94" s="240" t="n"/>
      <c r="CNI94" s="15" t="n"/>
      <c r="CNJ94" s="15" t="n"/>
      <c r="CNK94" s="248" t="n"/>
      <c r="CNL94" s="248" t="n"/>
      <c r="CNM94" s="240" t="n"/>
      <c r="CNN94" s="240" t="n"/>
      <c r="CNP94" s="15" t="n"/>
      <c r="CNQ94" s="15" t="n"/>
      <c r="CNR94" s="248" t="n"/>
      <c r="CNS94" s="248" t="n"/>
      <c r="CNT94" s="240" t="n"/>
      <c r="CNU94" s="240" t="n"/>
      <c r="CNW94" s="15" t="n"/>
      <c r="CNX94" s="15" t="n"/>
      <c r="CNY94" s="248" t="n"/>
      <c r="CNZ94" s="248" t="n"/>
      <c r="COA94" s="240" t="n"/>
      <c r="COB94" s="240" t="n"/>
      <c r="COD94" s="15" t="n"/>
      <c r="COE94" s="15" t="n"/>
      <c r="COF94" s="248" t="n"/>
      <c r="COG94" s="248" t="n"/>
      <c r="COH94" s="240" t="n"/>
      <c r="COI94" s="240" t="n"/>
      <c r="COK94" s="15" t="n"/>
      <c r="COL94" s="15" t="n"/>
      <c r="COM94" s="248" t="n"/>
      <c r="CON94" s="248" t="n"/>
      <c r="COO94" s="240" t="n"/>
      <c r="COP94" s="240" t="n"/>
      <c r="COR94" s="15" t="n"/>
      <c r="COS94" s="15" t="n"/>
      <c r="COT94" s="248" t="n"/>
      <c r="COU94" s="248" t="n"/>
      <c r="COV94" s="240" t="n"/>
      <c r="COW94" s="240" t="n"/>
      <c r="COY94" s="15" t="n"/>
      <c r="COZ94" s="15" t="n"/>
      <c r="CPA94" s="248" t="n"/>
      <c r="CPB94" s="248" t="n"/>
      <c r="CPC94" s="240" t="n"/>
      <c r="CPD94" s="240" t="n"/>
      <c r="CPF94" s="15" t="n"/>
      <c r="CPG94" s="15" t="n"/>
      <c r="CPH94" s="248" t="n"/>
      <c r="CPI94" s="248" t="n"/>
      <c r="CPJ94" s="240" t="n"/>
      <c r="CPK94" s="240" t="n"/>
      <c r="CPM94" s="15" t="n"/>
      <c r="CPN94" s="15" t="n"/>
      <c r="CPO94" s="248" t="n"/>
      <c r="CPP94" s="248" t="n"/>
      <c r="CPQ94" s="240" t="n"/>
      <c r="CPR94" s="240" t="n"/>
      <c r="CPT94" s="15" t="n"/>
      <c r="CPU94" s="15" t="n"/>
      <c r="CPV94" s="248" t="n"/>
      <c r="CPW94" s="248" t="n"/>
      <c r="CPX94" s="240" t="n"/>
      <c r="CPY94" s="240" t="n"/>
      <c r="CQA94" s="15" t="n"/>
      <c r="CQB94" s="15" t="n"/>
      <c r="CQC94" s="248" t="n"/>
      <c r="CQD94" s="248" t="n"/>
      <c r="CQE94" s="240" t="n"/>
      <c r="CQF94" s="240" t="n"/>
      <c r="CQH94" s="15" t="n"/>
      <c r="CQI94" s="15" t="n"/>
      <c r="CQJ94" s="248" t="n"/>
      <c r="CQK94" s="248" t="n"/>
      <c r="CQL94" s="240" t="n"/>
      <c r="CQM94" s="240" t="n"/>
      <c r="CQO94" s="15" t="n"/>
      <c r="CQP94" s="15" t="n"/>
      <c r="CQQ94" s="248" t="n"/>
      <c r="CQR94" s="248" t="n"/>
      <c r="CQS94" s="240" t="n"/>
      <c r="CQT94" s="240" t="n"/>
      <c r="CQV94" s="15" t="n"/>
      <c r="CQW94" s="15" t="n"/>
      <c r="CQX94" s="248" t="n"/>
      <c r="CQY94" s="248" t="n"/>
      <c r="CQZ94" s="240" t="n"/>
      <c r="CRA94" s="240" t="n"/>
      <c r="CRC94" s="15" t="n"/>
      <c r="CRD94" s="15" t="n"/>
      <c r="CRE94" s="248" t="n"/>
      <c r="CRF94" s="248" t="n"/>
      <c r="CRG94" s="240" t="n"/>
      <c r="CRH94" s="240" t="n"/>
      <c r="CRJ94" s="15" t="n"/>
      <c r="CRK94" s="15" t="n"/>
      <c r="CRL94" s="248" t="n"/>
      <c r="CRM94" s="248" t="n"/>
      <c r="CRN94" s="240" t="n"/>
      <c r="CRO94" s="240" t="n"/>
      <c r="CRQ94" s="15" t="n"/>
      <c r="CRR94" s="15" t="n"/>
      <c r="CRS94" s="248" t="n"/>
      <c r="CRT94" s="248" t="n"/>
      <c r="CRU94" s="240" t="n"/>
      <c r="CRV94" s="240" t="n"/>
      <c r="CRX94" s="15" t="n"/>
      <c r="CRY94" s="15" t="n"/>
      <c r="CRZ94" s="248" t="n"/>
      <c r="CSA94" s="248" t="n"/>
      <c r="CSB94" s="240" t="n"/>
      <c r="CSC94" s="240" t="n"/>
      <c r="CSE94" s="15" t="n"/>
      <c r="CSF94" s="15" t="n"/>
      <c r="CSG94" s="248" t="n"/>
      <c r="CSH94" s="248" t="n"/>
      <c r="CSI94" s="240" t="n"/>
      <c r="CSJ94" s="240" t="n"/>
      <c r="CSL94" s="15" t="n"/>
      <c r="CSM94" s="15" t="n"/>
      <c r="CSN94" s="248" t="n"/>
      <c r="CSO94" s="248" t="n"/>
      <c r="CSP94" s="240" t="n"/>
      <c r="CSQ94" s="240" t="n"/>
      <c r="CSS94" s="15" t="n"/>
      <c r="CST94" s="15" t="n"/>
      <c r="CSU94" s="248" t="n"/>
      <c r="CSV94" s="248" t="n"/>
      <c r="CSW94" s="240" t="n"/>
      <c r="CSX94" s="240" t="n"/>
      <c r="CSZ94" s="15" t="n"/>
      <c r="CTA94" s="15" t="n"/>
      <c r="CTB94" s="248" t="n"/>
      <c r="CTC94" s="248" t="n"/>
      <c r="CTD94" s="240" t="n"/>
      <c r="CTE94" s="240" t="n"/>
      <c r="CTG94" s="15" t="n"/>
      <c r="CTH94" s="15" t="n"/>
      <c r="CTI94" s="248" t="n"/>
      <c r="CTJ94" s="248" t="n"/>
      <c r="CTK94" s="240" t="n"/>
      <c r="CTL94" s="240" t="n"/>
      <c r="CTN94" s="15" t="n"/>
      <c r="CTO94" s="15" t="n"/>
      <c r="CTP94" s="248" t="n"/>
      <c r="CTQ94" s="248" t="n"/>
      <c r="CTR94" s="240" t="n"/>
      <c r="CTS94" s="240" t="n"/>
      <c r="CTU94" s="15" t="n"/>
      <c r="CTV94" s="15" t="n"/>
      <c r="CTW94" s="248" t="n"/>
      <c r="CTX94" s="248" t="n"/>
      <c r="CTY94" s="240" t="n"/>
      <c r="CTZ94" s="240" t="n"/>
      <c r="CUB94" s="15" t="n"/>
      <c r="CUC94" s="15" t="n"/>
      <c r="CUD94" s="248" t="n"/>
      <c r="CUE94" s="248" t="n"/>
      <c r="CUF94" s="240" t="n"/>
      <c r="CUG94" s="240" t="n"/>
      <c r="CUI94" s="15" t="n"/>
      <c r="CUJ94" s="15" t="n"/>
      <c r="CUK94" s="248" t="n"/>
      <c r="CUL94" s="248" t="n"/>
      <c r="CUM94" s="240" t="n"/>
      <c r="CUN94" s="240" t="n"/>
      <c r="CUP94" s="15" t="n"/>
      <c r="CUQ94" s="15" t="n"/>
      <c r="CUR94" s="248" t="n"/>
      <c r="CUS94" s="248" t="n"/>
      <c r="CUT94" s="240" t="n"/>
      <c r="CUU94" s="240" t="n"/>
      <c r="CUW94" s="15" t="n"/>
      <c r="CUX94" s="15" t="n"/>
      <c r="CUY94" s="248" t="n"/>
      <c r="CUZ94" s="248" t="n"/>
      <c r="CVA94" s="240" t="n"/>
      <c r="CVB94" s="240" t="n"/>
      <c r="CVD94" s="15" t="n"/>
      <c r="CVE94" s="15" t="n"/>
      <c r="CVF94" s="248" t="n"/>
      <c r="CVG94" s="248" t="n"/>
      <c r="CVH94" s="240" t="n"/>
      <c r="CVI94" s="240" t="n"/>
      <c r="CVK94" s="15" t="n"/>
      <c r="CVL94" s="15" t="n"/>
      <c r="CVM94" s="248" t="n"/>
      <c r="CVN94" s="248" t="n"/>
      <c r="CVO94" s="240" t="n"/>
      <c r="CVP94" s="240" t="n"/>
      <c r="CVR94" s="15" t="n"/>
      <c r="CVS94" s="15" t="n"/>
      <c r="CVT94" s="248" t="n"/>
      <c r="CVU94" s="248" t="n"/>
      <c r="CVV94" s="240" t="n"/>
      <c r="CVW94" s="240" t="n"/>
      <c r="CVY94" s="15" t="n"/>
      <c r="CVZ94" s="15" t="n"/>
      <c r="CWA94" s="248" t="n"/>
      <c r="CWB94" s="248" t="n"/>
      <c r="CWC94" s="240" t="n"/>
      <c r="CWD94" s="240" t="n"/>
      <c r="CWF94" s="15" t="n"/>
      <c r="CWG94" s="15" t="n"/>
      <c r="CWH94" s="248" t="n"/>
      <c r="CWI94" s="248" t="n"/>
      <c r="CWJ94" s="240" t="n"/>
      <c r="CWK94" s="240" t="n"/>
      <c r="CWM94" s="15" t="n"/>
      <c r="CWN94" s="15" t="n"/>
      <c r="CWO94" s="248" t="n"/>
      <c r="CWP94" s="248" t="n"/>
      <c r="CWQ94" s="240" t="n"/>
      <c r="CWR94" s="240" t="n"/>
      <c r="CWT94" s="15" t="n"/>
      <c r="CWU94" s="15" t="n"/>
      <c r="CWV94" s="248" t="n"/>
      <c r="CWW94" s="248" t="n"/>
      <c r="CWX94" s="240" t="n"/>
      <c r="CWY94" s="240" t="n"/>
      <c r="CXA94" s="15" t="n"/>
      <c r="CXB94" s="15" t="n"/>
      <c r="CXC94" s="248" t="n"/>
      <c r="CXD94" s="248" t="n"/>
      <c r="CXE94" s="240" t="n"/>
      <c r="CXF94" s="240" t="n"/>
      <c r="CXH94" s="15" t="n"/>
      <c r="CXI94" s="15" t="n"/>
      <c r="CXJ94" s="248" t="n"/>
      <c r="CXK94" s="248" t="n"/>
      <c r="CXL94" s="240" t="n"/>
      <c r="CXM94" s="240" t="n"/>
      <c r="CXO94" s="15" t="n"/>
      <c r="CXP94" s="15" t="n"/>
      <c r="CXQ94" s="248" t="n"/>
      <c r="CXR94" s="248" t="n"/>
      <c r="CXS94" s="240" t="n"/>
      <c r="CXT94" s="240" t="n"/>
      <c r="CXV94" s="15" t="n"/>
      <c r="CXW94" s="15" t="n"/>
      <c r="CXX94" s="248" t="n"/>
      <c r="CXY94" s="248" t="n"/>
      <c r="CXZ94" s="240" t="n"/>
      <c r="CYA94" s="240" t="n"/>
      <c r="CYC94" s="15" t="n"/>
      <c r="CYD94" s="15" t="n"/>
      <c r="CYE94" s="248" t="n"/>
      <c r="CYF94" s="248" t="n"/>
      <c r="CYG94" s="240" t="n"/>
      <c r="CYH94" s="240" t="n"/>
      <c r="CYJ94" s="15" t="n"/>
      <c r="CYK94" s="15" t="n"/>
      <c r="CYL94" s="248" t="n"/>
      <c r="CYM94" s="248" t="n"/>
      <c r="CYN94" s="240" t="n"/>
      <c r="CYO94" s="240" t="n"/>
      <c r="CYQ94" s="15" t="n"/>
      <c r="CYR94" s="15" t="n"/>
      <c r="CYS94" s="248" t="n"/>
      <c r="CYT94" s="248" t="n"/>
      <c r="CYU94" s="240" t="n"/>
      <c r="CYV94" s="240" t="n"/>
      <c r="CYX94" s="15" t="n"/>
      <c r="CYY94" s="15" t="n"/>
      <c r="CYZ94" s="248" t="n"/>
      <c r="CZA94" s="248" t="n"/>
      <c r="CZB94" s="240" t="n"/>
      <c r="CZC94" s="240" t="n"/>
      <c r="CZE94" s="15" t="n"/>
      <c r="CZF94" s="15" t="n"/>
      <c r="CZG94" s="248" t="n"/>
      <c r="CZH94" s="248" t="n"/>
      <c r="CZI94" s="240" t="n"/>
      <c r="CZJ94" s="240" t="n"/>
      <c r="CZL94" s="15" t="n"/>
      <c r="CZM94" s="15" t="n"/>
      <c r="CZN94" s="248" t="n"/>
      <c r="CZO94" s="248" t="n"/>
      <c r="CZP94" s="240" t="n"/>
      <c r="CZQ94" s="240" t="n"/>
      <c r="CZS94" s="15" t="n"/>
      <c r="CZT94" s="15" t="n"/>
      <c r="CZU94" s="248" t="n"/>
      <c r="CZV94" s="248" t="n"/>
      <c r="CZW94" s="240" t="n"/>
      <c r="CZX94" s="240" t="n"/>
      <c r="CZZ94" s="15" t="n"/>
      <c r="DAA94" s="15" t="n"/>
      <c r="DAB94" s="248" t="n"/>
      <c r="DAC94" s="248" t="n"/>
      <c r="DAD94" s="240" t="n"/>
      <c r="DAE94" s="240" t="n"/>
      <c r="DAG94" s="15" t="n"/>
      <c r="DAH94" s="15" t="n"/>
      <c r="DAI94" s="248" t="n"/>
      <c r="DAJ94" s="248" t="n"/>
      <c r="DAK94" s="240" t="n"/>
      <c r="DAL94" s="240" t="n"/>
      <c r="DAN94" s="15" t="n"/>
      <c r="DAO94" s="15" t="n"/>
      <c r="DAP94" s="248" t="n"/>
      <c r="DAQ94" s="248" t="n"/>
      <c r="DAR94" s="240" t="n"/>
      <c r="DAS94" s="240" t="n"/>
      <c r="DAU94" s="15" t="n"/>
      <c r="DAV94" s="15" t="n"/>
      <c r="DAW94" s="248" t="n"/>
      <c r="DAX94" s="248" t="n"/>
      <c r="DAY94" s="240" t="n"/>
      <c r="DAZ94" s="240" t="n"/>
      <c r="DBB94" s="15" t="n"/>
      <c r="DBC94" s="15" t="n"/>
      <c r="DBD94" s="248" t="n"/>
      <c r="DBE94" s="248" t="n"/>
      <c r="DBF94" s="240" t="n"/>
      <c r="DBG94" s="240" t="n"/>
      <c r="DBI94" s="15" t="n"/>
      <c r="DBJ94" s="15" t="n"/>
      <c r="DBK94" s="248" t="n"/>
      <c r="DBL94" s="248" t="n"/>
      <c r="DBM94" s="240" t="n"/>
      <c r="DBN94" s="240" t="n"/>
      <c r="DBP94" s="15" t="n"/>
      <c r="DBQ94" s="15" t="n"/>
      <c r="DBR94" s="248" t="n"/>
      <c r="DBS94" s="248" t="n"/>
      <c r="DBT94" s="240" t="n"/>
      <c r="DBU94" s="240" t="n"/>
      <c r="DBW94" s="15" t="n"/>
      <c r="DBX94" s="15" t="n"/>
      <c r="DBY94" s="248" t="n"/>
      <c r="DBZ94" s="248" t="n"/>
      <c r="DCA94" s="240" t="n"/>
      <c r="DCB94" s="240" t="n"/>
      <c r="DCD94" s="15" t="n"/>
      <c r="DCE94" s="15" t="n"/>
      <c r="DCF94" s="248" t="n"/>
      <c r="DCG94" s="248" t="n"/>
      <c r="DCH94" s="240" t="n"/>
      <c r="DCI94" s="240" t="n"/>
      <c r="DCK94" s="15" t="n"/>
      <c r="DCL94" s="15" t="n"/>
      <c r="DCM94" s="248" t="n"/>
      <c r="DCN94" s="248" t="n"/>
      <c r="DCO94" s="240" t="n"/>
      <c r="DCP94" s="240" t="n"/>
      <c r="DCR94" s="15" t="n"/>
      <c r="DCS94" s="15" t="n"/>
      <c r="DCT94" s="248" t="n"/>
      <c r="DCU94" s="248" t="n"/>
      <c r="DCV94" s="240" t="n"/>
      <c r="DCW94" s="240" t="n"/>
      <c r="DCY94" s="15" t="n"/>
      <c r="DCZ94" s="15" t="n"/>
      <c r="DDA94" s="248" t="n"/>
      <c r="DDB94" s="248" t="n"/>
      <c r="DDC94" s="240" t="n"/>
      <c r="DDD94" s="240" t="n"/>
      <c r="DDF94" s="15" t="n"/>
      <c r="DDG94" s="15" t="n"/>
      <c r="DDH94" s="248" t="n"/>
      <c r="DDI94" s="248" t="n"/>
      <c r="DDJ94" s="240" t="n"/>
      <c r="DDK94" s="240" t="n"/>
      <c r="DDM94" s="15" t="n"/>
      <c r="DDN94" s="15" t="n"/>
      <c r="DDO94" s="248" t="n"/>
      <c r="DDP94" s="248" t="n"/>
      <c r="DDQ94" s="240" t="n"/>
      <c r="DDR94" s="240" t="n"/>
      <c r="DDT94" s="15" t="n"/>
      <c r="DDU94" s="15" t="n"/>
      <c r="DDV94" s="248" t="n"/>
      <c r="DDW94" s="248" t="n"/>
      <c r="DDX94" s="240" t="n"/>
      <c r="DDY94" s="240" t="n"/>
      <c r="DEA94" s="15" t="n"/>
      <c r="DEB94" s="15" t="n"/>
      <c r="DEC94" s="248" t="n"/>
      <c r="DED94" s="248" t="n"/>
      <c r="DEE94" s="240" t="n"/>
      <c r="DEF94" s="240" t="n"/>
      <c r="DEH94" s="15" t="n"/>
      <c r="DEI94" s="15" t="n"/>
      <c r="DEJ94" s="248" t="n"/>
      <c r="DEK94" s="248" t="n"/>
      <c r="DEL94" s="240" t="n"/>
      <c r="DEM94" s="240" t="n"/>
      <c r="DEO94" s="15" t="n"/>
      <c r="DEP94" s="15" t="n"/>
      <c r="DEQ94" s="248" t="n"/>
      <c r="DER94" s="248" t="n"/>
      <c r="DES94" s="240" t="n"/>
      <c r="DET94" s="240" t="n"/>
      <c r="DEV94" s="15" t="n"/>
      <c r="DEW94" s="15" t="n"/>
      <c r="DEX94" s="248" t="n"/>
      <c r="DEY94" s="248" t="n"/>
      <c r="DEZ94" s="240" t="n"/>
      <c r="DFA94" s="240" t="n"/>
      <c r="DFC94" s="15" t="n"/>
      <c r="DFD94" s="15" t="n"/>
      <c r="DFE94" s="248" t="n"/>
      <c r="DFF94" s="248" t="n"/>
      <c r="DFG94" s="240" t="n"/>
      <c r="DFH94" s="240" t="n"/>
      <c r="DFJ94" s="15" t="n"/>
      <c r="DFK94" s="15" t="n"/>
      <c r="DFL94" s="248" t="n"/>
      <c r="DFM94" s="248" t="n"/>
      <c r="DFN94" s="240" t="n"/>
      <c r="DFO94" s="240" t="n"/>
      <c r="DFQ94" s="15" t="n"/>
      <c r="DFR94" s="15" t="n"/>
      <c r="DFS94" s="248" t="n"/>
      <c r="DFT94" s="248" t="n"/>
      <c r="DFU94" s="240" t="n"/>
      <c r="DFV94" s="240" t="n"/>
      <c r="DFX94" s="15" t="n"/>
      <c r="DFY94" s="15" t="n"/>
      <c r="DFZ94" s="248" t="n"/>
      <c r="DGA94" s="248" t="n"/>
      <c r="DGB94" s="240" t="n"/>
      <c r="DGC94" s="240" t="n"/>
      <c r="DGE94" s="15" t="n"/>
      <c r="DGF94" s="15" t="n"/>
      <c r="DGG94" s="248" t="n"/>
      <c r="DGH94" s="248" t="n"/>
      <c r="DGI94" s="240" t="n"/>
      <c r="DGJ94" s="240" t="n"/>
      <c r="DGL94" s="15" t="n"/>
      <c r="DGM94" s="15" t="n"/>
      <c r="DGN94" s="248" t="n"/>
      <c r="DGO94" s="248" t="n"/>
      <c r="DGP94" s="240" t="n"/>
      <c r="DGQ94" s="240" t="n"/>
      <c r="DGS94" s="15" t="n"/>
      <c r="DGT94" s="15" t="n"/>
      <c r="DGU94" s="248" t="n"/>
      <c r="DGV94" s="248" t="n"/>
      <c r="DGW94" s="240" t="n"/>
      <c r="DGX94" s="240" t="n"/>
      <c r="DGZ94" s="15" t="n"/>
      <c r="DHA94" s="15" t="n"/>
      <c r="DHB94" s="248" t="n"/>
      <c r="DHC94" s="248" t="n"/>
      <c r="DHD94" s="240" t="n"/>
      <c r="DHE94" s="240" t="n"/>
      <c r="DHG94" s="15" t="n"/>
      <c r="DHH94" s="15" t="n"/>
      <c r="DHI94" s="248" t="n"/>
      <c r="DHJ94" s="248" t="n"/>
      <c r="DHK94" s="240" t="n"/>
      <c r="DHL94" s="240" t="n"/>
      <c r="DHN94" s="15" t="n"/>
      <c r="DHO94" s="15" t="n"/>
      <c r="DHP94" s="248" t="n"/>
      <c r="DHQ94" s="248" t="n"/>
      <c r="DHR94" s="240" t="n"/>
      <c r="DHS94" s="240" t="n"/>
      <c r="DHU94" s="15" t="n"/>
      <c r="DHV94" s="15" t="n"/>
      <c r="DHW94" s="248" t="n"/>
      <c r="DHX94" s="248" t="n"/>
      <c r="DHY94" s="240" t="n"/>
      <c r="DHZ94" s="240" t="n"/>
      <c r="DIB94" s="15" t="n"/>
      <c r="DIC94" s="15" t="n"/>
      <c r="DID94" s="248" t="n"/>
      <c r="DIE94" s="248" t="n"/>
      <c r="DIF94" s="240" t="n"/>
      <c r="DIG94" s="240" t="n"/>
      <c r="DII94" s="15" t="n"/>
      <c r="DIJ94" s="15" t="n"/>
      <c r="DIK94" s="248" t="n"/>
      <c r="DIL94" s="248" t="n"/>
      <c r="DIM94" s="240" t="n"/>
      <c r="DIN94" s="240" t="n"/>
      <c r="DIP94" s="15" t="n"/>
      <c r="DIQ94" s="15" t="n"/>
      <c r="DIR94" s="248" t="n"/>
      <c r="DIS94" s="248" t="n"/>
      <c r="DIT94" s="240" t="n"/>
      <c r="DIU94" s="240" t="n"/>
      <c r="DIW94" s="15" t="n"/>
      <c r="DIX94" s="15" t="n"/>
      <c r="DIY94" s="248" t="n"/>
      <c r="DIZ94" s="248" t="n"/>
      <c r="DJA94" s="240" t="n"/>
      <c r="DJB94" s="240" t="n"/>
      <c r="DJD94" s="15" t="n"/>
      <c r="DJE94" s="15" t="n"/>
      <c r="DJF94" s="248" t="n"/>
      <c r="DJG94" s="248" t="n"/>
      <c r="DJH94" s="240" t="n"/>
      <c r="DJI94" s="240" t="n"/>
      <c r="DJK94" s="15" t="n"/>
      <c r="DJL94" s="15" t="n"/>
      <c r="DJM94" s="248" t="n"/>
      <c r="DJN94" s="248" t="n"/>
      <c r="DJO94" s="240" t="n"/>
      <c r="DJP94" s="240" t="n"/>
      <c r="DJR94" s="15" t="n"/>
      <c r="DJS94" s="15" t="n"/>
      <c r="DJT94" s="248" t="n"/>
      <c r="DJU94" s="248" t="n"/>
      <c r="DJV94" s="240" t="n"/>
      <c r="DJW94" s="240" t="n"/>
      <c r="DJY94" s="15" t="n"/>
      <c r="DJZ94" s="15" t="n"/>
      <c r="DKA94" s="248" t="n"/>
      <c r="DKB94" s="248" t="n"/>
      <c r="DKC94" s="240" t="n"/>
      <c r="DKD94" s="240" t="n"/>
      <c r="DKF94" s="15" t="n"/>
      <c r="DKG94" s="15" t="n"/>
      <c r="DKH94" s="248" t="n"/>
      <c r="DKI94" s="248" t="n"/>
      <c r="DKJ94" s="240" t="n"/>
      <c r="DKK94" s="240" t="n"/>
      <c r="DKM94" s="15" t="n"/>
      <c r="DKN94" s="15" t="n"/>
      <c r="DKO94" s="248" t="n"/>
      <c r="DKP94" s="248" t="n"/>
      <c r="DKQ94" s="240" t="n"/>
      <c r="DKR94" s="240" t="n"/>
      <c r="DKT94" s="15" t="n"/>
      <c r="DKU94" s="15" t="n"/>
      <c r="DKV94" s="248" t="n"/>
      <c r="DKW94" s="248" t="n"/>
      <c r="DKX94" s="240" t="n"/>
      <c r="DKY94" s="240" t="n"/>
      <c r="DLA94" s="15" t="n"/>
      <c r="DLB94" s="15" t="n"/>
      <c r="DLC94" s="248" t="n"/>
      <c r="DLD94" s="248" t="n"/>
      <c r="DLE94" s="240" t="n"/>
      <c r="DLF94" s="240" t="n"/>
      <c r="DLH94" s="15" t="n"/>
      <c r="DLI94" s="15" t="n"/>
      <c r="DLJ94" s="248" t="n"/>
      <c r="DLK94" s="248" t="n"/>
      <c r="DLL94" s="240" t="n"/>
      <c r="DLM94" s="240" t="n"/>
      <c r="DLO94" s="15" t="n"/>
      <c r="DLP94" s="15" t="n"/>
      <c r="DLQ94" s="248" t="n"/>
      <c r="DLR94" s="248" t="n"/>
      <c r="DLS94" s="240" t="n"/>
      <c r="DLT94" s="240" t="n"/>
      <c r="DLV94" s="15" t="n"/>
      <c r="DLW94" s="15" t="n"/>
      <c r="DLX94" s="248" t="n"/>
      <c r="DLY94" s="248" t="n"/>
      <c r="DLZ94" s="240" t="n"/>
      <c r="DMA94" s="240" t="n"/>
      <c r="DMC94" s="15" t="n"/>
      <c r="DMD94" s="15" t="n"/>
      <c r="DME94" s="248" t="n"/>
      <c r="DMF94" s="248" t="n"/>
      <c r="DMG94" s="240" t="n"/>
      <c r="DMH94" s="240" t="n"/>
      <c r="DMJ94" s="15" t="n"/>
      <c r="DMK94" s="15" t="n"/>
      <c r="DML94" s="248" t="n"/>
      <c r="DMM94" s="248" t="n"/>
      <c r="DMN94" s="240" t="n"/>
      <c r="DMO94" s="240" t="n"/>
      <c r="DMQ94" s="15" t="n"/>
      <c r="DMR94" s="15" t="n"/>
      <c r="DMS94" s="248" t="n"/>
      <c r="DMT94" s="248" t="n"/>
      <c r="DMU94" s="240" t="n"/>
      <c r="DMV94" s="240" t="n"/>
      <c r="DMX94" s="15" t="n"/>
      <c r="DMY94" s="15" t="n"/>
      <c r="DMZ94" s="248" t="n"/>
      <c r="DNA94" s="248" t="n"/>
      <c r="DNB94" s="240" t="n"/>
      <c r="DNC94" s="240" t="n"/>
      <c r="DNE94" s="15" t="n"/>
      <c r="DNF94" s="15" t="n"/>
      <c r="DNG94" s="248" t="n"/>
      <c r="DNH94" s="248" t="n"/>
      <c r="DNI94" s="240" t="n"/>
      <c r="DNJ94" s="240" t="n"/>
      <c r="DNL94" s="15" t="n"/>
      <c r="DNM94" s="15" t="n"/>
      <c r="DNN94" s="248" t="n"/>
      <c r="DNO94" s="248" t="n"/>
      <c r="DNP94" s="240" t="n"/>
      <c r="DNQ94" s="240" t="n"/>
      <c r="DNS94" s="15" t="n"/>
      <c r="DNT94" s="15" t="n"/>
      <c r="DNU94" s="248" t="n"/>
      <c r="DNV94" s="248" t="n"/>
      <c r="DNW94" s="240" t="n"/>
      <c r="DNX94" s="240" t="n"/>
      <c r="DNZ94" s="15" t="n"/>
      <c r="DOA94" s="15" t="n"/>
      <c r="DOB94" s="248" t="n"/>
      <c r="DOC94" s="248" t="n"/>
      <c r="DOD94" s="240" t="n"/>
      <c r="DOE94" s="240" t="n"/>
      <c r="DOG94" s="15" t="n"/>
      <c r="DOH94" s="15" t="n"/>
      <c r="DOI94" s="248" t="n"/>
      <c r="DOJ94" s="248" t="n"/>
      <c r="DOK94" s="240" t="n"/>
      <c r="DOL94" s="240" t="n"/>
      <c r="DON94" s="15" t="n"/>
      <c r="DOO94" s="15" t="n"/>
      <c r="DOP94" s="248" t="n"/>
      <c r="DOQ94" s="248" t="n"/>
      <c r="DOR94" s="240" t="n"/>
      <c r="DOS94" s="240" t="n"/>
      <c r="DOU94" s="15" t="n"/>
      <c r="DOV94" s="15" t="n"/>
      <c r="DOW94" s="248" t="n"/>
      <c r="DOX94" s="248" t="n"/>
      <c r="DOY94" s="240" t="n"/>
      <c r="DOZ94" s="240" t="n"/>
      <c r="DPB94" s="15" t="n"/>
      <c r="DPC94" s="15" t="n"/>
      <c r="DPD94" s="248" t="n"/>
      <c r="DPE94" s="248" t="n"/>
      <c r="DPF94" s="240" t="n"/>
      <c r="DPG94" s="240" t="n"/>
      <c r="DPI94" s="15" t="n"/>
      <c r="DPJ94" s="15" t="n"/>
      <c r="DPK94" s="248" t="n"/>
      <c r="DPL94" s="248" t="n"/>
      <c r="DPM94" s="240" t="n"/>
      <c r="DPN94" s="240" t="n"/>
      <c r="DPP94" s="15" t="n"/>
      <c r="DPQ94" s="15" t="n"/>
      <c r="DPR94" s="248" t="n"/>
      <c r="DPS94" s="248" t="n"/>
      <c r="DPT94" s="240" t="n"/>
      <c r="DPU94" s="240" t="n"/>
      <c r="DPW94" s="15" t="n"/>
      <c r="DPX94" s="15" t="n"/>
      <c r="DPY94" s="248" t="n"/>
      <c r="DPZ94" s="248" t="n"/>
      <c r="DQA94" s="240" t="n"/>
      <c r="DQB94" s="240" t="n"/>
      <c r="DQD94" s="15" t="n"/>
      <c r="DQE94" s="15" t="n"/>
      <c r="DQF94" s="248" t="n"/>
      <c r="DQG94" s="248" t="n"/>
      <c r="DQH94" s="240" t="n"/>
      <c r="DQI94" s="240" t="n"/>
      <c r="DQK94" s="15" t="n"/>
      <c r="DQL94" s="15" t="n"/>
      <c r="DQM94" s="248" t="n"/>
      <c r="DQN94" s="248" t="n"/>
      <c r="DQO94" s="240" t="n"/>
      <c r="DQP94" s="240" t="n"/>
      <c r="DQR94" s="15" t="n"/>
      <c r="DQS94" s="15" t="n"/>
      <c r="DQT94" s="248" t="n"/>
      <c r="DQU94" s="248" t="n"/>
      <c r="DQV94" s="240" t="n"/>
      <c r="DQW94" s="240" t="n"/>
      <c r="DQY94" s="15" t="n"/>
      <c r="DQZ94" s="15" t="n"/>
      <c r="DRA94" s="248" t="n"/>
      <c r="DRB94" s="248" t="n"/>
      <c r="DRC94" s="240" t="n"/>
      <c r="DRD94" s="240" t="n"/>
      <c r="DRF94" s="15" t="n"/>
      <c r="DRG94" s="15" t="n"/>
      <c r="DRH94" s="248" t="n"/>
      <c r="DRI94" s="248" t="n"/>
      <c r="DRJ94" s="240" t="n"/>
      <c r="DRK94" s="240" t="n"/>
      <c r="DRM94" s="15" t="n"/>
      <c r="DRN94" s="15" t="n"/>
      <c r="DRO94" s="248" t="n"/>
      <c r="DRP94" s="248" t="n"/>
      <c r="DRQ94" s="240" t="n"/>
      <c r="DRR94" s="240" t="n"/>
      <c r="DRT94" s="15" t="n"/>
      <c r="DRU94" s="15" t="n"/>
      <c r="DRV94" s="248" t="n"/>
      <c r="DRW94" s="248" t="n"/>
      <c r="DRX94" s="240" t="n"/>
      <c r="DRY94" s="240" t="n"/>
      <c r="DSA94" s="15" t="n"/>
      <c r="DSB94" s="15" t="n"/>
      <c r="DSC94" s="248" t="n"/>
      <c r="DSD94" s="248" t="n"/>
      <c r="DSE94" s="240" t="n"/>
      <c r="DSF94" s="240" t="n"/>
      <c r="DSH94" s="15" t="n"/>
      <c r="DSI94" s="15" t="n"/>
      <c r="DSJ94" s="248" t="n"/>
      <c r="DSK94" s="248" t="n"/>
      <c r="DSL94" s="240" t="n"/>
      <c r="DSM94" s="240" t="n"/>
      <c r="DSO94" s="15" t="n"/>
      <c r="DSP94" s="15" t="n"/>
      <c r="DSQ94" s="248" t="n"/>
      <c r="DSR94" s="248" t="n"/>
      <c r="DSS94" s="240" t="n"/>
      <c r="DST94" s="240" t="n"/>
      <c r="DSV94" s="15" t="n"/>
      <c r="DSW94" s="15" t="n"/>
      <c r="DSX94" s="248" t="n"/>
      <c r="DSY94" s="248" t="n"/>
      <c r="DSZ94" s="240" t="n"/>
      <c r="DTA94" s="240" t="n"/>
      <c r="DTC94" s="15" t="n"/>
      <c r="DTD94" s="15" t="n"/>
      <c r="DTE94" s="248" t="n"/>
      <c r="DTF94" s="248" t="n"/>
      <c r="DTG94" s="240" t="n"/>
      <c r="DTH94" s="240" t="n"/>
      <c r="DTJ94" s="15" t="n"/>
      <c r="DTK94" s="15" t="n"/>
      <c r="DTL94" s="248" t="n"/>
      <c r="DTM94" s="248" t="n"/>
      <c r="DTN94" s="240" t="n"/>
      <c r="DTO94" s="240" t="n"/>
      <c r="DTQ94" s="15" t="n"/>
      <c r="DTR94" s="15" t="n"/>
      <c r="DTS94" s="248" t="n"/>
      <c r="DTT94" s="248" t="n"/>
      <c r="DTU94" s="240" t="n"/>
      <c r="DTV94" s="240" t="n"/>
      <c r="DTX94" s="15" t="n"/>
      <c r="DTY94" s="15" t="n"/>
      <c r="DTZ94" s="248" t="n"/>
      <c r="DUA94" s="248" t="n"/>
      <c r="DUB94" s="240" t="n"/>
      <c r="DUC94" s="240" t="n"/>
      <c r="DUE94" s="15" t="n"/>
      <c r="DUF94" s="15" t="n"/>
      <c r="DUG94" s="248" t="n"/>
      <c r="DUH94" s="248" t="n"/>
      <c r="DUI94" s="240" t="n"/>
      <c r="DUJ94" s="240" t="n"/>
      <c r="DUL94" s="15" t="n"/>
      <c r="DUM94" s="15" t="n"/>
      <c r="DUN94" s="248" t="n"/>
      <c r="DUO94" s="248" t="n"/>
      <c r="DUP94" s="240" t="n"/>
      <c r="DUQ94" s="240" t="n"/>
      <c r="DUS94" s="15" t="n"/>
      <c r="DUT94" s="15" t="n"/>
      <c r="DUU94" s="248" t="n"/>
      <c r="DUV94" s="248" t="n"/>
      <c r="DUW94" s="240" t="n"/>
      <c r="DUX94" s="240" t="n"/>
      <c r="DUZ94" s="15" t="n"/>
      <c r="DVA94" s="15" t="n"/>
      <c r="DVB94" s="248" t="n"/>
      <c r="DVC94" s="248" t="n"/>
      <c r="DVD94" s="240" t="n"/>
      <c r="DVE94" s="240" t="n"/>
      <c r="DVG94" s="15" t="n"/>
      <c r="DVH94" s="15" t="n"/>
      <c r="DVI94" s="248" t="n"/>
      <c r="DVJ94" s="248" t="n"/>
      <c r="DVK94" s="240" t="n"/>
      <c r="DVL94" s="240" t="n"/>
      <c r="DVN94" s="15" t="n"/>
      <c r="DVO94" s="15" t="n"/>
      <c r="DVP94" s="248" t="n"/>
      <c r="DVQ94" s="248" t="n"/>
      <c r="DVR94" s="240" t="n"/>
      <c r="DVS94" s="240" t="n"/>
      <c r="DVU94" s="15" t="n"/>
      <c r="DVV94" s="15" t="n"/>
      <c r="DVW94" s="248" t="n"/>
      <c r="DVX94" s="248" t="n"/>
      <c r="DVY94" s="240" t="n"/>
      <c r="DVZ94" s="240" t="n"/>
      <c r="DWB94" s="15" t="n"/>
      <c r="DWC94" s="15" t="n"/>
      <c r="DWD94" s="248" t="n"/>
      <c r="DWE94" s="248" t="n"/>
      <c r="DWF94" s="240" t="n"/>
      <c r="DWG94" s="240" t="n"/>
      <c r="DWI94" s="15" t="n"/>
      <c r="DWJ94" s="15" t="n"/>
      <c r="DWK94" s="248" t="n"/>
      <c r="DWL94" s="248" t="n"/>
      <c r="DWM94" s="240" t="n"/>
      <c r="DWN94" s="240" t="n"/>
      <c r="DWP94" s="15" t="n"/>
      <c r="DWQ94" s="15" t="n"/>
      <c r="DWR94" s="248" t="n"/>
      <c r="DWS94" s="248" t="n"/>
      <c r="DWT94" s="240" t="n"/>
      <c r="DWU94" s="240" t="n"/>
      <c r="DWW94" s="15" t="n"/>
      <c r="DWX94" s="15" t="n"/>
      <c r="DWY94" s="248" t="n"/>
      <c r="DWZ94" s="248" t="n"/>
      <c r="DXA94" s="240" t="n"/>
      <c r="DXB94" s="240" t="n"/>
      <c r="DXD94" s="15" t="n"/>
      <c r="DXE94" s="15" t="n"/>
      <c r="DXF94" s="248" t="n"/>
      <c r="DXG94" s="248" t="n"/>
      <c r="DXH94" s="240" t="n"/>
      <c r="DXI94" s="240" t="n"/>
      <c r="DXK94" s="15" t="n"/>
      <c r="DXL94" s="15" t="n"/>
      <c r="DXM94" s="248" t="n"/>
      <c r="DXN94" s="248" t="n"/>
      <c r="DXO94" s="240" t="n"/>
      <c r="DXP94" s="240" t="n"/>
      <c r="DXR94" s="15" t="n"/>
      <c r="DXS94" s="15" t="n"/>
      <c r="DXT94" s="248" t="n"/>
      <c r="DXU94" s="248" t="n"/>
      <c r="DXV94" s="240" t="n"/>
      <c r="DXW94" s="240" t="n"/>
      <c r="DXY94" s="15" t="n"/>
      <c r="DXZ94" s="15" t="n"/>
      <c r="DYA94" s="248" t="n"/>
      <c r="DYB94" s="248" t="n"/>
      <c r="DYC94" s="240" t="n"/>
      <c r="DYD94" s="240" t="n"/>
      <c r="DYF94" s="15" t="n"/>
      <c r="DYG94" s="15" t="n"/>
      <c r="DYH94" s="248" t="n"/>
      <c r="DYI94" s="248" t="n"/>
      <c r="DYJ94" s="240" t="n"/>
      <c r="DYK94" s="240" t="n"/>
      <c r="DYM94" s="15" t="n"/>
      <c r="DYN94" s="15" t="n"/>
      <c r="DYO94" s="248" t="n"/>
      <c r="DYP94" s="248" t="n"/>
      <c r="DYQ94" s="240" t="n"/>
      <c r="DYR94" s="240" t="n"/>
      <c r="DYT94" s="15" t="n"/>
      <c r="DYU94" s="15" t="n"/>
      <c r="DYV94" s="248" t="n"/>
      <c r="DYW94" s="248" t="n"/>
      <c r="DYX94" s="240" t="n"/>
      <c r="DYY94" s="240" t="n"/>
      <c r="DZA94" s="15" t="n"/>
      <c r="DZB94" s="15" t="n"/>
      <c r="DZC94" s="248" t="n"/>
      <c r="DZD94" s="248" t="n"/>
      <c r="DZE94" s="240" t="n"/>
      <c r="DZF94" s="240" t="n"/>
      <c r="DZH94" s="15" t="n"/>
      <c r="DZI94" s="15" t="n"/>
      <c r="DZJ94" s="248" t="n"/>
      <c r="DZK94" s="248" t="n"/>
      <c r="DZL94" s="240" t="n"/>
      <c r="DZM94" s="240" t="n"/>
      <c r="DZO94" s="15" t="n"/>
      <c r="DZP94" s="15" t="n"/>
      <c r="DZQ94" s="248" t="n"/>
      <c r="DZR94" s="248" t="n"/>
      <c r="DZS94" s="240" t="n"/>
      <c r="DZT94" s="240" t="n"/>
      <c r="DZV94" s="15" t="n"/>
      <c r="DZW94" s="15" t="n"/>
      <c r="DZX94" s="248" t="n"/>
      <c r="DZY94" s="248" t="n"/>
      <c r="DZZ94" s="240" t="n"/>
      <c r="EAA94" s="240" t="n"/>
      <c r="EAC94" s="15" t="n"/>
      <c r="EAD94" s="15" t="n"/>
      <c r="EAE94" s="248" t="n"/>
      <c r="EAF94" s="248" t="n"/>
      <c r="EAG94" s="240" t="n"/>
      <c r="EAH94" s="240" t="n"/>
      <c r="EAJ94" s="15" t="n"/>
      <c r="EAK94" s="15" t="n"/>
      <c r="EAL94" s="248" t="n"/>
      <c r="EAM94" s="248" t="n"/>
      <c r="EAN94" s="240" t="n"/>
      <c r="EAO94" s="240" t="n"/>
      <c r="EAQ94" s="15" t="n"/>
      <c r="EAR94" s="15" t="n"/>
      <c r="EAS94" s="248" t="n"/>
      <c r="EAT94" s="248" t="n"/>
      <c r="EAU94" s="240" t="n"/>
      <c r="EAV94" s="240" t="n"/>
      <c r="EAX94" s="15" t="n"/>
      <c r="EAY94" s="15" t="n"/>
      <c r="EAZ94" s="248" t="n"/>
      <c r="EBA94" s="248" t="n"/>
      <c r="EBB94" s="240" t="n"/>
      <c r="EBC94" s="240" t="n"/>
      <c r="EBE94" s="15" t="n"/>
      <c r="EBF94" s="15" t="n"/>
      <c r="EBG94" s="248" t="n"/>
      <c r="EBH94" s="248" t="n"/>
      <c r="EBI94" s="240" t="n"/>
      <c r="EBJ94" s="240" t="n"/>
      <c r="EBL94" s="15" t="n"/>
      <c r="EBM94" s="15" t="n"/>
      <c r="EBN94" s="248" t="n"/>
      <c r="EBO94" s="248" t="n"/>
      <c r="EBP94" s="240" t="n"/>
      <c r="EBQ94" s="240" t="n"/>
      <c r="EBS94" s="15" t="n"/>
      <c r="EBT94" s="15" t="n"/>
      <c r="EBU94" s="248" t="n"/>
      <c r="EBV94" s="248" t="n"/>
      <c r="EBW94" s="240" t="n"/>
      <c r="EBX94" s="240" t="n"/>
      <c r="EBZ94" s="15" t="n"/>
      <c r="ECA94" s="15" t="n"/>
      <c r="ECB94" s="248" t="n"/>
      <c r="ECC94" s="248" t="n"/>
      <c r="ECD94" s="240" t="n"/>
      <c r="ECE94" s="240" t="n"/>
      <c r="ECG94" s="15" t="n"/>
      <c r="ECH94" s="15" t="n"/>
      <c r="ECI94" s="248" t="n"/>
      <c r="ECJ94" s="248" t="n"/>
      <c r="ECK94" s="240" t="n"/>
      <c r="ECL94" s="240" t="n"/>
      <c r="ECN94" s="15" t="n"/>
      <c r="ECO94" s="15" t="n"/>
      <c r="ECP94" s="248" t="n"/>
      <c r="ECQ94" s="248" t="n"/>
      <c r="ECR94" s="240" t="n"/>
      <c r="ECS94" s="240" t="n"/>
      <c r="ECU94" s="15" t="n"/>
      <c r="ECV94" s="15" t="n"/>
      <c r="ECW94" s="248" t="n"/>
      <c r="ECX94" s="248" t="n"/>
      <c r="ECY94" s="240" t="n"/>
      <c r="ECZ94" s="240" t="n"/>
      <c r="EDB94" s="15" t="n"/>
      <c r="EDC94" s="15" t="n"/>
      <c r="EDD94" s="248" t="n"/>
      <c r="EDE94" s="248" t="n"/>
      <c r="EDF94" s="240" t="n"/>
      <c r="EDG94" s="240" t="n"/>
      <c r="EDI94" s="15" t="n"/>
      <c r="EDJ94" s="15" t="n"/>
      <c r="EDK94" s="248" t="n"/>
      <c r="EDL94" s="248" t="n"/>
      <c r="EDM94" s="240" t="n"/>
      <c r="EDN94" s="240" t="n"/>
      <c r="EDP94" s="15" t="n"/>
      <c r="EDQ94" s="15" t="n"/>
      <c r="EDR94" s="248" t="n"/>
      <c r="EDS94" s="248" t="n"/>
      <c r="EDT94" s="240" t="n"/>
      <c r="EDU94" s="240" t="n"/>
      <c r="EDW94" s="15" t="n"/>
      <c r="EDX94" s="15" t="n"/>
      <c r="EDY94" s="248" t="n"/>
      <c r="EDZ94" s="248" t="n"/>
      <c r="EEA94" s="240" t="n"/>
      <c r="EEB94" s="240" t="n"/>
      <c r="EED94" s="15" t="n"/>
      <c r="EEE94" s="15" t="n"/>
      <c r="EEF94" s="248" t="n"/>
      <c r="EEG94" s="248" t="n"/>
      <c r="EEH94" s="240" t="n"/>
      <c r="EEI94" s="240" t="n"/>
      <c r="EEK94" s="15" t="n"/>
      <c r="EEL94" s="15" t="n"/>
      <c r="EEM94" s="248" t="n"/>
      <c r="EEN94" s="248" t="n"/>
      <c r="EEO94" s="240" t="n"/>
      <c r="EEP94" s="240" t="n"/>
      <c r="EER94" s="15" t="n"/>
      <c r="EES94" s="15" t="n"/>
      <c r="EET94" s="248" t="n"/>
      <c r="EEU94" s="248" t="n"/>
      <c r="EEV94" s="240" t="n"/>
      <c r="EEW94" s="240" t="n"/>
      <c r="EEY94" s="15" t="n"/>
      <c r="EEZ94" s="15" t="n"/>
      <c r="EFA94" s="248" t="n"/>
      <c r="EFB94" s="248" t="n"/>
      <c r="EFC94" s="240" t="n"/>
      <c r="EFD94" s="240" t="n"/>
      <c r="EFF94" s="15" t="n"/>
      <c r="EFG94" s="15" t="n"/>
      <c r="EFH94" s="248" t="n"/>
      <c r="EFI94" s="248" t="n"/>
      <c r="EFJ94" s="240" t="n"/>
      <c r="EFK94" s="240" t="n"/>
      <c r="EFM94" s="15" t="n"/>
      <c r="EFN94" s="15" t="n"/>
      <c r="EFO94" s="248" t="n"/>
      <c r="EFP94" s="248" t="n"/>
      <c r="EFQ94" s="240" t="n"/>
      <c r="EFR94" s="240" t="n"/>
      <c r="EFT94" s="15" t="n"/>
      <c r="EFU94" s="15" t="n"/>
      <c r="EFV94" s="248" t="n"/>
      <c r="EFW94" s="248" t="n"/>
      <c r="EFX94" s="240" t="n"/>
      <c r="EFY94" s="240" t="n"/>
      <c r="EGA94" s="15" t="n"/>
      <c r="EGB94" s="15" t="n"/>
      <c r="EGC94" s="248" t="n"/>
      <c r="EGD94" s="248" t="n"/>
      <c r="EGE94" s="240" t="n"/>
      <c r="EGF94" s="240" t="n"/>
      <c r="EGH94" s="15" t="n"/>
      <c r="EGI94" s="15" t="n"/>
      <c r="EGJ94" s="248" t="n"/>
      <c r="EGK94" s="248" t="n"/>
      <c r="EGL94" s="240" t="n"/>
      <c r="EGM94" s="240" t="n"/>
      <c r="EGO94" s="15" t="n"/>
      <c r="EGP94" s="15" t="n"/>
      <c r="EGQ94" s="248" t="n"/>
      <c r="EGR94" s="248" t="n"/>
      <c r="EGS94" s="240" t="n"/>
      <c r="EGT94" s="240" t="n"/>
      <c r="EGV94" s="15" t="n"/>
      <c r="EGW94" s="15" t="n"/>
      <c r="EGX94" s="248" t="n"/>
      <c r="EGY94" s="248" t="n"/>
      <c r="EGZ94" s="240" t="n"/>
      <c r="EHA94" s="240" t="n"/>
      <c r="EHC94" s="15" t="n"/>
      <c r="EHD94" s="15" t="n"/>
      <c r="EHE94" s="248" t="n"/>
      <c r="EHF94" s="248" t="n"/>
      <c r="EHG94" s="240" t="n"/>
      <c r="EHH94" s="240" t="n"/>
      <c r="EHJ94" s="15" t="n"/>
      <c r="EHK94" s="15" t="n"/>
      <c r="EHL94" s="248" t="n"/>
      <c r="EHM94" s="248" t="n"/>
      <c r="EHN94" s="240" t="n"/>
      <c r="EHO94" s="240" t="n"/>
      <c r="EHQ94" s="15" t="n"/>
      <c r="EHR94" s="15" t="n"/>
      <c r="EHS94" s="248" t="n"/>
      <c r="EHT94" s="248" t="n"/>
      <c r="EHU94" s="240" t="n"/>
      <c r="EHV94" s="240" t="n"/>
      <c r="EHX94" s="15" t="n"/>
      <c r="EHY94" s="15" t="n"/>
      <c r="EHZ94" s="248" t="n"/>
      <c r="EIA94" s="248" t="n"/>
      <c r="EIB94" s="240" t="n"/>
      <c r="EIC94" s="240" t="n"/>
      <c r="EIE94" s="15" t="n"/>
      <c r="EIF94" s="15" t="n"/>
      <c r="EIG94" s="248" t="n"/>
      <c r="EIH94" s="248" t="n"/>
      <c r="EII94" s="240" t="n"/>
      <c r="EIJ94" s="240" t="n"/>
      <c r="EIL94" s="15" t="n"/>
      <c r="EIM94" s="15" t="n"/>
      <c r="EIN94" s="248" t="n"/>
      <c r="EIO94" s="248" t="n"/>
      <c r="EIP94" s="240" t="n"/>
      <c r="EIQ94" s="240" t="n"/>
      <c r="EIS94" s="15" t="n"/>
      <c r="EIT94" s="15" t="n"/>
      <c r="EIU94" s="248" t="n"/>
      <c r="EIV94" s="248" t="n"/>
      <c r="EIW94" s="240" t="n"/>
      <c r="EIX94" s="240" t="n"/>
      <c r="EIZ94" s="15" t="n"/>
      <c r="EJA94" s="15" t="n"/>
      <c r="EJB94" s="248" t="n"/>
      <c r="EJC94" s="248" t="n"/>
      <c r="EJD94" s="240" t="n"/>
      <c r="EJE94" s="240" t="n"/>
      <c r="EJG94" s="15" t="n"/>
      <c r="EJH94" s="15" t="n"/>
      <c r="EJI94" s="248" t="n"/>
      <c r="EJJ94" s="248" t="n"/>
      <c r="EJK94" s="240" t="n"/>
      <c r="EJL94" s="240" t="n"/>
      <c r="EJN94" s="15" t="n"/>
      <c r="EJO94" s="15" t="n"/>
      <c r="EJP94" s="248" t="n"/>
      <c r="EJQ94" s="248" t="n"/>
      <c r="EJR94" s="240" t="n"/>
      <c r="EJS94" s="240" t="n"/>
      <c r="EJU94" s="15" t="n"/>
      <c r="EJV94" s="15" t="n"/>
      <c r="EJW94" s="248" t="n"/>
      <c r="EJX94" s="248" t="n"/>
      <c r="EJY94" s="240" t="n"/>
      <c r="EJZ94" s="240" t="n"/>
      <c r="EKB94" s="15" t="n"/>
      <c r="EKC94" s="15" t="n"/>
      <c r="EKD94" s="248" t="n"/>
      <c r="EKE94" s="248" t="n"/>
      <c r="EKF94" s="240" t="n"/>
      <c r="EKG94" s="240" t="n"/>
      <c r="EKI94" s="15" t="n"/>
      <c r="EKJ94" s="15" t="n"/>
      <c r="EKK94" s="248" t="n"/>
      <c r="EKL94" s="248" t="n"/>
      <c r="EKM94" s="240" t="n"/>
      <c r="EKN94" s="240" t="n"/>
      <c r="EKP94" s="15" t="n"/>
      <c r="EKQ94" s="15" t="n"/>
      <c r="EKR94" s="248" t="n"/>
      <c r="EKS94" s="248" t="n"/>
      <c r="EKT94" s="240" t="n"/>
      <c r="EKU94" s="240" t="n"/>
      <c r="EKW94" s="15" t="n"/>
      <c r="EKX94" s="15" t="n"/>
      <c r="EKY94" s="248" t="n"/>
      <c r="EKZ94" s="248" t="n"/>
      <c r="ELA94" s="240" t="n"/>
      <c r="ELB94" s="240" t="n"/>
      <c r="ELD94" s="15" t="n"/>
      <c r="ELE94" s="15" t="n"/>
      <c r="ELF94" s="248" t="n"/>
      <c r="ELG94" s="248" t="n"/>
      <c r="ELH94" s="240" t="n"/>
      <c r="ELI94" s="240" t="n"/>
      <c r="ELK94" s="15" t="n"/>
      <c r="ELL94" s="15" t="n"/>
      <c r="ELM94" s="248" t="n"/>
      <c r="ELN94" s="248" t="n"/>
      <c r="ELO94" s="240" t="n"/>
      <c r="ELP94" s="240" t="n"/>
      <c r="ELR94" s="15" t="n"/>
      <c r="ELS94" s="15" t="n"/>
      <c r="ELT94" s="248" t="n"/>
      <c r="ELU94" s="248" t="n"/>
      <c r="ELV94" s="240" t="n"/>
      <c r="ELW94" s="240" t="n"/>
      <c r="ELY94" s="15" t="n"/>
      <c r="ELZ94" s="15" t="n"/>
      <c r="EMA94" s="248" t="n"/>
      <c r="EMB94" s="248" t="n"/>
      <c r="EMC94" s="240" t="n"/>
      <c r="EMD94" s="240" t="n"/>
      <c r="EMF94" s="15" t="n"/>
      <c r="EMG94" s="15" t="n"/>
      <c r="EMH94" s="248" t="n"/>
      <c r="EMI94" s="248" t="n"/>
      <c r="EMJ94" s="240" t="n"/>
      <c r="EMK94" s="240" t="n"/>
      <c r="EMM94" s="15" t="n"/>
      <c r="EMN94" s="15" t="n"/>
      <c r="EMO94" s="248" t="n"/>
      <c r="EMP94" s="248" t="n"/>
      <c r="EMQ94" s="240" t="n"/>
      <c r="EMR94" s="240" t="n"/>
      <c r="EMT94" s="15" t="n"/>
      <c r="EMU94" s="15" t="n"/>
      <c r="EMV94" s="248" t="n"/>
      <c r="EMW94" s="248" t="n"/>
      <c r="EMX94" s="240" t="n"/>
      <c r="EMY94" s="240" t="n"/>
      <c r="ENA94" s="15" t="n"/>
      <c r="ENB94" s="15" t="n"/>
      <c r="ENC94" s="248" t="n"/>
      <c r="END94" s="248" t="n"/>
      <c r="ENE94" s="240" t="n"/>
      <c r="ENF94" s="240" t="n"/>
      <c r="ENH94" s="15" t="n"/>
      <c r="ENI94" s="15" t="n"/>
      <c r="ENJ94" s="248" t="n"/>
      <c r="ENK94" s="248" t="n"/>
      <c r="ENL94" s="240" t="n"/>
      <c r="ENM94" s="240" t="n"/>
      <c r="ENO94" s="15" t="n"/>
      <c r="ENP94" s="15" t="n"/>
      <c r="ENQ94" s="248" t="n"/>
      <c r="ENR94" s="248" t="n"/>
      <c r="ENS94" s="240" t="n"/>
      <c r="ENT94" s="240" t="n"/>
      <c r="ENV94" s="15" t="n"/>
      <c r="ENW94" s="15" t="n"/>
      <c r="ENX94" s="248" t="n"/>
      <c r="ENY94" s="248" t="n"/>
      <c r="ENZ94" s="240" t="n"/>
      <c r="EOA94" s="240" t="n"/>
      <c r="EOC94" s="15" t="n"/>
      <c r="EOD94" s="15" t="n"/>
      <c r="EOE94" s="248" t="n"/>
      <c r="EOF94" s="248" t="n"/>
      <c r="EOG94" s="240" t="n"/>
      <c r="EOH94" s="240" t="n"/>
      <c r="EOJ94" s="15" t="n"/>
      <c r="EOK94" s="15" t="n"/>
      <c r="EOL94" s="248" t="n"/>
      <c r="EOM94" s="248" t="n"/>
      <c r="EON94" s="240" t="n"/>
      <c r="EOO94" s="240" t="n"/>
      <c r="EOQ94" s="15" t="n"/>
      <c r="EOR94" s="15" t="n"/>
      <c r="EOS94" s="248" t="n"/>
      <c r="EOT94" s="248" t="n"/>
      <c r="EOU94" s="240" t="n"/>
      <c r="EOV94" s="240" t="n"/>
      <c r="EOX94" s="15" t="n"/>
      <c r="EOY94" s="15" t="n"/>
      <c r="EOZ94" s="248" t="n"/>
      <c r="EPA94" s="248" t="n"/>
      <c r="EPB94" s="240" t="n"/>
      <c r="EPC94" s="240" t="n"/>
      <c r="EPE94" s="15" t="n"/>
      <c r="EPF94" s="15" t="n"/>
      <c r="EPG94" s="248" t="n"/>
      <c r="EPH94" s="248" t="n"/>
      <c r="EPI94" s="240" t="n"/>
      <c r="EPJ94" s="240" t="n"/>
      <c r="EPL94" s="15" t="n"/>
      <c r="EPM94" s="15" t="n"/>
      <c r="EPN94" s="248" t="n"/>
      <c r="EPO94" s="248" t="n"/>
      <c r="EPP94" s="240" t="n"/>
      <c r="EPQ94" s="240" t="n"/>
      <c r="EPS94" s="15" t="n"/>
      <c r="EPT94" s="15" t="n"/>
      <c r="EPU94" s="248" t="n"/>
      <c r="EPV94" s="248" t="n"/>
      <c r="EPW94" s="240" t="n"/>
      <c r="EPX94" s="240" t="n"/>
      <c r="EPZ94" s="15" t="n"/>
      <c r="EQA94" s="15" t="n"/>
      <c r="EQB94" s="248" t="n"/>
      <c r="EQC94" s="248" t="n"/>
      <c r="EQD94" s="240" t="n"/>
      <c r="EQE94" s="240" t="n"/>
      <c r="EQG94" s="15" t="n"/>
      <c r="EQH94" s="15" t="n"/>
      <c r="EQI94" s="248" t="n"/>
      <c r="EQJ94" s="248" t="n"/>
      <c r="EQK94" s="240" t="n"/>
      <c r="EQL94" s="240" t="n"/>
      <c r="EQN94" s="15" t="n"/>
      <c r="EQO94" s="15" t="n"/>
      <c r="EQP94" s="248" t="n"/>
      <c r="EQQ94" s="248" t="n"/>
      <c r="EQR94" s="240" t="n"/>
      <c r="EQS94" s="240" t="n"/>
      <c r="EQU94" s="15" t="n"/>
      <c r="EQV94" s="15" t="n"/>
      <c r="EQW94" s="248" t="n"/>
      <c r="EQX94" s="248" t="n"/>
      <c r="EQY94" s="240" t="n"/>
      <c r="EQZ94" s="240" t="n"/>
      <c r="ERB94" s="15" t="n"/>
      <c r="ERC94" s="15" t="n"/>
      <c r="ERD94" s="248" t="n"/>
      <c r="ERE94" s="248" t="n"/>
      <c r="ERF94" s="240" t="n"/>
      <c r="ERG94" s="240" t="n"/>
      <c r="ERI94" s="15" t="n"/>
      <c r="ERJ94" s="15" t="n"/>
      <c r="ERK94" s="248" t="n"/>
      <c r="ERL94" s="248" t="n"/>
      <c r="ERM94" s="240" t="n"/>
      <c r="ERN94" s="240" t="n"/>
      <c r="ERP94" s="15" t="n"/>
      <c r="ERQ94" s="15" t="n"/>
      <c r="ERR94" s="248" t="n"/>
      <c r="ERS94" s="248" t="n"/>
      <c r="ERT94" s="240" t="n"/>
      <c r="ERU94" s="240" t="n"/>
      <c r="ERW94" s="15" t="n"/>
      <c r="ERX94" s="15" t="n"/>
      <c r="ERY94" s="248" t="n"/>
      <c r="ERZ94" s="248" t="n"/>
      <c r="ESA94" s="240" t="n"/>
      <c r="ESB94" s="240" t="n"/>
      <c r="ESD94" s="15" t="n"/>
      <c r="ESE94" s="15" t="n"/>
      <c r="ESF94" s="248" t="n"/>
      <c r="ESG94" s="248" t="n"/>
      <c r="ESH94" s="240" t="n"/>
      <c r="ESI94" s="240" t="n"/>
      <c r="ESK94" s="15" t="n"/>
      <c r="ESL94" s="15" t="n"/>
      <c r="ESM94" s="248" t="n"/>
      <c r="ESN94" s="248" t="n"/>
      <c r="ESO94" s="240" t="n"/>
      <c r="ESP94" s="240" t="n"/>
      <c r="ESR94" s="15" t="n"/>
      <c r="ESS94" s="15" t="n"/>
      <c r="EST94" s="248" t="n"/>
      <c r="ESU94" s="248" t="n"/>
      <c r="ESV94" s="240" t="n"/>
      <c r="ESW94" s="240" t="n"/>
      <c r="ESY94" s="15" t="n"/>
      <c r="ESZ94" s="15" t="n"/>
      <c r="ETA94" s="248" t="n"/>
      <c r="ETB94" s="248" t="n"/>
      <c r="ETC94" s="240" t="n"/>
      <c r="ETD94" s="240" t="n"/>
      <c r="ETF94" s="15" t="n"/>
      <c r="ETG94" s="15" t="n"/>
      <c r="ETH94" s="248" t="n"/>
      <c r="ETI94" s="248" t="n"/>
      <c r="ETJ94" s="240" t="n"/>
      <c r="ETK94" s="240" t="n"/>
      <c r="ETM94" s="15" t="n"/>
      <c r="ETN94" s="15" t="n"/>
      <c r="ETO94" s="248" t="n"/>
      <c r="ETP94" s="248" t="n"/>
      <c r="ETQ94" s="240" t="n"/>
      <c r="ETR94" s="240" t="n"/>
      <c r="ETT94" s="15" t="n"/>
      <c r="ETU94" s="15" t="n"/>
      <c r="ETV94" s="248" t="n"/>
      <c r="ETW94" s="248" t="n"/>
      <c r="ETX94" s="240" t="n"/>
      <c r="ETY94" s="240" t="n"/>
      <c r="EUA94" s="15" t="n"/>
      <c r="EUB94" s="15" t="n"/>
      <c r="EUC94" s="248" t="n"/>
      <c r="EUD94" s="248" t="n"/>
      <c r="EUE94" s="240" t="n"/>
      <c r="EUF94" s="240" t="n"/>
      <c r="EUH94" s="15" t="n"/>
      <c r="EUI94" s="15" t="n"/>
      <c r="EUJ94" s="248" t="n"/>
      <c r="EUK94" s="248" t="n"/>
      <c r="EUL94" s="240" t="n"/>
      <c r="EUM94" s="240" t="n"/>
      <c r="EUO94" s="15" t="n"/>
      <c r="EUP94" s="15" t="n"/>
      <c r="EUQ94" s="248" t="n"/>
      <c r="EUR94" s="248" t="n"/>
      <c r="EUS94" s="240" t="n"/>
      <c r="EUT94" s="240" t="n"/>
      <c r="EUV94" s="15" t="n"/>
      <c r="EUW94" s="15" t="n"/>
      <c r="EUX94" s="248" t="n"/>
      <c r="EUY94" s="248" t="n"/>
      <c r="EUZ94" s="240" t="n"/>
      <c r="EVA94" s="240" t="n"/>
      <c r="EVC94" s="15" t="n"/>
      <c r="EVD94" s="15" t="n"/>
      <c r="EVE94" s="248" t="n"/>
      <c r="EVF94" s="248" t="n"/>
      <c r="EVG94" s="240" t="n"/>
      <c r="EVH94" s="240" t="n"/>
      <c r="EVJ94" s="15" t="n"/>
      <c r="EVK94" s="15" t="n"/>
      <c r="EVL94" s="248" t="n"/>
      <c r="EVM94" s="248" t="n"/>
      <c r="EVN94" s="240" t="n"/>
      <c r="EVO94" s="240" t="n"/>
      <c r="EVQ94" s="15" t="n"/>
      <c r="EVR94" s="15" t="n"/>
      <c r="EVS94" s="248" t="n"/>
      <c r="EVT94" s="248" t="n"/>
      <c r="EVU94" s="240" t="n"/>
      <c r="EVV94" s="240" t="n"/>
      <c r="EVX94" s="15" t="n"/>
      <c r="EVY94" s="15" t="n"/>
      <c r="EVZ94" s="248" t="n"/>
      <c r="EWA94" s="248" t="n"/>
      <c r="EWB94" s="240" t="n"/>
      <c r="EWC94" s="240" t="n"/>
      <c r="EWE94" s="15" t="n"/>
      <c r="EWF94" s="15" t="n"/>
      <c r="EWG94" s="248" t="n"/>
      <c r="EWH94" s="248" t="n"/>
      <c r="EWI94" s="240" t="n"/>
      <c r="EWJ94" s="240" t="n"/>
      <c r="EWL94" s="15" t="n"/>
      <c r="EWM94" s="15" t="n"/>
      <c r="EWN94" s="248" t="n"/>
      <c r="EWO94" s="248" t="n"/>
      <c r="EWP94" s="240" t="n"/>
      <c r="EWQ94" s="240" t="n"/>
      <c r="EWS94" s="15" t="n"/>
      <c r="EWT94" s="15" t="n"/>
      <c r="EWU94" s="248" t="n"/>
      <c r="EWV94" s="248" t="n"/>
      <c r="EWW94" s="240" t="n"/>
      <c r="EWX94" s="240" t="n"/>
      <c r="EWZ94" s="15" t="n"/>
      <c r="EXA94" s="15" t="n"/>
      <c r="EXB94" s="248" t="n"/>
      <c r="EXC94" s="248" t="n"/>
      <c r="EXD94" s="240" t="n"/>
      <c r="EXE94" s="240" t="n"/>
      <c r="EXG94" s="15" t="n"/>
      <c r="EXH94" s="15" t="n"/>
      <c r="EXI94" s="248" t="n"/>
      <c r="EXJ94" s="248" t="n"/>
      <c r="EXK94" s="240" t="n"/>
      <c r="EXL94" s="240" t="n"/>
      <c r="EXN94" s="15" t="n"/>
      <c r="EXO94" s="15" t="n"/>
      <c r="EXP94" s="248" t="n"/>
      <c r="EXQ94" s="248" t="n"/>
      <c r="EXR94" s="240" t="n"/>
      <c r="EXS94" s="240" t="n"/>
      <c r="EXU94" s="15" t="n"/>
      <c r="EXV94" s="15" t="n"/>
      <c r="EXW94" s="248" t="n"/>
      <c r="EXX94" s="248" t="n"/>
      <c r="EXY94" s="240" t="n"/>
      <c r="EXZ94" s="240" t="n"/>
      <c r="EYB94" s="15" t="n"/>
      <c r="EYC94" s="15" t="n"/>
      <c r="EYD94" s="248" t="n"/>
      <c r="EYE94" s="248" t="n"/>
      <c r="EYF94" s="240" t="n"/>
      <c r="EYG94" s="240" t="n"/>
      <c r="EYI94" s="15" t="n"/>
      <c r="EYJ94" s="15" t="n"/>
      <c r="EYK94" s="248" t="n"/>
      <c r="EYL94" s="248" t="n"/>
      <c r="EYM94" s="240" t="n"/>
      <c r="EYN94" s="240" t="n"/>
      <c r="EYP94" s="15" t="n"/>
      <c r="EYQ94" s="15" t="n"/>
      <c r="EYR94" s="248" t="n"/>
      <c r="EYS94" s="248" t="n"/>
      <c r="EYT94" s="240" t="n"/>
      <c r="EYU94" s="240" t="n"/>
      <c r="EYW94" s="15" t="n"/>
      <c r="EYX94" s="15" t="n"/>
      <c r="EYY94" s="248" t="n"/>
      <c r="EYZ94" s="248" t="n"/>
      <c r="EZA94" s="240" t="n"/>
      <c r="EZB94" s="240" t="n"/>
      <c r="EZD94" s="15" t="n"/>
      <c r="EZE94" s="15" t="n"/>
      <c r="EZF94" s="248" t="n"/>
      <c r="EZG94" s="248" t="n"/>
      <c r="EZH94" s="240" t="n"/>
      <c r="EZI94" s="240" t="n"/>
      <c r="EZK94" s="15" t="n"/>
      <c r="EZL94" s="15" t="n"/>
      <c r="EZM94" s="248" t="n"/>
      <c r="EZN94" s="248" t="n"/>
      <c r="EZO94" s="240" t="n"/>
      <c r="EZP94" s="240" t="n"/>
      <c r="EZR94" s="15" t="n"/>
      <c r="EZS94" s="15" t="n"/>
      <c r="EZT94" s="248" t="n"/>
      <c r="EZU94" s="248" t="n"/>
      <c r="EZV94" s="240" t="n"/>
      <c r="EZW94" s="240" t="n"/>
      <c r="EZY94" s="15" t="n"/>
      <c r="EZZ94" s="15" t="n"/>
      <c r="FAA94" s="248" t="n"/>
      <c r="FAB94" s="248" t="n"/>
      <c r="FAC94" s="240" t="n"/>
      <c r="FAD94" s="240" t="n"/>
      <c r="FAF94" s="15" t="n"/>
      <c r="FAG94" s="15" t="n"/>
      <c r="FAH94" s="248" t="n"/>
      <c r="FAI94" s="248" t="n"/>
      <c r="FAJ94" s="240" t="n"/>
      <c r="FAK94" s="240" t="n"/>
      <c r="FAM94" s="15" t="n"/>
      <c r="FAN94" s="15" t="n"/>
      <c r="FAO94" s="248" t="n"/>
      <c r="FAP94" s="248" t="n"/>
      <c r="FAQ94" s="240" t="n"/>
      <c r="FAR94" s="240" t="n"/>
      <c r="FAT94" s="15" t="n"/>
      <c r="FAU94" s="15" t="n"/>
      <c r="FAV94" s="248" t="n"/>
      <c r="FAW94" s="248" t="n"/>
      <c r="FAX94" s="240" t="n"/>
      <c r="FAY94" s="240" t="n"/>
      <c r="FBA94" s="15" t="n"/>
      <c r="FBB94" s="15" t="n"/>
      <c r="FBC94" s="248" t="n"/>
      <c r="FBD94" s="248" t="n"/>
      <c r="FBE94" s="240" t="n"/>
      <c r="FBF94" s="240" t="n"/>
      <c r="FBH94" s="15" t="n"/>
      <c r="FBI94" s="15" t="n"/>
      <c r="FBJ94" s="248" t="n"/>
      <c r="FBK94" s="248" t="n"/>
      <c r="FBL94" s="240" t="n"/>
      <c r="FBM94" s="240" t="n"/>
      <c r="FBO94" s="15" t="n"/>
      <c r="FBP94" s="15" t="n"/>
      <c r="FBQ94" s="248" t="n"/>
      <c r="FBR94" s="248" t="n"/>
      <c r="FBS94" s="240" t="n"/>
      <c r="FBT94" s="240" t="n"/>
      <c r="FBV94" s="15" t="n"/>
      <c r="FBW94" s="15" t="n"/>
      <c r="FBX94" s="248" t="n"/>
      <c r="FBY94" s="248" t="n"/>
      <c r="FBZ94" s="240" t="n"/>
      <c r="FCA94" s="240" t="n"/>
      <c r="FCC94" s="15" t="n"/>
      <c r="FCD94" s="15" t="n"/>
      <c r="FCE94" s="248" t="n"/>
      <c r="FCF94" s="248" t="n"/>
      <c r="FCG94" s="240" t="n"/>
      <c r="FCH94" s="240" t="n"/>
      <c r="FCJ94" s="15" t="n"/>
      <c r="FCK94" s="15" t="n"/>
      <c r="FCL94" s="248" t="n"/>
      <c r="FCM94" s="248" t="n"/>
      <c r="FCN94" s="240" t="n"/>
      <c r="FCO94" s="240" t="n"/>
      <c r="FCQ94" s="15" t="n"/>
      <c r="FCR94" s="15" t="n"/>
      <c r="FCS94" s="248" t="n"/>
      <c r="FCT94" s="248" t="n"/>
      <c r="FCU94" s="240" t="n"/>
      <c r="FCV94" s="240" t="n"/>
      <c r="FCX94" s="15" t="n"/>
      <c r="FCY94" s="15" t="n"/>
      <c r="FCZ94" s="248" t="n"/>
      <c r="FDA94" s="248" t="n"/>
      <c r="FDB94" s="240" t="n"/>
      <c r="FDC94" s="240" t="n"/>
      <c r="FDE94" s="15" t="n"/>
      <c r="FDF94" s="15" t="n"/>
      <c r="FDG94" s="248" t="n"/>
      <c r="FDH94" s="248" t="n"/>
      <c r="FDI94" s="240" t="n"/>
      <c r="FDJ94" s="240" t="n"/>
      <c r="FDL94" s="15" t="n"/>
      <c r="FDM94" s="15" t="n"/>
      <c r="FDN94" s="248" t="n"/>
      <c r="FDO94" s="248" t="n"/>
      <c r="FDP94" s="240" t="n"/>
      <c r="FDQ94" s="240" t="n"/>
      <c r="FDS94" s="15" t="n"/>
      <c r="FDT94" s="15" t="n"/>
      <c r="FDU94" s="248" t="n"/>
      <c r="FDV94" s="248" t="n"/>
      <c r="FDW94" s="240" t="n"/>
      <c r="FDX94" s="240" t="n"/>
      <c r="FDZ94" s="15" t="n"/>
      <c r="FEA94" s="15" t="n"/>
      <c r="FEB94" s="248" t="n"/>
      <c r="FEC94" s="248" t="n"/>
      <c r="FED94" s="240" t="n"/>
      <c r="FEE94" s="240" t="n"/>
      <c r="FEG94" s="15" t="n"/>
      <c r="FEH94" s="15" t="n"/>
      <c r="FEI94" s="248" t="n"/>
      <c r="FEJ94" s="248" t="n"/>
      <c r="FEK94" s="240" t="n"/>
      <c r="FEL94" s="240" t="n"/>
      <c r="FEN94" s="15" t="n"/>
      <c r="FEO94" s="15" t="n"/>
      <c r="FEP94" s="248" t="n"/>
      <c r="FEQ94" s="248" t="n"/>
      <c r="FER94" s="240" t="n"/>
      <c r="FES94" s="240" t="n"/>
      <c r="FEU94" s="15" t="n"/>
      <c r="FEV94" s="15" t="n"/>
      <c r="FEW94" s="248" t="n"/>
      <c r="FEX94" s="248" t="n"/>
      <c r="FEY94" s="240" t="n"/>
      <c r="FEZ94" s="240" t="n"/>
      <c r="FFB94" s="15" t="n"/>
      <c r="FFC94" s="15" t="n"/>
      <c r="FFD94" s="248" t="n"/>
      <c r="FFE94" s="248" t="n"/>
      <c r="FFF94" s="240" t="n"/>
      <c r="FFG94" s="240" t="n"/>
      <c r="FFI94" s="15" t="n"/>
      <c r="FFJ94" s="15" t="n"/>
      <c r="FFK94" s="248" t="n"/>
      <c r="FFL94" s="248" t="n"/>
      <c r="FFM94" s="240" t="n"/>
      <c r="FFN94" s="240" t="n"/>
      <c r="FFP94" s="15" t="n"/>
      <c r="FFQ94" s="15" t="n"/>
      <c r="FFR94" s="248" t="n"/>
      <c r="FFS94" s="248" t="n"/>
      <c r="FFT94" s="240" t="n"/>
      <c r="FFU94" s="240" t="n"/>
      <c r="FFW94" s="15" t="n"/>
      <c r="FFX94" s="15" t="n"/>
      <c r="FFY94" s="248" t="n"/>
      <c r="FFZ94" s="248" t="n"/>
      <c r="FGA94" s="240" t="n"/>
      <c r="FGB94" s="240" t="n"/>
      <c r="FGD94" s="15" t="n"/>
      <c r="FGE94" s="15" t="n"/>
      <c r="FGF94" s="248" t="n"/>
      <c r="FGG94" s="248" t="n"/>
      <c r="FGH94" s="240" t="n"/>
      <c r="FGI94" s="240" t="n"/>
      <c r="FGK94" s="15" t="n"/>
      <c r="FGL94" s="15" t="n"/>
      <c r="FGM94" s="248" t="n"/>
      <c r="FGN94" s="248" t="n"/>
      <c r="FGO94" s="240" t="n"/>
      <c r="FGP94" s="240" t="n"/>
      <c r="FGR94" s="15" t="n"/>
      <c r="FGS94" s="15" t="n"/>
      <c r="FGT94" s="248" t="n"/>
      <c r="FGU94" s="248" t="n"/>
      <c r="FGV94" s="240" t="n"/>
      <c r="FGW94" s="240" t="n"/>
      <c r="FGY94" s="15" t="n"/>
      <c r="FGZ94" s="15" t="n"/>
      <c r="FHA94" s="248" t="n"/>
      <c r="FHB94" s="248" t="n"/>
      <c r="FHC94" s="240" t="n"/>
      <c r="FHD94" s="240" t="n"/>
      <c r="FHF94" s="15" t="n"/>
      <c r="FHG94" s="15" t="n"/>
      <c r="FHH94" s="248" t="n"/>
      <c r="FHI94" s="248" t="n"/>
      <c r="FHJ94" s="240" t="n"/>
      <c r="FHK94" s="240" t="n"/>
      <c r="FHM94" s="15" t="n"/>
      <c r="FHN94" s="15" t="n"/>
      <c r="FHO94" s="248" t="n"/>
      <c r="FHP94" s="248" t="n"/>
      <c r="FHQ94" s="240" t="n"/>
      <c r="FHR94" s="240" t="n"/>
      <c r="FHT94" s="15" t="n"/>
      <c r="FHU94" s="15" t="n"/>
      <c r="FHV94" s="248" t="n"/>
      <c r="FHW94" s="248" t="n"/>
      <c r="FHX94" s="240" t="n"/>
      <c r="FHY94" s="240" t="n"/>
      <c r="FIA94" s="15" t="n"/>
      <c r="FIB94" s="15" t="n"/>
      <c r="FIC94" s="248" t="n"/>
      <c r="FID94" s="248" t="n"/>
      <c r="FIE94" s="240" t="n"/>
      <c r="FIF94" s="240" t="n"/>
      <c r="FIH94" s="15" t="n"/>
      <c r="FII94" s="15" t="n"/>
      <c r="FIJ94" s="248" t="n"/>
      <c r="FIK94" s="248" t="n"/>
      <c r="FIL94" s="240" t="n"/>
      <c r="FIM94" s="240" t="n"/>
      <c r="FIO94" s="15" t="n"/>
      <c r="FIP94" s="15" t="n"/>
      <c r="FIQ94" s="248" t="n"/>
      <c r="FIR94" s="248" t="n"/>
      <c r="FIS94" s="240" t="n"/>
      <c r="FIT94" s="240" t="n"/>
      <c r="FIV94" s="15" t="n"/>
      <c r="FIW94" s="15" t="n"/>
      <c r="FIX94" s="248" t="n"/>
      <c r="FIY94" s="248" t="n"/>
      <c r="FIZ94" s="240" t="n"/>
      <c r="FJA94" s="240" t="n"/>
      <c r="FJC94" s="15" t="n"/>
      <c r="FJD94" s="15" t="n"/>
      <c r="FJE94" s="248" t="n"/>
      <c r="FJF94" s="248" t="n"/>
      <c r="FJG94" s="240" t="n"/>
      <c r="FJH94" s="240" t="n"/>
      <c r="FJJ94" s="15" t="n"/>
      <c r="FJK94" s="15" t="n"/>
      <c r="FJL94" s="248" t="n"/>
      <c r="FJM94" s="248" t="n"/>
      <c r="FJN94" s="240" t="n"/>
      <c r="FJO94" s="240" t="n"/>
      <c r="FJQ94" s="15" t="n"/>
      <c r="FJR94" s="15" t="n"/>
      <c r="FJS94" s="248" t="n"/>
      <c r="FJT94" s="248" t="n"/>
      <c r="FJU94" s="240" t="n"/>
      <c r="FJV94" s="240" t="n"/>
      <c r="FJX94" s="15" t="n"/>
      <c r="FJY94" s="15" t="n"/>
      <c r="FJZ94" s="248" t="n"/>
      <c r="FKA94" s="248" t="n"/>
      <c r="FKB94" s="240" t="n"/>
      <c r="FKC94" s="240" t="n"/>
      <c r="FKE94" s="15" t="n"/>
      <c r="FKF94" s="15" t="n"/>
      <c r="FKG94" s="248" t="n"/>
      <c r="FKH94" s="248" t="n"/>
      <c r="FKI94" s="240" t="n"/>
      <c r="FKJ94" s="240" t="n"/>
      <c r="FKL94" s="15" t="n"/>
      <c r="FKM94" s="15" t="n"/>
      <c r="FKN94" s="248" t="n"/>
      <c r="FKO94" s="248" t="n"/>
      <c r="FKP94" s="240" t="n"/>
      <c r="FKQ94" s="240" t="n"/>
      <c r="FKS94" s="15" t="n"/>
      <c r="FKT94" s="15" t="n"/>
      <c r="FKU94" s="248" t="n"/>
      <c r="FKV94" s="248" t="n"/>
      <c r="FKW94" s="240" t="n"/>
      <c r="FKX94" s="240" t="n"/>
      <c r="FKZ94" s="15" t="n"/>
      <c r="FLA94" s="15" t="n"/>
      <c r="FLB94" s="248" t="n"/>
      <c r="FLC94" s="248" t="n"/>
      <c r="FLD94" s="240" t="n"/>
      <c r="FLE94" s="240" t="n"/>
      <c r="FLG94" s="15" t="n"/>
      <c r="FLH94" s="15" t="n"/>
      <c r="FLI94" s="248" t="n"/>
      <c r="FLJ94" s="248" t="n"/>
      <c r="FLK94" s="240" t="n"/>
      <c r="FLL94" s="240" t="n"/>
      <c r="FLN94" s="15" t="n"/>
      <c r="FLO94" s="15" t="n"/>
      <c r="FLP94" s="248" t="n"/>
      <c r="FLQ94" s="248" t="n"/>
      <c r="FLR94" s="240" t="n"/>
      <c r="FLS94" s="240" t="n"/>
      <c r="FLU94" s="15" t="n"/>
      <c r="FLV94" s="15" t="n"/>
      <c r="FLW94" s="248" t="n"/>
      <c r="FLX94" s="248" t="n"/>
      <c r="FLY94" s="240" t="n"/>
      <c r="FLZ94" s="240" t="n"/>
      <c r="FMB94" s="15" t="n"/>
      <c r="FMC94" s="15" t="n"/>
      <c r="FMD94" s="248" t="n"/>
      <c r="FME94" s="248" t="n"/>
      <c r="FMF94" s="240" t="n"/>
      <c r="FMG94" s="240" t="n"/>
      <c r="FMI94" s="15" t="n"/>
      <c r="FMJ94" s="15" t="n"/>
      <c r="FMK94" s="248" t="n"/>
      <c r="FML94" s="248" t="n"/>
      <c r="FMM94" s="240" t="n"/>
      <c r="FMN94" s="240" t="n"/>
      <c r="FMP94" s="15" t="n"/>
      <c r="FMQ94" s="15" t="n"/>
      <c r="FMR94" s="248" t="n"/>
      <c r="FMS94" s="248" t="n"/>
      <c r="FMT94" s="240" t="n"/>
      <c r="FMU94" s="240" t="n"/>
      <c r="FMW94" s="15" t="n"/>
      <c r="FMX94" s="15" t="n"/>
      <c r="FMY94" s="248" t="n"/>
      <c r="FMZ94" s="248" t="n"/>
      <c r="FNA94" s="240" t="n"/>
      <c r="FNB94" s="240" t="n"/>
      <c r="FND94" s="15" t="n"/>
      <c r="FNE94" s="15" t="n"/>
      <c r="FNF94" s="248" t="n"/>
      <c r="FNG94" s="248" t="n"/>
      <c r="FNH94" s="240" t="n"/>
      <c r="FNI94" s="240" t="n"/>
      <c r="FNK94" s="15" t="n"/>
      <c r="FNL94" s="15" t="n"/>
      <c r="FNM94" s="248" t="n"/>
      <c r="FNN94" s="248" t="n"/>
      <c r="FNO94" s="240" t="n"/>
      <c r="FNP94" s="240" t="n"/>
      <c r="FNR94" s="15" t="n"/>
      <c r="FNS94" s="15" t="n"/>
      <c r="FNT94" s="248" t="n"/>
      <c r="FNU94" s="248" t="n"/>
      <c r="FNV94" s="240" t="n"/>
      <c r="FNW94" s="240" t="n"/>
      <c r="FNY94" s="15" t="n"/>
      <c r="FNZ94" s="15" t="n"/>
      <c r="FOA94" s="248" t="n"/>
      <c r="FOB94" s="248" t="n"/>
      <c r="FOC94" s="240" t="n"/>
      <c r="FOD94" s="240" t="n"/>
      <c r="FOF94" s="15" t="n"/>
      <c r="FOG94" s="15" t="n"/>
      <c r="FOH94" s="248" t="n"/>
      <c r="FOI94" s="248" t="n"/>
      <c r="FOJ94" s="240" t="n"/>
      <c r="FOK94" s="240" t="n"/>
      <c r="FOM94" s="15" t="n"/>
      <c r="FON94" s="15" t="n"/>
      <c r="FOO94" s="248" t="n"/>
      <c r="FOP94" s="248" t="n"/>
      <c r="FOQ94" s="240" t="n"/>
      <c r="FOR94" s="240" t="n"/>
      <c r="FOT94" s="15" t="n"/>
      <c r="FOU94" s="15" t="n"/>
      <c r="FOV94" s="248" t="n"/>
      <c r="FOW94" s="248" t="n"/>
      <c r="FOX94" s="240" t="n"/>
      <c r="FOY94" s="240" t="n"/>
      <c r="FPA94" s="15" t="n"/>
      <c r="FPB94" s="15" t="n"/>
      <c r="FPC94" s="248" t="n"/>
      <c r="FPD94" s="248" t="n"/>
      <c r="FPE94" s="240" t="n"/>
      <c r="FPF94" s="240" t="n"/>
      <c r="FPH94" s="15" t="n"/>
      <c r="FPI94" s="15" t="n"/>
      <c r="FPJ94" s="248" t="n"/>
      <c r="FPK94" s="248" t="n"/>
      <c r="FPL94" s="240" t="n"/>
      <c r="FPM94" s="240" t="n"/>
      <c r="FPO94" s="15" t="n"/>
      <c r="FPP94" s="15" t="n"/>
      <c r="FPQ94" s="248" t="n"/>
      <c r="FPR94" s="248" t="n"/>
      <c r="FPS94" s="240" t="n"/>
      <c r="FPT94" s="240" t="n"/>
      <c r="FPV94" s="15" t="n"/>
      <c r="FPW94" s="15" t="n"/>
      <c r="FPX94" s="248" t="n"/>
      <c r="FPY94" s="248" t="n"/>
      <c r="FPZ94" s="240" t="n"/>
      <c r="FQA94" s="240" t="n"/>
      <c r="FQC94" s="15" t="n"/>
      <c r="FQD94" s="15" t="n"/>
      <c r="FQE94" s="248" t="n"/>
      <c r="FQF94" s="248" t="n"/>
      <c r="FQG94" s="240" t="n"/>
      <c r="FQH94" s="240" t="n"/>
      <c r="FQJ94" s="15" t="n"/>
      <c r="FQK94" s="15" t="n"/>
      <c r="FQL94" s="248" t="n"/>
      <c r="FQM94" s="248" t="n"/>
      <c r="FQN94" s="240" t="n"/>
      <c r="FQO94" s="240" t="n"/>
      <c r="FQQ94" s="15" t="n"/>
      <c r="FQR94" s="15" t="n"/>
      <c r="FQS94" s="248" t="n"/>
      <c r="FQT94" s="248" t="n"/>
      <c r="FQU94" s="240" t="n"/>
      <c r="FQV94" s="240" t="n"/>
      <c r="FQX94" s="15" t="n"/>
      <c r="FQY94" s="15" t="n"/>
      <c r="FQZ94" s="248" t="n"/>
      <c r="FRA94" s="248" t="n"/>
      <c r="FRB94" s="240" t="n"/>
      <c r="FRC94" s="240" t="n"/>
      <c r="FRE94" s="15" t="n"/>
      <c r="FRF94" s="15" t="n"/>
      <c r="FRG94" s="248" t="n"/>
      <c r="FRH94" s="248" t="n"/>
      <c r="FRI94" s="240" t="n"/>
      <c r="FRJ94" s="240" t="n"/>
      <c r="FRL94" s="15" t="n"/>
      <c r="FRM94" s="15" t="n"/>
      <c r="FRN94" s="248" t="n"/>
      <c r="FRO94" s="248" t="n"/>
      <c r="FRP94" s="240" t="n"/>
      <c r="FRQ94" s="240" t="n"/>
      <c r="FRS94" s="15" t="n"/>
      <c r="FRT94" s="15" t="n"/>
      <c r="FRU94" s="248" t="n"/>
      <c r="FRV94" s="248" t="n"/>
      <c r="FRW94" s="240" t="n"/>
      <c r="FRX94" s="240" t="n"/>
      <c r="FRZ94" s="15" t="n"/>
      <c r="FSA94" s="15" t="n"/>
      <c r="FSB94" s="248" t="n"/>
      <c r="FSC94" s="248" t="n"/>
      <c r="FSD94" s="240" t="n"/>
      <c r="FSE94" s="240" t="n"/>
      <c r="FSG94" s="15" t="n"/>
      <c r="FSH94" s="15" t="n"/>
      <c r="FSI94" s="248" t="n"/>
      <c r="FSJ94" s="248" t="n"/>
      <c r="FSK94" s="240" t="n"/>
      <c r="FSL94" s="240" t="n"/>
      <c r="FSN94" s="15" t="n"/>
      <c r="FSO94" s="15" t="n"/>
      <c r="FSP94" s="248" t="n"/>
      <c r="FSQ94" s="248" t="n"/>
      <c r="FSR94" s="240" t="n"/>
      <c r="FSS94" s="240" t="n"/>
      <c r="FSU94" s="15" t="n"/>
      <c r="FSV94" s="15" t="n"/>
      <c r="FSW94" s="248" t="n"/>
      <c r="FSX94" s="248" t="n"/>
      <c r="FSY94" s="240" t="n"/>
      <c r="FSZ94" s="240" t="n"/>
      <c r="FTB94" s="15" t="n"/>
      <c r="FTC94" s="15" t="n"/>
      <c r="FTD94" s="248" t="n"/>
      <c r="FTE94" s="248" t="n"/>
      <c r="FTF94" s="240" t="n"/>
      <c r="FTG94" s="240" t="n"/>
      <c r="FTI94" s="15" t="n"/>
      <c r="FTJ94" s="15" t="n"/>
      <c r="FTK94" s="248" t="n"/>
      <c r="FTL94" s="248" t="n"/>
      <c r="FTM94" s="240" t="n"/>
      <c r="FTN94" s="240" t="n"/>
      <c r="FTP94" s="15" t="n"/>
      <c r="FTQ94" s="15" t="n"/>
      <c r="FTR94" s="248" t="n"/>
      <c r="FTS94" s="248" t="n"/>
      <c r="FTT94" s="240" t="n"/>
      <c r="FTU94" s="240" t="n"/>
      <c r="FTW94" s="15" t="n"/>
      <c r="FTX94" s="15" t="n"/>
      <c r="FTY94" s="248" t="n"/>
      <c r="FTZ94" s="248" t="n"/>
      <c r="FUA94" s="240" t="n"/>
      <c r="FUB94" s="240" t="n"/>
      <c r="FUD94" s="15" t="n"/>
      <c r="FUE94" s="15" t="n"/>
      <c r="FUF94" s="248" t="n"/>
      <c r="FUG94" s="248" t="n"/>
      <c r="FUH94" s="240" t="n"/>
      <c r="FUI94" s="240" t="n"/>
      <c r="FUK94" s="15" t="n"/>
      <c r="FUL94" s="15" t="n"/>
      <c r="FUM94" s="248" t="n"/>
      <c r="FUN94" s="248" t="n"/>
      <c r="FUO94" s="240" t="n"/>
      <c r="FUP94" s="240" t="n"/>
      <c r="FUR94" s="15" t="n"/>
      <c r="FUS94" s="15" t="n"/>
      <c r="FUT94" s="248" t="n"/>
      <c r="FUU94" s="248" t="n"/>
      <c r="FUV94" s="240" t="n"/>
      <c r="FUW94" s="240" t="n"/>
      <c r="FUY94" s="15" t="n"/>
      <c r="FUZ94" s="15" t="n"/>
      <c r="FVA94" s="248" t="n"/>
      <c r="FVB94" s="248" t="n"/>
      <c r="FVC94" s="240" t="n"/>
      <c r="FVD94" s="240" t="n"/>
      <c r="FVF94" s="15" t="n"/>
      <c r="FVG94" s="15" t="n"/>
      <c r="FVH94" s="248" t="n"/>
      <c r="FVI94" s="248" t="n"/>
      <c r="FVJ94" s="240" t="n"/>
      <c r="FVK94" s="240" t="n"/>
      <c r="FVM94" s="15" t="n"/>
      <c r="FVN94" s="15" t="n"/>
      <c r="FVO94" s="248" t="n"/>
      <c r="FVP94" s="248" t="n"/>
      <c r="FVQ94" s="240" t="n"/>
      <c r="FVR94" s="240" t="n"/>
      <c r="FVT94" s="15" t="n"/>
      <c r="FVU94" s="15" t="n"/>
      <c r="FVV94" s="248" t="n"/>
      <c r="FVW94" s="248" t="n"/>
      <c r="FVX94" s="240" t="n"/>
      <c r="FVY94" s="240" t="n"/>
      <c r="FWA94" s="15" t="n"/>
      <c r="FWB94" s="15" t="n"/>
      <c r="FWC94" s="248" t="n"/>
      <c r="FWD94" s="248" t="n"/>
      <c r="FWE94" s="240" t="n"/>
      <c r="FWF94" s="240" t="n"/>
      <c r="FWH94" s="15" t="n"/>
      <c r="FWI94" s="15" t="n"/>
      <c r="FWJ94" s="248" t="n"/>
      <c r="FWK94" s="248" t="n"/>
      <c r="FWL94" s="240" t="n"/>
      <c r="FWM94" s="240" t="n"/>
      <c r="FWO94" s="15" t="n"/>
      <c r="FWP94" s="15" t="n"/>
      <c r="FWQ94" s="248" t="n"/>
      <c r="FWR94" s="248" t="n"/>
      <c r="FWS94" s="240" t="n"/>
      <c r="FWT94" s="240" t="n"/>
      <c r="FWV94" s="15" t="n"/>
      <c r="FWW94" s="15" t="n"/>
      <c r="FWX94" s="248" t="n"/>
      <c r="FWY94" s="248" t="n"/>
      <c r="FWZ94" s="240" t="n"/>
      <c r="FXA94" s="240" t="n"/>
      <c r="FXC94" s="15" t="n"/>
      <c r="FXD94" s="15" t="n"/>
      <c r="FXE94" s="248" t="n"/>
      <c r="FXF94" s="248" t="n"/>
      <c r="FXG94" s="240" t="n"/>
      <c r="FXH94" s="240" t="n"/>
      <c r="FXJ94" s="15" t="n"/>
      <c r="FXK94" s="15" t="n"/>
      <c r="FXL94" s="248" t="n"/>
      <c r="FXM94" s="248" t="n"/>
      <c r="FXN94" s="240" t="n"/>
      <c r="FXO94" s="240" t="n"/>
      <c r="FXQ94" s="15" t="n"/>
      <c r="FXR94" s="15" t="n"/>
      <c r="FXS94" s="248" t="n"/>
      <c r="FXT94" s="248" t="n"/>
      <c r="FXU94" s="240" t="n"/>
      <c r="FXV94" s="240" t="n"/>
      <c r="FXX94" s="15" t="n"/>
      <c r="FXY94" s="15" t="n"/>
      <c r="FXZ94" s="248" t="n"/>
      <c r="FYA94" s="248" t="n"/>
      <c r="FYB94" s="240" t="n"/>
      <c r="FYC94" s="240" t="n"/>
      <c r="FYE94" s="15" t="n"/>
      <c r="FYF94" s="15" t="n"/>
      <c r="FYG94" s="248" t="n"/>
      <c r="FYH94" s="248" t="n"/>
      <c r="FYI94" s="240" t="n"/>
      <c r="FYJ94" s="240" t="n"/>
      <c r="FYL94" s="15" t="n"/>
      <c r="FYM94" s="15" t="n"/>
      <c r="FYN94" s="248" t="n"/>
      <c r="FYO94" s="248" t="n"/>
      <c r="FYP94" s="240" t="n"/>
      <c r="FYQ94" s="240" t="n"/>
      <c r="FYS94" s="15" t="n"/>
      <c r="FYT94" s="15" t="n"/>
      <c r="FYU94" s="248" t="n"/>
      <c r="FYV94" s="248" t="n"/>
      <c r="FYW94" s="240" t="n"/>
      <c r="FYX94" s="240" t="n"/>
      <c r="FYZ94" s="15" t="n"/>
      <c r="FZA94" s="15" t="n"/>
      <c r="FZB94" s="248" t="n"/>
      <c r="FZC94" s="248" t="n"/>
      <c r="FZD94" s="240" t="n"/>
      <c r="FZE94" s="240" t="n"/>
      <c r="FZG94" s="15" t="n"/>
      <c r="FZH94" s="15" t="n"/>
      <c r="FZI94" s="248" t="n"/>
      <c r="FZJ94" s="248" t="n"/>
      <c r="FZK94" s="240" t="n"/>
      <c r="FZL94" s="240" t="n"/>
      <c r="FZN94" s="15" t="n"/>
      <c r="FZO94" s="15" t="n"/>
      <c r="FZP94" s="248" t="n"/>
      <c r="FZQ94" s="248" t="n"/>
      <c r="FZR94" s="240" t="n"/>
      <c r="FZS94" s="240" t="n"/>
      <c r="FZU94" s="15" t="n"/>
      <c r="FZV94" s="15" t="n"/>
      <c r="FZW94" s="248" t="n"/>
      <c r="FZX94" s="248" t="n"/>
      <c r="FZY94" s="240" t="n"/>
      <c r="FZZ94" s="240" t="n"/>
      <c r="GAB94" s="15" t="n"/>
      <c r="GAC94" s="15" t="n"/>
      <c r="GAD94" s="248" t="n"/>
      <c r="GAE94" s="248" t="n"/>
      <c r="GAF94" s="240" t="n"/>
      <c r="GAG94" s="240" t="n"/>
      <c r="GAI94" s="15" t="n"/>
      <c r="GAJ94" s="15" t="n"/>
      <c r="GAK94" s="248" t="n"/>
      <c r="GAL94" s="248" t="n"/>
      <c r="GAM94" s="240" t="n"/>
      <c r="GAN94" s="240" t="n"/>
      <c r="GAP94" s="15" t="n"/>
      <c r="GAQ94" s="15" t="n"/>
      <c r="GAR94" s="248" t="n"/>
      <c r="GAS94" s="248" t="n"/>
      <c r="GAT94" s="240" t="n"/>
      <c r="GAU94" s="240" t="n"/>
      <c r="GAW94" s="15" t="n"/>
      <c r="GAX94" s="15" t="n"/>
      <c r="GAY94" s="248" t="n"/>
      <c r="GAZ94" s="248" t="n"/>
      <c r="GBA94" s="240" t="n"/>
      <c r="GBB94" s="240" t="n"/>
      <c r="GBD94" s="15" t="n"/>
      <c r="GBE94" s="15" t="n"/>
      <c r="GBF94" s="248" t="n"/>
      <c r="GBG94" s="248" t="n"/>
      <c r="GBH94" s="240" t="n"/>
      <c r="GBI94" s="240" t="n"/>
      <c r="GBK94" s="15" t="n"/>
      <c r="GBL94" s="15" t="n"/>
      <c r="GBM94" s="248" t="n"/>
      <c r="GBN94" s="248" t="n"/>
      <c r="GBO94" s="240" t="n"/>
      <c r="GBP94" s="240" t="n"/>
      <c r="GBR94" s="15" t="n"/>
      <c r="GBS94" s="15" t="n"/>
      <c r="GBT94" s="248" t="n"/>
      <c r="GBU94" s="248" t="n"/>
      <c r="GBV94" s="240" t="n"/>
      <c r="GBW94" s="240" t="n"/>
      <c r="GBY94" s="15" t="n"/>
      <c r="GBZ94" s="15" t="n"/>
      <c r="GCA94" s="248" t="n"/>
      <c r="GCB94" s="248" t="n"/>
      <c r="GCC94" s="240" t="n"/>
      <c r="GCD94" s="240" t="n"/>
      <c r="GCF94" s="15" t="n"/>
      <c r="GCG94" s="15" t="n"/>
      <c r="GCH94" s="248" t="n"/>
      <c r="GCI94" s="248" t="n"/>
      <c r="GCJ94" s="240" t="n"/>
      <c r="GCK94" s="240" t="n"/>
      <c r="GCM94" s="15" t="n"/>
      <c r="GCN94" s="15" t="n"/>
      <c r="GCO94" s="248" t="n"/>
      <c r="GCP94" s="248" t="n"/>
      <c r="GCQ94" s="240" t="n"/>
      <c r="GCR94" s="240" t="n"/>
      <c r="GCT94" s="15" t="n"/>
      <c r="GCU94" s="15" t="n"/>
      <c r="GCV94" s="248" t="n"/>
      <c r="GCW94" s="248" t="n"/>
      <c r="GCX94" s="240" t="n"/>
      <c r="GCY94" s="240" t="n"/>
      <c r="GDA94" s="15" t="n"/>
      <c r="GDB94" s="15" t="n"/>
      <c r="GDC94" s="248" t="n"/>
      <c r="GDD94" s="248" t="n"/>
      <c r="GDE94" s="240" t="n"/>
      <c r="GDF94" s="240" t="n"/>
      <c r="GDH94" s="15" t="n"/>
      <c r="GDI94" s="15" t="n"/>
      <c r="GDJ94" s="248" t="n"/>
      <c r="GDK94" s="248" t="n"/>
      <c r="GDL94" s="240" t="n"/>
      <c r="GDM94" s="240" t="n"/>
      <c r="GDO94" s="15" t="n"/>
      <c r="GDP94" s="15" t="n"/>
      <c r="GDQ94" s="248" t="n"/>
      <c r="GDR94" s="248" t="n"/>
      <c r="GDS94" s="240" t="n"/>
      <c r="GDT94" s="240" t="n"/>
      <c r="GDV94" s="15" t="n"/>
      <c r="GDW94" s="15" t="n"/>
      <c r="GDX94" s="248" t="n"/>
      <c r="GDY94" s="248" t="n"/>
      <c r="GDZ94" s="240" t="n"/>
      <c r="GEA94" s="240" t="n"/>
      <c r="GEC94" s="15" t="n"/>
      <c r="GED94" s="15" t="n"/>
      <c r="GEE94" s="248" t="n"/>
      <c r="GEF94" s="248" t="n"/>
      <c r="GEG94" s="240" t="n"/>
      <c r="GEH94" s="240" t="n"/>
      <c r="GEJ94" s="15" t="n"/>
      <c r="GEK94" s="15" t="n"/>
      <c r="GEL94" s="248" t="n"/>
      <c r="GEM94" s="248" t="n"/>
      <c r="GEN94" s="240" t="n"/>
      <c r="GEO94" s="240" t="n"/>
      <c r="GEQ94" s="15" t="n"/>
      <c r="GER94" s="15" t="n"/>
      <c r="GES94" s="248" t="n"/>
      <c r="GET94" s="248" t="n"/>
      <c r="GEU94" s="240" t="n"/>
      <c r="GEV94" s="240" t="n"/>
      <c r="GEX94" s="15" t="n"/>
      <c r="GEY94" s="15" t="n"/>
      <c r="GEZ94" s="248" t="n"/>
      <c r="GFA94" s="248" t="n"/>
      <c r="GFB94" s="240" t="n"/>
      <c r="GFC94" s="240" t="n"/>
      <c r="GFE94" s="15" t="n"/>
      <c r="GFF94" s="15" t="n"/>
      <c r="GFG94" s="248" t="n"/>
      <c r="GFH94" s="248" t="n"/>
      <c r="GFI94" s="240" t="n"/>
      <c r="GFJ94" s="240" t="n"/>
      <c r="GFL94" s="15" t="n"/>
      <c r="GFM94" s="15" t="n"/>
      <c r="GFN94" s="248" t="n"/>
      <c r="GFO94" s="248" t="n"/>
      <c r="GFP94" s="240" t="n"/>
      <c r="GFQ94" s="240" t="n"/>
      <c r="GFS94" s="15" t="n"/>
      <c r="GFT94" s="15" t="n"/>
      <c r="GFU94" s="248" t="n"/>
      <c r="GFV94" s="248" t="n"/>
      <c r="GFW94" s="240" t="n"/>
      <c r="GFX94" s="240" t="n"/>
      <c r="GFZ94" s="15" t="n"/>
      <c r="GGA94" s="15" t="n"/>
      <c r="GGB94" s="248" t="n"/>
      <c r="GGC94" s="248" t="n"/>
      <c r="GGD94" s="240" t="n"/>
      <c r="GGE94" s="240" t="n"/>
      <c r="GGG94" s="15" t="n"/>
      <c r="GGH94" s="15" t="n"/>
      <c r="GGI94" s="248" t="n"/>
      <c r="GGJ94" s="248" t="n"/>
      <c r="GGK94" s="240" t="n"/>
      <c r="GGL94" s="240" t="n"/>
      <c r="GGN94" s="15" t="n"/>
      <c r="GGO94" s="15" t="n"/>
      <c r="GGP94" s="248" t="n"/>
      <c r="GGQ94" s="248" t="n"/>
      <c r="GGR94" s="240" t="n"/>
      <c r="GGS94" s="240" t="n"/>
      <c r="GGU94" s="15" t="n"/>
      <c r="GGV94" s="15" t="n"/>
      <c r="GGW94" s="248" t="n"/>
      <c r="GGX94" s="248" t="n"/>
      <c r="GGY94" s="240" t="n"/>
      <c r="GGZ94" s="240" t="n"/>
      <c r="GHB94" s="15" t="n"/>
      <c r="GHC94" s="15" t="n"/>
      <c r="GHD94" s="248" t="n"/>
      <c r="GHE94" s="248" t="n"/>
      <c r="GHF94" s="240" t="n"/>
      <c r="GHG94" s="240" t="n"/>
      <c r="GHI94" s="15" t="n"/>
      <c r="GHJ94" s="15" t="n"/>
      <c r="GHK94" s="248" t="n"/>
      <c r="GHL94" s="248" t="n"/>
      <c r="GHM94" s="240" t="n"/>
      <c r="GHN94" s="240" t="n"/>
      <c r="GHP94" s="15" t="n"/>
      <c r="GHQ94" s="15" t="n"/>
      <c r="GHR94" s="248" t="n"/>
      <c r="GHS94" s="248" t="n"/>
      <c r="GHT94" s="240" t="n"/>
      <c r="GHU94" s="240" t="n"/>
      <c r="GHW94" s="15" t="n"/>
      <c r="GHX94" s="15" t="n"/>
      <c r="GHY94" s="248" t="n"/>
      <c r="GHZ94" s="248" t="n"/>
      <c r="GIA94" s="240" t="n"/>
      <c r="GIB94" s="240" t="n"/>
      <c r="GID94" s="15" t="n"/>
      <c r="GIE94" s="15" t="n"/>
      <c r="GIF94" s="248" t="n"/>
      <c r="GIG94" s="248" t="n"/>
      <c r="GIH94" s="240" t="n"/>
      <c r="GII94" s="240" t="n"/>
      <c r="GIK94" s="15" t="n"/>
      <c r="GIL94" s="15" t="n"/>
      <c r="GIM94" s="248" t="n"/>
      <c r="GIN94" s="248" t="n"/>
      <c r="GIO94" s="240" t="n"/>
      <c r="GIP94" s="240" t="n"/>
      <c r="GIR94" s="15" t="n"/>
      <c r="GIS94" s="15" t="n"/>
      <c r="GIT94" s="248" t="n"/>
      <c r="GIU94" s="248" t="n"/>
      <c r="GIV94" s="240" t="n"/>
      <c r="GIW94" s="240" t="n"/>
      <c r="GIY94" s="15" t="n"/>
      <c r="GIZ94" s="15" t="n"/>
      <c r="GJA94" s="248" t="n"/>
      <c r="GJB94" s="248" t="n"/>
      <c r="GJC94" s="240" t="n"/>
      <c r="GJD94" s="240" t="n"/>
      <c r="GJF94" s="15" t="n"/>
      <c r="GJG94" s="15" t="n"/>
      <c r="GJH94" s="248" t="n"/>
      <c r="GJI94" s="248" t="n"/>
      <c r="GJJ94" s="240" t="n"/>
      <c r="GJK94" s="240" t="n"/>
      <c r="GJM94" s="15" t="n"/>
      <c r="GJN94" s="15" t="n"/>
      <c r="GJO94" s="248" t="n"/>
      <c r="GJP94" s="248" t="n"/>
      <c r="GJQ94" s="240" t="n"/>
      <c r="GJR94" s="240" t="n"/>
      <c r="GJT94" s="15" t="n"/>
      <c r="GJU94" s="15" t="n"/>
      <c r="GJV94" s="248" t="n"/>
      <c r="GJW94" s="248" t="n"/>
      <c r="GJX94" s="240" t="n"/>
      <c r="GJY94" s="240" t="n"/>
      <c r="GKA94" s="15" t="n"/>
      <c r="GKB94" s="15" t="n"/>
      <c r="GKC94" s="248" t="n"/>
      <c r="GKD94" s="248" t="n"/>
      <c r="GKE94" s="240" t="n"/>
      <c r="GKF94" s="240" t="n"/>
      <c r="GKH94" s="15" t="n"/>
      <c r="GKI94" s="15" t="n"/>
      <c r="GKJ94" s="248" t="n"/>
      <c r="GKK94" s="248" t="n"/>
      <c r="GKL94" s="240" t="n"/>
      <c r="GKM94" s="240" t="n"/>
      <c r="GKO94" s="15" t="n"/>
      <c r="GKP94" s="15" t="n"/>
      <c r="GKQ94" s="248" t="n"/>
      <c r="GKR94" s="248" t="n"/>
      <c r="GKS94" s="240" t="n"/>
      <c r="GKT94" s="240" t="n"/>
      <c r="GKV94" s="15" t="n"/>
      <c r="GKW94" s="15" t="n"/>
      <c r="GKX94" s="248" t="n"/>
      <c r="GKY94" s="248" t="n"/>
      <c r="GKZ94" s="240" t="n"/>
      <c r="GLA94" s="240" t="n"/>
      <c r="GLC94" s="15" t="n"/>
      <c r="GLD94" s="15" t="n"/>
      <c r="GLE94" s="248" t="n"/>
      <c r="GLF94" s="248" t="n"/>
      <c r="GLG94" s="240" t="n"/>
      <c r="GLH94" s="240" t="n"/>
      <c r="GLJ94" s="15" t="n"/>
      <c r="GLK94" s="15" t="n"/>
      <c r="GLL94" s="248" t="n"/>
      <c r="GLM94" s="248" t="n"/>
      <c r="GLN94" s="240" t="n"/>
      <c r="GLO94" s="240" t="n"/>
      <c r="GLQ94" s="15" t="n"/>
      <c r="GLR94" s="15" t="n"/>
      <c r="GLS94" s="248" t="n"/>
      <c r="GLT94" s="248" t="n"/>
      <c r="GLU94" s="240" t="n"/>
      <c r="GLV94" s="240" t="n"/>
      <c r="GLX94" s="15" t="n"/>
      <c r="GLY94" s="15" t="n"/>
      <c r="GLZ94" s="248" t="n"/>
      <c r="GMA94" s="248" t="n"/>
      <c r="GMB94" s="240" t="n"/>
      <c r="GMC94" s="240" t="n"/>
      <c r="GME94" s="15" t="n"/>
      <c r="GMF94" s="15" t="n"/>
      <c r="GMG94" s="248" t="n"/>
      <c r="GMH94" s="248" t="n"/>
      <c r="GMI94" s="240" t="n"/>
      <c r="GMJ94" s="240" t="n"/>
      <c r="GML94" s="15" t="n"/>
      <c r="GMM94" s="15" t="n"/>
      <c r="GMN94" s="248" t="n"/>
      <c r="GMO94" s="248" t="n"/>
      <c r="GMP94" s="240" t="n"/>
      <c r="GMQ94" s="240" t="n"/>
      <c r="GMS94" s="15" t="n"/>
      <c r="GMT94" s="15" t="n"/>
      <c r="GMU94" s="248" t="n"/>
      <c r="GMV94" s="248" t="n"/>
      <c r="GMW94" s="240" t="n"/>
      <c r="GMX94" s="240" t="n"/>
      <c r="GMZ94" s="15" t="n"/>
      <c r="GNA94" s="15" t="n"/>
      <c r="GNB94" s="248" t="n"/>
      <c r="GNC94" s="248" t="n"/>
      <c r="GND94" s="240" t="n"/>
      <c r="GNE94" s="240" t="n"/>
      <c r="GNG94" s="15" t="n"/>
      <c r="GNH94" s="15" t="n"/>
      <c r="GNI94" s="248" t="n"/>
      <c r="GNJ94" s="248" t="n"/>
      <c r="GNK94" s="240" t="n"/>
      <c r="GNL94" s="240" t="n"/>
      <c r="GNN94" s="15" t="n"/>
      <c r="GNO94" s="15" t="n"/>
      <c r="GNP94" s="248" t="n"/>
      <c r="GNQ94" s="248" t="n"/>
      <c r="GNR94" s="240" t="n"/>
      <c r="GNS94" s="240" t="n"/>
      <c r="GNU94" s="15" t="n"/>
      <c r="GNV94" s="15" t="n"/>
      <c r="GNW94" s="248" t="n"/>
      <c r="GNX94" s="248" t="n"/>
      <c r="GNY94" s="240" t="n"/>
      <c r="GNZ94" s="240" t="n"/>
      <c r="GOB94" s="15" t="n"/>
      <c r="GOC94" s="15" t="n"/>
      <c r="GOD94" s="248" t="n"/>
      <c r="GOE94" s="248" t="n"/>
      <c r="GOF94" s="240" t="n"/>
      <c r="GOG94" s="240" t="n"/>
      <c r="GOI94" s="15" t="n"/>
      <c r="GOJ94" s="15" t="n"/>
      <c r="GOK94" s="248" t="n"/>
      <c r="GOL94" s="248" t="n"/>
      <c r="GOM94" s="240" t="n"/>
      <c r="GON94" s="240" t="n"/>
      <c r="GOP94" s="15" t="n"/>
      <c r="GOQ94" s="15" t="n"/>
      <c r="GOR94" s="248" t="n"/>
      <c r="GOS94" s="248" t="n"/>
      <c r="GOT94" s="240" t="n"/>
      <c r="GOU94" s="240" t="n"/>
      <c r="GOW94" s="15" t="n"/>
      <c r="GOX94" s="15" t="n"/>
      <c r="GOY94" s="248" t="n"/>
      <c r="GOZ94" s="248" t="n"/>
      <c r="GPA94" s="240" t="n"/>
      <c r="GPB94" s="240" t="n"/>
      <c r="GPD94" s="15" t="n"/>
      <c r="GPE94" s="15" t="n"/>
      <c r="GPF94" s="248" t="n"/>
      <c r="GPG94" s="248" t="n"/>
      <c r="GPH94" s="240" t="n"/>
      <c r="GPI94" s="240" t="n"/>
      <c r="GPK94" s="15" t="n"/>
      <c r="GPL94" s="15" t="n"/>
      <c r="GPM94" s="248" t="n"/>
      <c r="GPN94" s="248" t="n"/>
      <c r="GPO94" s="240" t="n"/>
      <c r="GPP94" s="240" t="n"/>
      <c r="GPR94" s="15" t="n"/>
      <c r="GPS94" s="15" t="n"/>
      <c r="GPT94" s="248" t="n"/>
      <c r="GPU94" s="248" t="n"/>
      <c r="GPV94" s="240" t="n"/>
      <c r="GPW94" s="240" t="n"/>
      <c r="GPY94" s="15" t="n"/>
      <c r="GPZ94" s="15" t="n"/>
      <c r="GQA94" s="248" t="n"/>
      <c r="GQB94" s="248" t="n"/>
      <c r="GQC94" s="240" t="n"/>
      <c r="GQD94" s="240" t="n"/>
      <c r="GQF94" s="15" t="n"/>
      <c r="GQG94" s="15" t="n"/>
      <c r="GQH94" s="248" t="n"/>
      <c r="GQI94" s="248" t="n"/>
      <c r="GQJ94" s="240" t="n"/>
      <c r="GQK94" s="240" t="n"/>
      <c r="GQM94" s="15" t="n"/>
      <c r="GQN94" s="15" t="n"/>
      <c r="GQO94" s="248" t="n"/>
      <c r="GQP94" s="248" t="n"/>
      <c r="GQQ94" s="240" t="n"/>
      <c r="GQR94" s="240" t="n"/>
      <c r="GQT94" s="15" t="n"/>
      <c r="GQU94" s="15" t="n"/>
      <c r="GQV94" s="248" t="n"/>
      <c r="GQW94" s="248" t="n"/>
      <c r="GQX94" s="240" t="n"/>
      <c r="GQY94" s="240" t="n"/>
      <c r="GRA94" s="15" t="n"/>
      <c r="GRB94" s="15" t="n"/>
      <c r="GRC94" s="248" t="n"/>
      <c r="GRD94" s="248" t="n"/>
      <c r="GRE94" s="240" t="n"/>
      <c r="GRF94" s="240" t="n"/>
      <c r="GRH94" s="15" t="n"/>
      <c r="GRI94" s="15" t="n"/>
      <c r="GRJ94" s="248" t="n"/>
      <c r="GRK94" s="248" t="n"/>
      <c r="GRL94" s="240" t="n"/>
      <c r="GRM94" s="240" t="n"/>
      <c r="GRO94" s="15" t="n"/>
      <c r="GRP94" s="15" t="n"/>
      <c r="GRQ94" s="248" t="n"/>
      <c r="GRR94" s="248" t="n"/>
      <c r="GRS94" s="240" t="n"/>
      <c r="GRT94" s="240" t="n"/>
      <c r="GRV94" s="15" t="n"/>
      <c r="GRW94" s="15" t="n"/>
      <c r="GRX94" s="248" t="n"/>
      <c r="GRY94" s="248" t="n"/>
      <c r="GRZ94" s="240" t="n"/>
      <c r="GSA94" s="240" t="n"/>
      <c r="GSC94" s="15" t="n"/>
      <c r="GSD94" s="15" t="n"/>
      <c r="GSE94" s="248" t="n"/>
      <c r="GSF94" s="248" t="n"/>
      <c r="GSG94" s="240" t="n"/>
      <c r="GSH94" s="240" t="n"/>
      <c r="GSJ94" s="15" t="n"/>
      <c r="GSK94" s="15" t="n"/>
      <c r="GSL94" s="248" t="n"/>
      <c r="GSM94" s="248" t="n"/>
      <c r="GSN94" s="240" t="n"/>
      <c r="GSO94" s="240" t="n"/>
      <c r="GSQ94" s="15" t="n"/>
      <c r="GSR94" s="15" t="n"/>
      <c r="GSS94" s="248" t="n"/>
      <c r="GST94" s="248" t="n"/>
      <c r="GSU94" s="240" t="n"/>
      <c r="GSV94" s="240" t="n"/>
      <c r="GSX94" s="15" t="n"/>
      <c r="GSY94" s="15" t="n"/>
      <c r="GSZ94" s="248" t="n"/>
      <c r="GTA94" s="248" t="n"/>
      <c r="GTB94" s="240" t="n"/>
      <c r="GTC94" s="240" t="n"/>
      <c r="GTE94" s="15" t="n"/>
      <c r="GTF94" s="15" t="n"/>
      <c r="GTG94" s="248" t="n"/>
      <c r="GTH94" s="248" t="n"/>
      <c r="GTI94" s="240" t="n"/>
      <c r="GTJ94" s="240" t="n"/>
      <c r="GTL94" s="15" t="n"/>
      <c r="GTM94" s="15" t="n"/>
      <c r="GTN94" s="248" t="n"/>
      <c r="GTO94" s="248" t="n"/>
      <c r="GTP94" s="240" t="n"/>
      <c r="GTQ94" s="240" t="n"/>
      <c r="GTS94" s="15" t="n"/>
      <c r="GTT94" s="15" t="n"/>
      <c r="GTU94" s="248" t="n"/>
      <c r="GTV94" s="248" t="n"/>
      <c r="GTW94" s="240" t="n"/>
      <c r="GTX94" s="240" t="n"/>
      <c r="GTZ94" s="15" t="n"/>
      <c r="GUA94" s="15" t="n"/>
      <c r="GUB94" s="248" t="n"/>
      <c r="GUC94" s="248" t="n"/>
      <c r="GUD94" s="240" t="n"/>
      <c r="GUE94" s="240" t="n"/>
      <c r="GUG94" s="15" t="n"/>
      <c r="GUH94" s="15" t="n"/>
      <c r="GUI94" s="248" t="n"/>
      <c r="GUJ94" s="248" t="n"/>
      <c r="GUK94" s="240" t="n"/>
      <c r="GUL94" s="240" t="n"/>
      <c r="GUN94" s="15" t="n"/>
      <c r="GUO94" s="15" t="n"/>
      <c r="GUP94" s="248" t="n"/>
      <c r="GUQ94" s="248" t="n"/>
      <c r="GUR94" s="240" t="n"/>
      <c r="GUS94" s="240" t="n"/>
      <c r="GUU94" s="15" t="n"/>
      <c r="GUV94" s="15" t="n"/>
      <c r="GUW94" s="248" t="n"/>
      <c r="GUX94" s="248" t="n"/>
      <c r="GUY94" s="240" t="n"/>
      <c r="GUZ94" s="240" t="n"/>
      <c r="GVB94" s="15" t="n"/>
      <c r="GVC94" s="15" t="n"/>
      <c r="GVD94" s="248" t="n"/>
      <c r="GVE94" s="248" t="n"/>
      <c r="GVF94" s="240" t="n"/>
      <c r="GVG94" s="240" t="n"/>
      <c r="GVI94" s="15" t="n"/>
      <c r="GVJ94" s="15" t="n"/>
      <c r="GVK94" s="248" t="n"/>
      <c r="GVL94" s="248" t="n"/>
      <c r="GVM94" s="240" t="n"/>
      <c r="GVN94" s="240" t="n"/>
      <c r="GVP94" s="15" t="n"/>
      <c r="GVQ94" s="15" t="n"/>
      <c r="GVR94" s="248" t="n"/>
      <c r="GVS94" s="248" t="n"/>
      <c r="GVT94" s="240" t="n"/>
      <c r="GVU94" s="240" t="n"/>
      <c r="GVW94" s="15" t="n"/>
      <c r="GVX94" s="15" t="n"/>
      <c r="GVY94" s="248" t="n"/>
      <c r="GVZ94" s="248" t="n"/>
      <c r="GWA94" s="240" t="n"/>
      <c r="GWB94" s="240" t="n"/>
      <c r="GWD94" s="15" t="n"/>
      <c r="GWE94" s="15" t="n"/>
      <c r="GWF94" s="248" t="n"/>
      <c r="GWG94" s="248" t="n"/>
      <c r="GWH94" s="240" t="n"/>
      <c r="GWI94" s="240" t="n"/>
      <c r="GWK94" s="15" t="n"/>
      <c r="GWL94" s="15" t="n"/>
      <c r="GWM94" s="248" t="n"/>
      <c r="GWN94" s="248" t="n"/>
      <c r="GWO94" s="240" t="n"/>
      <c r="GWP94" s="240" t="n"/>
      <c r="GWR94" s="15" t="n"/>
      <c r="GWS94" s="15" t="n"/>
      <c r="GWT94" s="248" t="n"/>
      <c r="GWU94" s="248" t="n"/>
      <c r="GWV94" s="240" t="n"/>
      <c r="GWW94" s="240" t="n"/>
      <c r="GWY94" s="15" t="n"/>
      <c r="GWZ94" s="15" t="n"/>
      <c r="GXA94" s="248" t="n"/>
      <c r="GXB94" s="248" t="n"/>
      <c r="GXC94" s="240" t="n"/>
      <c r="GXD94" s="240" t="n"/>
      <c r="GXF94" s="15" t="n"/>
      <c r="GXG94" s="15" t="n"/>
      <c r="GXH94" s="248" t="n"/>
      <c r="GXI94" s="248" t="n"/>
      <c r="GXJ94" s="240" t="n"/>
      <c r="GXK94" s="240" t="n"/>
      <c r="GXM94" s="15" t="n"/>
      <c r="GXN94" s="15" t="n"/>
      <c r="GXO94" s="248" t="n"/>
      <c r="GXP94" s="248" t="n"/>
      <c r="GXQ94" s="240" t="n"/>
      <c r="GXR94" s="240" t="n"/>
      <c r="GXT94" s="15" t="n"/>
      <c r="GXU94" s="15" t="n"/>
      <c r="GXV94" s="248" t="n"/>
      <c r="GXW94" s="248" t="n"/>
      <c r="GXX94" s="240" t="n"/>
      <c r="GXY94" s="240" t="n"/>
      <c r="GYA94" s="15" t="n"/>
      <c r="GYB94" s="15" t="n"/>
      <c r="GYC94" s="248" t="n"/>
      <c r="GYD94" s="248" t="n"/>
      <c r="GYE94" s="240" t="n"/>
      <c r="GYF94" s="240" t="n"/>
      <c r="GYH94" s="15" t="n"/>
      <c r="GYI94" s="15" t="n"/>
      <c r="GYJ94" s="248" t="n"/>
      <c r="GYK94" s="248" t="n"/>
      <c r="GYL94" s="240" t="n"/>
      <c r="GYM94" s="240" t="n"/>
      <c r="GYO94" s="15" t="n"/>
      <c r="GYP94" s="15" t="n"/>
      <c r="GYQ94" s="248" t="n"/>
      <c r="GYR94" s="248" t="n"/>
      <c r="GYS94" s="240" t="n"/>
      <c r="GYT94" s="240" t="n"/>
      <c r="GYV94" s="15" t="n"/>
      <c r="GYW94" s="15" t="n"/>
      <c r="GYX94" s="248" t="n"/>
      <c r="GYY94" s="248" t="n"/>
      <c r="GYZ94" s="240" t="n"/>
      <c r="GZA94" s="240" t="n"/>
      <c r="GZC94" s="15" t="n"/>
      <c r="GZD94" s="15" t="n"/>
      <c r="GZE94" s="248" t="n"/>
      <c r="GZF94" s="248" t="n"/>
      <c r="GZG94" s="240" t="n"/>
      <c r="GZH94" s="240" t="n"/>
      <c r="GZJ94" s="15" t="n"/>
      <c r="GZK94" s="15" t="n"/>
      <c r="GZL94" s="248" t="n"/>
      <c r="GZM94" s="248" t="n"/>
      <c r="GZN94" s="240" t="n"/>
      <c r="GZO94" s="240" t="n"/>
      <c r="GZQ94" s="15" t="n"/>
      <c r="GZR94" s="15" t="n"/>
      <c r="GZS94" s="248" t="n"/>
      <c r="GZT94" s="248" t="n"/>
      <c r="GZU94" s="240" t="n"/>
      <c r="GZV94" s="240" t="n"/>
      <c r="GZX94" s="15" t="n"/>
      <c r="GZY94" s="15" t="n"/>
      <c r="GZZ94" s="248" t="n"/>
      <c r="HAA94" s="248" t="n"/>
      <c r="HAB94" s="240" t="n"/>
      <c r="HAC94" s="240" t="n"/>
      <c r="HAE94" s="15" t="n"/>
      <c r="HAF94" s="15" t="n"/>
      <c r="HAG94" s="248" t="n"/>
      <c r="HAH94" s="248" t="n"/>
      <c r="HAI94" s="240" t="n"/>
      <c r="HAJ94" s="240" t="n"/>
      <c r="HAL94" s="15" t="n"/>
      <c r="HAM94" s="15" t="n"/>
      <c r="HAN94" s="248" t="n"/>
      <c r="HAO94" s="248" t="n"/>
      <c r="HAP94" s="240" t="n"/>
      <c r="HAQ94" s="240" t="n"/>
      <c r="HAS94" s="15" t="n"/>
      <c r="HAT94" s="15" t="n"/>
      <c r="HAU94" s="248" t="n"/>
      <c r="HAV94" s="248" t="n"/>
      <c r="HAW94" s="240" t="n"/>
      <c r="HAX94" s="240" t="n"/>
      <c r="HAZ94" s="15" t="n"/>
      <c r="HBA94" s="15" t="n"/>
      <c r="HBB94" s="248" t="n"/>
      <c r="HBC94" s="248" t="n"/>
      <c r="HBD94" s="240" t="n"/>
      <c r="HBE94" s="240" t="n"/>
      <c r="HBG94" s="15" t="n"/>
      <c r="HBH94" s="15" t="n"/>
      <c r="HBI94" s="248" t="n"/>
      <c r="HBJ94" s="248" t="n"/>
      <c r="HBK94" s="240" t="n"/>
      <c r="HBL94" s="240" t="n"/>
      <c r="HBN94" s="15" t="n"/>
      <c r="HBO94" s="15" t="n"/>
      <c r="HBP94" s="248" t="n"/>
      <c r="HBQ94" s="248" t="n"/>
      <c r="HBR94" s="240" t="n"/>
      <c r="HBS94" s="240" t="n"/>
      <c r="HBU94" s="15" t="n"/>
      <c r="HBV94" s="15" t="n"/>
      <c r="HBW94" s="248" t="n"/>
      <c r="HBX94" s="248" t="n"/>
      <c r="HBY94" s="240" t="n"/>
      <c r="HBZ94" s="240" t="n"/>
      <c r="HCB94" s="15" t="n"/>
      <c r="HCC94" s="15" t="n"/>
      <c r="HCD94" s="248" t="n"/>
      <c r="HCE94" s="248" t="n"/>
      <c r="HCF94" s="240" t="n"/>
      <c r="HCG94" s="240" t="n"/>
      <c r="HCI94" s="15" t="n"/>
      <c r="HCJ94" s="15" t="n"/>
      <c r="HCK94" s="248" t="n"/>
      <c r="HCL94" s="248" t="n"/>
      <c r="HCM94" s="240" t="n"/>
      <c r="HCN94" s="240" t="n"/>
      <c r="HCP94" s="15" t="n"/>
      <c r="HCQ94" s="15" t="n"/>
      <c r="HCR94" s="248" t="n"/>
      <c r="HCS94" s="248" t="n"/>
      <c r="HCT94" s="240" t="n"/>
      <c r="HCU94" s="240" t="n"/>
      <c r="HCW94" s="15" t="n"/>
      <c r="HCX94" s="15" t="n"/>
      <c r="HCY94" s="248" t="n"/>
      <c r="HCZ94" s="248" t="n"/>
      <c r="HDA94" s="240" t="n"/>
      <c r="HDB94" s="240" t="n"/>
      <c r="HDD94" s="15" t="n"/>
      <c r="HDE94" s="15" t="n"/>
      <c r="HDF94" s="248" t="n"/>
      <c r="HDG94" s="248" t="n"/>
      <c r="HDH94" s="240" t="n"/>
      <c r="HDI94" s="240" t="n"/>
      <c r="HDK94" s="15" t="n"/>
      <c r="HDL94" s="15" t="n"/>
      <c r="HDM94" s="248" t="n"/>
      <c r="HDN94" s="248" t="n"/>
      <c r="HDO94" s="240" t="n"/>
      <c r="HDP94" s="240" t="n"/>
      <c r="HDR94" s="15" t="n"/>
      <c r="HDS94" s="15" t="n"/>
      <c r="HDT94" s="248" t="n"/>
      <c r="HDU94" s="248" t="n"/>
      <c r="HDV94" s="240" t="n"/>
      <c r="HDW94" s="240" t="n"/>
      <c r="HDY94" s="15" t="n"/>
      <c r="HDZ94" s="15" t="n"/>
      <c r="HEA94" s="248" t="n"/>
      <c r="HEB94" s="248" t="n"/>
      <c r="HEC94" s="240" t="n"/>
      <c r="HED94" s="240" t="n"/>
      <c r="HEF94" s="15" t="n"/>
      <c r="HEG94" s="15" t="n"/>
      <c r="HEH94" s="248" t="n"/>
      <c r="HEI94" s="248" t="n"/>
      <c r="HEJ94" s="240" t="n"/>
      <c r="HEK94" s="240" t="n"/>
      <c r="HEM94" s="15" t="n"/>
      <c r="HEN94" s="15" t="n"/>
      <c r="HEO94" s="248" t="n"/>
      <c r="HEP94" s="248" t="n"/>
      <c r="HEQ94" s="240" t="n"/>
      <c r="HER94" s="240" t="n"/>
      <c r="HET94" s="15" t="n"/>
      <c r="HEU94" s="15" t="n"/>
      <c r="HEV94" s="248" t="n"/>
      <c r="HEW94" s="248" t="n"/>
      <c r="HEX94" s="240" t="n"/>
      <c r="HEY94" s="240" t="n"/>
      <c r="HFA94" s="15" t="n"/>
      <c r="HFB94" s="15" t="n"/>
      <c r="HFC94" s="248" t="n"/>
      <c r="HFD94" s="248" t="n"/>
      <c r="HFE94" s="240" t="n"/>
      <c r="HFF94" s="240" t="n"/>
      <c r="HFH94" s="15" t="n"/>
      <c r="HFI94" s="15" t="n"/>
      <c r="HFJ94" s="248" t="n"/>
      <c r="HFK94" s="248" t="n"/>
      <c r="HFL94" s="240" t="n"/>
      <c r="HFM94" s="240" t="n"/>
      <c r="HFO94" s="15" t="n"/>
      <c r="HFP94" s="15" t="n"/>
      <c r="HFQ94" s="248" t="n"/>
      <c r="HFR94" s="248" t="n"/>
      <c r="HFS94" s="240" t="n"/>
      <c r="HFT94" s="240" t="n"/>
      <c r="HFV94" s="15" t="n"/>
      <c r="HFW94" s="15" t="n"/>
      <c r="HFX94" s="248" t="n"/>
      <c r="HFY94" s="248" t="n"/>
      <c r="HFZ94" s="240" t="n"/>
      <c r="HGA94" s="240" t="n"/>
      <c r="HGC94" s="15" t="n"/>
      <c r="HGD94" s="15" t="n"/>
      <c r="HGE94" s="248" t="n"/>
      <c r="HGF94" s="248" t="n"/>
      <c r="HGG94" s="240" t="n"/>
      <c r="HGH94" s="240" t="n"/>
      <c r="HGJ94" s="15" t="n"/>
      <c r="HGK94" s="15" t="n"/>
      <c r="HGL94" s="248" t="n"/>
      <c r="HGM94" s="248" t="n"/>
      <c r="HGN94" s="240" t="n"/>
      <c r="HGO94" s="240" t="n"/>
      <c r="HGQ94" s="15" t="n"/>
      <c r="HGR94" s="15" t="n"/>
      <c r="HGS94" s="248" t="n"/>
      <c r="HGT94" s="248" t="n"/>
      <c r="HGU94" s="240" t="n"/>
      <c r="HGV94" s="240" t="n"/>
      <c r="HGX94" s="15" t="n"/>
      <c r="HGY94" s="15" t="n"/>
      <c r="HGZ94" s="248" t="n"/>
      <c r="HHA94" s="248" t="n"/>
      <c r="HHB94" s="240" t="n"/>
      <c r="HHC94" s="240" t="n"/>
      <c r="HHE94" s="15" t="n"/>
      <c r="HHF94" s="15" t="n"/>
      <c r="HHG94" s="248" t="n"/>
      <c r="HHH94" s="248" t="n"/>
      <c r="HHI94" s="240" t="n"/>
      <c r="HHJ94" s="240" t="n"/>
      <c r="HHL94" s="15" t="n"/>
      <c r="HHM94" s="15" t="n"/>
      <c r="HHN94" s="248" t="n"/>
      <c r="HHO94" s="248" t="n"/>
      <c r="HHP94" s="240" t="n"/>
      <c r="HHQ94" s="240" t="n"/>
      <c r="HHS94" s="15" t="n"/>
      <c r="HHT94" s="15" t="n"/>
      <c r="HHU94" s="248" t="n"/>
      <c r="HHV94" s="248" t="n"/>
      <c r="HHW94" s="240" t="n"/>
      <c r="HHX94" s="240" t="n"/>
      <c r="HHZ94" s="15" t="n"/>
      <c r="HIA94" s="15" t="n"/>
      <c r="HIB94" s="248" t="n"/>
      <c r="HIC94" s="248" t="n"/>
      <c r="HID94" s="240" t="n"/>
      <c r="HIE94" s="240" t="n"/>
      <c r="HIG94" s="15" t="n"/>
      <c r="HIH94" s="15" t="n"/>
      <c r="HII94" s="248" t="n"/>
      <c r="HIJ94" s="248" t="n"/>
      <c r="HIK94" s="240" t="n"/>
      <c r="HIL94" s="240" t="n"/>
      <c r="HIN94" s="15" t="n"/>
      <c r="HIO94" s="15" t="n"/>
      <c r="HIP94" s="248" t="n"/>
      <c r="HIQ94" s="248" t="n"/>
      <c r="HIR94" s="240" t="n"/>
      <c r="HIS94" s="240" t="n"/>
      <c r="HIU94" s="15" t="n"/>
      <c r="HIV94" s="15" t="n"/>
      <c r="HIW94" s="248" t="n"/>
      <c r="HIX94" s="248" t="n"/>
      <c r="HIY94" s="240" t="n"/>
      <c r="HIZ94" s="240" t="n"/>
      <c r="HJB94" s="15" t="n"/>
      <c r="HJC94" s="15" t="n"/>
      <c r="HJD94" s="248" t="n"/>
      <c r="HJE94" s="248" t="n"/>
      <c r="HJF94" s="240" t="n"/>
      <c r="HJG94" s="240" t="n"/>
      <c r="HJI94" s="15" t="n"/>
      <c r="HJJ94" s="15" t="n"/>
      <c r="HJK94" s="248" t="n"/>
      <c r="HJL94" s="248" t="n"/>
      <c r="HJM94" s="240" t="n"/>
      <c r="HJN94" s="240" t="n"/>
      <c r="HJP94" s="15" t="n"/>
      <c r="HJQ94" s="15" t="n"/>
      <c r="HJR94" s="248" t="n"/>
      <c r="HJS94" s="248" t="n"/>
      <c r="HJT94" s="240" t="n"/>
      <c r="HJU94" s="240" t="n"/>
      <c r="HJW94" s="15" t="n"/>
      <c r="HJX94" s="15" t="n"/>
      <c r="HJY94" s="248" t="n"/>
      <c r="HJZ94" s="248" t="n"/>
      <c r="HKA94" s="240" t="n"/>
      <c r="HKB94" s="240" t="n"/>
      <c r="HKD94" s="15" t="n"/>
      <c r="HKE94" s="15" t="n"/>
      <c r="HKF94" s="248" t="n"/>
      <c r="HKG94" s="248" t="n"/>
      <c r="HKH94" s="240" t="n"/>
      <c r="HKI94" s="240" t="n"/>
      <c r="HKK94" s="15" t="n"/>
      <c r="HKL94" s="15" t="n"/>
      <c r="HKM94" s="248" t="n"/>
      <c r="HKN94" s="248" t="n"/>
      <c r="HKO94" s="240" t="n"/>
      <c r="HKP94" s="240" t="n"/>
      <c r="HKR94" s="15" t="n"/>
      <c r="HKS94" s="15" t="n"/>
      <c r="HKT94" s="248" t="n"/>
      <c r="HKU94" s="248" t="n"/>
      <c r="HKV94" s="240" t="n"/>
      <c r="HKW94" s="240" t="n"/>
      <c r="HKY94" s="15" t="n"/>
      <c r="HKZ94" s="15" t="n"/>
      <c r="HLA94" s="248" t="n"/>
      <c r="HLB94" s="248" t="n"/>
      <c r="HLC94" s="240" t="n"/>
      <c r="HLD94" s="240" t="n"/>
      <c r="HLF94" s="15" t="n"/>
      <c r="HLG94" s="15" t="n"/>
      <c r="HLH94" s="248" t="n"/>
      <c r="HLI94" s="248" t="n"/>
      <c r="HLJ94" s="240" t="n"/>
      <c r="HLK94" s="240" t="n"/>
      <c r="HLM94" s="15" t="n"/>
      <c r="HLN94" s="15" t="n"/>
      <c r="HLO94" s="248" t="n"/>
      <c r="HLP94" s="248" t="n"/>
      <c r="HLQ94" s="240" t="n"/>
      <c r="HLR94" s="240" t="n"/>
      <c r="HLT94" s="15" t="n"/>
      <c r="HLU94" s="15" t="n"/>
      <c r="HLV94" s="248" t="n"/>
      <c r="HLW94" s="248" t="n"/>
      <c r="HLX94" s="240" t="n"/>
      <c r="HLY94" s="240" t="n"/>
      <c r="HMA94" s="15" t="n"/>
      <c r="HMB94" s="15" t="n"/>
      <c r="HMC94" s="248" t="n"/>
      <c r="HMD94" s="248" t="n"/>
      <c r="HME94" s="240" t="n"/>
      <c r="HMF94" s="240" t="n"/>
      <c r="HMH94" s="15" t="n"/>
      <c r="HMI94" s="15" t="n"/>
      <c r="HMJ94" s="248" t="n"/>
      <c r="HMK94" s="248" t="n"/>
      <c r="HML94" s="240" t="n"/>
      <c r="HMM94" s="240" t="n"/>
      <c r="HMO94" s="15" t="n"/>
      <c r="HMP94" s="15" t="n"/>
      <c r="HMQ94" s="248" t="n"/>
      <c r="HMR94" s="248" t="n"/>
      <c r="HMS94" s="240" t="n"/>
      <c r="HMT94" s="240" t="n"/>
      <c r="HMV94" s="15" t="n"/>
      <c r="HMW94" s="15" t="n"/>
      <c r="HMX94" s="248" t="n"/>
      <c r="HMY94" s="248" t="n"/>
      <c r="HMZ94" s="240" t="n"/>
      <c r="HNA94" s="240" t="n"/>
      <c r="HNC94" s="15" t="n"/>
      <c r="HND94" s="15" t="n"/>
      <c r="HNE94" s="248" t="n"/>
      <c r="HNF94" s="248" t="n"/>
      <c r="HNG94" s="240" t="n"/>
      <c r="HNH94" s="240" t="n"/>
      <c r="HNJ94" s="15" t="n"/>
      <c r="HNK94" s="15" t="n"/>
      <c r="HNL94" s="248" t="n"/>
      <c r="HNM94" s="248" t="n"/>
      <c r="HNN94" s="240" t="n"/>
      <c r="HNO94" s="240" t="n"/>
      <c r="HNQ94" s="15" t="n"/>
      <c r="HNR94" s="15" t="n"/>
      <c r="HNS94" s="248" t="n"/>
      <c r="HNT94" s="248" t="n"/>
      <c r="HNU94" s="240" t="n"/>
      <c r="HNV94" s="240" t="n"/>
      <c r="HNX94" s="15" t="n"/>
      <c r="HNY94" s="15" t="n"/>
      <c r="HNZ94" s="248" t="n"/>
      <c r="HOA94" s="248" t="n"/>
      <c r="HOB94" s="240" t="n"/>
      <c r="HOC94" s="240" t="n"/>
      <c r="HOE94" s="15" t="n"/>
      <c r="HOF94" s="15" t="n"/>
      <c r="HOG94" s="248" t="n"/>
      <c r="HOH94" s="248" t="n"/>
      <c r="HOI94" s="240" t="n"/>
      <c r="HOJ94" s="240" t="n"/>
      <c r="HOL94" s="15" t="n"/>
      <c r="HOM94" s="15" t="n"/>
      <c r="HON94" s="248" t="n"/>
      <c r="HOO94" s="248" t="n"/>
      <c r="HOP94" s="240" t="n"/>
      <c r="HOQ94" s="240" t="n"/>
      <c r="HOS94" s="15" t="n"/>
      <c r="HOT94" s="15" t="n"/>
      <c r="HOU94" s="248" t="n"/>
      <c r="HOV94" s="248" t="n"/>
      <c r="HOW94" s="240" t="n"/>
      <c r="HOX94" s="240" t="n"/>
      <c r="HOZ94" s="15" t="n"/>
      <c r="HPA94" s="15" t="n"/>
      <c r="HPB94" s="248" t="n"/>
      <c r="HPC94" s="248" t="n"/>
      <c r="HPD94" s="240" t="n"/>
      <c r="HPE94" s="240" t="n"/>
      <c r="HPG94" s="15" t="n"/>
      <c r="HPH94" s="15" t="n"/>
      <c r="HPI94" s="248" t="n"/>
      <c r="HPJ94" s="248" t="n"/>
      <c r="HPK94" s="240" t="n"/>
      <c r="HPL94" s="240" t="n"/>
      <c r="HPN94" s="15" t="n"/>
      <c r="HPO94" s="15" t="n"/>
      <c r="HPP94" s="248" t="n"/>
      <c r="HPQ94" s="248" t="n"/>
      <c r="HPR94" s="240" t="n"/>
      <c r="HPS94" s="240" t="n"/>
      <c r="HPU94" s="15" t="n"/>
      <c r="HPV94" s="15" t="n"/>
      <c r="HPW94" s="248" t="n"/>
      <c r="HPX94" s="248" t="n"/>
      <c r="HPY94" s="240" t="n"/>
      <c r="HPZ94" s="240" t="n"/>
      <c r="HQB94" s="15" t="n"/>
      <c r="HQC94" s="15" t="n"/>
      <c r="HQD94" s="248" t="n"/>
      <c r="HQE94" s="248" t="n"/>
      <c r="HQF94" s="240" t="n"/>
      <c r="HQG94" s="240" t="n"/>
      <c r="HQI94" s="15" t="n"/>
      <c r="HQJ94" s="15" t="n"/>
      <c r="HQK94" s="248" t="n"/>
      <c r="HQL94" s="248" t="n"/>
      <c r="HQM94" s="240" t="n"/>
      <c r="HQN94" s="240" t="n"/>
      <c r="HQP94" s="15" t="n"/>
      <c r="HQQ94" s="15" t="n"/>
      <c r="HQR94" s="248" t="n"/>
      <c r="HQS94" s="248" t="n"/>
      <c r="HQT94" s="240" t="n"/>
      <c r="HQU94" s="240" t="n"/>
      <c r="HQW94" s="15" t="n"/>
      <c r="HQX94" s="15" t="n"/>
      <c r="HQY94" s="248" t="n"/>
      <c r="HQZ94" s="248" t="n"/>
      <c r="HRA94" s="240" t="n"/>
      <c r="HRB94" s="240" t="n"/>
      <c r="HRD94" s="15" t="n"/>
      <c r="HRE94" s="15" t="n"/>
      <c r="HRF94" s="248" t="n"/>
      <c r="HRG94" s="248" t="n"/>
      <c r="HRH94" s="240" t="n"/>
      <c r="HRI94" s="240" t="n"/>
      <c r="HRK94" s="15" t="n"/>
      <c r="HRL94" s="15" t="n"/>
      <c r="HRM94" s="248" t="n"/>
      <c r="HRN94" s="248" t="n"/>
      <c r="HRO94" s="240" t="n"/>
      <c r="HRP94" s="240" t="n"/>
      <c r="HRR94" s="15" t="n"/>
      <c r="HRS94" s="15" t="n"/>
      <c r="HRT94" s="248" t="n"/>
      <c r="HRU94" s="248" t="n"/>
      <c r="HRV94" s="240" t="n"/>
      <c r="HRW94" s="240" t="n"/>
      <c r="HRY94" s="15" t="n"/>
      <c r="HRZ94" s="15" t="n"/>
      <c r="HSA94" s="248" t="n"/>
      <c r="HSB94" s="248" t="n"/>
      <c r="HSC94" s="240" t="n"/>
      <c r="HSD94" s="240" t="n"/>
      <c r="HSF94" s="15" t="n"/>
      <c r="HSG94" s="15" t="n"/>
      <c r="HSH94" s="248" t="n"/>
      <c r="HSI94" s="248" t="n"/>
      <c r="HSJ94" s="240" t="n"/>
      <c r="HSK94" s="240" t="n"/>
      <c r="HSM94" s="15" t="n"/>
      <c r="HSN94" s="15" t="n"/>
      <c r="HSO94" s="248" t="n"/>
      <c r="HSP94" s="248" t="n"/>
      <c r="HSQ94" s="240" t="n"/>
      <c r="HSR94" s="240" t="n"/>
      <c r="HST94" s="15" t="n"/>
      <c r="HSU94" s="15" t="n"/>
      <c r="HSV94" s="248" t="n"/>
      <c r="HSW94" s="248" t="n"/>
      <c r="HSX94" s="240" t="n"/>
      <c r="HSY94" s="240" t="n"/>
      <c r="HTA94" s="15" t="n"/>
      <c r="HTB94" s="15" t="n"/>
      <c r="HTC94" s="248" t="n"/>
      <c r="HTD94" s="248" t="n"/>
      <c r="HTE94" s="240" t="n"/>
      <c r="HTF94" s="240" t="n"/>
      <c r="HTH94" s="15" t="n"/>
      <c r="HTI94" s="15" t="n"/>
      <c r="HTJ94" s="248" t="n"/>
      <c r="HTK94" s="248" t="n"/>
      <c r="HTL94" s="240" t="n"/>
      <c r="HTM94" s="240" t="n"/>
      <c r="HTO94" s="15" t="n"/>
      <c r="HTP94" s="15" t="n"/>
      <c r="HTQ94" s="248" t="n"/>
      <c r="HTR94" s="248" t="n"/>
      <c r="HTS94" s="240" t="n"/>
      <c r="HTT94" s="240" t="n"/>
      <c r="HTV94" s="15" t="n"/>
      <c r="HTW94" s="15" t="n"/>
      <c r="HTX94" s="248" t="n"/>
      <c r="HTY94" s="248" t="n"/>
      <c r="HTZ94" s="240" t="n"/>
      <c r="HUA94" s="240" t="n"/>
      <c r="HUC94" s="15" t="n"/>
      <c r="HUD94" s="15" t="n"/>
      <c r="HUE94" s="248" t="n"/>
      <c r="HUF94" s="248" t="n"/>
      <c r="HUG94" s="240" t="n"/>
      <c r="HUH94" s="240" t="n"/>
      <c r="HUJ94" s="15" t="n"/>
      <c r="HUK94" s="15" t="n"/>
      <c r="HUL94" s="248" t="n"/>
      <c r="HUM94" s="248" t="n"/>
      <c r="HUN94" s="240" t="n"/>
      <c r="HUO94" s="240" t="n"/>
      <c r="HUQ94" s="15" t="n"/>
      <c r="HUR94" s="15" t="n"/>
      <c r="HUS94" s="248" t="n"/>
      <c r="HUT94" s="248" t="n"/>
      <c r="HUU94" s="240" t="n"/>
      <c r="HUV94" s="240" t="n"/>
      <c r="HUX94" s="15" t="n"/>
      <c r="HUY94" s="15" t="n"/>
      <c r="HUZ94" s="248" t="n"/>
      <c r="HVA94" s="248" t="n"/>
      <c r="HVB94" s="240" t="n"/>
      <c r="HVC94" s="240" t="n"/>
      <c r="HVE94" s="15" t="n"/>
      <c r="HVF94" s="15" t="n"/>
      <c r="HVG94" s="248" t="n"/>
      <c r="HVH94" s="248" t="n"/>
      <c r="HVI94" s="240" t="n"/>
      <c r="HVJ94" s="240" t="n"/>
      <c r="HVL94" s="15" t="n"/>
      <c r="HVM94" s="15" t="n"/>
      <c r="HVN94" s="248" t="n"/>
      <c r="HVO94" s="248" t="n"/>
      <c r="HVP94" s="240" t="n"/>
      <c r="HVQ94" s="240" t="n"/>
      <c r="HVS94" s="15" t="n"/>
      <c r="HVT94" s="15" t="n"/>
      <c r="HVU94" s="248" t="n"/>
      <c r="HVV94" s="248" t="n"/>
      <c r="HVW94" s="240" t="n"/>
      <c r="HVX94" s="240" t="n"/>
      <c r="HVZ94" s="15" t="n"/>
      <c r="HWA94" s="15" t="n"/>
      <c r="HWB94" s="248" t="n"/>
      <c r="HWC94" s="248" t="n"/>
      <c r="HWD94" s="240" t="n"/>
      <c r="HWE94" s="240" t="n"/>
      <c r="HWG94" s="15" t="n"/>
      <c r="HWH94" s="15" t="n"/>
      <c r="HWI94" s="248" t="n"/>
      <c r="HWJ94" s="248" t="n"/>
      <c r="HWK94" s="240" t="n"/>
      <c r="HWL94" s="240" t="n"/>
      <c r="HWN94" s="15" t="n"/>
      <c r="HWO94" s="15" t="n"/>
      <c r="HWP94" s="248" t="n"/>
      <c r="HWQ94" s="248" t="n"/>
      <c r="HWR94" s="240" t="n"/>
      <c r="HWS94" s="240" t="n"/>
      <c r="HWU94" s="15" t="n"/>
      <c r="HWV94" s="15" t="n"/>
      <c r="HWW94" s="248" t="n"/>
      <c r="HWX94" s="248" t="n"/>
      <c r="HWY94" s="240" t="n"/>
      <c r="HWZ94" s="240" t="n"/>
      <c r="HXB94" s="15" t="n"/>
      <c r="HXC94" s="15" t="n"/>
      <c r="HXD94" s="248" t="n"/>
      <c r="HXE94" s="248" t="n"/>
      <c r="HXF94" s="240" t="n"/>
      <c r="HXG94" s="240" t="n"/>
      <c r="HXI94" s="15" t="n"/>
      <c r="HXJ94" s="15" t="n"/>
      <c r="HXK94" s="248" t="n"/>
      <c r="HXL94" s="248" t="n"/>
      <c r="HXM94" s="240" t="n"/>
      <c r="HXN94" s="240" t="n"/>
      <c r="HXP94" s="15" t="n"/>
      <c r="HXQ94" s="15" t="n"/>
      <c r="HXR94" s="248" t="n"/>
      <c r="HXS94" s="248" t="n"/>
      <c r="HXT94" s="240" t="n"/>
      <c r="HXU94" s="240" t="n"/>
      <c r="HXW94" s="15" t="n"/>
      <c r="HXX94" s="15" t="n"/>
      <c r="HXY94" s="248" t="n"/>
      <c r="HXZ94" s="248" t="n"/>
      <c r="HYA94" s="240" t="n"/>
      <c r="HYB94" s="240" t="n"/>
      <c r="HYD94" s="15" t="n"/>
      <c r="HYE94" s="15" t="n"/>
      <c r="HYF94" s="248" t="n"/>
      <c r="HYG94" s="248" t="n"/>
      <c r="HYH94" s="240" t="n"/>
      <c r="HYI94" s="240" t="n"/>
      <c r="HYK94" s="15" t="n"/>
      <c r="HYL94" s="15" t="n"/>
      <c r="HYM94" s="248" t="n"/>
      <c r="HYN94" s="248" t="n"/>
      <c r="HYO94" s="240" t="n"/>
      <c r="HYP94" s="240" t="n"/>
      <c r="HYR94" s="15" t="n"/>
      <c r="HYS94" s="15" t="n"/>
      <c r="HYT94" s="248" t="n"/>
      <c r="HYU94" s="248" t="n"/>
      <c r="HYV94" s="240" t="n"/>
      <c r="HYW94" s="240" t="n"/>
      <c r="HYY94" s="15" t="n"/>
      <c r="HYZ94" s="15" t="n"/>
      <c r="HZA94" s="248" t="n"/>
      <c r="HZB94" s="248" t="n"/>
      <c r="HZC94" s="240" t="n"/>
      <c r="HZD94" s="240" t="n"/>
      <c r="HZF94" s="15" t="n"/>
      <c r="HZG94" s="15" t="n"/>
      <c r="HZH94" s="248" t="n"/>
      <c r="HZI94" s="248" t="n"/>
      <c r="HZJ94" s="240" t="n"/>
      <c r="HZK94" s="240" t="n"/>
      <c r="HZM94" s="15" t="n"/>
      <c r="HZN94" s="15" t="n"/>
      <c r="HZO94" s="248" t="n"/>
      <c r="HZP94" s="248" t="n"/>
      <c r="HZQ94" s="240" t="n"/>
      <c r="HZR94" s="240" t="n"/>
      <c r="HZT94" s="15" t="n"/>
      <c r="HZU94" s="15" t="n"/>
      <c r="HZV94" s="248" t="n"/>
      <c r="HZW94" s="248" t="n"/>
      <c r="HZX94" s="240" t="n"/>
      <c r="HZY94" s="240" t="n"/>
      <c r="IAA94" s="15" t="n"/>
      <c r="IAB94" s="15" t="n"/>
      <c r="IAC94" s="248" t="n"/>
      <c r="IAD94" s="248" t="n"/>
      <c r="IAE94" s="240" t="n"/>
      <c r="IAF94" s="240" t="n"/>
      <c r="IAH94" s="15" t="n"/>
      <c r="IAI94" s="15" t="n"/>
      <c r="IAJ94" s="248" t="n"/>
      <c r="IAK94" s="248" t="n"/>
      <c r="IAL94" s="240" t="n"/>
      <c r="IAM94" s="240" t="n"/>
      <c r="IAO94" s="15" t="n"/>
      <c r="IAP94" s="15" t="n"/>
      <c r="IAQ94" s="248" t="n"/>
      <c r="IAR94" s="248" t="n"/>
      <c r="IAS94" s="240" t="n"/>
      <c r="IAT94" s="240" t="n"/>
      <c r="IAV94" s="15" t="n"/>
      <c r="IAW94" s="15" t="n"/>
      <c r="IAX94" s="248" t="n"/>
      <c r="IAY94" s="248" t="n"/>
      <c r="IAZ94" s="240" t="n"/>
      <c r="IBA94" s="240" t="n"/>
      <c r="IBC94" s="15" t="n"/>
      <c r="IBD94" s="15" t="n"/>
      <c r="IBE94" s="248" t="n"/>
      <c r="IBF94" s="248" t="n"/>
      <c r="IBG94" s="240" t="n"/>
      <c r="IBH94" s="240" t="n"/>
      <c r="IBJ94" s="15" t="n"/>
      <c r="IBK94" s="15" t="n"/>
      <c r="IBL94" s="248" t="n"/>
      <c r="IBM94" s="248" t="n"/>
      <c r="IBN94" s="240" t="n"/>
      <c r="IBO94" s="240" t="n"/>
      <c r="IBQ94" s="15" t="n"/>
      <c r="IBR94" s="15" t="n"/>
      <c r="IBS94" s="248" t="n"/>
      <c r="IBT94" s="248" t="n"/>
      <c r="IBU94" s="240" t="n"/>
      <c r="IBV94" s="240" t="n"/>
      <c r="IBX94" s="15" t="n"/>
      <c r="IBY94" s="15" t="n"/>
      <c r="IBZ94" s="248" t="n"/>
      <c r="ICA94" s="248" t="n"/>
      <c r="ICB94" s="240" t="n"/>
      <c r="ICC94" s="240" t="n"/>
      <c r="ICE94" s="15" t="n"/>
      <c r="ICF94" s="15" t="n"/>
      <c r="ICG94" s="248" t="n"/>
      <c r="ICH94" s="248" t="n"/>
      <c r="ICI94" s="240" t="n"/>
      <c r="ICJ94" s="240" t="n"/>
      <c r="ICL94" s="15" t="n"/>
      <c r="ICM94" s="15" t="n"/>
      <c r="ICN94" s="248" t="n"/>
      <c r="ICO94" s="248" t="n"/>
      <c r="ICP94" s="240" t="n"/>
      <c r="ICQ94" s="240" t="n"/>
      <c r="ICS94" s="15" t="n"/>
      <c r="ICT94" s="15" t="n"/>
      <c r="ICU94" s="248" t="n"/>
      <c r="ICV94" s="248" t="n"/>
      <c r="ICW94" s="240" t="n"/>
      <c r="ICX94" s="240" t="n"/>
      <c r="ICZ94" s="15" t="n"/>
      <c r="IDA94" s="15" t="n"/>
      <c r="IDB94" s="248" t="n"/>
      <c r="IDC94" s="248" t="n"/>
      <c r="IDD94" s="240" t="n"/>
      <c r="IDE94" s="240" t="n"/>
      <c r="IDG94" s="15" t="n"/>
      <c r="IDH94" s="15" t="n"/>
      <c r="IDI94" s="248" t="n"/>
      <c r="IDJ94" s="248" t="n"/>
      <c r="IDK94" s="240" t="n"/>
      <c r="IDL94" s="240" t="n"/>
      <c r="IDN94" s="15" t="n"/>
      <c r="IDO94" s="15" t="n"/>
      <c r="IDP94" s="248" t="n"/>
      <c r="IDQ94" s="248" t="n"/>
      <c r="IDR94" s="240" t="n"/>
      <c r="IDS94" s="240" t="n"/>
      <c r="IDU94" s="15" t="n"/>
      <c r="IDV94" s="15" t="n"/>
      <c r="IDW94" s="248" t="n"/>
      <c r="IDX94" s="248" t="n"/>
      <c r="IDY94" s="240" t="n"/>
      <c r="IDZ94" s="240" t="n"/>
      <c r="IEB94" s="15" t="n"/>
      <c r="IEC94" s="15" t="n"/>
      <c r="IED94" s="248" t="n"/>
      <c r="IEE94" s="248" t="n"/>
      <c r="IEF94" s="240" t="n"/>
      <c r="IEG94" s="240" t="n"/>
      <c r="IEI94" s="15" t="n"/>
      <c r="IEJ94" s="15" t="n"/>
      <c r="IEK94" s="248" t="n"/>
      <c r="IEL94" s="248" t="n"/>
      <c r="IEM94" s="240" t="n"/>
      <c r="IEN94" s="240" t="n"/>
      <c r="IEP94" s="15" t="n"/>
      <c r="IEQ94" s="15" t="n"/>
      <c r="IER94" s="248" t="n"/>
      <c r="IES94" s="248" t="n"/>
      <c r="IET94" s="240" t="n"/>
      <c r="IEU94" s="240" t="n"/>
      <c r="IEW94" s="15" t="n"/>
      <c r="IEX94" s="15" t="n"/>
      <c r="IEY94" s="248" t="n"/>
      <c r="IEZ94" s="248" t="n"/>
      <c r="IFA94" s="240" t="n"/>
      <c r="IFB94" s="240" t="n"/>
      <c r="IFD94" s="15" t="n"/>
      <c r="IFE94" s="15" t="n"/>
      <c r="IFF94" s="248" t="n"/>
      <c r="IFG94" s="248" t="n"/>
      <c r="IFH94" s="240" t="n"/>
      <c r="IFI94" s="240" t="n"/>
      <c r="IFK94" s="15" t="n"/>
      <c r="IFL94" s="15" t="n"/>
      <c r="IFM94" s="248" t="n"/>
      <c r="IFN94" s="248" t="n"/>
      <c r="IFO94" s="240" t="n"/>
      <c r="IFP94" s="240" t="n"/>
      <c r="IFR94" s="15" t="n"/>
      <c r="IFS94" s="15" t="n"/>
      <c r="IFT94" s="248" t="n"/>
      <c r="IFU94" s="248" t="n"/>
      <c r="IFV94" s="240" t="n"/>
      <c r="IFW94" s="240" t="n"/>
      <c r="IFY94" s="15" t="n"/>
      <c r="IFZ94" s="15" t="n"/>
      <c r="IGA94" s="248" t="n"/>
      <c r="IGB94" s="248" t="n"/>
      <c r="IGC94" s="240" t="n"/>
      <c r="IGD94" s="240" t="n"/>
      <c r="IGF94" s="15" t="n"/>
      <c r="IGG94" s="15" t="n"/>
      <c r="IGH94" s="248" t="n"/>
      <c r="IGI94" s="248" t="n"/>
      <c r="IGJ94" s="240" t="n"/>
      <c r="IGK94" s="240" t="n"/>
      <c r="IGM94" s="15" t="n"/>
      <c r="IGN94" s="15" t="n"/>
      <c r="IGO94" s="248" t="n"/>
      <c r="IGP94" s="248" t="n"/>
      <c r="IGQ94" s="240" t="n"/>
      <c r="IGR94" s="240" t="n"/>
      <c r="IGT94" s="15" t="n"/>
      <c r="IGU94" s="15" t="n"/>
      <c r="IGV94" s="248" t="n"/>
      <c r="IGW94" s="248" t="n"/>
      <c r="IGX94" s="240" t="n"/>
      <c r="IGY94" s="240" t="n"/>
      <c r="IHA94" s="15" t="n"/>
      <c r="IHB94" s="15" t="n"/>
      <c r="IHC94" s="248" t="n"/>
      <c r="IHD94" s="248" t="n"/>
      <c r="IHE94" s="240" t="n"/>
      <c r="IHF94" s="240" t="n"/>
      <c r="IHH94" s="15" t="n"/>
      <c r="IHI94" s="15" t="n"/>
      <c r="IHJ94" s="248" t="n"/>
      <c r="IHK94" s="248" t="n"/>
      <c r="IHL94" s="240" t="n"/>
      <c r="IHM94" s="240" t="n"/>
      <c r="IHO94" s="15" t="n"/>
      <c r="IHP94" s="15" t="n"/>
      <c r="IHQ94" s="248" t="n"/>
      <c r="IHR94" s="248" t="n"/>
      <c r="IHS94" s="240" t="n"/>
      <c r="IHT94" s="240" t="n"/>
      <c r="IHV94" s="15" t="n"/>
      <c r="IHW94" s="15" t="n"/>
      <c r="IHX94" s="248" t="n"/>
      <c r="IHY94" s="248" t="n"/>
      <c r="IHZ94" s="240" t="n"/>
      <c r="IIA94" s="240" t="n"/>
      <c r="IIC94" s="15" t="n"/>
      <c r="IID94" s="15" t="n"/>
      <c r="IIE94" s="248" t="n"/>
      <c r="IIF94" s="248" t="n"/>
      <c r="IIG94" s="240" t="n"/>
      <c r="IIH94" s="240" t="n"/>
      <c r="IIJ94" s="15" t="n"/>
      <c r="IIK94" s="15" t="n"/>
      <c r="IIL94" s="248" t="n"/>
      <c r="IIM94" s="248" t="n"/>
      <c r="IIN94" s="240" t="n"/>
      <c r="IIO94" s="240" t="n"/>
      <c r="IIQ94" s="15" t="n"/>
      <c r="IIR94" s="15" t="n"/>
      <c r="IIS94" s="248" t="n"/>
      <c r="IIT94" s="248" t="n"/>
      <c r="IIU94" s="240" t="n"/>
      <c r="IIV94" s="240" t="n"/>
      <c r="IIX94" s="15" t="n"/>
      <c r="IIY94" s="15" t="n"/>
      <c r="IIZ94" s="248" t="n"/>
      <c r="IJA94" s="248" t="n"/>
      <c r="IJB94" s="240" t="n"/>
      <c r="IJC94" s="240" t="n"/>
      <c r="IJE94" s="15" t="n"/>
      <c r="IJF94" s="15" t="n"/>
      <c r="IJG94" s="248" t="n"/>
      <c r="IJH94" s="248" t="n"/>
      <c r="IJI94" s="240" t="n"/>
      <c r="IJJ94" s="240" t="n"/>
      <c r="IJL94" s="15" t="n"/>
      <c r="IJM94" s="15" t="n"/>
      <c r="IJN94" s="248" t="n"/>
      <c r="IJO94" s="248" t="n"/>
      <c r="IJP94" s="240" t="n"/>
      <c r="IJQ94" s="240" t="n"/>
      <c r="IJS94" s="15" t="n"/>
      <c r="IJT94" s="15" t="n"/>
      <c r="IJU94" s="248" t="n"/>
      <c r="IJV94" s="248" t="n"/>
      <c r="IJW94" s="240" t="n"/>
      <c r="IJX94" s="240" t="n"/>
      <c r="IJZ94" s="15" t="n"/>
      <c r="IKA94" s="15" t="n"/>
      <c r="IKB94" s="248" t="n"/>
      <c r="IKC94" s="248" t="n"/>
      <c r="IKD94" s="240" t="n"/>
      <c r="IKE94" s="240" t="n"/>
      <c r="IKG94" s="15" t="n"/>
      <c r="IKH94" s="15" t="n"/>
      <c r="IKI94" s="248" t="n"/>
      <c r="IKJ94" s="248" t="n"/>
      <c r="IKK94" s="240" t="n"/>
      <c r="IKL94" s="240" t="n"/>
      <c r="IKN94" s="15" t="n"/>
      <c r="IKO94" s="15" t="n"/>
      <c r="IKP94" s="248" t="n"/>
      <c r="IKQ94" s="248" t="n"/>
      <c r="IKR94" s="240" t="n"/>
      <c r="IKS94" s="240" t="n"/>
      <c r="IKU94" s="15" t="n"/>
      <c r="IKV94" s="15" t="n"/>
      <c r="IKW94" s="248" t="n"/>
      <c r="IKX94" s="248" t="n"/>
      <c r="IKY94" s="240" t="n"/>
      <c r="IKZ94" s="240" t="n"/>
      <c r="ILB94" s="15" t="n"/>
      <c r="ILC94" s="15" t="n"/>
      <c r="ILD94" s="248" t="n"/>
      <c r="ILE94" s="248" t="n"/>
      <c r="ILF94" s="240" t="n"/>
      <c r="ILG94" s="240" t="n"/>
      <c r="ILI94" s="15" t="n"/>
      <c r="ILJ94" s="15" t="n"/>
      <c r="ILK94" s="248" t="n"/>
      <c r="ILL94" s="248" t="n"/>
      <c r="ILM94" s="240" t="n"/>
      <c r="ILN94" s="240" t="n"/>
      <c r="ILP94" s="15" t="n"/>
      <c r="ILQ94" s="15" t="n"/>
      <c r="ILR94" s="248" t="n"/>
      <c r="ILS94" s="248" t="n"/>
      <c r="ILT94" s="240" t="n"/>
      <c r="ILU94" s="240" t="n"/>
      <c r="ILW94" s="15" t="n"/>
      <c r="ILX94" s="15" t="n"/>
      <c r="ILY94" s="248" t="n"/>
      <c r="ILZ94" s="248" t="n"/>
      <c r="IMA94" s="240" t="n"/>
      <c r="IMB94" s="240" t="n"/>
      <c r="IMD94" s="15" t="n"/>
      <c r="IME94" s="15" t="n"/>
      <c r="IMF94" s="248" t="n"/>
      <c r="IMG94" s="248" t="n"/>
      <c r="IMH94" s="240" t="n"/>
      <c r="IMI94" s="240" t="n"/>
      <c r="IMK94" s="15" t="n"/>
      <c r="IML94" s="15" t="n"/>
      <c r="IMM94" s="248" t="n"/>
      <c r="IMN94" s="248" t="n"/>
      <c r="IMO94" s="240" t="n"/>
      <c r="IMP94" s="240" t="n"/>
      <c r="IMR94" s="15" t="n"/>
      <c r="IMS94" s="15" t="n"/>
      <c r="IMT94" s="248" t="n"/>
      <c r="IMU94" s="248" t="n"/>
      <c r="IMV94" s="240" t="n"/>
      <c r="IMW94" s="240" t="n"/>
      <c r="IMY94" s="15" t="n"/>
      <c r="IMZ94" s="15" t="n"/>
      <c r="INA94" s="248" t="n"/>
      <c r="INB94" s="248" t="n"/>
      <c r="INC94" s="240" t="n"/>
      <c r="IND94" s="240" t="n"/>
      <c r="INF94" s="15" t="n"/>
      <c r="ING94" s="15" t="n"/>
      <c r="INH94" s="248" t="n"/>
      <c r="INI94" s="248" t="n"/>
      <c r="INJ94" s="240" t="n"/>
      <c r="INK94" s="240" t="n"/>
      <c r="INM94" s="15" t="n"/>
      <c r="INN94" s="15" t="n"/>
      <c r="INO94" s="248" t="n"/>
      <c r="INP94" s="248" t="n"/>
      <c r="INQ94" s="240" t="n"/>
      <c r="INR94" s="240" t="n"/>
      <c r="INT94" s="15" t="n"/>
      <c r="INU94" s="15" t="n"/>
      <c r="INV94" s="248" t="n"/>
      <c r="INW94" s="248" t="n"/>
      <c r="INX94" s="240" t="n"/>
      <c r="INY94" s="240" t="n"/>
      <c r="IOA94" s="15" t="n"/>
      <c r="IOB94" s="15" t="n"/>
      <c r="IOC94" s="248" t="n"/>
      <c r="IOD94" s="248" t="n"/>
      <c r="IOE94" s="240" t="n"/>
      <c r="IOF94" s="240" t="n"/>
      <c r="IOH94" s="15" t="n"/>
      <c r="IOI94" s="15" t="n"/>
      <c r="IOJ94" s="248" t="n"/>
      <c r="IOK94" s="248" t="n"/>
      <c r="IOL94" s="240" t="n"/>
      <c r="IOM94" s="240" t="n"/>
      <c r="IOO94" s="15" t="n"/>
      <c r="IOP94" s="15" t="n"/>
      <c r="IOQ94" s="248" t="n"/>
      <c r="IOR94" s="248" t="n"/>
      <c r="IOS94" s="240" t="n"/>
      <c r="IOT94" s="240" t="n"/>
      <c r="IOV94" s="15" t="n"/>
      <c r="IOW94" s="15" t="n"/>
      <c r="IOX94" s="248" t="n"/>
      <c r="IOY94" s="248" t="n"/>
      <c r="IOZ94" s="240" t="n"/>
      <c r="IPA94" s="240" t="n"/>
      <c r="IPC94" s="15" t="n"/>
      <c r="IPD94" s="15" t="n"/>
      <c r="IPE94" s="248" t="n"/>
      <c r="IPF94" s="248" t="n"/>
      <c r="IPG94" s="240" t="n"/>
      <c r="IPH94" s="240" t="n"/>
      <c r="IPJ94" s="15" t="n"/>
      <c r="IPK94" s="15" t="n"/>
      <c r="IPL94" s="248" t="n"/>
      <c r="IPM94" s="248" t="n"/>
      <c r="IPN94" s="240" t="n"/>
      <c r="IPO94" s="240" t="n"/>
      <c r="IPQ94" s="15" t="n"/>
      <c r="IPR94" s="15" t="n"/>
      <c r="IPS94" s="248" t="n"/>
      <c r="IPT94" s="248" t="n"/>
      <c r="IPU94" s="240" t="n"/>
      <c r="IPV94" s="240" t="n"/>
      <c r="IPX94" s="15" t="n"/>
      <c r="IPY94" s="15" t="n"/>
      <c r="IPZ94" s="248" t="n"/>
      <c r="IQA94" s="248" t="n"/>
      <c r="IQB94" s="240" t="n"/>
      <c r="IQC94" s="240" t="n"/>
      <c r="IQE94" s="15" t="n"/>
      <c r="IQF94" s="15" t="n"/>
      <c r="IQG94" s="248" t="n"/>
      <c r="IQH94" s="248" t="n"/>
      <c r="IQI94" s="240" t="n"/>
      <c r="IQJ94" s="240" t="n"/>
      <c r="IQL94" s="15" t="n"/>
      <c r="IQM94" s="15" t="n"/>
      <c r="IQN94" s="248" t="n"/>
      <c r="IQO94" s="248" t="n"/>
      <c r="IQP94" s="240" t="n"/>
      <c r="IQQ94" s="240" t="n"/>
      <c r="IQS94" s="15" t="n"/>
      <c r="IQT94" s="15" t="n"/>
      <c r="IQU94" s="248" t="n"/>
      <c r="IQV94" s="248" t="n"/>
      <c r="IQW94" s="240" t="n"/>
      <c r="IQX94" s="240" t="n"/>
      <c r="IQZ94" s="15" t="n"/>
      <c r="IRA94" s="15" t="n"/>
      <c r="IRB94" s="248" t="n"/>
      <c r="IRC94" s="248" t="n"/>
      <c r="IRD94" s="240" t="n"/>
      <c r="IRE94" s="240" t="n"/>
      <c r="IRG94" s="15" t="n"/>
      <c r="IRH94" s="15" t="n"/>
      <c r="IRI94" s="248" t="n"/>
      <c r="IRJ94" s="248" t="n"/>
      <c r="IRK94" s="240" t="n"/>
      <c r="IRL94" s="240" t="n"/>
      <c r="IRN94" s="15" t="n"/>
      <c r="IRO94" s="15" t="n"/>
      <c r="IRP94" s="248" t="n"/>
      <c r="IRQ94" s="248" t="n"/>
      <c r="IRR94" s="240" t="n"/>
      <c r="IRS94" s="240" t="n"/>
      <c r="IRU94" s="15" t="n"/>
      <c r="IRV94" s="15" t="n"/>
      <c r="IRW94" s="248" t="n"/>
      <c r="IRX94" s="248" t="n"/>
      <c r="IRY94" s="240" t="n"/>
      <c r="IRZ94" s="240" t="n"/>
      <c r="ISB94" s="15" t="n"/>
      <c r="ISC94" s="15" t="n"/>
      <c r="ISD94" s="248" t="n"/>
      <c r="ISE94" s="248" t="n"/>
      <c r="ISF94" s="240" t="n"/>
      <c r="ISG94" s="240" t="n"/>
      <c r="ISI94" s="15" t="n"/>
      <c r="ISJ94" s="15" t="n"/>
      <c r="ISK94" s="248" t="n"/>
      <c r="ISL94" s="248" t="n"/>
      <c r="ISM94" s="240" t="n"/>
      <c r="ISN94" s="240" t="n"/>
      <c r="ISP94" s="15" t="n"/>
      <c r="ISQ94" s="15" t="n"/>
      <c r="ISR94" s="248" t="n"/>
      <c r="ISS94" s="248" t="n"/>
      <c r="IST94" s="240" t="n"/>
      <c r="ISU94" s="240" t="n"/>
      <c r="ISW94" s="15" t="n"/>
      <c r="ISX94" s="15" t="n"/>
      <c r="ISY94" s="248" t="n"/>
      <c r="ISZ94" s="248" t="n"/>
      <c r="ITA94" s="240" t="n"/>
      <c r="ITB94" s="240" t="n"/>
      <c r="ITD94" s="15" t="n"/>
      <c r="ITE94" s="15" t="n"/>
      <c r="ITF94" s="248" t="n"/>
      <c r="ITG94" s="248" t="n"/>
      <c r="ITH94" s="240" t="n"/>
      <c r="ITI94" s="240" t="n"/>
      <c r="ITK94" s="15" t="n"/>
      <c r="ITL94" s="15" t="n"/>
      <c r="ITM94" s="248" t="n"/>
      <c r="ITN94" s="248" t="n"/>
      <c r="ITO94" s="240" t="n"/>
      <c r="ITP94" s="240" t="n"/>
      <c r="ITR94" s="15" t="n"/>
      <c r="ITS94" s="15" t="n"/>
      <c r="ITT94" s="248" t="n"/>
      <c r="ITU94" s="248" t="n"/>
      <c r="ITV94" s="240" t="n"/>
      <c r="ITW94" s="240" t="n"/>
      <c r="ITY94" s="15" t="n"/>
      <c r="ITZ94" s="15" t="n"/>
      <c r="IUA94" s="248" t="n"/>
      <c r="IUB94" s="248" t="n"/>
      <c r="IUC94" s="240" t="n"/>
      <c r="IUD94" s="240" t="n"/>
      <c r="IUF94" s="15" t="n"/>
      <c r="IUG94" s="15" t="n"/>
      <c r="IUH94" s="248" t="n"/>
      <c r="IUI94" s="248" t="n"/>
      <c r="IUJ94" s="240" t="n"/>
      <c r="IUK94" s="240" t="n"/>
      <c r="IUM94" s="15" t="n"/>
      <c r="IUN94" s="15" t="n"/>
      <c r="IUO94" s="248" t="n"/>
      <c r="IUP94" s="248" t="n"/>
      <c r="IUQ94" s="240" t="n"/>
      <c r="IUR94" s="240" t="n"/>
      <c r="IUT94" s="15" t="n"/>
      <c r="IUU94" s="15" t="n"/>
      <c r="IUV94" s="248" t="n"/>
      <c r="IUW94" s="248" t="n"/>
      <c r="IUX94" s="240" t="n"/>
      <c r="IUY94" s="240" t="n"/>
      <c r="IVA94" s="15" t="n"/>
      <c r="IVB94" s="15" t="n"/>
      <c r="IVC94" s="248" t="n"/>
      <c r="IVD94" s="248" t="n"/>
      <c r="IVE94" s="240" t="n"/>
      <c r="IVF94" s="240" t="n"/>
      <c r="IVH94" s="15" t="n"/>
      <c r="IVI94" s="15" t="n"/>
      <c r="IVJ94" s="248" t="n"/>
      <c r="IVK94" s="248" t="n"/>
      <c r="IVL94" s="240" t="n"/>
      <c r="IVM94" s="240" t="n"/>
      <c r="IVO94" s="15" t="n"/>
      <c r="IVP94" s="15" t="n"/>
      <c r="IVQ94" s="248" t="n"/>
      <c r="IVR94" s="248" t="n"/>
      <c r="IVS94" s="240" t="n"/>
      <c r="IVT94" s="240" t="n"/>
      <c r="IVV94" s="15" t="n"/>
      <c r="IVW94" s="15" t="n"/>
      <c r="IVX94" s="248" t="n"/>
      <c r="IVY94" s="248" t="n"/>
      <c r="IVZ94" s="240" t="n"/>
      <c r="IWA94" s="240" t="n"/>
      <c r="IWC94" s="15" t="n"/>
      <c r="IWD94" s="15" t="n"/>
      <c r="IWE94" s="248" t="n"/>
      <c r="IWF94" s="248" t="n"/>
      <c r="IWG94" s="240" t="n"/>
      <c r="IWH94" s="240" t="n"/>
      <c r="IWJ94" s="15" t="n"/>
      <c r="IWK94" s="15" t="n"/>
      <c r="IWL94" s="248" t="n"/>
      <c r="IWM94" s="248" t="n"/>
      <c r="IWN94" s="240" t="n"/>
      <c r="IWO94" s="240" t="n"/>
      <c r="IWQ94" s="15" t="n"/>
      <c r="IWR94" s="15" t="n"/>
      <c r="IWS94" s="248" t="n"/>
      <c r="IWT94" s="248" t="n"/>
      <c r="IWU94" s="240" t="n"/>
      <c r="IWV94" s="240" t="n"/>
      <c r="IWX94" s="15" t="n"/>
      <c r="IWY94" s="15" t="n"/>
      <c r="IWZ94" s="248" t="n"/>
      <c r="IXA94" s="248" t="n"/>
      <c r="IXB94" s="240" t="n"/>
      <c r="IXC94" s="240" t="n"/>
      <c r="IXE94" s="15" t="n"/>
      <c r="IXF94" s="15" t="n"/>
      <c r="IXG94" s="248" t="n"/>
      <c r="IXH94" s="248" t="n"/>
      <c r="IXI94" s="240" t="n"/>
      <c r="IXJ94" s="240" t="n"/>
      <c r="IXL94" s="15" t="n"/>
      <c r="IXM94" s="15" t="n"/>
      <c r="IXN94" s="248" t="n"/>
      <c r="IXO94" s="248" t="n"/>
      <c r="IXP94" s="240" t="n"/>
      <c r="IXQ94" s="240" t="n"/>
      <c r="IXS94" s="15" t="n"/>
      <c r="IXT94" s="15" t="n"/>
      <c r="IXU94" s="248" t="n"/>
      <c r="IXV94" s="248" t="n"/>
      <c r="IXW94" s="240" t="n"/>
      <c r="IXX94" s="240" t="n"/>
      <c r="IXZ94" s="15" t="n"/>
      <c r="IYA94" s="15" t="n"/>
      <c r="IYB94" s="248" t="n"/>
      <c r="IYC94" s="248" t="n"/>
      <c r="IYD94" s="240" t="n"/>
      <c r="IYE94" s="240" t="n"/>
      <c r="IYG94" s="15" t="n"/>
      <c r="IYH94" s="15" t="n"/>
      <c r="IYI94" s="248" t="n"/>
      <c r="IYJ94" s="248" t="n"/>
      <c r="IYK94" s="240" t="n"/>
      <c r="IYL94" s="240" t="n"/>
      <c r="IYN94" s="15" t="n"/>
      <c r="IYO94" s="15" t="n"/>
      <c r="IYP94" s="248" t="n"/>
      <c r="IYQ94" s="248" t="n"/>
      <c r="IYR94" s="240" t="n"/>
      <c r="IYS94" s="240" t="n"/>
      <c r="IYU94" s="15" t="n"/>
      <c r="IYV94" s="15" t="n"/>
      <c r="IYW94" s="248" t="n"/>
      <c r="IYX94" s="248" t="n"/>
      <c r="IYY94" s="240" t="n"/>
      <c r="IYZ94" s="240" t="n"/>
      <c r="IZB94" s="15" t="n"/>
      <c r="IZC94" s="15" t="n"/>
      <c r="IZD94" s="248" t="n"/>
      <c r="IZE94" s="248" t="n"/>
      <c r="IZF94" s="240" t="n"/>
      <c r="IZG94" s="240" t="n"/>
      <c r="IZI94" s="15" t="n"/>
      <c r="IZJ94" s="15" t="n"/>
      <c r="IZK94" s="248" t="n"/>
      <c r="IZL94" s="248" t="n"/>
      <c r="IZM94" s="240" t="n"/>
      <c r="IZN94" s="240" t="n"/>
      <c r="IZP94" s="15" t="n"/>
      <c r="IZQ94" s="15" t="n"/>
      <c r="IZR94" s="248" t="n"/>
      <c r="IZS94" s="248" t="n"/>
      <c r="IZT94" s="240" t="n"/>
      <c r="IZU94" s="240" t="n"/>
      <c r="IZW94" s="15" t="n"/>
      <c r="IZX94" s="15" t="n"/>
      <c r="IZY94" s="248" t="n"/>
      <c r="IZZ94" s="248" t="n"/>
      <c r="JAA94" s="240" t="n"/>
      <c r="JAB94" s="240" t="n"/>
      <c r="JAD94" s="15" t="n"/>
      <c r="JAE94" s="15" t="n"/>
      <c r="JAF94" s="248" t="n"/>
      <c r="JAG94" s="248" t="n"/>
      <c r="JAH94" s="240" t="n"/>
      <c r="JAI94" s="240" t="n"/>
      <c r="JAK94" s="15" t="n"/>
      <c r="JAL94" s="15" t="n"/>
      <c r="JAM94" s="248" t="n"/>
      <c r="JAN94" s="248" t="n"/>
      <c r="JAO94" s="240" t="n"/>
      <c r="JAP94" s="240" t="n"/>
      <c r="JAR94" s="15" t="n"/>
      <c r="JAS94" s="15" t="n"/>
      <c r="JAT94" s="248" t="n"/>
      <c r="JAU94" s="248" t="n"/>
      <c r="JAV94" s="240" t="n"/>
      <c r="JAW94" s="240" t="n"/>
      <c r="JAY94" s="15" t="n"/>
      <c r="JAZ94" s="15" t="n"/>
      <c r="JBA94" s="248" t="n"/>
      <c r="JBB94" s="248" t="n"/>
      <c r="JBC94" s="240" t="n"/>
      <c r="JBD94" s="240" t="n"/>
      <c r="JBF94" s="15" t="n"/>
      <c r="JBG94" s="15" t="n"/>
      <c r="JBH94" s="248" t="n"/>
      <c r="JBI94" s="248" t="n"/>
      <c r="JBJ94" s="240" t="n"/>
      <c r="JBK94" s="240" t="n"/>
      <c r="JBM94" s="15" t="n"/>
      <c r="JBN94" s="15" t="n"/>
      <c r="JBO94" s="248" t="n"/>
      <c r="JBP94" s="248" t="n"/>
      <c r="JBQ94" s="240" t="n"/>
      <c r="JBR94" s="240" t="n"/>
      <c r="JBT94" s="15" t="n"/>
      <c r="JBU94" s="15" t="n"/>
      <c r="JBV94" s="248" t="n"/>
      <c r="JBW94" s="248" t="n"/>
      <c r="JBX94" s="240" t="n"/>
      <c r="JBY94" s="240" t="n"/>
      <c r="JCA94" s="15" t="n"/>
      <c r="JCB94" s="15" t="n"/>
      <c r="JCC94" s="248" t="n"/>
      <c r="JCD94" s="248" t="n"/>
      <c r="JCE94" s="240" t="n"/>
      <c r="JCF94" s="240" t="n"/>
      <c r="JCH94" s="15" t="n"/>
      <c r="JCI94" s="15" t="n"/>
      <c r="JCJ94" s="248" t="n"/>
      <c r="JCK94" s="248" t="n"/>
      <c r="JCL94" s="240" t="n"/>
      <c r="JCM94" s="240" t="n"/>
      <c r="JCO94" s="15" t="n"/>
      <c r="JCP94" s="15" t="n"/>
      <c r="JCQ94" s="248" t="n"/>
      <c r="JCR94" s="248" t="n"/>
      <c r="JCS94" s="240" t="n"/>
      <c r="JCT94" s="240" t="n"/>
      <c r="JCV94" s="15" t="n"/>
      <c r="JCW94" s="15" t="n"/>
      <c r="JCX94" s="248" t="n"/>
      <c r="JCY94" s="248" t="n"/>
      <c r="JCZ94" s="240" t="n"/>
      <c r="JDA94" s="240" t="n"/>
      <c r="JDC94" s="15" t="n"/>
      <c r="JDD94" s="15" t="n"/>
      <c r="JDE94" s="248" t="n"/>
      <c r="JDF94" s="248" t="n"/>
      <c r="JDG94" s="240" t="n"/>
      <c r="JDH94" s="240" t="n"/>
      <c r="JDJ94" s="15" t="n"/>
      <c r="JDK94" s="15" t="n"/>
      <c r="JDL94" s="248" t="n"/>
      <c r="JDM94" s="248" t="n"/>
      <c r="JDN94" s="240" t="n"/>
      <c r="JDO94" s="240" t="n"/>
      <c r="JDQ94" s="15" t="n"/>
      <c r="JDR94" s="15" t="n"/>
      <c r="JDS94" s="248" t="n"/>
      <c r="JDT94" s="248" t="n"/>
      <c r="JDU94" s="240" t="n"/>
      <c r="JDV94" s="240" t="n"/>
      <c r="JDX94" s="15" t="n"/>
      <c r="JDY94" s="15" t="n"/>
      <c r="JDZ94" s="248" t="n"/>
      <c r="JEA94" s="248" t="n"/>
      <c r="JEB94" s="240" t="n"/>
      <c r="JEC94" s="240" t="n"/>
      <c r="JEE94" s="15" t="n"/>
      <c r="JEF94" s="15" t="n"/>
      <c r="JEG94" s="248" t="n"/>
      <c r="JEH94" s="248" t="n"/>
      <c r="JEI94" s="240" t="n"/>
      <c r="JEJ94" s="240" t="n"/>
      <c r="JEL94" s="15" t="n"/>
      <c r="JEM94" s="15" t="n"/>
      <c r="JEN94" s="248" t="n"/>
      <c r="JEO94" s="248" t="n"/>
      <c r="JEP94" s="240" t="n"/>
      <c r="JEQ94" s="240" t="n"/>
      <c r="JES94" s="15" t="n"/>
      <c r="JET94" s="15" t="n"/>
      <c r="JEU94" s="248" t="n"/>
      <c r="JEV94" s="248" t="n"/>
      <c r="JEW94" s="240" t="n"/>
      <c r="JEX94" s="240" t="n"/>
      <c r="JEZ94" s="15" t="n"/>
      <c r="JFA94" s="15" t="n"/>
      <c r="JFB94" s="248" t="n"/>
      <c r="JFC94" s="248" t="n"/>
      <c r="JFD94" s="240" t="n"/>
      <c r="JFE94" s="240" t="n"/>
      <c r="JFG94" s="15" t="n"/>
      <c r="JFH94" s="15" t="n"/>
      <c r="JFI94" s="248" t="n"/>
      <c r="JFJ94" s="248" t="n"/>
      <c r="JFK94" s="240" t="n"/>
      <c r="JFL94" s="240" t="n"/>
      <c r="JFN94" s="15" t="n"/>
      <c r="JFO94" s="15" t="n"/>
      <c r="JFP94" s="248" t="n"/>
      <c r="JFQ94" s="248" t="n"/>
      <c r="JFR94" s="240" t="n"/>
      <c r="JFS94" s="240" t="n"/>
      <c r="JFU94" s="15" t="n"/>
      <c r="JFV94" s="15" t="n"/>
      <c r="JFW94" s="248" t="n"/>
      <c r="JFX94" s="248" t="n"/>
      <c r="JFY94" s="240" t="n"/>
      <c r="JFZ94" s="240" t="n"/>
      <c r="JGB94" s="15" t="n"/>
      <c r="JGC94" s="15" t="n"/>
      <c r="JGD94" s="248" t="n"/>
      <c r="JGE94" s="248" t="n"/>
      <c r="JGF94" s="240" t="n"/>
      <c r="JGG94" s="240" t="n"/>
      <c r="JGI94" s="15" t="n"/>
      <c r="JGJ94" s="15" t="n"/>
      <c r="JGK94" s="248" t="n"/>
      <c r="JGL94" s="248" t="n"/>
      <c r="JGM94" s="240" t="n"/>
      <c r="JGN94" s="240" t="n"/>
      <c r="JGP94" s="15" t="n"/>
      <c r="JGQ94" s="15" t="n"/>
      <c r="JGR94" s="248" t="n"/>
      <c r="JGS94" s="248" t="n"/>
      <c r="JGT94" s="240" t="n"/>
      <c r="JGU94" s="240" t="n"/>
      <c r="JGW94" s="15" t="n"/>
      <c r="JGX94" s="15" t="n"/>
      <c r="JGY94" s="248" t="n"/>
      <c r="JGZ94" s="248" t="n"/>
      <c r="JHA94" s="240" t="n"/>
      <c r="JHB94" s="240" t="n"/>
      <c r="JHD94" s="15" t="n"/>
      <c r="JHE94" s="15" t="n"/>
      <c r="JHF94" s="248" t="n"/>
      <c r="JHG94" s="248" t="n"/>
      <c r="JHH94" s="240" t="n"/>
      <c r="JHI94" s="240" t="n"/>
      <c r="JHK94" s="15" t="n"/>
      <c r="JHL94" s="15" t="n"/>
      <c r="JHM94" s="248" t="n"/>
      <c r="JHN94" s="248" t="n"/>
      <c r="JHO94" s="240" t="n"/>
      <c r="JHP94" s="240" t="n"/>
      <c r="JHR94" s="15" t="n"/>
      <c r="JHS94" s="15" t="n"/>
      <c r="JHT94" s="248" t="n"/>
      <c r="JHU94" s="248" t="n"/>
      <c r="JHV94" s="240" t="n"/>
      <c r="JHW94" s="240" t="n"/>
      <c r="JHY94" s="15" t="n"/>
      <c r="JHZ94" s="15" t="n"/>
      <c r="JIA94" s="248" t="n"/>
      <c r="JIB94" s="248" t="n"/>
      <c r="JIC94" s="240" t="n"/>
      <c r="JID94" s="240" t="n"/>
      <c r="JIF94" s="15" t="n"/>
      <c r="JIG94" s="15" t="n"/>
      <c r="JIH94" s="248" t="n"/>
      <c r="JII94" s="248" t="n"/>
      <c r="JIJ94" s="240" t="n"/>
      <c r="JIK94" s="240" t="n"/>
      <c r="JIM94" s="15" t="n"/>
      <c r="JIN94" s="15" t="n"/>
      <c r="JIO94" s="248" t="n"/>
      <c r="JIP94" s="248" t="n"/>
      <c r="JIQ94" s="240" t="n"/>
      <c r="JIR94" s="240" t="n"/>
      <c r="JIT94" s="15" t="n"/>
      <c r="JIU94" s="15" t="n"/>
      <c r="JIV94" s="248" t="n"/>
      <c r="JIW94" s="248" t="n"/>
      <c r="JIX94" s="240" t="n"/>
      <c r="JIY94" s="240" t="n"/>
      <c r="JJA94" s="15" t="n"/>
      <c r="JJB94" s="15" t="n"/>
      <c r="JJC94" s="248" t="n"/>
      <c r="JJD94" s="248" t="n"/>
      <c r="JJE94" s="240" t="n"/>
      <c r="JJF94" s="240" t="n"/>
      <c r="JJH94" s="15" t="n"/>
      <c r="JJI94" s="15" t="n"/>
      <c r="JJJ94" s="248" t="n"/>
      <c r="JJK94" s="248" t="n"/>
      <c r="JJL94" s="240" t="n"/>
      <c r="JJM94" s="240" t="n"/>
      <c r="JJO94" s="15" t="n"/>
      <c r="JJP94" s="15" t="n"/>
      <c r="JJQ94" s="248" t="n"/>
      <c r="JJR94" s="248" t="n"/>
      <c r="JJS94" s="240" t="n"/>
      <c r="JJT94" s="240" t="n"/>
      <c r="JJV94" s="15" t="n"/>
      <c r="JJW94" s="15" t="n"/>
      <c r="JJX94" s="248" t="n"/>
      <c r="JJY94" s="248" t="n"/>
      <c r="JJZ94" s="240" t="n"/>
      <c r="JKA94" s="240" t="n"/>
      <c r="JKC94" s="15" t="n"/>
      <c r="JKD94" s="15" t="n"/>
      <c r="JKE94" s="248" t="n"/>
      <c r="JKF94" s="248" t="n"/>
      <c r="JKG94" s="240" t="n"/>
      <c r="JKH94" s="240" t="n"/>
      <c r="JKJ94" s="15" t="n"/>
      <c r="JKK94" s="15" t="n"/>
      <c r="JKL94" s="248" t="n"/>
      <c r="JKM94" s="248" t="n"/>
      <c r="JKN94" s="240" t="n"/>
      <c r="JKO94" s="240" t="n"/>
      <c r="JKQ94" s="15" t="n"/>
      <c r="JKR94" s="15" t="n"/>
      <c r="JKS94" s="248" t="n"/>
      <c r="JKT94" s="248" t="n"/>
      <c r="JKU94" s="240" t="n"/>
      <c r="JKV94" s="240" t="n"/>
      <c r="JKX94" s="15" t="n"/>
      <c r="JKY94" s="15" t="n"/>
      <c r="JKZ94" s="248" t="n"/>
      <c r="JLA94" s="248" t="n"/>
      <c r="JLB94" s="240" t="n"/>
      <c r="JLC94" s="240" t="n"/>
      <c r="JLE94" s="15" t="n"/>
      <c r="JLF94" s="15" t="n"/>
      <c r="JLG94" s="248" t="n"/>
      <c r="JLH94" s="248" t="n"/>
      <c r="JLI94" s="240" t="n"/>
      <c r="JLJ94" s="240" t="n"/>
      <c r="JLL94" s="15" t="n"/>
      <c r="JLM94" s="15" t="n"/>
      <c r="JLN94" s="248" t="n"/>
      <c r="JLO94" s="248" t="n"/>
      <c r="JLP94" s="240" t="n"/>
      <c r="JLQ94" s="240" t="n"/>
      <c r="JLS94" s="15" t="n"/>
      <c r="JLT94" s="15" t="n"/>
      <c r="JLU94" s="248" t="n"/>
      <c r="JLV94" s="248" t="n"/>
      <c r="JLW94" s="240" t="n"/>
      <c r="JLX94" s="240" t="n"/>
      <c r="JLZ94" s="15" t="n"/>
      <c r="JMA94" s="15" t="n"/>
      <c r="JMB94" s="248" t="n"/>
      <c r="JMC94" s="248" t="n"/>
      <c r="JMD94" s="240" t="n"/>
      <c r="JME94" s="240" t="n"/>
      <c r="JMG94" s="15" t="n"/>
      <c r="JMH94" s="15" t="n"/>
      <c r="JMI94" s="248" t="n"/>
      <c r="JMJ94" s="248" t="n"/>
      <c r="JMK94" s="240" t="n"/>
      <c r="JML94" s="240" t="n"/>
      <c r="JMN94" s="15" t="n"/>
      <c r="JMO94" s="15" t="n"/>
      <c r="JMP94" s="248" t="n"/>
      <c r="JMQ94" s="248" t="n"/>
      <c r="JMR94" s="240" t="n"/>
      <c r="JMS94" s="240" t="n"/>
      <c r="JMU94" s="15" t="n"/>
      <c r="JMV94" s="15" t="n"/>
      <c r="JMW94" s="248" t="n"/>
      <c r="JMX94" s="248" t="n"/>
      <c r="JMY94" s="240" t="n"/>
      <c r="JMZ94" s="240" t="n"/>
      <c r="JNB94" s="15" t="n"/>
      <c r="JNC94" s="15" t="n"/>
      <c r="JND94" s="248" t="n"/>
      <c r="JNE94" s="248" t="n"/>
      <c r="JNF94" s="240" t="n"/>
      <c r="JNG94" s="240" t="n"/>
      <c r="JNI94" s="15" t="n"/>
      <c r="JNJ94" s="15" t="n"/>
      <c r="JNK94" s="248" t="n"/>
      <c r="JNL94" s="248" t="n"/>
      <c r="JNM94" s="240" t="n"/>
      <c r="JNN94" s="240" t="n"/>
      <c r="JNP94" s="15" t="n"/>
      <c r="JNQ94" s="15" t="n"/>
      <c r="JNR94" s="248" t="n"/>
      <c r="JNS94" s="248" t="n"/>
      <c r="JNT94" s="240" t="n"/>
      <c r="JNU94" s="240" t="n"/>
      <c r="JNW94" s="15" t="n"/>
      <c r="JNX94" s="15" t="n"/>
      <c r="JNY94" s="248" t="n"/>
      <c r="JNZ94" s="248" t="n"/>
      <c r="JOA94" s="240" t="n"/>
      <c r="JOB94" s="240" t="n"/>
      <c r="JOD94" s="15" t="n"/>
      <c r="JOE94" s="15" t="n"/>
      <c r="JOF94" s="248" t="n"/>
      <c r="JOG94" s="248" t="n"/>
      <c r="JOH94" s="240" t="n"/>
      <c r="JOI94" s="240" t="n"/>
      <c r="JOK94" s="15" t="n"/>
      <c r="JOL94" s="15" t="n"/>
      <c r="JOM94" s="248" t="n"/>
      <c r="JON94" s="248" t="n"/>
      <c r="JOO94" s="240" t="n"/>
      <c r="JOP94" s="240" t="n"/>
      <c r="JOR94" s="15" t="n"/>
      <c r="JOS94" s="15" t="n"/>
      <c r="JOT94" s="248" t="n"/>
      <c r="JOU94" s="248" t="n"/>
      <c r="JOV94" s="240" t="n"/>
      <c r="JOW94" s="240" t="n"/>
      <c r="JOY94" s="15" t="n"/>
      <c r="JOZ94" s="15" t="n"/>
      <c r="JPA94" s="248" t="n"/>
      <c r="JPB94" s="248" t="n"/>
      <c r="JPC94" s="240" t="n"/>
      <c r="JPD94" s="240" t="n"/>
      <c r="JPF94" s="15" t="n"/>
      <c r="JPG94" s="15" t="n"/>
      <c r="JPH94" s="248" t="n"/>
      <c r="JPI94" s="248" t="n"/>
      <c r="JPJ94" s="240" t="n"/>
      <c r="JPK94" s="240" t="n"/>
      <c r="JPM94" s="15" t="n"/>
      <c r="JPN94" s="15" t="n"/>
      <c r="JPO94" s="248" t="n"/>
      <c r="JPP94" s="248" t="n"/>
      <c r="JPQ94" s="240" t="n"/>
      <c r="JPR94" s="240" t="n"/>
      <c r="JPT94" s="15" t="n"/>
      <c r="JPU94" s="15" t="n"/>
      <c r="JPV94" s="248" t="n"/>
      <c r="JPW94" s="248" t="n"/>
      <c r="JPX94" s="240" t="n"/>
      <c r="JPY94" s="240" t="n"/>
      <c r="JQA94" s="15" t="n"/>
      <c r="JQB94" s="15" t="n"/>
      <c r="JQC94" s="248" t="n"/>
      <c r="JQD94" s="248" t="n"/>
      <c r="JQE94" s="240" t="n"/>
      <c r="JQF94" s="240" t="n"/>
      <c r="JQH94" s="15" t="n"/>
      <c r="JQI94" s="15" t="n"/>
      <c r="JQJ94" s="248" t="n"/>
      <c r="JQK94" s="248" t="n"/>
      <c r="JQL94" s="240" t="n"/>
      <c r="JQM94" s="240" t="n"/>
      <c r="JQO94" s="15" t="n"/>
      <c r="JQP94" s="15" t="n"/>
      <c r="JQQ94" s="248" t="n"/>
      <c r="JQR94" s="248" t="n"/>
      <c r="JQS94" s="240" t="n"/>
      <c r="JQT94" s="240" t="n"/>
      <c r="JQV94" s="15" t="n"/>
      <c r="JQW94" s="15" t="n"/>
      <c r="JQX94" s="248" t="n"/>
      <c r="JQY94" s="248" t="n"/>
      <c r="JQZ94" s="240" t="n"/>
      <c r="JRA94" s="240" t="n"/>
      <c r="JRC94" s="15" t="n"/>
      <c r="JRD94" s="15" t="n"/>
      <c r="JRE94" s="248" t="n"/>
      <c r="JRF94" s="248" t="n"/>
      <c r="JRG94" s="240" t="n"/>
      <c r="JRH94" s="240" t="n"/>
      <c r="JRJ94" s="15" t="n"/>
      <c r="JRK94" s="15" t="n"/>
      <c r="JRL94" s="248" t="n"/>
      <c r="JRM94" s="248" t="n"/>
      <c r="JRN94" s="240" t="n"/>
      <c r="JRO94" s="240" t="n"/>
      <c r="JRQ94" s="15" t="n"/>
      <c r="JRR94" s="15" t="n"/>
      <c r="JRS94" s="248" t="n"/>
      <c r="JRT94" s="248" t="n"/>
      <c r="JRU94" s="240" t="n"/>
      <c r="JRV94" s="240" t="n"/>
      <c r="JRX94" s="15" t="n"/>
      <c r="JRY94" s="15" t="n"/>
      <c r="JRZ94" s="248" t="n"/>
      <c r="JSA94" s="248" t="n"/>
      <c r="JSB94" s="240" t="n"/>
      <c r="JSC94" s="240" t="n"/>
      <c r="JSE94" s="15" t="n"/>
      <c r="JSF94" s="15" t="n"/>
      <c r="JSG94" s="248" t="n"/>
      <c r="JSH94" s="248" t="n"/>
      <c r="JSI94" s="240" t="n"/>
      <c r="JSJ94" s="240" t="n"/>
      <c r="JSL94" s="15" t="n"/>
      <c r="JSM94" s="15" t="n"/>
      <c r="JSN94" s="248" t="n"/>
      <c r="JSO94" s="248" t="n"/>
      <c r="JSP94" s="240" t="n"/>
      <c r="JSQ94" s="240" t="n"/>
      <c r="JSS94" s="15" t="n"/>
      <c r="JST94" s="15" t="n"/>
      <c r="JSU94" s="248" t="n"/>
      <c r="JSV94" s="248" t="n"/>
      <c r="JSW94" s="240" t="n"/>
      <c r="JSX94" s="240" t="n"/>
      <c r="JSZ94" s="15" t="n"/>
      <c r="JTA94" s="15" t="n"/>
      <c r="JTB94" s="248" t="n"/>
      <c r="JTC94" s="248" t="n"/>
      <c r="JTD94" s="240" t="n"/>
      <c r="JTE94" s="240" t="n"/>
      <c r="JTG94" s="15" t="n"/>
      <c r="JTH94" s="15" t="n"/>
      <c r="JTI94" s="248" t="n"/>
      <c r="JTJ94" s="248" t="n"/>
      <c r="JTK94" s="240" t="n"/>
      <c r="JTL94" s="240" t="n"/>
      <c r="JTN94" s="15" t="n"/>
      <c r="JTO94" s="15" t="n"/>
      <c r="JTP94" s="248" t="n"/>
      <c r="JTQ94" s="248" t="n"/>
      <c r="JTR94" s="240" t="n"/>
      <c r="JTS94" s="240" t="n"/>
      <c r="JTU94" s="15" t="n"/>
      <c r="JTV94" s="15" t="n"/>
      <c r="JTW94" s="248" t="n"/>
      <c r="JTX94" s="248" t="n"/>
      <c r="JTY94" s="240" t="n"/>
      <c r="JTZ94" s="240" t="n"/>
      <c r="JUB94" s="15" t="n"/>
      <c r="JUC94" s="15" t="n"/>
      <c r="JUD94" s="248" t="n"/>
      <c r="JUE94" s="248" t="n"/>
      <c r="JUF94" s="240" t="n"/>
      <c r="JUG94" s="240" t="n"/>
      <c r="JUI94" s="15" t="n"/>
      <c r="JUJ94" s="15" t="n"/>
      <c r="JUK94" s="248" t="n"/>
      <c r="JUL94" s="248" t="n"/>
      <c r="JUM94" s="240" t="n"/>
      <c r="JUN94" s="240" t="n"/>
      <c r="JUP94" s="15" t="n"/>
      <c r="JUQ94" s="15" t="n"/>
      <c r="JUR94" s="248" t="n"/>
      <c r="JUS94" s="248" t="n"/>
      <c r="JUT94" s="240" t="n"/>
      <c r="JUU94" s="240" t="n"/>
      <c r="JUW94" s="15" t="n"/>
      <c r="JUX94" s="15" t="n"/>
      <c r="JUY94" s="248" t="n"/>
      <c r="JUZ94" s="248" t="n"/>
      <c r="JVA94" s="240" t="n"/>
      <c r="JVB94" s="240" t="n"/>
      <c r="JVD94" s="15" t="n"/>
      <c r="JVE94" s="15" t="n"/>
      <c r="JVF94" s="248" t="n"/>
      <c r="JVG94" s="248" t="n"/>
      <c r="JVH94" s="240" t="n"/>
      <c r="JVI94" s="240" t="n"/>
      <c r="JVK94" s="15" t="n"/>
      <c r="JVL94" s="15" t="n"/>
      <c r="JVM94" s="248" t="n"/>
      <c r="JVN94" s="248" t="n"/>
      <c r="JVO94" s="240" t="n"/>
      <c r="JVP94" s="240" t="n"/>
      <c r="JVR94" s="15" t="n"/>
      <c r="JVS94" s="15" t="n"/>
      <c r="JVT94" s="248" t="n"/>
      <c r="JVU94" s="248" t="n"/>
      <c r="JVV94" s="240" t="n"/>
      <c r="JVW94" s="240" t="n"/>
      <c r="JVY94" s="15" t="n"/>
      <c r="JVZ94" s="15" t="n"/>
      <c r="JWA94" s="248" t="n"/>
      <c r="JWB94" s="248" t="n"/>
      <c r="JWC94" s="240" t="n"/>
      <c r="JWD94" s="240" t="n"/>
      <c r="JWF94" s="15" t="n"/>
      <c r="JWG94" s="15" t="n"/>
      <c r="JWH94" s="248" t="n"/>
      <c r="JWI94" s="248" t="n"/>
      <c r="JWJ94" s="240" t="n"/>
      <c r="JWK94" s="240" t="n"/>
      <c r="JWM94" s="15" t="n"/>
      <c r="JWN94" s="15" t="n"/>
      <c r="JWO94" s="248" t="n"/>
      <c r="JWP94" s="248" t="n"/>
      <c r="JWQ94" s="240" t="n"/>
      <c r="JWR94" s="240" t="n"/>
      <c r="JWT94" s="15" t="n"/>
      <c r="JWU94" s="15" t="n"/>
      <c r="JWV94" s="248" t="n"/>
      <c r="JWW94" s="248" t="n"/>
      <c r="JWX94" s="240" t="n"/>
      <c r="JWY94" s="240" t="n"/>
      <c r="JXA94" s="15" t="n"/>
      <c r="JXB94" s="15" t="n"/>
      <c r="JXC94" s="248" t="n"/>
      <c r="JXD94" s="248" t="n"/>
      <c r="JXE94" s="240" t="n"/>
      <c r="JXF94" s="240" t="n"/>
      <c r="JXH94" s="15" t="n"/>
      <c r="JXI94" s="15" t="n"/>
      <c r="JXJ94" s="248" t="n"/>
      <c r="JXK94" s="248" t="n"/>
      <c r="JXL94" s="240" t="n"/>
      <c r="JXM94" s="240" t="n"/>
      <c r="JXO94" s="15" t="n"/>
      <c r="JXP94" s="15" t="n"/>
      <c r="JXQ94" s="248" t="n"/>
      <c r="JXR94" s="248" t="n"/>
      <c r="JXS94" s="240" t="n"/>
      <c r="JXT94" s="240" t="n"/>
      <c r="JXV94" s="15" t="n"/>
      <c r="JXW94" s="15" t="n"/>
      <c r="JXX94" s="248" t="n"/>
      <c r="JXY94" s="248" t="n"/>
      <c r="JXZ94" s="240" t="n"/>
      <c r="JYA94" s="240" t="n"/>
      <c r="JYC94" s="15" t="n"/>
      <c r="JYD94" s="15" t="n"/>
      <c r="JYE94" s="248" t="n"/>
      <c r="JYF94" s="248" t="n"/>
      <c r="JYG94" s="240" t="n"/>
      <c r="JYH94" s="240" t="n"/>
      <c r="JYJ94" s="15" t="n"/>
      <c r="JYK94" s="15" t="n"/>
      <c r="JYL94" s="248" t="n"/>
      <c r="JYM94" s="248" t="n"/>
      <c r="JYN94" s="240" t="n"/>
      <c r="JYO94" s="240" t="n"/>
      <c r="JYQ94" s="15" t="n"/>
      <c r="JYR94" s="15" t="n"/>
      <c r="JYS94" s="248" t="n"/>
      <c r="JYT94" s="248" t="n"/>
      <c r="JYU94" s="240" t="n"/>
      <c r="JYV94" s="240" t="n"/>
      <c r="JYX94" s="15" t="n"/>
      <c r="JYY94" s="15" t="n"/>
      <c r="JYZ94" s="248" t="n"/>
      <c r="JZA94" s="248" t="n"/>
      <c r="JZB94" s="240" t="n"/>
      <c r="JZC94" s="240" t="n"/>
      <c r="JZE94" s="15" t="n"/>
      <c r="JZF94" s="15" t="n"/>
      <c r="JZG94" s="248" t="n"/>
      <c r="JZH94" s="248" t="n"/>
      <c r="JZI94" s="240" t="n"/>
      <c r="JZJ94" s="240" t="n"/>
      <c r="JZL94" s="15" t="n"/>
      <c r="JZM94" s="15" t="n"/>
      <c r="JZN94" s="248" t="n"/>
      <c r="JZO94" s="248" t="n"/>
      <c r="JZP94" s="240" t="n"/>
      <c r="JZQ94" s="240" t="n"/>
      <c r="JZS94" s="15" t="n"/>
      <c r="JZT94" s="15" t="n"/>
      <c r="JZU94" s="248" t="n"/>
      <c r="JZV94" s="248" t="n"/>
      <c r="JZW94" s="240" t="n"/>
      <c r="JZX94" s="240" t="n"/>
      <c r="JZZ94" s="15" t="n"/>
      <c r="KAA94" s="15" t="n"/>
      <c r="KAB94" s="248" t="n"/>
      <c r="KAC94" s="248" t="n"/>
      <c r="KAD94" s="240" t="n"/>
      <c r="KAE94" s="240" t="n"/>
      <c r="KAG94" s="15" t="n"/>
      <c r="KAH94" s="15" t="n"/>
      <c r="KAI94" s="248" t="n"/>
      <c r="KAJ94" s="248" t="n"/>
      <c r="KAK94" s="240" t="n"/>
      <c r="KAL94" s="240" t="n"/>
      <c r="KAN94" s="15" t="n"/>
      <c r="KAO94" s="15" t="n"/>
      <c r="KAP94" s="248" t="n"/>
      <c r="KAQ94" s="248" t="n"/>
      <c r="KAR94" s="240" t="n"/>
      <c r="KAS94" s="240" t="n"/>
      <c r="KAU94" s="15" t="n"/>
      <c r="KAV94" s="15" t="n"/>
      <c r="KAW94" s="248" t="n"/>
      <c r="KAX94" s="248" t="n"/>
      <c r="KAY94" s="240" t="n"/>
      <c r="KAZ94" s="240" t="n"/>
      <c r="KBB94" s="15" t="n"/>
      <c r="KBC94" s="15" t="n"/>
      <c r="KBD94" s="248" t="n"/>
      <c r="KBE94" s="248" t="n"/>
      <c r="KBF94" s="240" t="n"/>
      <c r="KBG94" s="240" t="n"/>
      <c r="KBI94" s="15" t="n"/>
      <c r="KBJ94" s="15" t="n"/>
      <c r="KBK94" s="248" t="n"/>
      <c r="KBL94" s="248" t="n"/>
      <c r="KBM94" s="240" t="n"/>
      <c r="KBN94" s="240" t="n"/>
      <c r="KBP94" s="15" t="n"/>
      <c r="KBQ94" s="15" t="n"/>
      <c r="KBR94" s="248" t="n"/>
      <c r="KBS94" s="248" t="n"/>
      <c r="KBT94" s="240" t="n"/>
      <c r="KBU94" s="240" t="n"/>
      <c r="KBW94" s="15" t="n"/>
      <c r="KBX94" s="15" t="n"/>
      <c r="KBY94" s="248" t="n"/>
      <c r="KBZ94" s="248" t="n"/>
      <c r="KCA94" s="240" t="n"/>
      <c r="KCB94" s="240" t="n"/>
      <c r="KCD94" s="15" t="n"/>
      <c r="KCE94" s="15" t="n"/>
      <c r="KCF94" s="248" t="n"/>
      <c r="KCG94" s="248" t="n"/>
      <c r="KCH94" s="240" t="n"/>
      <c r="KCI94" s="240" t="n"/>
      <c r="KCK94" s="15" t="n"/>
      <c r="KCL94" s="15" t="n"/>
      <c r="KCM94" s="248" t="n"/>
      <c r="KCN94" s="248" t="n"/>
      <c r="KCO94" s="240" t="n"/>
      <c r="KCP94" s="240" t="n"/>
      <c r="KCR94" s="15" t="n"/>
      <c r="KCS94" s="15" t="n"/>
      <c r="KCT94" s="248" t="n"/>
      <c r="KCU94" s="248" t="n"/>
      <c r="KCV94" s="240" t="n"/>
      <c r="KCW94" s="240" t="n"/>
      <c r="KCY94" s="15" t="n"/>
      <c r="KCZ94" s="15" t="n"/>
      <c r="KDA94" s="248" t="n"/>
      <c r="KDB94" s="248" t="n"/>
      <c r="KDC94" s="240" t="n"/>
      <c r="KDD94" s="240" t="n"/>
      <c r="KDF94" s="15" t="n"/>
      <c r="KDG94" s="15" t="n"/>
      <c r="KDH94" s="248" t="n"/>
      <c r="KDI94" s="248" t="n"/>
      <c r="KDJ94" s="240" t="n"/>
      <c r="KDK94" s="240" t="n"/>
      <c r="KDM94" s="15" t="n"/>
      <c r="KDN94" s="15" t="n"/>
      <c r="KDO94" s="248" t="n"/>
      <c r="KDP94" s="248" t="n"/>
      <c r="KDQ94" s="240" t="n"/>
      <c r="KDR94" s="240" t="n"/>
      <c r="KDT94" s="15" t="n"/>
      <c r="KDU94" s="15" t="n"/>
      <c r="KDV94" s="248" t="n"/>
      <c r="KDW94" s="248" t="n"/>
      <c r="KDX94" s="240" t="n"/>
      <c r="KDY94" s="240" t="n"/>
      <c r="KEA94" s="15" t="n"/>
      <c r="KEB94" s="15" t="n"/>
      <c r="KEC94" s="248" t="n"/>
      <c r="KED94" s="248" t="n"/>
      <c r="KEE94" s="240" t="n"/>
      <c r="KEF94" s="240" t="n"/>
      <c r="KEH94" s="15" t="n"/>
      <c r="KEI94" s="15" t="n"/>
      <c r="KEJ94" s="248" t="n"/>
      <c r="KEK94" s="248" t="n"/>
      <c r="KEL94" s="240" t="n"/>
      <c r="KEM94" s="240" t="n"/>
      <c r="KEO94" s="15" t="n"/>
      <c r="KEP94" s="15" t="n"/>
      <c r="KEQ94" s="248" t="n"/>
      <c r="KER94" s="248" t="n"/>
      <c r="KES94" s="240" t="n"/>
      <c r="KET94" s="240" t="n"/>
      <c r="KEV94" s="15" t="n"/>
      <c r="KEW94" s="15" t="n"/>
      <c r="KEX94" s="248" t="n"/>
      <c r="KEY94" s="248" t="n"/>
      <c r="KEZ94" s="240" t="n"/>
      <c r="KFA94" s="240" t="n"/>
      <c r="KFC94" s="15" t="n"/>
      <c r="KFD94" s="15" t="n"/>
      <c r="KFE94" s="248" t="n"/>
      <c r="KFF94" s="248" t="n"/>
      <c r="KFG94" s="240" t="n"/>
      <c r="KFH94" s="240" t="n"/>
      <c r="KFJ94" s="15" t="n"/>
      <c r="KFK94" s="15" t="n"/>
      <c r="KFL94" s="248" t="n"/>
      <c r="KFM94" s="248" t="n"/>
      <c r="KFN94" s="240" t="n"/>
      <c r="KFO94" s="240" t="n"/>
      <c r="KFQ94" s="15" t="n"/>
      <c r="KFR94" s="15" t="n"/>
      <c r="KFS94" s="248" t="n"/>
      <c r="KFT94" s="248" t="n"/>
      <c r="KFU94" s="240" t="n"/>
      <c r="KFV94" s="240" t="n"/>
      <c r="KFX94" s="15" t="n"/>
      <c r="KFY94" s="15" t="n"/>
      <c r="KFZ94" s="248" t="n"/>
      <c r="KGA94" s="248" t="n"/>
      <c r="KGB94" s="240" t="n"/>
      <c r="KGC94" s="240" t="n"/>
      <c r="KGE94" s="15" t="n"/>
      <c r="KGF94" s="15" t="n"/>
      <c r="KGG94" s="248" t="n"/>
      <c r="KGH94" s="248" t="n"/>
      <c r="KGI94" s="240" t="n"/>
      <c r="KGJ94" s="240" t="n"/>
      <c r="KGL94" s="15" t="n"/>
      <c r="KGM94" s="15" t="n"/>
      <c r="KGN94" s="248" t="n"/>
      <c r="KGO94" s="248" t="n"/>
      <c r="KGP94" s="240" t="n"/>
      <c r="KGQ94" s="240" t="n"/>
      <c r="KGS94" s="15" t="n"/>
      <c r="KGT94" s="15" t="n"/>
      <c r="KGU94" s="248" t="n"/>
      <c r="KGV94" s="248" t="n"/>
      <c r="KGW94" s="240" t="n"/>
      <c r="KGX94" s="240" t="n"/>
      <c r="KGZ94" s="15" t="n"/>
      <c r="KHA94" s="15" t="n"/>
      <c r="KHB94" s="248" t="n"/>
      <c r="KHC94" s="248" t="n"/>
      <c r="KHD94" s="240" t="n"/>
      <c r="KHE94" s="240" t="n"/>
      <c r="KHG94" s="15" t="n"/>
      <c r="KHH94" s="15" t="n"/>
      <c r="KHI94" s="248" t="n"/>
      <c r="KHJ94" s="248" t="n"/>
      <c r="KHK94" s="240" t="n"/>
      <c r="KHL94" s="240" t="n"/>
      <c r="KHN94" s="15" t="n"/>
      <c r="KHO94" s="15" t="n"/>
      <c r="KHP94" s="248" t="n"/>
      <c r="KHQ94" s="248" t="n"/>
      <c r="KHR94" s="240" t="n"/>
      <c r="KHS94" s="240" t="n"/>
      <c r="KHU94" s="15" t="n"/>
      <c r="KHV94" s="15" t="n"/>
      <c r="KHW94" s="248" t="n"/>
      <c r="KHX94" s="248" t="n"/>
      <c r="KHY94" s="240" t="n"/>
      <c r="KHZ94" s="240" t="n"/>
      <c r="KIB94" s="15" t="n"/>
      <c r="KIC94" s="15" t="n"/>
      <c r="KID94" s="248" t="n"/>
      <c r="KIE94" s="248" t="n"/>
      <c r="KIF94" s="240" t="n"/>
      <c r="KIG94" s="240" t="n"/>
      <c r="KII94" s="15" t="n"/>
      <c r="KIJ94" s="15" t="n"/>
      <c r="KIK94" s="248" t="n"/>
      <c r="KIL94" s="248" t="n"/>
      <c r="KIM94" s="240" t="n"/>
      <c r="KIN94" s="240" t="n"/>
      <c r="KIP94" s="15" t="n"/>
      <c r="KIQ94" s="15" t="n"/>
      <c r="KIR94" s="248" t="n"/>
      <c r="KIS94" s="248" t="n"/>
      <c r="KIT94" s="240" t="n"/>
      <c r="KIU94" s="240" t="n"/>
      <c r="KIW94" s="15" t="n"/>
      <c r="KIX94" s="15" t="n"/>
      <c r="KIY94" s="248" t="n"/>
      <c r="KIZ94" s="248" t="n"/>
      <c r="KJA94" s="240" t="n"/>
      <c r="KJB94" s="240" t="n"/>
      <c r="KJD94" s="15" t="n"/>
      <c r="KJE94" s="15" t="n"/>
      <c r="KJF94" s="248" t="n"/>
      <c r="KJG94" s="248" t="n"/>
      <c r="KJH94" s="240" t="n"/>
      <c r="KJI94" s="240" t="n"/>
      <c r="KJK94" s="15" t="n"/>
      <c r="KJL94" s="15" t="n"/>
      <c r="KJM94" s="248" t="n"/>
      <c r="KJN94" s="248" t="n"/>
      <c r="KJO94" s="240" t="n"/>
      <c r="KJP94" s="240" t="n"/>
      <c r="KJR94" s="15" t="n"/>
      <c r="KJS94" s="15" t="n"/>
      <c r="KJT94" s="248" t="n"/>
      <c r="KJU94" s="248" t="n"/>
      <c r="KJV94" s="240" t="n"/>
      <c r="KJW94" s="240" t="n"/>
      <c r="KJY94" s="15" t="n"/>
      <c r="KJZ94" s="15" t="n"/>
      <c r="KKA94" s="248" t="n"/>
      <c r="KKB94" s="248" t="n"/>
      <c r="KKC94" s="240" t="n"/>
      <c r="KKD94" s="240" t="n"/>
      <c r="KKF94" s="15" t="n"/>
      <c r="KKG94" s="15" t="n"/>
      <c r="KKH94" s="248" t="n"/>
      <c r="KKI94" s="248" t="n"/>
      <c r="KKJ94" s="240" t="n"/>
      <c r="KKK94" s="240" t="n"/>
      <c r="KKM94" s="15" t="n"/>
      <c r="KKN94" s="15" t="n"/>
      <c r="KKO94" s="248" t="n"/>
      <c r="KKP94" s="248" t="n"/>
      <c r="KKQ94" s="240" t="n"/>
      <c r="KKR94" s="240" t="n"/>
      <c r="KKT94" s="15" t="n"/>
      <c r="KKU94" s="15" t="n"/>
      <c r="KKV94" s="248" t="n"/>
      <c r="KKW94" s="248" t="n"/>
      <c r="KKX94" s="240" t="n"/>
      <c r="KKY94" s="240" t="n"/>
      <c r="KLA94" s="15" t="n"/>
      <c r="KLB94" s="15" t="n"/>
      <c r="KLC94" s="248" t="n"/>
      <c r="KLD94" s="248" t="n"/>
      <c r="KLE94" s="240" t="n"/>
      <c r="KLF94" s="240" t="n"/>
      <c r="KLH94" s="15" t="n"/>
      <c r="KLI94" s="15" t="n"/>
      <c r="KLJ94" s="248" t="n"/>
      <c r="KLK94" s="248" t="n"/>
      <c r="KLL94" s="240" t="n"/>
      <c r="KLM94" s="240" t="n"/>
      <c r="KLO94" s="15" t="n"/>
      <c r="KLP94" s="15" t="n"/>
      <c r="KLQ94" s="248" t="n"/>
      <c r="KLR94" s="248" t="n"/>
      <c r="KLS94" s="240" t="n"/>
      <c r="KLT94" s="240" t="n"/>
      <c r="KLV94" s="15" t="n"/>
      <c r="KLW94" s="15" t="n"/>
      <c r="KLX94" s="248" t="n"/>
      <c r="KLY94" s="248" t="n"/>
      <c r="KLZ94" s="240" t="n"/>
      <c r="KMA94" s="240" t="n"/>
      <c r="KMC94" s="15" t="n"/>
      <c r="KMD94" s="15" t="n"/>
      <c r="KME94" s="248" t="n"/>
      <c r="KMF94" s="248" t="n"/>
      <c r="KMG94" s="240" t="n"/>
      <c r="KMH94" s="240" t="n"/>
      <c r="KMJ94" s="15" t="n"/>
      <c r="KMK94" s="15" t="n"/>
      <c r="KML94" s="248" t="n"/>
      <c r="KMM94" s="248" t="n"/>
      <c r="KMN94" s="240" t="n"/>
      <c r="KMO94" s="240" t="n"/>
      <c r="KMQ94" s="15" t="n"/>
      <c r="KMR94" s="15" t="n"/>
      <c r="KMS94" s="248" t="n"/>
      <c r="KMT94" s="248" t="n"/>
      <c r="KMU94" s="240" t="n"/>
      <c r="KMV94" s="240" t="n"/>
      <c r="KMX94" s="15" t="n"/>
      <c r="KMY94" s="15" t="n"/>
      <c r="KMZ94" s="248" t="n"/>
      <c r="KNA94" s="248" t="n"/>
      <c r="KNB94" s="240" t="n"/>
      <c r="KNC94" s="240" t="n"/>
      <c r="KNE94" s="15" t="n"/>
      <c r="KNF94" s="15" t="n"/>
      <c r="KNG94" s="248" t="n"/>
      <c r="KNH94" s="248" t="n"/>
      <c r="KNI94" s="240" t="n"/>
      <c r="KNJ94" s="240" t="n"/>
      <c r="KNL94" s="15" t="n"/>
      <c r="KNM94" s="15" t="n"/>
      <c r="KNN94" s="248" t="n"/>
      <c r="KNO94" s="248" t="n"/>
      <c r="KNP94" s="240" t="n"/>
      <c r="KNQ94" s="240" t="n"/>
      <c r="KNS94" s="15" t="n"/>
      <c r="KNT94" s="15" t="n"/>
      <c r="KNU94" s="248" t="n"/>
      <c r="KNV94" s="248" t="n"/>
      <c r="KNW94" s="240" t="n"/>
      <c r="KNX94" s="240" t="n"/>
      <c r="KNZ94" s="15" t="n"/>
      <c r="KOA94" s="15" t="n"/>
      <c r="KOB94" s="248" t="n"/>
      <c r="KOC94" s="248" t="n"/>
      <c r="KOD94" s="240" t="n"/>
      <c r="KOE94" s="240" t="n"/>
      <c r="KOG94" s="15" t="n"/>
      <c r="KOH94" s="15" t="n"/>
      <c r="KOI94" s="248" t="n"/>
      <c r="KOJ94" s="248" t="n"/>
      <c r="KOK94" s="240" t="n"/>
      <c r="KOL94" s="240" t="n"/>
      <c r="KON94" s="15" t="n"/>
      <c r="KOO94" s="15" t="n"/>
      <c r="KOP94" s="248" t="n"/>
      <c r="KOQ94" s="248" t="n"/>
      <c r="KOR94" s="240" t="n"/>
      <c r="KOS94" s="240" t="n"/>
      <c r="KOU94" s="15" t="n"/>
      <c r="KOV94" s="15" t="n"/>
      <c r="KOW94" s="248" t="n"/>
      <c r="KOX94" s="248" t="n"/>
      <c r="KOY94" s="240" t="n"/>
      <c r="KOZ94" s="240" t="n"/>
      <c r="KPB94" s="15" t="n"/>
      <c r="KPC94" s="15" t="n"/>
      <c r="KPD94" s="248" t="n"/>
      <c r="KPE94" s="248" t="n"/>
      <c r="KPF94" s="240" t="n"/>
      <c r="KPG94" s="240" t="n"/>
      <c r="KPI94" s="15" t="n"/>
      <c r="KPJ94" s="15" t="n"/>
      <c r="KPK94" s="248" t="n"/>
      <c r="KPL94" s="248" t="n"/>
      <c r="KPM94" s="240" t="n"/>
      <c r="KPN94" s="240" t="n"/>
      <c r="KPP94" s="15" t="n"/>
      <c r="KPQ94" s="15" t="n"/>
      <c r="KPR94" s="248" t="n"/>
      <c r="KPS94" s="248" t="n"/>
      <c r="KPT94" s="240" t="n"/>
      <c r="KPU94" s="240" t="n"/>
      <c r="KPW94" s="15" t="n"/>
      <c r="KPX94" s="15" t="n"/>
      <c r="KPY94" s="248" t="n"/>
      <c r="KPZ94" s="248" t="n"/>
      <c r="KQA94" s="240" t="n"/>
      <c r="KQB94" s="240" t="n"/>
      <c r="KQD94" s="15" t="n"/>
      <c r="KQE94" s="15" t="n"/>
      <c r="KQF94" s="248" t="n"/>
      <c r="KQG94" s="248" t="n"/>
      <c r="KQH94" s="240" t="n"/>
      <c r="KQI94" s="240" t="n"/>
      <c r="KQK94" s="15" t="n"/>
      <c r="KQL94" s="15" t="n"/>
      <c r="KQM94" s="248" t="n"/>
      <c r="KQN94" s="248" t="n"/>
      <c r="KQO94" s="240" t="n"/>
      <c r="KQP94" s="240" t="n"/>
      <c r="KQR94" s="15" t="n"/>
      <c r="KQS94" s="15" t="n"/>
      <c r="KQT94" s="248" t="n"/>
      <c r="KQU94" s="248" t="n"/>
      <c r="KQV94" s="240" t="n"/>
      <c r="KQW94" s="240" t="n"/>
      <c r="KQY94" s="15" t="n"/>
      <c r="KQZ94" s="15" t="n"/>
      <c r="KRA94" s="248" t="n"/>
      <c r="KRB94" s="248" t="n"/>
      <c r="KRC94" s="240" t="n"/>
      <c r="KRD94" s="240" t="n"/>
      <c r="KRF94" s="15" t="n"/>
      <c r="KRG94" s="15" t="n"/>
      <c r="KRH94" s="248" t="n"/>
      <c r="KRI94" s="248" t="n"/>
      <c r="KRJ94" s="240" t="n"/>
      <c r="KRK94" s="240" t="n"/>
      <c r="KRM94" s="15" t="n"/>
      <c r="KRN94" s="15" t="n"/>
      <c r="KRO94" s="248" t="n"/>
      <c r="KRP94" s="248" t="n"/>
      <c r="KRQ94" s="240" t="n"/>
      <c r="KRR94" s="240" t="n"/>
      <c r="KRT94" s="15" t="n"/>
      <c r="KRU94" s="15" t="n"/>
      <c r="KRV94" s="248" t="n"/>
      <c r="KRW94" s="248" t="n"/>
      <c r="KRX94" s="240" t="n"/>
      <c r="KRY94" s="240" t="n"/>
      <c r="KSA94" s="15" t="n"/>
      <c r="KSB94" s="15" t="n"/>
      <c r="KSC94" s="248" t="n"/>
      <c r="KSD94" s="248" t="n"/>
      <c r="KSE94" s="240" t="n"/>
      <c r="KSF94" s="240" t="n"/>
      <c r="KSH94" s="15" t="n"/>
      <c r="KSI94" s="15" t="n"/>
      <c r="KSJ94" s="248" t="n"/>
      <c r="KSK94" s="248" t="n"/>
      <c r="KSL94" s="240" t="n"/>
      <c r="KSM94" s="240" t="n"/>
      <c r="KSO94" s="15" t="n"/>
      <c r="KSP94" s="15" t="n"/>
      <c r="KSQ94" s="248" t="n"/>
      <c r="KSR94" s="248" t="n"/>
      <c r="KSS94" s="240" t="n"/>
      <c r="KST94" s="240" t="n"/>
      <c r="KSV94" s="15" t="n"/>
      <c r="KSW94" s="15" t="n"/>
      <c r="KSX94" s="248" t="n"/>
      <c r="KSY94" s="248" t="n"/>
      <c r="KSZ94" s="240" t="n"/>
      <c r="KTA94" s="240" t="n"/>
      <c r="KTC94" s="15" t="n"/>
      <c r="KTD94" s="15" t="n"/>
      <c r="KTE94" s="248" t="n"/>
      <c r="KTF94" s="248" t="n"/>
      <c r="KTG94" s="240" t="n"/>
      <c r="KTH94" s="240" t="n"/>
      <c r="KTJ94" s="15" t="n"/>
      <c r="KTK94" s="15" t="n"/>
      <c r="KTL94" s="248" t="n"/>
      <c r="KTM94" s="248" t="n"/>
      <c r="KTN94" s="240" t="n"/>
      <c r="KTO94" s="240" t="n"/>
      <c r="KTQ94" s="15" t="n"/>
      <c r="KTR94" s="15" t="n"/>
      <c r="KTS94" s="248" t="n"/>
      <c r="KTT94" s="248" t="n"/>
      <c r="KTU94" s="240" t="n"/>
      <c r="KTV94" s="240" t="n"/>
      <c r="KTX94" s="15" t="n"/>
      <c r="KTY94" s="15" t="n"/>
      <c r="KTZ94" s="248" t="n"/>
      <c r="KUA94" s="248" t="n"/>
      <c r="KUB94" s="240" t="n"/>
      <c r="KUC94" s="240" t="n"/>
      <c r="KUE94" s="15" t="n"/>
      <c r="KUF94" s="15" t="n"/>
      <c r="KUG94" s="248" t="n"/>
      <c r="KUH94" s="248" t="n"/>
      <c r="KUI94" s="240" t="n"/>
      <c r="KUJ94" s="240" t="n"/>
      <c r="KUL94" s="15" t="n"/>
      <c r="KUM94" s="15" t="n"/>
      <c r="KUN94" s="248" t="n"/>
      <c r="KUO94" s="248" t="n"/>
      <c r="KUP94" s="240" t="n"/>
      <c r="KUQ94" s="240" t="n"/>
      <c r="KUS94" s="15" t="n"/>
      <c r="KUT94" s="15" t="n"/>
      <c r="KUU94" s="248" t="n"/>
      <c r="KUV94" s="248" t="n"/>
      <c r="KUW94" s="240" t="n"/>
      <c r="KUX94" s="240" t="n"/>
      <c r="KUZ94" s="15" t="n"/>
      <c r="KVA94" s="15" t="n"/>
      <c r="KVB94" s="248" t="n"/>
      <c r="KVC94" s="248" t="n"/>
      <c r="KVD94" s="240" t="n"/>
      <c r="KVE94" s="240" t="n"/>
      <c r="KVG94" s="15" t="n"/>
      <c r="KVH94" s="15" t="n"/>
      <c r="KVI94" s="248" t="n"/>
      <c r="KVJ94" s="248" t="n"/>
      <c r="KVK94" s="240" t="n"/>
      <c r="KVL94" s="240" t="n"/>
      <c r="KVN94" s="15" t="n"/>
      <c r="KVO94" s="15" t="n"/>
      <c r="KVP94" s="248" t="n"/>
      <c r="KVQ94" s="248" t="n"/>
      <c r="KVR94" s="240" t="n"/>
      <c r="KVS94" s="240" t="n"/>
      <c r="KVU94" s="15" t="n"/>
      <c r="KVV94" s="15" t="n"/>
      <c r="KVW94" s="248" t="n"/>
      <c r="KVX94" s="248" t="n"/>
      <c r="KVY94" s="240" t="n"/>
      <c r="KVZ94" s="240" t="n"/>
      <c r="KWB94" s="15" t="n"/>
      <c r="KWC94" s="15" t="n"/>
      <c r="KWD94" s="248" t="n"/>
      <c r="KWE94" s="248" t="n"/>
      <c r="KWF94" s="240" t="n"/>
      <c r="KWG94" s="240" t="n"/>
      <c r="KWI94" s="15" t="n"/>
      <c r="KWJ94" s="15" t="n"/>
      <c r="KWK94" s="248" t="n"/>
      <c r="KWL94" s="248" t="n"/>
      <c r="KWM94" s="240" t="n"/>
      <c r="KWN94" s="240" t="n"/>
      <c r="KWP94" s="15" t="n"/>
      <c r="KWQ94" s="15" t="n"/>
      <c r="KWR94" s="248" t="n"/>
      <c r="KWS94" s="248" t="n"/>
      <c r="KWT94" s="240" t="n"/>
      <c r="KWU94" s="240" t="n"/>
      <c r="KWW94" s="15" t="n"/>
      <c r="KWX94" s="15" t="n"/>
      <c r="KWY94" s="248" t="n"/>
      <c r="KWZ94" s="248" t="n"/>
      <c r="KXA94" s="240" t="n"/>
      <c r="KXB94" s="240" t="n"/>
      <c r="KXD94" s="15" t="n"/>
      <c r="KXE94" s="15" t="n"/>
      <c r="KXF94" s="248" t="n"/>
      <c r="KXG94" s="248" t="n"/>
      <c r="KXH94" s="240" t="n"/>
      <c r="KXI94" s="240" t="n"/>
      <c r="KXK94" s="15" t="n"/>
      <c r="KXL94" s="15" t="n"/>
      <c r="KXM94" s="248" t="n"/>
      <c r="KXN94" s="248" t="n"/>
      <c r="KXO94" s="240" t="n"/>
      <c r="KXP94" s="240" t="n"/>
      <c r="KXR94" s="15" t="n"/>
      <c r="KXS94" s="15" t="n"/>
      <c r="KXT94" s="248" t="n"/>
      <c r="KXU94" s="248" t="n"/>
      <c r="KXV94" s="240" t="n"/>
      <c r="KXW94" s="240" t="n"/>
      <c r="KXY94" s="15" t="n"/>
      <c r="KXZ94" s="15" t="n"/>
      <c r="KYA94" s="248" t="n"/>
      <c r="KYB94" s="248" t="n"/>
      <c r="KYC94" s="240" t="n"/>
      <c r="KYD94" s="240" t="n"/>
      <c r="KYF94" s="15" t="n"/>
      <c r="KYG94" s="15" t="n"/>
      <c r="KYH94" s="248" t="n"/>
      <c r="KYI94" s="248" t="n"/>
      <c r="KYJ94" s="240" t="n"/>
      <c r="KYK94" s="240" t="n"/>
      <c r="KYM94" s="15" t="n"/>
      <c r="KYN94" s="15" t="n"/>
      <c r="KYO94" s="248" t="n"/>
      <c r="KYP94" s="248" t="n"/>
      <c r="KYQ94" s="240" t="n"/>
      <c r="KYR94" s="240" t="n"/>
      <c r="KYT94" s="15" t="n"/>
      <c r="KYU94" s="15" t="n"/>
      <c r="KYV94" s="248" t="n"/>
      <c r="KYW94" s="248" t="n"/>
      <c r="KYX94" s="240" t="n"/>
      <c r="KYY94" s="240" t="n"/>
      <c r="KZA94" s="15" t="n"/>
      <c r="KZB94" s="15" t="n"/>
      <c r="KZC94" s="248" t="n"/>
      <c r="KZD94" s="248" t="n"/>
      <c r="KZE94" s="240" t="n"/>
      <c r="KZF94" s="240" t="n"/>
      <c r="KZH94" s="15" t="n"/>
      <c r="KZI94" s="15" t="n"/>
      <c r="KZJ94" s="248" t="n"/>
      <c r="KZK94" s="248" t="n"/>
      <c r="KZL94" s="240" t="n"/>
      <c r="KZM94" s="240" t="n"/>
      <c r="KZO94" s="15" t="n"/>
      <c r="KZP94" s="15" t="n"/>
      <c r="KZQ94" s="248" t="n"/>
      <c r="KZR94" s="248" t="n"/>
      <c r="KZS94" s="240" t="n"/>
      <c r="KZT94" s="240" t="n"/>
      <c r="KZV94" s="15" t="n"/>
      <c r="KZW94" s="15" t="n"/>
      <c r="KZX94" s="248" t="n"/>
      <c r="KZY94" s="248" t="n"/>
      <c r="KZZ94" s="240" t="n"/>
      <c r="LAA94" s="240" t="n"/>
      <c r="LAC94" s="15" t="n"/>
      <c r="LAD94" s="15" t="n"/>
      <c r="LAE94" s="248" t="n"/>
      <c r="LAF94" s="248" t="n"/>
      <c r="LAG94" s="240" t="n"/>
      <c r="LAH94" s="240" t="n"/>
      <c r="LAJ94" s="15" t="n"/>
      <c r="LAK94" s="15" t="n"/>
      <c r="LAL94" s="248" t="n"/>
      <c r="LAM94" s="248" t="n"/>
      <c r="LAN94" s="240" t="n"/>
      <c r="LAO94" s="240" t="n"/>
      <c r="LAQ94" s="15" t="n"/>
      <c r="LAR94" s="15" t="n"/>
      <c r="LAS94" s="248" t="n"/>
      <c r="LAT94" s="248" t="n"/>
      <c r="LAU94" s="240" t="n"/>
      <c r="LAV94" s="240" t="n"/>
      <c r="LAX94" s="15" t="n"/>
      <c r="LAY94" s="15" t="n"/>
      <c r="LAZ94" s="248" t="n"/>
      <c r="LBA94" s="248" t="n"/>
      <c r="LBB94" s="240" t="n"/>
      <c r="LBC94" s="240" t="n"/>
      <c r="LBE94" s="15" t="n"/>
      <c r="LBF94" s="15" t="n"/>
      <c r="LBG94" s="248" t="n"/>
      <c r="LBH94" s="248" t="n"/>
      <c r="LBI94" s="240" t="n"/>
      <c r="LBJ94" s="240" t="n"/>
      <c r="LBL94" s="15" t="n"/>
      <c r="LBM94" s="15" t="n"/>
      <c r="LBN94" s="248" t="n"/>
      <c r="LBO94" s="248" t="n"/>
      <c r="LBP94" s="240" t="n"/>
      <c r="LBQ94" s="240" t="n"/>
      <c r="LBS94" s="15" t="n"/>
      <c r="LBT94" s="15" t="n"/>
      <c r="LBU94" s="248" t="n"/>
      <c r="LBV94" s="248" t="n"/>
      <c r="LBW94" s="240" t="n"/>
      <c r="LBX94" s="240" t="n"/>
      <c r="LBZ94" s="15" t="n"/>
      <c r="LCA94" s="15" t="n"/>
      <c r="LCB94" s="248" t="n"/>
      <c r="LCC94" s="248" t="n"/>
      <c r="LCD94" s="240" t="n"/>
      <c r="LCE94" s="240" t="n"/>
      <c r="LCG94" s="15" t="n"/>
      <c r="LCH94" s="15" t="n"/>
      <c r="LCI94" s="248" t="n"/>
      <c r="LCJ94" s="248" t="n"/>
      <c r="LCK94" s="240" t="n"/>
      <c r="LCL94" s="240" t="n"/>
      <c r="LCN94" s="15" t="n"/>
      <c r="LCO94" s="15" t="n"/>
      <c r="LCP94" s="248" t="n"/>
      <c r="LCQ94" s="248" t="n"/>
      <c r="LCR94" s="240" t="n"/>
      <c r="LCS94" s="240" t="n"/>
      <c r="LCU94" s="15" t="n"/>
      <c r="LCV94" s="15" t="n"/>
      <c r="LCW94" s="248" t="n"/>
      <c r="LCX94" s="248" t="n"/>
      <c r="LCY94" s="240" t="n"/>
      <c r="LCZ94" s="240" t="n"/>
      <c r="LDB94" s="15" t="n"/>
      <c r="LDC94" s="15" t="n"/>
      <c r="LDD94" s="248" t="n"/>
      <c r="LDE94" s="248" t="n"/>
      <c r="LDF94" s="240" t="n"/>
      <c r="LDG94" s="240" t="n"/>
      <c r="LDI94" s="15" t="n"/>
      <c r="LDJ94" s="15" t="n"/>
      <c r="LDK94" s="248" t="n"/>
      <c r="LDL94" s="248" t="n"/>
      <c r="LDM94" s="240" t="n"/>
      <c r="LDN94" s="240" t="n"/>
      <c r="LDP94" s="15" t="n"/>
      <c r="LDQ94" s="15" t="n"/>
      <c r="LDR94" s="248" t="n"/>
      <c r="LDS94" s="248" t="n"/>
      <c r="LDT94" s="240" t="n"/>
      <c r="LDU94" s="240" t="n"/>
      <c r="LDW94" s="15" t="n"/>
      <c r="LDX94" s="15" t="n"/>
      <c r="LDY94" s="248" t="n"/>
      <c r="LDZ94" s="248" t="n"/>
      <c r="LEA94" s="240" t="n"/>
      <c r="LEB94" s="240" t="n"/>
      <c r="LED94" s="15" t="n"/>
      <c r="LEE94" s="15" t="n"/>
      <c r="LEF94" s="248" t="n"/>
      <c r="LEG94" s="248" t="n"/>
      <c r="LEH94" s="240" t="n"/>
      <c r="LEI94" s="240" t="n"/>
      <c r="LEK94" s="15" t="n"/>
      <c r="LEL94" s="15" t="n"/>
      <c r="LEM94" s="248" t="n"/>
      <c r="LEN94" s="248" t="n"/>
      <c r="LEO94" s="240" t="n"/>
      <c r="LEP94" s="240" t="n"/>
      <c r="LER94" s="15" t="n"/>
      <c r="LES94" s="15" t="n"/>
      <c r="LET94" s="248" t="n"/>
      <c r="LEU94" s="248" t="n"/>
      <c r="LEV94" s="240" t="n"/>
      <c r="LEW94" s="240" t="n"/>
      <c r="LEY94" s="15" t="n"/>
      <c r="LEZ94" s="15" t="n"/>
      <c r="LFA94" s="248" t="n"/>
      <c r="LFB94" s="248" t="n"/>
      <c r="LFC94" s="240" t="n"/>
      <c r="LFD94" s="240" t="n"/>
      <c r="LFF94" s="15" t="n"/>
      <c r="LFG94" s="15" t="n"/>
      <c r="LFH94" s="248" t="n"/>
      <c r="LFI94" s="248" t="n"/>
      <c r="LFJ94" s="240" t="n"/>
      <c r="LFK94" s="240" t="n"/>
      <c r="LFM94" s="15" t="n"/>
      <c r="LFN94" s="15" t="n"/>
      <c r="LFO94" s="248" t="n"/>
      <c r="LFP94" s="248" t="n"/>
      <c r="LFQ94" s="240" t="n"/>
      <c r="LFR94" s="240" t="n"/>
      <c r="LFT94" s="15" t="n"/>
      <c r="LFU94" s="15" t="n"/>
      <c r="LFV94" s="248" t="n"/>
      <c r="LFW94" s="248" t="n"/>
      <c r="LFX94" s="240" t="n"/>
      <c r="LFY94" s="240" t="n"/>
      <c r="LGA94" s="15" t="n"/>
      <c r="LGB94" s="15" t="n"/>
      <c r="LGC94" s="248" t="n"/>
      <c r="LGD94" s="248" t="n"/>
      <c r="LGE94" s="240" t="n"/>
      <c r="LGF94" s="240" t="n"/>
      <c r="LGH94" s="15" t="n"/>
      <c r="LGI94" s="15" t="n"/>
      <c r="LGJ94" s="248" t="n"/>
      <c r="LGK94" s="248" t="n"/>
      <c r="LGL94" s="240" t="n"/>
      <c r="LGM94" s="240" t="n"/>
      <c r="LGO94" s="15" t="n"/>
      <c r="LGP94" s="15" t="n"/>
      <c r="LGQ94" s="248" t="n"/>
      <c r="LGR94" s="248" t="n"/>
      <c r="LGS94" s="240" t="n"/>
      <c r="LGT94" s="240" t="n"/>
      <c r="LGV94" s="15" t="n"/>
      <c r="LGW94" s="15" t="n"/>
      <c r="LGX94" s="248" t="n"/>
      <c r="LGY94" s="248" t="n"/>
      <c r="LGZ94" s="240" t="n"/>
      <c r="LHA94" s="240" t="n"/>
      <c r="LHC94" s="15" t="n"/>
      <c r="LHD94" s="15" t="n"/>
      <c r="LHE94" s="248" t="n"/>
      <c r="LHF94" s="248" t="n"/>
      <c r="LHG94" s="240" t="n"/>
      <c r="LHH94" s="240" t="n"/>
      <c r="LHJ94" s="15" t="n"/>
      <c r="LHK94" s="15" t="n"/>
      <c r="LHL94" s="248" t="n"/>
      <c r="LHM94" s="248" t="n"/>
      <c r="LHN94" s="240" t="n"/>
      <c r="LHO94" s="240" t="n"/>
      <c r="LHQ94" s="15" t="n"/>
      <c r="LHR94" s="15" t="n"/>
      <c r="LHS94" s="248" t="n"/>
      <c r="LHT94" s="248" t="n"/>
      <c r="LHU94" s="240" t="n"/>
      <c r="LHV94" s="240" t="n"/>
      <c r="LHX94" s="15" t="n"/>
      <c r="LHY94" s="15" t="n"/>
      <c r="LHZ94" s="248" t="n"/>
      <c r="LIA94" s="248" t="n"/>
      <c r="LIB94" s="240" t="n"/>
      <c r="LIC94" s="240" t="n"/>
      <c r="LIE94" s="15" t="n"/>
      <c r="LIF94" s="15" t="n"/>
      <c r="LIG94" s="248" t="n"/>
      <c r="LIH94" s="248" t="n"/>
      <c r="LII94" s="240" t="n"/>
      <c r="LIJ94" s="240" t="n"/>
      <c r="LIL94" s="15" t="n"/>
      <c r="LIM94" s="15" t="n"/>
      <c r="LIN94" s="248" t="n"/>
      <c r="LIO94" s="248" t="n"/>
      <c r="LIP94" s="240" t="n"/>
      <c r="LIQ94" s="240" t="n"/>
      <c r="LIS94" s="15" t="n"/>
      <c r="LIT94" s="15" t="n"/>
      <c r="LIU94" s="248" t="n"/>
      <c r="LIV94" s="248" t="n"/>
      <c r="LIW94" s="240" t="n"/>
      <c r="LIX94" s="240" t="n"/>
      <c r="LIZ94" s="15" t="n"/>
      <c r="LJA94" s="15" t="n"/>
      <c r="LJB94" s="248" t="n"/>
      <c r="LJC94" s="248" t="n"/>
      <c r="LJD94" s="240" t="n"/>
      <c r="LJE94" s="240" t="n"/>
      <c r="LJG94" s="15" t="n"/>
      <c r="LJH94" s="15" t="n"/>
      <c r="LJI94" s="248" t="n"/>
      <c r="LJJ94" s="248" t="n"/>
      <c r="LJK94" s="240" t="n"/>
      <c r="LJL94" s="240" t="n"/>
      <c r="LJN94" s="15" t="n"/>
      <c r="LJO94" s="15" t="n"/>
      <c r="LJP94" s="248" t="n"/>
      <c r="LJQ94" s="248" t="n"/>
      <c r="LJR94" s="240" t="n"/>
      <c r="LJS94" s="240" t="n"/>
      <c r="LJU94" s="15" t="n"/>
      <c r="LJV94" s="15" t="n"/>
      <c r="LJW94" s="248" t="n"/>
      <c r="LJX94" s="248" t="n"/>
      <c r="LJY94" s="240" t="n"/>
      <c r="LJZ94" s="240" t="n"/>
      <c r="LKB94" s="15" t="n"/>
      <c r="LKC94" s="15" t="n"/>
      <c r="LKD94" s="248" t="n"/>
      <c r="LKE94" s="248" t="n"/>
      <c r="LKF94" s="240" t="n"/>
      <c r="LKG94" s="240" t="n"/>
      <c r="LKI94" s="15" t="n"/>
      <c r="LKJ94" s="15" t="n"/>
      <c r="LKK94" s="248" t="n"/>
      <c r="LKL94" s="248" t="n"/>
      <c r="LKM94" s="240" t="n"/>
      <c r="LKN94" s="240" t="n"/>
      <c r="LKP94" s="15" t="n"/>
      <c r="LKQ94" s="15" t="n"/>
      <c r="LKR94" s="248" t="n"/>
      <c r="LKS94" s="248" t="n"/>
      <c r="LKT94" s="240" t="n"/>
      <c r="LKU94" s="240" t="n"/>
      <c r="LKW94" s="15" t="n"/>
      <c r="LKX94" s="15" t="n"/>
      <c r="LKY94" s="248" t="n"/>
      <c r="LKZ94" s="248" t="n"/>
      <c r="LLA94" s="240" t="n"/>
      <c r="LLB94" s="240" t="n"/>
      <c r="LLD94" s="15" t="n"/>
      <c r="LLE94" s="15" t="n"/>
      <c r="LLF94" s="248" t="n"/>
      <c r="LLG94" s="248" t="n"/>
      <c r="LLH94" s="240" t="n"/>
      <c r="LLI94" s="240" t="n"/>
      <c r="LLK94" s="15" t="n"/>
      <c r="LLL94" s="15" t="n"/>
      <c r="LLM94" s="248" t="n"/>
      <c r="LLN94" s="248" t="n"/>
      <c r="LLO94" s="240" t="n"/>
      <c r="LLP94" s="240" t="n"/>
      <c r="LLR94" s="15" t="n"/>
      <c r="LLS94" s="15" t="n"/>
      <c r="LLT94" s="248" t="n"/>
      <c r="LLU94" s="248" t="n"/>
      <c r="LLV94" s="240" t="n"/>
      <c r="LLW94" s="240" t="n"/>
      <c r="LLY94" s="15" t="n"/>
      <c r="LLZ94" s="15" t="n"/>
      <c r="LMA94" s="248" t="n"/>
      <c r="LMB94" s="248" t="n"/>
      <c r="LMC94" s="240" t="n"/>
      <c r="LMD94" s="240" t="n"/>
      <c r="LMF94" s="15" t="n"/>
      <c r="LMG94" s="15" t="n"/>
      <c r="LMH94" s="248" t="n"/>
      <c r="LMI94" s="248" t="n"/>
      <c r="LMJ94" s="240" t="n"/>
      <c r="LMK94" s="240" t="n"/>
      <c r="LMM94" s="15" t="n"/>
      <c r="LMN94" s="15" t="n"/>
      <c r="LMO94" s="248" t="n"/>
      <c r="LMP94" s="248" t="n"/>
      <c r="LMQ94" s="240" t="n"/>
      <c r="LMR94" s="240" t="n"/>
      <c r="LMT94" s="15" t="n"/>
      <c r="LMU94" s="15" t="n"/>
      <c r="LMV94" s="248" t="n"/>
      <c r="LMW94" s="248" t="n"/>
      <c r="LMX94" s="240" t="n"/>
      <c r="LMY94" s="240" t="n"/>
      <c r="LNA94" s="15" t="n"/>
      <c r="LNB94" s="15" t="n"/>
      <c r="LNC94" s="248" t="n"/>
      <c r="LND94" s="248" t="n"/>
      <c r="LNE94" s="240" t="n"/>
      <c r="LNF94" s="240" t="n"/>
      <c r="LNH94" s="15" t="n"/>
      <c r="LNI94" s="15" t="n"/>
      <c r="LNJ94" s="248" t="n"/>
      <c r="LNK94" s="248" t="n"/>
      <c r="LNL94" s="240" t="n"/>
      <c r="LNM94" s="240" t="n"/>
      <c r="LNO94" s="15" t="n"/>
      <c r="LNP94" s="15" t="n"/>
      <c r="LNQ94" s="248" t="n"/>
      <c r="LNR94" s="248" t="n"/>
      <c r="LNS94" s="240" t="n"/>
      <c r="LNT94" s="240" t="n"/>
      <c r="LNV94" s="15" t="n"/>
      <c r="LNW94" s="15" t="n"/>
      <c r="LNX94" s="248" t="n"/>
      <c r="LNY94" s="248" t="n"/>
      <c r="LNZ94" s="240" t="n"/>
      <c r="LOA94" s="240" t="n"/>
      <c r="LOC94" s="15" t="n"/>
      <c r="LOD94" s="15" t="n"/>
      <c r="LOE94" s="248" t="n"/>
      <c r="LOF94" s="248" t="n"/>
      <c r="LOG94" s="240" t="n"/>
      <c r="LOH94" s="240" t="n"/>
      <c r="LOJ94" s="15" t="n"/>
      <c r="LOK94" s="15" t="n"/>
      <c r="LOL94" s="248" t="n"/>
      <c r="LOM94" s="248" t="n"/>
      <c r="LON94" s="240" t="n"/>
      <c r="LOO94" s="240" t="n"/>
      <c r="LOQ94" s="15" t="n"/>
      <c r="LOR94" s="15" t="n"/>
      <c r="LOS94" s="248" t="n"/>
      <c r="LOT94" s="248" t="n"/>
      <c r="LOU94" s="240" t="n"/>
      <c r="LOV94" s="240" t="n"/>
      <c r="LOX94" s="15" t="n"/>
      <c r="LOY94" s="15" t="n"/>
      <c r="LOZ94" s="248" t="n"/>
      <c r="LPA94" s="248" t="n"/>
      <c r="LPB94" s="240" t="n"/>
      <c r="LPC94" s="240" t="n"/>
      <c r="LPE94" s="15" t="n"/>
      <c r="LPF94" s="15" t="n"/>
      <c r="LPG94" s="248" t="n"/>
      <c r="LPH94" s="248" t="n"/>
      <c r="LPI94" s="240" t="n"/>
      <c r="LPJ94" s="240" t="n"/>
      <c r="LPL94" s="15" t="n"/>
      <c r="LPM94" s="15" t="n"/>
      <c r="LPN94" s="248" t="n"/>
      <c r="LPO94" s="248" t="n"/>
      <c r="LPP94" s="240" t="n"/>
      <c r="LPQ94" s="240" t="n"/>
      <c r="LPS94" s="15" t="n"/>
      <c r="LPT94" s="15" t="n"/>
      <c r="LPU94" s="248" t="n"/>
      <c r="LPV94" s="248" t="n"/>
      <c r="LPW94" s="240" t="n"/>
      <c r="LPX94" s="240" t="n"/>
      <c r="LPZ94" s="15" t="n"/>
      <c r="LQA94" s="15" t="n"/>
      <c r="LQB94" s="248" t="n"/>
      <c r="LQC94" s="248" t="n"/>
      <c r="LQD94" s="240" t="n"/>
      <c r="LQE94" s="240" t="n"/>
      <c r="LQG94" s="15" t="n"/>
      <c r="LQH94" s="15" t="n"/>
      <c r="LQI94" s="248" t="n"/>
      <c r="LQJ94" s="248" t="n"/>
      <c r="LQK94" s="240" t="n"/>
      <c r="LQL94" s="240" t="n"/>
      <c r="LQN94" s="15" t="n"/>
      <c r="LQO94" s="15" t="n"/>
      <c r="LQP94" s="248" t="n"/>
      <c r="LQQ94" s="248" t="n"/>
      <c r="LQR94" s="240" t="n"/>
      <c r="LQS94" s="240" t="n"/>
      <c r="LQU94" s="15" t="n"/>
      <c r="LQV94" s="15" t="n"/>
      <c r="LQW94" s="248" t="n"/>
      <c r="LQX94" s="248" t="n"/>
      <c r="LQY94" s="240" t="n"/>
      <c r="LQZ94" s="240" t="n"/>
      <c r="LRB94" s="15" t="n"/>
      <c r="LRC94" s="15" t="n"/>
      <c r="LRD94" s="248" t="n"/>
      <c r="LRE94" s="248" t="n"/>
      <c r="LRF94" s="240" t="n"/>
      <c r="LRG94" s="240" t="n"/>
      <c r="LRI94" s="15" t="n"/>
      <c r="LRJ94" s="15" t="n"/>
      <c r="LRK94" s="248" t="n"/>
      <c r="LRL94" s="248" t="n"/>
      <c r="LRM94" s="240" t="n"/>
      <c r="LRN94" s="240" t="n"/>
      <c r="LRP94" s="15" t="n"/>
      <c r="LRQ94" s="15" t="n"/>
      <c r="LRR94" s="248" t="n"/>
      <c r="LRS94" s="248" t="n"/>
      <c r="LRT94" s="240" t="n"/>
      <c r="LRU94" s="240" t="n"/>
      <c r="LRW94" s="15" t="n"/>
      <c r="LRX94" s="15" t="n"/>
      <c r="LRY94" s="248" t="n"/>
      <c r="LRZ94" s="248" t="n"/>
      <c r="LSA94" s="240" t="n"/>
      <c r="LSB94" s="240" t="n"/>
      <c r="LSD94" s="15" t="n"/>
      <c r="LSE94" s="15" t="n"/>
      <c r="LSF94" s="248" t="n"/>
      <c r="LSG94" s="248" t="n"/>
      <c r="LSH94" s="240" t="n"/>
      <c r="LSI94" s="240" t="n"/>
      <c r="LSK94" s="15" t="n"/>
      <c r="LSL94" s="15" t="n"/>
      <c r="LSM94" s="248" t="n"/>
      <c r="LSN94" s="248" t="n"/>
      <c r="LSO94" s="240" t="n"/>
      <c r="LSP94" s="240" t="n"/>
      <c r="LSR94" s="15" t="n"/>
      <c r="LSS94" s="15" t="n"/>
      <c r="LST94" s="248" t="n"/>
      <c r="LSU94" s="248" t="n"/>
      <c r="LSV94" s="240" t="n"/>
      <c r="LSW94" s="240" t="n"/>
      <c r="LSY94" s="15" t="n"/>
      <c r="LSZ94" s="15" t="n"/>
      <c r="LTA94" s="248" t="n"/>
      <c r="LTB94" s="248" t="n"/>
      <c r="LTC94" s="240" t="n"/>
      <c r="LTD94" s="240" t="n"/>
      <c r="LTF94" s="15" t="n"/>
      <c r="LTG94" s="15" t="n"/>
      <c r="LTH94" s="248" t="n"/>
      <c r="LTI94" s="248" t="n"/>
      <c r="LTJ94" s="240" t="n"/>
      <c r="LTK94" s="240" t="n"/>
      <c r="LTM94" s="15" t="n"/>
      <c r="LTN94" s="15" t="n"/>
      <c r="LTO94" s="248" t="n"/>
      <c r="LTP94" s="248" t="n"/>
      <c r="LTQ94" s="240" t="n"/>
      <c r="LTR94" s="240" t="n"/>
      <c r="LTT94" s="15" t="n"/>
      <c r="LTU94" s="15" t="n"/>
      <c r="LTV94" s="248" t="n"/>
      <c r="LTW94" s="248" t="n"/>
      <c r="LTX94" s="240" t="n"/>
      <c r="LTY94" s="240" t="n"/>
      <c r="LUA94" s="15" t="n"/>
      <c r="LUB94" s="15" t="n"/>
      <c r="LUC94" s="248" t="n"/>
      <c r="LUD94" s="248" t="n"/>
      <c r="LUE94" s="240" t="n"/>
      <c r="LUF94" s="240" t="n"/>
      <c r="LUH94" s="15" t="n"/>
      <c r="LUI94" s="15" t="n"/>
      <c r="LUJ94" s="248" t="n"/>
      <c r="LUK94" s="248" t="n"/>
      <c r="LUL94" s="240" t="n"/>
      <c r="LUM94" s="240" t="n"/>
      <c r="LUO94" s="15" t="n"/>
      <c r="LUP94" s="15" t="n"/>
      <c r="LUQ94" s="248" t="n"/>
      <c r="LUR94" s="248" t="n"/>
      <c r="LUS94" s="240" t="n"/>
      <c r="LUT94" s="240" t="n"/>
      <c r="LUV94" s="15" t="n"/>
      <c r="LUW94" s="15" t="n"/>
      <c r="LUX94" s="248" t="n"/>
      <c r="LUY94" s="248" t="n"/>
      <c r="LUZ94" s="240" t="n"/>
      <c r="LVA94" s="240" t="n"/>
      <c r="LVC94" s="15" t="n"/>
      <c r="LVD94" s="15" t="n"/>
      <c r="LVE94" s="248" t="n"/>
      <c r="LVF94" s="248" t="n"/>
      <c r="LVG94" s="240" t="n"/>
      <c r="LVH94" s="240" t="n"/>
      <c r="LVJ94" s="15" t="n"/>
      <c r="LVK94" s="15" t="n"/>
      <c r="LVL94" s="248" t="n"/>
      <c r="LVM94" s="248" t="n"/>
      <c r="LVN94" s="240" t="n"/>
      <c r="LVO94" s="240" t="n"/>
      <c r="LVQ94" s="15" t="n"/>
      <c r="LVR94" s="15" t="n"/>
      <c r="LVS94" s="248" t="n"/>
      <c r="LVT94" s="248" t="n"/>
      <c r="LVU94" s="240" t="n"/>
      <c r="LVV94" s="240" t="n"/>
      <c r="LVX94" s="15" t="n"/>
      <c r="LVY94" s="15" t="n"/>
      <c r="LVZ94" s="248" t="n"/>
      <c r="LWA94" s="248" t="n"/>
      <c r="LWB94" s="240" t="n"/>
      <c r="LWC94" s="240" t="n"/>
      <c r="LWE94" s="15" t="n"/>
      <c r="LWF94" s="15" t="n"/>
      <c r="LWG94" s="248" t="n"/>
      <c r="LWH94" s="248" t="n"/>
      <c r="LWI94" s="240" t="n"/>
      <c r="LWJ94" s="240" t="n"/>
      <c r="LWL94" s="15" t="n"/>
      <c r="LWM94" s="15" t="n"/>
      <c r="LWN94" s="248" t="n"/>
      <c r="LWO94" s="248" t="n"/>
      <c r="LWP94" s="240" t="n"/>
      <c r="LWQ94" s="240" t="n"/>
      <c r="LWS94" s="15" t="n"/>
      <c r="LWT94" s="15" t="n"/>
      <c r="LWU94" s="248" t="n"/>
      <c r="LWV94" s="248" t="n"/>
      <c r="LWW94" s="240" t="n"/>
      <c r="LWX94" s="240" t="n"/>
      <c r="LWZ94" s="15" t="n"/>
      <c r="LXA94" s="15" t="n"/>
      <c r="LXB94" s="248" t="n"/>
      <c r="LXC94" s="248" t="n"/>
      <c r="LXD94" s="240" t="n"/>
      <c r="LXE94" s="240" t="n"/>
      <c r="LXG94" s="15" t="n"/>
      <c r="LXH94" s="15" t="n"/>
      <c r="LXI94" s="248" t="n"/>
      <c r="LXJ94" s="248" t="n"/>
      <c r="LXK94" s="240" t="n"/>
      <c r="LXL94" s="240" t="n"/>
      <c r="LXN94" s="15" t="n"/>
      <c r="LXO94" s="15" t="n"/>
      <c r="LXP94" s="248" t="n"/>
      <c r="LXQ94" s="248" t="n"/>
      <c r="LXR94" s="240" t="n"/>
      <c r="LXS94" s="240" t="n"/>
      <c r="LXU94" s="15" t="n"/>
      <c r="LXV94" s="15" t="n"/>
      <c r="LXW94" s="248" t="n"/>
      <c r="LXX94" s="248" t="n"/>
      <c r="LXY94" s="240" t="n"/>
      <c r="LXZ94" s="240" t="n"/>
      <c r="LYB94" s="15" t="n"/>
      <c r="LYC94" s="15" t="n"/>
      <c r="LYD94" s="248" t="n"/>
      <c r="LYE94" s="248" t="n"/>
      <c r="LYF94" s="240" t="n"/>
      <c r="LYG94" s="240" t="n"/>
      <c r="LYI94" s="15" t="n"/>
      <c r="LYJ94" s="15" t="n"/>
      <c r="LYK94" s="248" t="n"/>
      <c r="LYL94" s="248" t="n"/>
      <c r="LYM94" s="240" t="n"/>
      <c r="LYN94" s="240" t="n"/>
      <c r="LYP94" s="15" t="n"/>
      <c r="LYQ94" s="15" t="n"/>
      <c r="LYR94" s="248" t="n"/>
      <c r="LYS94" s="248" t="n"/>
      <c r="LYT94" s="240" t="n"/>
      <c r="LYU94" s="240" t="n"/>
      <c r="LYW94" s="15" t="n"/>
      <c r="LYX94" s="15" t="n"/>
      <c r="LYY94" s="248" t="n"/>
      <c r="LYZ94" s="248" t="n"/>
      <c r="LZA94" s="240" t="n"/>
      <c r="LZB94" s="240" t="n"/>
      <c r="LZD94" s="15" t="n"/>
      <c r="LZE94" s="15" t="n"/>
      <c r="LZF94" s="248" t="n"/>
      <c r="LZG94" s="248" t="n"/>
      <c r="LZH94" s="240" t="n"/>
      <c r="LZI94" s="240" t="n"/>
      <c r="LZK94" s="15" t="n"/>
      <c r="LZL94" s="15" t="n"/>
      <c r="LZM94" s="248" t="n"/>
      <c r="LZN94" s="248" t="n"/>
      <c r="LZO94" s="240" t="n"/>
      <c r="LZP94" s="240" t="n"/>
      <c r="LZR94" s="15" t="n"/>
      <c r="LZS94" s="15" t="n"/>
      <c r="LZT94" s="248" t="n"/>
      <c r="LZU94" s="248" t="n"/>
      <c r="LZV94" s="240" t="n"/>
      <c r="LZW94" s="240" t="n"/>
      <c r="LZY94" s="15" t="n"/>
      <c r="LZZ94" s="15" t="n"/>
      <c r="MAA94" s="248" t="n"/>
      <c r="MAB94" s="248" t="n"/>
      <c r="MAC94" s="240" t="n"/>
      <c r="MAD94" s="240" t="n"/>
      <c r="MAF94" s="15" t="n"/>
      <c r="MAG94" s="15" t="n"/>
      <c r="MAH94" s="248" t="n"/>
      <c r="MAI94" s="248" t="n"/>
      <c r="MAJ94" s="240" t="n"/>
      <c r="MAK94" s="240" t="n"/>
      <c r="MAM94" s="15" t="n"/>
      <c r="MAN94" s="15" t="n"/>
      <c r="MAO94" s="248" t="n"/>
      <c r="MAP94" s="248" t="n"/>
      <c r="MAQ94" s="240" t="n"/>
      <c r="MAR94" s="240" t="n"/>
      <c r="MAT94" s="15" t="n"/>
      <c r="MAU94" s="15" t="n"/>
      <c r="MAV94" s="248" t="n"/>
      <c r="MAW94" s="248" t="n"/>
      <c r="MAX94" s="240" t="n"/>
      <c r="MAY94" s="240" t="n"/>
      <c r="MBA94" s="15" t="n"/>
      <c r="MBB94" s="15" t="n"/>
      <c r="MBC94" s="248" t="n"/>
      <c r="MBD94" s="248" t="n"/>
      <c r="MBE94" s="240" t="n"/>
      <c r="MBF94" s="240" t="n"/>
      <c r="MBH94" s="15" t="n"/>
      <c r="MBI94" s="15" t="n"/>
      <c r="MBJ94" s="248" t="n"/>
      <c r="MBK94" s="248" t="n"/>
      <c r="MBL94" s="240" t="n"/>
      <c r="MBM94" s="240" t="n"/>
      <c r="MBO94" s="15" t="n"/>
      <c r="MBP94" s="15" t="n"/>
      <c r="MBQ94" s="248" t="n"/>
      <c r="MBR94" s="248" t="n"/>
      <c r="MBS94" s="240" t="n"/>
      <c r="MBT94" s="240" t="n"/>
      <c r="MBV94" s="15" t="n"/>
      <c r="MBW94" s="15" t="n"/>
      <c r="MBX94" s="248" t="n"/>
      <c r="MBY94" s="248" t="n"/>
      <c r="MBZ94" s="240" t="n"/>
      <c r="MCA94" s="240" t="n"/>
      <c r="MCC94" s="15" t="n"/>
      <c r="MCD94" s="15" t="n"/>
      <c r="MCE94" s="248" t="n"/>
      <c r="MCF94" s="248" t="n"/>
      <c r="MCG94" s="240" t="n"/>
      <c r="MCH94" s="240" t="n"/>
      <c r="MCJ94" s="15" t="n"/>
      <c r="MCK94" s="15" t="n"/>
      <c r="MCL94" s="248" t="n"/>
      <c r="MCM94" s="248" t="n"/>
      <c r="MCN94" s="240" t="n"/>
      <c r="MCO94" s="240" t="n"/>
      <c r="MCQ94" s="15" t="n"/>
      <c r="MCR94" s="15" t="n"/>
      <c r="MCS94" s="248" t="n"/>
      <c r="MCT94" s="248" t="n"/>
      <c r="MCU94" s="240" t="n"/>
      <c r="MCV94" s="240" t="n"/>
      <c r="MCX94" s="15" t="n"/>
      <c r="MCY94" s="15" t="n"/>
      <c r="MCZ94" s="248" t="n"/>
      <c r="MDA94" s="248" t="n"/>
      <c r="MDB94" s="240" t="n"/>
      <c r="MDC94" s="240" t="n"/>
      <c r="MDE94" s="15" t="n"/>
      <c r="MDF94" s="15" t="n"/>
      <c r="MDG94" s="248" t="n"/>
      <c r="MDH94" s="248" t="n"/>
      <c r="MDI94" s="240" t="n"/>
      <c r="MDJ94" s="240" t="n"/>
      <c r="MDL94" s="15" t="n"/>
      <c r="MDM94" s="15" t="n"/>
      <c r="MDN94" s="248" t="n"/>
      <c r="MDO94" s="248" t="n"/>
      <c r="MDP94" s="240" t="n"/>
      <c r="MDQ94" s="240" t="n"/>
      <c r="MDS94" s="15" t="n"/>
      <c r="MDT94" s="15" t="n"/>
      <c r="MDU94" s="248" t="n"/>
      <c r="MDV94" s="248" t="n"/>
      <c r="MDW94" s="240" t="n"/>
      <c r="MDX94" s="240" t="n"/>
      <c r="MDZ94" s="15" t="n"/>
      <c r="MEA94" s="15" t="n"/>
      <c r="MEB94" s="248" t="n"/>
      <c r="MEC94" s="248" t="n"/>
      <c r="MED94" s="240" t="n"/>
      <c r="MEE94" s="240" t="n"/>
      <c r="MEG94" s="15" t="n"/>
      <c r="MEH94" s="15" t="n"/>
      <c r="MEI94" s="248" t="n"/>
      <c r="MEJ94" s="248" t="n"/>
      <c r="MEK94" s="240" t="n"/>
      <c r="MEL94" s="240" t="n"/>
      <c r="MEN94" s="15" t="n"/>
      <c r="MEO94" s="15" t="n"/>
      <c r="MEP94" s="248" t="n"/>
      <c r="MEQ94" s="248" t="n"/>
      <c r="MER94" s="240" t="n"/>
      <c r="MES94" s="240" t="n"/>
      <c r="MEU94" s="15" t="n"/>
      <c r="MEV94" s="15" t="n"/>
      <c r="MEW94" s="248" t="n"/>
      <c r="MEX94" s="248" t="n"/>
      <c r="MEY94" s="240" t="n"/>
      <c r="MEZ94" s="240" t="n"/>
      <c r="MFB94" s="15" t="n"/>
      <c r="MFC94" s="15" t="n"/>
      <c r="MFD94" s="248" t="n"/>
      <c r="MFE94" s="248" t="n"/>
      <c r="MFF94" s="240" t="n"/>
      <c r="MFG94" s="240" t="n"/>
      <c r="MFI94" s="15" t="n"/>
      <c r="MFJ94" s="15" t="n"/>
      <c r="MFK94" s="248" t="n"/>
      <c r="MFL94" s="248" t="n"/>
      <c r="MFM94" s="240" t="n"/>
      <c r="MFN94" s="240" t="n"/>
      <c r="MFP94" s="15" t="n"/>
      <c r="MFQ94" s="15" t="n"/>
      <c r="MFR94" s="248" t="n"/>
      <c r="MFS94" s="248" t="n"/>
      <c r="MFT94" s="240" t="n"/>
      <c r="MFU94" s="240" t="n"/>
      <c r="MFW94" s="15" t="n"/>
      <c r="MFX94" s="15" t="n"/>
      <c r="MFY94" s="248" t="n"/>
      <c r="MFZ94" s="248" t="n"/>
      <c r="MGA94" s="240" t="n"/>
      <c r="MGB94" s="240" t="n"/>
      <c r="MGD94" s="15" t="n"/>
      <c r="MGE94" s="15" t="n"/>
      <c r="MGF94" s="248" t="n"/>
      <c r="MGG94" s="248" t="n"/>
      <c r="MGH94" s="240" t="n"/>
      <c r="MGI94" s="240" t="n"/>
      <c r="MGK94" s="15" t="n"/>
      <c r="MGL94" s="15" t="n"/>
      <c r="MGM94" s="248" t="n"/>
      <c r="MGN94" s="248" t="n"/>
      <c r="MGO94" s="240" t="n"/>
      <c r="MGP94" s="240" t="n"/>
      <c r="MGR94" s="15" t="n"/>
      <c r="MGS94" s="15" t="n"/>
      <c r="MGT94" s="248" t="n"/>
      <c r="MGU94" s="248" t="n"/>
      <c r="MGV94" s="240" t="n"/>
      <c r="MGW94" s="240" t="n"/>
      <c r="MGY94" s="15" t="n"/>
      <c r="MGZ94" s="15" t="n"/>
      <c r="MHA94" s="248" t="n"/>
      <c r="MHB94" s="248" t="n"/>
      <c r="MHC94" s="240" t="n"/>
      <c r="MHD94" s="240" t="n"/>
      <c r="MHF94" s="15" t="n"/>
      <c r="MHG94" s="15" t="n"/>
      <c r="MHH94" s="248" t="n"/>
      <c r="MHI94" s="248" t="n"/>
      <c r="MHJ94" s="240" t="n"/>
      <c r="MHK94" s="240" t="n"/>
      <c r="MHM94" s="15" t="n"/>
      <c r="MHN94" s="15" t="n"/>
      <c r="MHO94" s="248" t="n"/>
      <c r="MHP94" s="248" t="n"/>
      <c r="MHQ94" s="240" t="n"/>
      <c r="MHR94" s="240" t="n"/>
      <c r="MHT94" s="15" t="n"/>
      <c r="MHU94" s="15" t="n"/>
      <c r="MHV94" s="248" t="n"/>
      <c r="MHW94" s="248" t="n"/>
      <c r="MHX94" s="240" t="n"/>
      <c r="MHY94" s="240" t="n"/>
      <c r="MIA94" s="15" t="n"/>
      <c r="MIB94" s="15" t="n"/>
      <c r="MIC94" s="248" t="n"/>
      <c r="MID94" s="248" t="n"/>
      <c r="MIE94" s="240" t="n"/>
      <c r="MIF94" s="240" t="n"/>
      <c r="MIH94" s="15" t="n"/>
      <c r="MII94" s="15" t="n"/>
      <c r="MIJ94" s="248" t="n"/>
      <c r="MIK94" s="248" t="n"/>
      <c r="MIL94" s="240" t="n"/>
      <c r="MIM94" s="240" t="n"/>
      <c r="MIO94" s="15" t="n"/>
      <c r="MIP94" s="15" t="n"/>
      <c r="MIQ94" s="248" t="n"/>
      <c r="MIR94" s="248" t="n"/>
      <c r="MIS94" s="240" t="n"/>
      <c r="MIT94" s="240" t="n"/>
      <c r="MIV94" s="15" t="n"/>
      <c r="MIW94" s="15" t="n"/>
      <c r="MIX94" s="248" t="n"/>
      <c r="MIY94" s="248" t="n"/>
      <c r="MIZ94" s="240" t="n"/>
      <c r="MJA94" s="240" t="n"/>
      <c r="MJC94" s="15" t="n"/>
      <c r="MJD94" s="15" t="n"/>
      <c r="MJE94" s="248" t="n"/>
      <c r="MJF94" s="248" t="n"/>
      <c r="MJG94" s="240" t="n"/>
      <c r="MJH94" s="240" t="n"/>
      <c r="MJJ94" s="15" t="n"/>
      <c r="MJK94" s="15" t="n"/>
      <c r="MJL94" s="248" t="n"/>
      <c r="MJM94" s="248" t="n"/>
      <c r="MJN94" s="240" t="n"/>
      <c r="MJO94" s="240" t="n"/>
      <c r="MJQ94" s="15" t="n"/>
      <c r="MJR94" s="15" t="n"/>
      <c r="MJS94" s="248" t="n"/>
      <c r="MJT94" s="248" t="n"/>
      <c r="MJU94" s="240" t="n"/>
      <c r="MJV94" s="240" t="n"/>
      <c r="MJX94" s="15" t="n"/>
      <c r="MJY94" s="15" t="n"/>
      <c r="MJZ94" s="248" t="n"/>
      <c r="MKA94" s="248" t="n"/>
      <c r="MKB94" s="240" t="n"/>
      <c r="MKC94" s="240" t="n"/>
      <c r="MKE94" s="15" t="n"/>
      <c r="MKF94" s="15" t="n"/>
      <c r="MKG94" s="248" t="n"/>
      <c r="MKH94" s="248" t="n"/>
      <c r="MKI94" s="240" t="n"/>
      <c r="MKJ94" s="240" t="n"/>
      <c r="MKL94" s="15" t="n"/>
      <c r="MKM94" s="15" t="n"/>
      <c r="MKN94" s="248" t="n"/>
      <c r="MKO94" s="248" t="n"/>
      <c r="MKP94" s="240" t="n"/>
      <c r="MKQ94" s="240" t="n"/>
      <c r="MKS94" s="15" t="n"/>
      <c r="MKT94" s="15" t="n"/>
      <c r="MKU94" s="248" t="n"/>
      <c r="MKV94" s="248" t="n"/>
      <c r="MKW94" s="240" t="n"/>
      <c r="MKX94" s="240" t="n"/>
      <c r="MKZ94" s="15" t="n"/>
      <c r="MLA94" s="15" t="n"/>
      <c r="MLB94" s="248" t="n"/>
      <c r="MLC94" s="248" t="n"/>
      <c r="MLD94" s="240" t="n"/>
      <c r="MLE94" s="240" t="n"/>
      <c r="MLG94" s="15" t="n"/>
      <c r="MLH94" s="15" t="n"/>
      <c r="MLI94" s="248" t="n"/>
      <c r="MLJ94" s="248" t="n"/>
      <c r="MLK94" s="240" t="n"/>
      <c r="MLL94" s="240" t="n"/>
      <c r="MLN94" s="15" t="n"/>
      <c r="MLO94" s="15" t="n"/>
      <c r="MLP94" s="248" t="n"/>
      <c r="MLQ94" s="248" t="n"/>
      <c r="MLR94" s="240" t="n"/>
      <c r="MLS94" s="240" t="n"/>
      <c r="MLU94" s="15" t="n"/>
      <c r="MLV94" s="15" t="n"/>
      <c r="MLW94" s="248" t="n"/>
      <c r="MLX94" s="248" t="n"/>
      <c r="MLY94" s="240" t="n"/>
      <c r="MLZ94" s="240" t="n"/>
      <c r="MMB94" s="15" t="n"/>
      <c r="MMC94" s="15" t="n"/>
      <c r="MMD94" s="248" t="n"/>
      <c r="MME94" s="248" t="n"/>
      <c r="MMF94" s="240" t="n"/>
      <c r="MMG94" s="240" t="n"/>
      <c r="MMI94" s="15" t="n"/>
      <c r="MMJ94" s="15" t="n"/>
      <c r="MMK94" s="248" t="n"/>
      <c r="MML94" s="248" t="n"/>
      <c r="MMM94" s="240" t="n"/>
      <c r="MMN94" s="240" t="n"/>
      <c r="MMP94" s="15" t="n"/>
      <c r="MMQ94" s="15" t="n"/>
      <c r="MMR94" s="248" t="n"/>
      <c r="MMS94" s="248" t="n"/>
      <c r="MMT94" s="240" t="n"/>
      <c r="MMU94" s="240" t="n"/>
      <c r="MMW94" s="15" t="n"/>
      <c r="MMX94" s="15" t="n"/>
      <c r="MMY94" s="248" t="n"/>
      <c r="MMZ94" s="248" t="n"/>
      <c r="MNA94" s="240" t="n"/>
      <c r="MNB94" s="240" t="n"/>
      <c r="MND94" s="15" t="n"/>
      <c r="MNE94" s="15" t="n"/>
      <c r="MNF94" s="248" t="n"/>
      <c r="MNG94" s="248" t="n"/>
      <c r="MNH94" s="240" t="n"/>
      <c r="MNI94" s="240" t="n"/>
      <c r="MNK94" s="15" t="n"/>
      <c r="MNL94" s="15" t="n"/>
      <c r="MNM94" s="248" t="n"/>
      <c r="MNN94" s="248" t="n"/>
      <c r="MNO94" s="240" t="n"/>
      <c r="MNP94" s="240" t="n"/>
      <c r="MNR94" s="15" t="n"/>
      <c r="MNS94" s="15" t="n"/>
      <c r="MNT94" s="248" t="n"/>
      <c r="MNU94" s="248" t="n"/>
      <c r="MNV94" s="240" t="n"/>
      <c r="MNW94" s="240" t="n"/>
      <c r="MNY94" s="15" t="n"/>
      <c r="MNZ94" s="15" t="n"/>
      <c r="MOA94" s="248" t="n"/>
      <c r="MOB94" s="248" t="n"/>
      <c r="MOC94" s="240" t="n"/>
      <c r="MOD94" s="240" t="n"/>
      <c r="MOF94" s="15" t="n"/>
      <c r="MOG94" s="15" t="n"/>
      <c r="MOH94" s="248" t="n"/>
      <c r="MOI94" s="248" t="n"/>
      <c r="MOJ94" s="240" t="n"/>
      <c r="MOK94" s="240" t="n"/>
      <c r="MOM94" s="15" t="n"/>
      <c r="MON94" s="15" t="n"/>
      <c r="MOO94" s="248" t="n"/>
      <c r="MOP94" s="248" t="n"/>
      <c r="MOQ94" s="240" t="n"/>
      <c r="MOR94" s="240" t="n"/>
      <c r="MOT94" s="15" t="n"/>
      <c r="MOU94" s="15" t="n"/>
      <c r="MOV94" s="248" t="n"/>
      <c r="MOW94" s="248" t="n"/>
      <c r="MOX94" s="240" t="n"/>
      <c r="MOY94" s="240" t="n"/>
      <c r="MPA94" s="15" t="n"/>
      <c r="MPB94" s="15" t="n"/>
      <c r="MPC94" s="248" t="n"/>
      <c r="MPD94" s="248" t="n"/>
      <c r="MPE94" s="240" t="n"/>
      <c r="MPF94" s="240" t="n"/>
      <c r="MPH94" s="15" t="n"/>
      <c r="MPI94" s="15" t="n"/>
      <c r="MPJ94" s="248" t="n"/>
      <c r="MPK94" s="248" t="n"/>
      <c r="MPL94" s="240" t="n"/>
      <c r="MPM94" s="240" t="n"/>
      <c r="MPO94" s="15" t="n"/>
      <c r="MPP94" s="15" t="n"/>
      <c r="MPQ94" s="248" t="n"/>
      <c r="MPR94" s="248" t="n"/>
      <c r="MPS94" s="240" t="n"/>
      <c r="MPT94" s="240" t="n"/>
      <c r="MPV94" s="15" t="n"/>
      <c r="MPW94" s="15" t="n"/>
      <c r="MPX94" s="248" t="n"/>
      <c r="MPY94" s="248" t="n"/>
      <c r="MPZ94" s="240" t="n"/>
      <c r="MQA94" s="240" t="n"/>
      <c r="MQC94" s="15" t="n"/>
      <c r="MQD94" s="15" t="n"/>
      <c r="MQE94" s="248" t="n"/>
      <c r="MQF94" s="248" t="n"/>
      <c r="MQG94" s="240" t="n"/>
      <c r="MQH94" s="240" t="n"/>
      <c r="MQJ94" s="15" t="n"/>
      <c r="MQK94" s="15" t="n"/>
      <c r="MQL94" s="248" t="n"/>
      <c r="MQM94" s="248" t="n"/>
      <c r="MQN94" s="240" t="n"/>
      <c r="MQO94" s="240" t="n"/>
      <c r="MQQ94" s="15" t="n"/>
      <c r="MQR94" s="15" t="n"/>
      <c r="MQS94" s="248" t="n"/>
      <c r="MQT94" s="248" t="n"/>
      <c r="MQU94" s="240" t="n"/>
      <c r="MQV94" s="240" t="n"/>
      <c r="MQX94" s="15" t="n"/>
      <c r="MQY94" s="15" t="n"/>
      <c r="MQZ94" s="248" t="n"/>
      <c r="MRA94" s="248" t="n"/>
      <c r="MRB94" s="240" t="n"/>
      <c r="MRC94" s="240" t="n"/>
      <c r="MRE94" s="15" t="n"/>
      <c r="MRF94" s="15" t="n"/>
      <c r="MRG94" s="248" t="n"/>
      <c r="MRH94" s="248" t="n"/>
      <c r="MRI94" s="240" t="n"/>
      <c r="MRJ94" s="240" t="n"/>
      <c r="MRL94" s="15" t="n"/>
      <c r="MRM94" s="15" t="n"/>
      <c r="MRN94" s="248" t="n"/>
      <c r="MRO94" s="248" t="n"/>
      <c r="MRP94" s="240" t="n"/>
      <c r="MRQ94" s="240" t="n"/>
      <c r="MRS94" s="15" t="n"/>
      <c r="MRT94" s="15" t="n"/>
      <c r="MRU94" s="248" t="n"/>
      <c r="MRV94" s="248" t="n"/>
      <c r="MRW94" s="240" t="n"/>
      <c r="MRX94" s="240" t="n"/>
      <c r="MRZ94" s="15" t="n"/>
      <c r="MSA94" s="15" t="n"/>
      <c r="MSB94" s="248" t="n"/>
      <c r="MSC94" s="248" t="n"/>
      <c r="MSD94" s="240" t="n"/>
      <c r="MSE94" s="240" t="n"/>
      <c r="MSG94" s="15" t="n"/>
      <c r="MSH94" s="15" t="n"/>
      <c r="MSI94" s="248" t="n"/>
      <c r="MSJ94" s="248" t="n"/>
      <c r="MSK94" s="240" t="n"/>
      <c r="MSL94" s="240" t="n"/>
      <c r="MSN94" s="15" t="n"/>
      <c r="MSO94" s="15" t="n"/>
      <c r="MSP94" s="248" t="n"/>
      <c r="MSQ94" s="248" t="n"/>
      <c r="MSR94" s="240" t="n"/>
      <c r="MSS94" s="240" t="n"/>
      <c r="MSU94" s="15" t="n"/>
      <c r="MSV94" s="15" t="n"/>
      <c r="MSW94" s="248" t="n"/>
      <c r="MSX94" s="248" t="n"/>
      <c r="MSY94" s="240" t="n"/>
      <c r="MSZ94" s="240" t="n"/>
      <c r="MTB94" s="15" t="n"/>
      <c r="MTC94" s="15" t="n"/>
      <c r="MTD94" s="248" t="n"/>
      <c r="MTE94" s="248" t="n"/>
      <c r="MTF94" s="240" t="n"/>
      <c r="MTG94" s="240" t="n"/>
      <c r="MTI94" s="15" t="n"/>
      <c r="MTJ94" s="15" t="n"/>
      <c r="MTK94" s="248" t="n"/>
      <c r="MTL94" s="248" t="n"/>
      <c r="MTM94" s="240" t="n"/>
      <c r="MTN94" s="240" t="n"/>
      <c r="MTP94" s="15" t="n"/>
      <c r="MTQ94" s="15" t="n"/>
      <c r="MTR94" s="248" t="n"/>
      <c r="MTS94" s="248" t="n"/>
      <c r="MTT94" s="240" t="n"/>
      <c r="MTU94" s="240" t="n"/>
      <c r="MTW94" s="15" t="n"/>
      <c r="MTX94" s="15" t="n"/>
      <c r="MTY94" s="248" t="n"/>
      <c r="MTZ94" s="248" t="n"/>
      <c r="MUA94" s="240" t="n"/>
      <c r="MUB94" s="240" t="n"/>
      <c r="MUD94" s="15" t="n"/>
      <c r="MUE94" s="15" t="n"/>
      <c r="MUF94" s="248" t="n"/>
      <c r="MUG94" s="248" t="n"/>
      <c r="MUH94" s="240" t="n"/>
      <c r="MUI94" s="240" t="n"/>
      <c r="MUK94" s="15" t="n"/>
      <c r="MUL94" s="15" t="n"/>
      <c r="MUM94" s="248" t="n"/>
      <c r="MUN94" s="248" t="n"/>
      <c r="MUO94" s="240" t="n"/>
      <c r="MUP94" s="240" t="n"/>
      <c r="MUR94" s="15" t="n"/>
      <c r="MUS94" s="15" t="n"/>
      <c r="MUT94" s="248" t="n"/>
      <c r="MUU94" s="248" t="n"/>
      <c r="MUV94" s="240" t="n"/>
      <c r="MUW94" s="240" t="n"/>
      <c r="MUY94" s="15" t="n"/>
      <c r="MUZ94" s="15" t="n"/>
      <c r="MVA94" s="248" t="n"/>
      <c r="MVB94" s="248" t="n"/>
      <c r="MVC94" s="240" t="n"/>
      <c r="MVD94" s="240" t="n"/>
      <c r="MVF94" s="15" t="n"/>
      <c r="MVG94" s="15" t="n"/>
      <c r="MVH94" s="248" t="n"/>
      <c r="MVI94" s="248" t="n"/>
      <c r="MVJ94" s="240" t="n"/>
      <c r="MVK94" s="240" t="n"/>
      <c r="MVM94" s="15" t="n"/>
      <c r="MVN94" s="15" t="n"/>
      <c r="MVO94" s="248" t="n"/>
      <c r="MVP94" s="248" t="n"/>
      <c r="MVQ94" s="240" t="n"/>
      <c r="MVR94" s="240" t="n"/>
      <c r="MVT94" s="15" t="n"/>
      <c r="MVU94" s="15" t="n"/>
      <c r="MVV94" s="248" t="n"/>
      <c r="MVW94" s="248" t="n"/>
      <c r="MVX94" s="240" t="n"/>
      <c r="MVY94" s="240" t="n"/>
      <c r="MWA94" s="15" t="n"/>
      <c r="MWB94" s="15" t="n"/>
      <c r="MWC94" s="248" t="n"/>
      <c r="MWD94" s="248" t="n"/>
      <c r="MWE94" s="240" t="n"/>
      <c r="MWF94" s="240" t="n"/>
      <c r="MWH94" s="15" t="n"/>
      <c r="MWI94" s="15" t="n"/>
      <c r="MWJ94" s="248" t="n"/>
      <c r="MWK94" s="248" t="n"/>
      <c r="MWL94" s="240" t="n"/>
      <c r="MWM94" s="240" t="n"/>
      <c r="MWO94" s="15" t="n"/>
      <c r="MWP94" s="15" t="n"/>
      <c r="MWQ94" s="248" t="n"/>
      <c r="MWR94" s="248" t="n"/>
      <c r="MWS94" s="240" t="n"/>
      <c r="MWT94" s="240" t="n"/>
      <c r="MWV94" s="15" t="n"/>
      <c r="MWW94" s="15" t="n"/>
      <c r="MWX94" s="248" t="n"/>
      <c r="MWY94" s="248" t="n"/>
      <c r="MWZ94" s="240" t="n"/>
      <c r="MXA94" s="240" t="n"/>
      <c r="MXC94" s="15" t="n"/>
      <c r="MXD94" s="15" t="n"/>
      <c r="MXE94" s="248" t="n"/>
      <c r="MXF94" s="248" t="n"/>
      <c r="MXG94" s="240" t="n"/>
      <c r="MXH94" s="240" t="n"/>
      <c r="MXJ94" s="15" t="n"/>
      <c r="MXK94" s="15" t="n"/>
      <c r="MXL94" s="248" t="n"/>
      <c r="MXM94" s="248" t="n"/>
      <c r="MXN94" s="240" t="n"/>
      <c r="MXO94" s="240" t="n"/>
      <c r="MXQ94" s="15" t="n"/>
      <c r="MXR94" s="15" t="n"/>
      <c r="MXS94" s="248" t="n"/>
      <c r="MXT94" s="248" t="n"/>
      <c r="MXU94" s="240" t="n"/>
      <c r="MXV94" s="240" t="n"/>
      <c r="MXX94" s="15" t="n"/>
      <c r="MXY94" s="15" t="n"/>
      <c r="MXZ94" s="248" t="n"/>
      <c r="MYA94" s="248" t="n"/>
      <c r="MYB94" s="240" t="n"/>
      <c r="MYC94" s="240" t="n"/>
      <c r="MYE94" s="15" t="n"/>
      <c r="MYF94" s="15" t="n"/>
      <c r="MYG94" s="248" t="n"/>
      <c r="MYH94" s="248" t="n"/>
      <c r="MYI94" s="240" t="n"/>
      <c r="MYJ94" s="240" t="n"/>
      <c r="MYL94" s="15" t="n"/>
      <c r="MYM94" s="15" t="n"/>
      <c r="MYN94" s="248" t="n"/>
      <c r="MYO94" s="248" t="n"/>
      <c r="MYP94" s="240" t="n"/>
      <c r="MYQ94" s="240" t="n"/>
      <c r="MYS94" s="15" t="n"/>
      <c r="MYT94" s="15" t="n"/>
      <c r="MYU94" s="248" t="n"/>
      <c r="MYV94" s="248" t="n"/>
      <c r="MYW94" s="240" t="n"/>
      <c r="MYX94" s="240" t="n"/>
      <c r="MYZ94" s="15" t="n"/>
      <c r="MZA94" s="15" t="n"/>
      <c r="MZB94" s="248" t="n"/>
      <c r="MZC94" s="248" t="n"/>
      <c r="MZD94" s="240" t="n"/>
      <c r="MZE94" s="240" t="n"/>
      <c r="MZG94" s="15" t="n"/>
      <c r="MZH94" s="15" t="n"/>
      <c r="MZI94" s="248" t="n"/>
      <c r="MZJ94" s="248" t="n"/>
      <c r="MZK94" s="240" t="n"/>
      <c r="MZL94" s="240" t="n"/>
      <c r="MZN94" s="15" t="n"/>
      <c r="MZO94" s="15" t="n"/>
      <c r="MZP94" s="248" t="n"/>
      <c r="MZQ94" s="248" t="n"/>
      <c r="MZR94" s="240" t="n"/>
      <c r="MZS94" s="240" t="n"/>
      <c r="MZU94" s="15" t="n"/>
      <c r="MZV94" s="15" t="n"/>
      <c r="MZW94" s="248" t="n"/>
      <c r="MZX94" s="248" t="n"/>
      <c r="MZY94" s="240" t="n"/>
      <c r="MZZ94" s="240" t="n"/>
      <c r="NAB94" s="15" t="n"/>
      <c r="NAC94" s="15" t="n"/>
      <c r="NAD94" s="248" t="n"/>
      <c r="NAE94" s="248" t="n"/>
      <c r="NAF94" s="240" t="n"/>
      <c r="NAG94" s="240" t="n"/>
      <c r="NAI94" s="15" t="n"/>
      <c r="NAJ94" s="15" t="n"/>
      <c r="NAK94" s="248" t="n"/>
      <c r="NAL94" s="248" t="n"/>
      <c r="NAM94" s="240" t="n"/>
      <c r="NAN94" s="240" t="n"/>
      <c r="NAP94" s="15" t="n"/>
      <c r="NAQ94" s="15" t="n"/>
      <c r="NAR94" s="248" t="n"/>
      <c r="NAS94" s="248" t="n"/>
      <c r="NAT94" s="240" t="n"/>
      <c r="NAU94" s="240" t="n"/>
      <c r="NAW94" s="15" t="n"/>
      <c r="NAX94" s="15" t="n"/>
      <c r="NAY94" s="248" t="n"/>
      <c r="NAZ94" s="248" t="n"/>
      <c r="NBA94" s="240" t="n"/>
      <c r="NBB94" s="240" t="n"/>
      <c r="NBD94" s="15" t="n"/>
      <c r="NBE94" s="15" t="n"/>
      <c r="NBF94" s="248" t="n"/>
      <c r="NBG94" s="248" t="n"/>
      <c r="NBH94" s="240" t="n"/>
      <c r="NBI94" s="240" t="n"/>
      <c r="NBK94" s="15" t="n"/>
      <c r="NBL94" s="15" t="n"/>
      <c r="NBM94" s="248" t="n"/>
      <c r="NBN94" s="248" t="n"/>
      <c r="NBO94" s="240" t="n"/>
      <c r="NBP94" s="240" t="n"/>
      <c r="NBR94" s="15" t="n"/>
      <c r="NBS94" s="15" t="n"/>
      <c r="NBT94" s="248" t="n"/>
      <c r="NBU94" s="248" t="n"/>
      <c r="NBV94" s="240" t="n"/>
      <c r="NBW94" s="240" t="n"/>
      <c r="NBY94" s="15" t="n"/>
      <c r="NBZ94" s="15" t="n"/>
      <c r="NCA94" s="248" t="n"/>
      <c r="NCB94" s="248" t="n"/>
      <c r="NCC94" s="240" t="n"/>
      <c r="NCD94" s="240" t="n"/>
      <c r="NCF94" s="15" t="n"/>
      <c r="NCG94" s="15" t="n"/>
      <c r="NCH94" s="248" t="n"/>
      <c r="NCI94" s="248" t="n"/>
      <c r="NCJ94" s="240" t="n"/>
      <c r="NCK94" s="240" t="n"/>
      <c r="NCM94" s="15" t="n"/>
      <c r="NCN94" s="15" t="n"/>
      <c r="NCO94" s="248" t="n"/>
      <c r="NCP94" s="248" t="n"/>
      <c r="NCQ94" s="240" t="n"/>
      <c r="NCR94" s="240" t="n"/>
      <c r="NCT94" s="15" t="n"/>
      <c r="NCU94" s="15" t="n"/>
      <c r="NCV94" s="248" t="n"/>
      <c r="NCW94" s="248" t="n"/>
      <c r="NCX94" s="240" t="n"/>
      <c r="NCY94" s="240" t="n"/>
      <c r="NDA94" s="15" t="n"/>
      <c r="NDB94" s="15" t="n"/>
      <c r="NDC94" s="248" t="n"/>
      <c r="NDD94" s="248" t="n"/>
      <c r="NDE94" s="240" t="n"/>
      <c r="NDF94" s="240" t="n"/>
      <c r="NDH94" s="15" t="n"/>
      <c r="NDI94" s="15" t="n"/>
      <c r="NDJ94" s="248" t="n"/>
      <c r="NDK94" s="248" t="n"/>
      <c r="NDL94" s="240" t="n"/>
      <c r="NDM94" s="240" t="n"/>
      <c r="NDO94" s="15" t="n"/>
      <c r="NDP94" s="15" t="n"/>
      <c r="NDQ94" s="248" t="n"/>
      <c r="NDR94" s="248" t="n"/>
      <c r="NDS94" s="240" t="n"/>
      <c r="NDT94" s="240" t="n"/>
      <c r="NDV94" s="15" t="n"/>
      <c r="NDW94" s="15" t="n"/>
      <c r="NDX94" s="248" t="n"/>
      <c r="NDY94" s="248" t="n"/>
      <c r="NDZ94" s="240" t="n"/>
      <c r="NEA94" s="240" t="n"/>
      <c r="NEC94" s="15" t="n"/>
      <c r="NED94" s="15" t="n"/>
      <c r="NEE94" s="248" t="n"/>
      <c r="NEF94" s="248" t="n"/>
      <c r="NEG94" s="240" t="n"/>
      <c r="NEH94" s="240" t="n"/>
      <c r="NEJ94" s="15" t="n"/>
      <c r="NEK94" s="15" t="n"/>
      <c r="NEL94" s="248" t="n"/>
      <c r="NEM94" s="248" t="n"/>
      <c r="NEN94" s="240" t="n"/>
      <c r="NEO94" s="240" t="n"/>
      <c r="NEQ94" s="15" t="n"/>
      <c r="NER94" s="15" t="n"/>
      <c r="NES94" s="248" t="n"/>
      <c r="NET94" s="248" t="n"/>
      <c r="NEU94" s="240" t="n"/>
      <c r="NEV94" s="240" t="n"/>
      <c r="NEX94" s="15" t="n"/>
      <c r="NEY94" s="15" t="n"/>
      <c r="NEZ94" s="248" t="n"/>
      <c r="NFA94" s="248" t="n"/>
      <c r="NFB94" s="240" t="n"/>
      <c r="NFC94" s="240" t="n"/>
      <c r="NFE94" s="15" t="n"/>
      <c r="NFF94" s="15" t="n"/>
      <c r="NFG94" s="248" t="n"/>
      <c r="NFH94" s="248" t="n"/>
      <c r="NFI94" s="240" t="n"/>
      <c r="NFJ94" s="240" t="n"/>
      <c r="NFL94" s="15" t="n"/>
      <c r="NFM94" s="15" t="n"/>
      <c r="NFN94" s="248" t="n"/>
      <c r="NFO94" s="248" t="n"/>
      <c r="NFP94" s="240" t="n"/>
      <c r="NFQ94" s="240" t="n"/>
      <c r="NFS94" s="15" t="n"/>
      <c r="NFT94" s="15" t="n"/>
      <c r="NFU94" s="248" t="n"/>
      <c r="NFV94" s="248" t="n"/>
      <c r="NFW94" s="240" t="n"/>
      <c r="NFX94" s="240" t="n"/>
      <c r="NFZ94" s="15" t="n"/>
      <c r="NGA94" s="15" t="n"/>
      <c r="NGB94" s="248" t="n"/>
      <c r="NGC94" s="248" t="n"/>
      <c r="NGD94" s="240" t="n"/>
      <c r="NGE94" s="240" t="n"/>
      <c r="NGG94" s="15" t="n"/>
      <c r="NGH94" s="15" t="n"/>
      <c r="NGI94" s="248" t="n"/>
      <c r="NGJ94" s="248" t="n"/>
      <c r="NGK94" s="240" t="n"/>
      <c r="NGL94" s="240" t="n"/>
      <c r="NGN94" s="15" t="n"/>
      <c r="NGO94" s="15" t="n"/>
      <c r="NGP94" s="248" t="n"/>
      <c r="NGQ94" s="248" t="n"/>
      <c r="NGR94" s="240" t="n"/>
      <c r="NGS94" s="240" t="n"/>
      <c r="NGU94" s="15" t="n"/>
      <c r="NGV94" s="15" t="n"/>
      <c r="NGW94" s="248" t="n"/>
      <c r="NGX94" s="248" t="n"/>
      <c r="NGY94" s="240" t="n"/>
      <c r="NGZ94" s="240" t="n"/>
      <c r="NHB94" s="15" t="n"/>
      <c r="NHC94" s="15" t="n"/>
      <c r="NHD94" s="248" t="n"/>
      <c r="NHE94" s="248" t="n"/>
      <c r="NHF94" s="240" t="n"/>
      <c r="NHG94" s="240" t="n"/>
      <c r="NHI94" s="15" t="n"/>
      <c r="NHJ94" s="15" t="n"/>
      <c r="NHK94" s="248" t="n"/>
      <c r="NHL94" s="248" t="n"/>
      <c r="NHM94" s="240" t="n"/>
      <c r="NHN94" s="240" t="n"/>
      <c r="NHP94" s="15" t="n"/>
      <c r="NHQ94" s="15" t="n"/>
      <c r="NHR94" s="248" t="n"/>
      <c r="NHS94" s="248" t="n"/>
      <c r="NHT94" s="240" t="n"/>
      <c r="NHU94" s="240" t="n"/>
      <c r="NHW94" s="15" t="n"/>
      <c r="NHX94" s="15" t="n"/>
      <c r="NHY94" s="248" t="n"/>
      <c r="NHZ94" s="248" t="n"/>
      <c r="NIA94" s="240" t="n"/>
      <c r="NIB94" s="240" t="n"/>
      <c r="NID94" s="15" t="n"/>
      <c r="NIE94" s="15" t="n"/>
      <c r="NIF94" s="248" t="n"/>
      <c r="NIG94" s="248" t="n"/>
      <c r="NIH94" s="240" t="n"/>
      <c r="NII94" s="240" t="n"/>
      <c r="NIK94" s="15" t="n"/>
      <c r="NIL94" s="15" t="n"/>
      <c r="NIM94" s="248" t="n"/>
      <c r="NIN94" s="248" t="n"/>
      <c r="NIO94" s="240" t="n"/>
      <c r="NIP94" s="240" t="n"/>
      <c r="NIR94" s="15" t="n"/>
      <c r="NIS94" s="15" t="n"/>
      <c r="NIT94" s="248" t="n"/>
      <c r="NIU94" s="248" t="n"/>
      <c r="NIV94" s="240" t="n"/>
      <c r="NIW94" s="240" t="n"/>
      <c r="NIY94" s="15" t="n"/>
      <c r="NIZ94" s="15" t="n"/>
      <c r="NJA94" s="248" t="n"/>
      <c r="NJB94" s="248" t="n"/>
      <c r="NJC94" s="240" t="n"/>
      <c r="NJD94" s="240" t="n"/>
      <c r="NJF94" s="15" t="n"/>
      <c r="NJG94" s="15" t="n"/>
      <c r="NJH94" s="248" t="n"/>
      <c r="NJI94" s="248" t="n"/>
      <c r="NJJ94" s="240" t="n"/>
      <c r="NJK94" s="240" t="n"/>
      <c r="NJM94" s="15" t="n"/>
      <c r="NJN94" s="15" t="n"/>
      <c r="NJO94" s="248" t="n"/>
      <c r="NJP94" s="248" t="n"/>
      <c r="NJQ94" s="240" t="n"/>
      <c r="NJR94" s="240" t="n"/>
      <c r="NJT94" s="15" t="n"/>
      <c r="NJU94" s="15" t="n"/>
      <c r="NJV94" s="248" t="n"/>
      <c r="NJW94" s="248" t="n"/>
      <c r="NJX94" s="240" t="n"/>
      <c r="NJY94" s="240" t="n"/>
      <c r="NKA94" s="15" t="n"/>
      <c r="NKB94" s="15" t="n"/>
      <c r="NKC94" s="248" t="n"/>
      <c r="NKD94" s="248" t="n"/>
      <c r="NKE94" s="240" t="n"/>
      <c r="NKF94" s="240" t="n"/>
      <c r="NKH94" s="15" t="n"/>
      <c r="NKI94" s="15" t="n"/>
      <c r="NKJ94" s="248" t="n"/>
      <c r="NKK94" s="248" t="n"/>
      <c r="NKL94" s="240" t="n"/>
      <c r="NKM94" s="240" t="n"/>
      <c r="NKO94" s="15" t="n"/>
      <c r="NKP94" s="15" t="n"/>
      <c r="NKQ94" s="248" t="n"/>
      <c r="NKR94" s="248" t="n"/>
      <c r="NKS94" s="240" t="n"/>
      <c r="NKT94" s="240" t="n"/>
      <c r="NKV94" s="15" t="n"/>
      <c r="NKW94" s="15" t="n"/>
      <c r="NKX94" s="248" t="n"/>
      <c r="NKY94" s="248" t="n"/>
      <c r="NKZ94" s="240" t="n"/>
      <c r="NLA94" s="240" t="n"/>
      <c r="NLC94" s="15" t="n"/>
      <c r="NLD94" s="15" t="n"/>
      <c r="NLE94" s="248" t="n"/>
      <c r="NLF94" s="248" t="n"/>
      <c r="NLG94" s="240" t="n"/>
      <c r="NLH94" s="240" t="n"/>
      <c r="NLJ94" s="15" t="n"/>
      <c r="NLK94" s="15" t="n"/>
      <c r="NLL94" s="248" t="n"/>
      <c r="NLM94" s="248" t="n"/>
      <c r="NLN94" s="240" t="n"/>
      <c r="NLO94" s="240" t="n"/>
      <c r="NLQ94" s="15" t="n"/>
      <c r="NLR94" s="15" t="n"/>
      <c r="NLS94" s="248" t="n"/>
      <c r="NLT94" s="248" t="n"/>
      <c r="NLU94" s="240" t="n"/>
      <c r="NLV94" s="240" t="n"/>
      <c r="NLX94" s="15" t="n"/>
      <c r="NLY94" s="15" t="n"/>
      <c r="NLZ94" s="248" t="n"/>
      <c r="NMA94" s="248" t="n"/>
      <c r="NMB94" s="240" t="n"/>
      <c r="NMC94" s="240" t="n"/>
      <c r="NME94" s="15" t="n"/>
      <c r="NMF94" s="15" t="n"/>
      <c r="NMG94" s="248" t="n"/>
      <c r="NMH94" s="248" t="n"/>
      <c r="NMI94" s="240" t="n"/>
      <c r="NMJ94" s="240" t="n"/>
      <c r="NML94" s="15" t="n"/>
      <c r="NMM94" s="15" t="n"/>
      <c r="NMN94" s="248" t="n"/>
      <c r="NMO94" s="248" t="n"/>
      <c r="NMP94" s="240" t="n"/>
      <c r="NMQ94" s="240" t="n"/>
      <c r="NMS94" s="15" t="n"/>
      <c r="NMT94" s="15" t="n"/>
      <c r="NMU94" s="248" t="n"/>
      <c r="NMV94" s="248" t="n"/>
      <c r="NMW94" s="240" t="n"/>
      <c r="NMX94" s="240" t="n"/>
      <c r="NMZ94" s="15" t="n"/>
      <c r="NNA94" s="15" t="n"/>
      <c r="NNB94" s="248" t="n"/>
      <c r="NNC94" s="248" t="n"/>
      <c r="NND94" s="240" t="n"/>
      <c r="NNE94" s="240" t="n"/>
      <c r="NNG94" s="15" t="n"/>
      <c r="NNH94" s="15" t="n"/>
      <c r="NNI94" s="248" t="n"/>
      <c r="NNJ94" s="248" t="n"/>
      <c r="NNK94" s="240" t="n"/>
      <c r="NNL94" s="240" t="n"/>
      <c r="NNN94" s="15" t="n"/>
      <c r="NNO94" s="15" t="n"/>
      <c r="NNP94" s="248" t="n"/>
      <c r="NNQ94" s="248" t="n"/>
      <c r="NNR94" s="240" t="n"/>
      <c r="NNS94" s="240" t="n"/>
      <c r="NNU94" s="15" t="n"/>
      <c r="NNV94" s="15" t="n"/>
      <c r="NNW94" s="248" t="n"/>
      <c r="NNX94" s="248" t="n"/>
      <c r="NNY94" s="240" t="n"/>
      <c r="NNZ94" s="240" t="n"/>
      <c r="NOB94" s="15" t="n"/>
      <c r="NOC94" s="15" t="n"/>
      <c r="NOD94" s="248" t="n"/>
      <c r="NOE94" s="248" t="n"/>
      <c r="NOF94" s="240" t="n"/>
      <c r="NOG94" s="240" t="n"/>
      <c r="NOI94" s="15" t="n"/>
      <c r="NOJ94" s="15" t="n"/>
      <c r="NOK94" s="248" t="n"/>
      <c r="NOL94" s="248" t="n"/>
      <c r="NOM94" s="240" t="n"/>
      <c r="NON94" s="240" t="n"/>
      <c r="NOP94" s="15" t="n"/>
      <c r="NOQ94" s="15" t="n"/>
      <c r="NOR94" s="248" t="n"/>
      <c r="NOS94" s="248" t="n"/>
      <c r="NOT94" s="240" t="n"/>
      <c r="NOU94" s="240" t="n"/>
      <c r="NOW94" s="15" t="n"/>
      <c r="NOX94" s="15" t="n"/>
      <c r="NOY94" s="248" t="n"/>
      <c r="NOZ94" s="248" t="n"/>
      <c r="NPA94" s="240" t="n"/>
      <c r="NPB94" s="240" t="n"/>
      <c r="NPD94" s="15" t="n"/>
      <c r="NPE94" s="15" t="n"/>
      <c r="NPF94" s="248" t="n"/>
      <c r="NPG94" s="248" t="n"/>
      <c r="NPH94" s="240" t="n"/>
      <c r="NPI94" s="240" t="n"/>
      <c r="NPK94" s="15" t="n"/>
      <c r="NPL94" s="15" t="n"/>
      <c r="NPM94" s="248" t="n"/>
      <c r="NPN94" s="248" t="n"/>
      <c r="NPO94" s="240" t="n"/>
      <c r="NPP94" s="240" t="n"/>
      <c r="NPR94" s="15" t="n"/>
      <c r="NPS94" s="15" t="n"/>
      <c r="NPT94" s="248" t="n"/>
      <c r="NPU94" s="248" t="n"/>
      <c r="NPV94" s="240" t="n"/>
      <c r="NPW94" s="240" t="n"/>
      <c r="NPY94" s="15" t="n"/>
      <c r="NPZ94" s="15" t="n"/>
      <c r="NQA94" s="248" t="n"/>
      <c r="NQB94" s="248" t="n"/>
      <c r="NQC94" s="240" t="n"/>
      <c r="NQD94" s="240" t="n"/>
      <c r="NQF94" s="15" t="n"/>
      <c r="NQG94" s="15" t="n"/>
      <c r="NQH94" s="248" t="n"/>
      <c r="NQI94" s="248" t="n"/>
      <c r="NQJ94" s="240" t="n"/>
      <c r="NQK94" s="240" t="n"/>
      <c r="NQM94" s="15" t="n"/>
      <c r="NQN94" s="15" t="n"/>
      <c r="NQO94" s="248" t="n"/>
      <c r="NQP94" s="248" t="n"/>
      <c r="NQQ94" s="240" t="n"/>
      <c r="NQR94" s="240" t="n"/>
      <c r="NQT94" s="15" t="n"/>
      <c r="NQU94" s="15" t="n"/>
      <c r="NQV94" s="248" t="n"/>
      <c r="NQW94" s="248" t="n"/>
      <c r="NQX94" s="240" t="n"/>
      <c r="NQY94" s="240" t="n"/>
      <c r="NRA94" s="15" t="n"/>
      <c r="NRB94" s="15" t="n"/>
      <c r="NRC94" s="248" t="n"/>
      <c r="NRD94" s="248" t="n"/>
      <c r="NRE94" s="240" t="n"/>
      <c r="NRF94" s="240" t="n"/>
      <c r="NRH94" s="15" t="n"/>
      <c r="NRI94" s="15" t="n"/>
      <c r="NRJ94" s="248" t="n"/>
      <c r="NRK94" s="248" t="n"/>
      <c r="NRL94" s="240" t="n"/>
      <c r="NRM94" s="240" t="n"/>
      <c r="NRO94" s="15" t="n"/>
      <c r="NRP94" s="15" t="n"/>
      <c r="NRQ94" s="248" t="n"/>
      <c r="NRR94" s="248" t="n"/>
      <c r="NRS94" s="240" t="n"/>
      <c r="NRT94" s="240" t="n"/>
      <c r="NRV94" s="15" t="n"/>
      <c r="NRW94" s="15" t="n"/>
      <c r="NRX94" s="248" t="n"/>
      <c r="NRY94" s="248" t="n"/>
      <c r="NRZ94" s="240" t="n"/>
      <c r="NSA94" s="240" t="n"/>
      <c r="NSC94" s="15" t="n"/>
      <c r="NSD94" s="15" t="n"/>
      <c r="NSE94" s="248" t="n"/>
      <c r="NSF94" s="248" t="n"/>
      <c r="NSG94" s="240" t="n"/>
      <c r="NSH94" s="240" t="n"/>
      <c r="NSJ94" s="15" t="n"/>
      <c r="NSK94" s="15" t="n"/>
      <c r="NSL94" s="248" t="n"/>
      <c r="NSM94" s="248" t="n"/>
      <c r="NSN94" s="240" t="n"/>
      <c r="NSO94" s="240" t="n"/>
      <c r="NSQ94" s="15" t="n"/>
      <c r="NSR94" s="15" t="n"/>
      <c r="NSS94" s="248" t="n"/>
      <c r="NST94" s="248" t="n"/>
      <c r="NSU94" s="240" t="n"/>
      <c r="NSV94" s="240" t="n"/>
      <c r="NSX94" s="15" t="n"/>
      <c r="NSY94" s="15" t="n"/>
      <c r="NSZ94" s="248" t="n"/>
      <c r="NTA94" s="248" t="n"/>
      <c r="NTB94" s="240" t="n"/>
      <c r="NTC94" s="240" t="n"/>
      <c r="NTE94" s="15" t="n"/>
      <c r="NTF94" s="15" t="n"/>
      <c r="NTG94" s="248" t="n"/>
      <c r="NTH94" s="248" t="n"/>
      <c r="NTI94" s="240" t="n"/>
      <c r="NTJ94" s="240" t="n"/>
      <c r="NTL94" s="15" t="n"/>
      <c r="NTM94" s="15" t="n"/>
      <c r="NTN94" s="248" t="n"/>
      <c r="NTO94" s="248" t="n"/>
      <c r="NTP94" s="240" t="n"/>
      <c r="NTQ94" s="240" t="n"/>
      <c r="NTS94" s="15" t="n"/>
      <c r="NTT94" s="15" t="n"/>
      <c r="NTU94" s="248" t="n"/>
      <c r="NTV94" s="248" t="n"/>
      <c r="NTW94" s="240" t="n"/>
      <c r="NTX94" s="240" t="n"/>
      <c r="NTZ94" s="15" t="n"/>
      <c r="NUA94" s="15" t="n"/>
      <c r="NUB94" s="248" t="n"/>
      <c r="NUC94" s="248" t="n"/>
      <c r="NUD94" s="240" t="n"/>
      <c r="NUE94" s="240" t="n"/>
      <c r="NUG94" s="15" t="n"/>
      <c r="NUH94" s="15" t="n"/>
      <c r="NUI94" s="248" t="n"/>
      <c r="NUJ94" s="248" t="n"/>
      <c r="NUK94" s="240" t="n"/>
      <c r="NUL94" s="240" t="n"/>
      <c r="NUN94" s="15" t="n"/>
      <c r="NUO94" s="15" t="n"/>
      <c r="NUP94" s="248" t="n"/>
      <c r="NUQ94" s="248" t="n"/>
      <c r="NUR94" s="240" t="n"/>
      <c r="NUS94" s="240" t="n"/>
      <c r="NUU94" s="15" t="n"/>
      <c r="NUV94" s="15" t="n"/>
      <c r="NUW94" s="248" t="n"/>
      <c r="NUX94" s="248" t="n"/>
      <c r="NUY94" s="240" t="n"/>
      <c r="NUZ94" s="240" t="n"/>
      <c r="NVB94" s="15" t="n"/>
      <c r="NVC94" s="15" t="n"/>
      <c r="NVD94" s="248" t="n"/>
      <c r="NVE94" s="248" t="n"/>
      <c r="NVF94" s="240" t="n"/>
      <c r="NVG94" s="240" t="n"/>
      <c r="NVI94" s="15" t="n"/>
      <c r="NVJ94" s="15" t="n"/>
      <c r="NVK94" s="248" t="n"/>
      <c r="NVL94" s="248" t="n"/>
      <c r="NVM94" s="240" t="n"/>
      <c r="NVN94" s="240" t="n"/>
      <c r="NVP94" s="15" t="n"/>
      <c r="NVQ94" s="15" t="n"/>
      <c r="NVR94" s="248" t="n"/>
      <c r="NVS94" s="248" t="n"/>
      <c r="NVT94" s="240" t="n"/>
      <c r="NVU94" s="240" t="n"/>
      <c r="NVW94" s="15" t="n"/>
      <c r="NVX94" s="15" t="n"/>
      <c r="NVY94" s="248" t="n"/>
      <c r="NVZ94" s="248" t="n"/>
      <c r="NWA94" s="240" t="n"/>
      <c r="NWB94" s="240" t="n"/>
      <c r="NWD94" s="15" t="n"/>
      <c r="NWE94" s="15" t="n"/>
      <c r="NWF94" s="248" t="n"/>
      <c r="NWG94" s="248" t="n"/>
      <c r="NWH94" s="240" t="n"/>
      <c r="NWI94" s="240" t="n"/>
      <c r="NWK94" s="15" t="n"/>
      <c r="NWL94" s="15" t="n"/>
      <c r="NWM94" s="248" t="n"/>
      <c r="NWN94" s="248" t="n"/>
      <c r="NWO94" s="240" t="n"/>
      <c r="NWP94" s="240" t="n"/>
      <c r="NWR94" s="15" t="n"/>
      <c r="NWS94" s="15" t="n"/>
      <c r="NWT94" s="248" t="n"/>
      <c r="NWU94" s="248" t="n"/>
      <c r="NWV94" s="240" t="n"/>
      <c r="NWW94" s="240" t="n"/>
      <c r="NWY94" s="15" t="n"/>
      <c r="NWZ94" s="15" t="n"/>
      <c r="NXA94" s="248" t="n"/>
      <c r="NXB94" s="248" t="n"/>
      <c r="NXC94" s="240" t="n"/>
      <c r="NXD94" s="240" t="n"/>
      <c r="NXF94" s="15" t="n"/>
      <c r="NXG94" s="15" t="n"/>
      <c r="NXH94" s="248" t="n"/>
      <c r="NXI94" s="248" t="n"/>
      <c r="NXJ94" s="240" t="n"/>
      <c r="NXK94" s="240" t="n"/>
      <c r="NXM94" s="15" t="n"/>
      <c r="NXN94" s="15" t="n"/>
      <c r="NXO94" s="248" t="n"/>
      <c r="NXP94" s="248" t="n"/>
      <c r="NXQ94" s="240" t="n"/>
      <c r="NXR94" s="240" t="n"/>
      <c r="NXT94" s="15" t="n"/>
      <c r="NXU94" s="15" t="n"/>
      <c r="NXV94" s="248" t="n"/>
      <c r="NXW94" s="248" t="n"/>
      <c r="NXX94" s="240" t="n"/>
      <c r="NXY94" s="240" t="n"/>
      <c r="NYA94" s="15" t="n"/>
      <c r="NYB94" s="15" t="n"/>
      <c r="NYC94" s="248" t="n"/>
      <c r="NYD94" s="248" t="n"/>
      <c r="NYE94" s="240" t="n"/>
      <c r="NYF94" s="240" t="n"/>
      <c r="NYH94" s="15" t="n"/>
      <c r="NYI94" s="15" t="n"/>
      <c r="NYJ94" s="248" t="n"/>
      <c r="NYK94" s="248" t="n"/>
      <c r="NYL94" s="240" t="n"/>
      <c r="NYM94" s="240" t="n"/>
      <c r="NYO94" s="15" t="n"/>
      <c r="NYP94" s="15" t="n"/>
      <c r="NYQ94" s="248" t="n"/>
      <c r="NYR94" s="248" t="n"/>
      <c r="NYS94" s="240" t="n"/>
      <c r="NYT94" s="240" t="n"/>
      <c r="NYV94" s="15" t="n"/>
      <c r="NYW94" s="15" t="n"/>
      <c r="NYX94" s="248" t="n"/>
      <c r="NYY94" s="248" t="n"/>
      <c r="NYZ94" s="240" t="n"/>
      <c r="NZA94" s="240" t="n"/>
      <c r="NZC94" s="15" t="n"/>
      <c r="NZD94" s="15" t="n"/>
      <c r="NZE94" s="248" t="n"/>
      <c r="NZF94" s="248" t="n"/>
      <c r="NZG94" s="240" t="n"/>
      <c r="NZH94" s="240" t="n"/>
      <c r="NZJ94" s="15" t="n"/>
      <c r="NZK94" s="15" t="n"/>
      <c r="NZL94" s="248" t="n"/>
      <c r="NZM94" s="248" t="n"/>
      <c r="NZN94" s="240" t="n"/>
      <c r="NZO94" s="240" t="n"/>
      <c r="NZQ94" s="15" t="n"/>
      <c r="NZR94" s="15" t="n"/>
      <c r="NZS94" s="248" t="n"/>
      <c r="NZT94" s="248" t="n"/>
      <c r="NZU94" s="240" t="n"/>
      <c r="NZV94" s="240" t="n"/>
      <c r="NZX94" s="15" t="n"/>
      <c r="NZY94" s="15" t="n"/>
      <c r="NZZ94" s="248" t="n"/>
      <c r="OAA94" s="248" t="n"/>
      <c r="OAB94" s="240" t="n"/>
      <c r="OAC94" s="240" t="n"/>
      <c r="OAE94" s="15" t="n"/>
      <c r="OAF94" s="15" t="n"/>
      <c r="OAG94" s="248" t="n"/>
      <c r="OAH94" s="248" t="n"/>
      <c r="OAI94" s="240" t="n"/>
      <c r="OAJ94" s="240" t="n"/>
      <c r="OAL94" s="15" t="n"/>
      <c r="OAM94" s="15" t="n"/>
      <c r="OAN94" s="248" t="n"/>
      <c r="OAO94" s="248" t="n"/>
      <c r="OAP94" s="240" t="n"/>
      <c r="OAQ94" s="240" t="n"/>
      <c r="OAS94" s="15" t="n"/>
      <c r="OAT94" s="15" t="n"/>
      <c r="OAU94" s="248" t="n"/>
      <c r="OAV94" s="248" t="n"/>
      <c r="OAW94" s="240" t="n"/>
      <c r="OAX94" s="240" t="n"/>
      <c r="OAZ94" s="15" t="n"/>
      <c r="OBA94" s="15" t="n"/>
      <c r="OBB94" s="248" t="n"/>
      <c r="OBC94" s="248" t="n"/>
      <c r="OBD94" s="240" t="n"/>
      <c r="OBE94" s="240" t="n"/>
      <c r="OBG94" s="15" t="n"/>
      <c r="OBH94" s="15" t="n"/>
      <c r="OBI94" s="248" t="n"/>
      <c r="OBJ94" s="248" t="n"/>
      <c r="OBK94" s="240" t="n"/>
      <c r="OBL94" s="240" t="n"/>
      <c r="OBN94" s="15" t="n"/>
      <c r="OBO94" s="15" t="n"/>
      <c r="OBP94" s="248" t="n"/>
      <c r="OBQ94" s="248" t="n"/>
      <c r="OBR94" s="240" t="n"/>
      <c r="OBS94" s="240" t="n"/>
      <c r="OBU94" s="15" t="n"/>
      <c r="OBV94" s="15" t="n"/>
      <c r="OBW94" s="248" t="n"/>
      <c r="OBX94" s="248" t="n"/>
      <c r="OBY94" s="240" t="n"/>
      <c r="OBZ94" s="240" t="n"/>
      <c r="OCB94" s="15" t="n"/>
      <c r="OCC94" s="15" t="n"/>
      <c r="OCD94" s="248" t="n"/>
      <c r="OCE94" s="248" t="n"/>
      <c r="OCF94" s="240" t="n"/>
      <c r="OCG94" s="240" t="n"/>
      <c r="OCI94" s="15" t="n"/>
      <c r="OCJ94" s="15" t="n"/>
      <c r="OCK94" s="248" t="n"/>
      <c r="OCL94" s="248" t="n"/>
      <c r="OCM94" s="240" t="n"/>
      <c r="OCN94" s="240" t="n"/>
      <c r="OCP94" s="15" t="n"/>
      <c r="OCQ94" s="15" t="n"/>
      <c r="OCR94" s="248" t="n"/>
      <c r="OCS94" s="248" t="n"/>
      <c r="OCT94" s="240" t="n"/>
      <c r="OCU94" s="240" t="n"/>
      <c r="OCW94" s="15" t="n"/>
      <c r="OCX94" s="15" t="n"/>
      <c r="OCY94" s="248" t="n"/>
      <c r="OCZ94" s="248" t="n"/>
      <c r="ODA94" s="240" t="n"/>
      <c r="ODB94" s="240" t="n"/>
      <c r="ODD94" s="15" t="n"/>
      <c r="ODE94" s="15" t="n"/>
      <c r="ODF94" s="248" t="n"/>
      <c r="ODG94" s="248" t="n"/>
      <c r="ODH94" s="240" t="n"/>
      <c r="ODI94" s="240" t="n"/>
      <c r="ODK94" s="15" t="n"/>
      <c r="ODL94" s="15" t="n"/>
      <c r="ODM94" s="248" t="n"/>
      <c r="ODN94" s="248" t="n"/>
      <c r="ODO94" s="240" t="n"/>
      <c r="ODP94" s="240" t="n"/>
      <c r="ODR94" s="15" t="n"/>
      <c r="ODS94" s="15" t="n"/>
      <c r="ODT94" s="248" t="n"/>
      <c r="ODU94" s="248" t="n"/>
      <c r="ODV94" s="240" t="n"/>
      <c r="ODW94" s="240" t="n"/>
      <c r="ODY94" s="15" t="n"/>
      <c r="ODZ94" s="15" t="n"/>
      <c r="OEA94" s="248" t="n"/>
      <c r="OEB94" s="248" t="n"/>
      <c r="OEC94" s="240" t="n"/>
      <c r="OED94" s="240" t="n"/>
      <c r="OEF94" s="15" t="n"/>
      <c r="OEG94" s="15" t="n"/>
      <c r="OEH94" s="248" t="n"/>
      <c r="OEI94" s="248" t="n"/>
      <c r="OEJ94" s="240" t="n"/>
      <c r="OEK94" s="240" t="n"/>
      <c r="OEM94" s="15" t="n"/>
      <c r="OEN94" s="15" t="n"/>
      <c r="OEO94" s="248" t="n"/>
      <c r="OEP94" s="248" t="n"/>
      <c r="OEQ94" s="240" t="n"/>
      <c r="OER94" s="240" t="n"/>
      <c r="OET94" s="15" t="n"/>
      <c r="OEU94" s="15" t="n"/>
      <c r="OEV94" s="248" t="n"/>
      <c r="OEW94" s="248" t="n"/>
      <c r="OEX94" s="240" t="n"/>
      <c r="OEY94" s="240" t="n"/>
      <c r="OFA94" s="15" t="n"/>
      <c r="OFB94" s="15" t="n"/>
      <c r="OFC94" s="248" t="n"/>
      <c r="OFD94" s="248" t="n"/>
      <c r="OFE94" s="240" t="n"/>
      <c r="OFF94" s="240" t="n"/>
      <c r="OFH94" s="15" t="n"/>
      <c r="OFI94" s="15" t="n"/>
      <c r="OFJ94" s="248" t="n"/>
      <c r="OFK94" s="248" t="n"/>
      <c r="OFL94" s="240" t="n"/>
      <c r="OFM94" s="240" t="n"/>
      <c r="OFO94" s="15" t="n"/>
      <c r="OFP94" s="15" t="n"/>
      <c r="OFQ94" s="248" t="n"/>
      <c r="OFR94" s="248" t="n"/>
      <c r="OFS94" s="240" t="n"/>
      <c r="OFT94" s="240" t="n"/>
      <c r="OFV94" s="15" t="n"/>
      <c r="OFW94" s="15" t="n"/>
      <c r="OFX94" s="248" t="n"/>
      <c r="OFY94" s="248" t="n"/>
      <c r="OFZ94" s="240" t="n"/>
      <c r="OGA94" s="240" t="n"/>
      <c r="OGC94" s="15" t="n"/>
      <c r="OGD94" s="15" t="n"/>
      <c r="OGE94" s="248" t="n"/>
      <c r="OGF94" s="248" t="n"/>
      <c r="OGG94" s="240" t="n"/>
      <c r="OGH94" s="240" t="n"/>
      <c r="OGJ94" s="15" t="n"/>
      <c r="OGK94" s="15" t="n"/>
      <c r="OGL94" s="248" t="n"/>
      <c r="OGM94" s="248" t="n"/>
      <c r="OGN94" s="240" t="n"/>
      <c r="OGO94" s="240" t="n"/>
      <c r="OGQ94" s="15" t="n"/>
      <c r="OGR94" s="15" t="n"/>
      <c r="OGS94" s="248" t="n"/>
      <c r="OGT94" s="248" t="n"/>
      <c r="OGU94" s="240" t="n"/>
      <c r="OGV94" s="240" t="n"/>
      <c r="OGX94" s="15" t="n"/>
      <c r="OGY94" s="15" t="n"/>
      <c r="OGZ94" s="248" t="n"/>
      <c r="OHA94" s="248" t="n"/>
      <c r="OHB94" s="240" t="n"/>
      <c r="OHC94" s="240" t="n"/>
      <c r="OHE94" s="15" t="n"/>
      <c r="OHF94" s="15" t="n"/>
      <c r="OHG94" s="248" t="n"/>
      <c r="OHH94" s="248" t="n"/>
      <c r="OHI94" s="240" t="n"/>
      <c r="OHJ94" s="240" t="n"/>
      <c r="OHL94" s="15" t="n"/>
      <c r="OHM94" s="15" t="n"/>
      <c r="OHN94" s="248" t="n"/>
      <c r="OHO94" s="248" t="n"/>
      <c r="OHP94" s="240" t="n"/>
      <c r="OHQ94" s="240" t="n"/>
      <c r="OHS94" s="15" t="n"/>
      <c r="OHT94" s="15" t="n"/>
      <c r="OHU94" s="248" t="n"/>
      <c r="OHV94" s="248" t="n"/>
      <c r="OHW94" s="240" t="n"/>
      <c r="OHX94" s="240" t="n"/>
      <c r="OHZ94" s="15" t="n"/>
      <c r="OIA94" s="15" t="n"/>
      <c r="OIB94" s="248" t="n"/>
      <c r="OIC94" s="248" t="n"/>
      <c r="OID94" s="240" t="n"/>
      <c r="OIE94" s="240" t="n"/>
      <c r="OIG94" s="15" t="n"/>
      <c r="OIH94" s="15" t="n"/>
      <c r="OII94" s="248" t="n"/>
      <c r="OIJ94" s="248" t="n"/>
      <c r="OIK94" s="240" t="n"/>
      <c r="OIL94" s="240" t="n"/>
      <c r="OIN94" s="15" t="n"/>
      <c r="OIO94" s="15" t="n"/>
      <c r="OIP94" s="248" t="n"/>
      <c r="OIQ94" s="248" t="n"/>
      <c r="OIR94" s="240" t="n"/>
      <c r="OIS94" s="240" t="n"/>
      <c r="OIU94" s="15" t="n"/>
      <c r="OIV94" s="15" t="n"/>
      <c r="OIW94" s="248" t="n"/>
      <c r="OIX94" s="248" t="n"/>
      <c r="OIY94" s="240" t="n"/>
      <c r="OIZ94" s="240" t="n"/>
      <c r="OJB94" s="15" t="n"/>
      <c r="OJC94" s="15" t="n"/>
      <c r="OJD94" s="248" t="n"/>
      <c r="OJE94" s="248" t="n"/>
      <c r="OJF94" s="240" t="n"/>
      <c r="OJG94" s="240" t="n"/>
      <c r="OJI94" s="15" t="n"/>
      <c r="OJJ94" s="15" t="n"/>
      <c r="OJK94" s="248" t="n"/>
      <c r="OJL94" s="248" t="n"/>
      <c r="OJM94" s="240" t="n"/>
      <c r="OJN94" s="240" t="n"/>
      <c r="OJP94" s="15" t="n"/>
      <c r="OJQ94" s="15" t="n"/>
      <c r="OJR94" s="248" t="n"/>
      <c r="OJS94" s="248" t="n"/>
      <c r="OJT94" s="240" t="n"/>
      <c r="OJU94" s="240" t="n"/>
      <c r="OJW94" s="15" t="n"/>
      <c r="OJX94" s="15" t="n"/>
      <c r="OJY94" s="248" t="n"/>
      <c r="OJZ94" s="248" t="n"/>
      <c r="OKA94" s="240" t="n"/>
      <c r="OKB94" s="240" t="n"/>
      <c r="OKD94" s="15" t="n"/>
      <c r="OKE94" s="15" t="n"/>
      <c r="OKF94" s="248" t="n"/>
      <c r="OKG94" s="248" t="n"/>
      <c r="OKH94" s="240" t="n"/>
      <c r="OKI94" s="240" t="n"/>
      <c r="OKK94" s="15" t="n"/>
      <c r="OKL94" s="15" t="n"/>
      <c r="OKM94" s="248" t="n"/>
      <c r="OKN94" s="248" t="n"/>
      <c r="OKO94" s="240" t="n"/>
      <c r="OKP94" s="240" t="n"/>
      <c r="OKR94" s="15" t="n"/>
      <c r="OKS94" s="15" t="n"/>
      <c r="OKT94" s="248" t="n"/>
      <c r="OKU94" s="248" t="n"/>
      <c r="OKV94" s="240" t="n"/>
      <c r="OKW94" s="240" t="n"/>
      <c r="OKY94" s="15" t="n"/>
      <c r="OKZ94" s="15" t="n"/>
      <c r="OLA94" s="248" t="n"/>
      <c r="OLB94" s="248" t="n"/>
      <c r="OLC94" s="240" t="n"/>
      <c r="OLD94" s="240" t="n"/>
      <c r="OLF94" s="15" t="n"/>
      <c r="OLG94" s="15" t="n"/>
      <c r="OLH94" s="248" t="n"/>
      <c r="OLI94" s="248" t="n"/>
      <c r="OLJ94" s="240" t="n"/>
      <c r="OLK94" s="240" t="n"/>
      <c r="OLM94" s="15" t="n"/>
      <c r="OLN94" s="15" t="n"/>
      <c r="OLO94" s="248" t="n"/>
      <c r="OLP94" s="248" t="n"/>
      <c r="OLQ94" s="240" t="n"/>
      <c r="OLR94" s="240" t="n"/>
      <c r="OLT94" s="15" t="n"/>
      <c r="OLU94" s="15" t="n"/>
      <c r="OLV94" s="248" t="n"/>
      <c r="OLW94" s="248" t="n"/>
      <c r="OLX94" s="240" t="n"/>
      <c r="OLY94" s="240" t="n"/>
      <c r="OMA94" s="15" t="n"/>
      <c r="OMB94" s="15" t="n"/>
      <c r="OMC94" s="248" t="n"/>
      <c r="OMD94" s="248" t="n"/>
      <c r="OME94" s="240" t="n"/>
      <c r="OMF94" s="240" t="n"/>
      <c r="OMH94" s="15" t="n"/>
      <c r="OMI94" s="15" t="n"/>
      <c r="OMJ94" s="248" t="n"/>
      <c r="OMK94" s="248" t="n"/>
      <c r="OML94" s="240" t="n"/>
      <c r="OMM94" s="240" t="n"/>
      <c r="OMO94" s="15" t="n"/>
      <c r="OMP94" s="15" t="n"/>
      <c r="OMQ94" s="248" t="n"/>
      <c r="OMR94" s="248" t="n"/>
      <c r="OMS94" s="240" t="n"/>
      <c r="OMT94" s="240" t="n"/>
      <c r="OMV94" s="15" t="n"/>
      <c r="OMW94" s="15" t="n"/>
      <c r="OMX94" s="248" t="n"/>
      <c r="OMY94" s="248" t="n"/>
      <c r="OMZ94" s="240" t="n"/>
      <c r="ONA94" s="240" t="n"/>
      <c r="ONC94" s="15" t="n"/>
      <c r="OND94" s="15" t="n"/>
      <c r="ONE94" s="248" t="n"/>
      <c r="ONF94" s="248" t="n"/>
      <c r="ONG94" s="240" t="n"/>
      <c r="ONH94" s="240" t="n"/>
      <c r="ONJ94" s="15" t="n"/>
      <c r="ONK94" s="15" t="n"/>
      <c r="ONL94" s="248" t="n"/>
      <c r="ONM94" s="248" t="n"/>
      <c r="ONN94" s="240" t="n"/>
      <c r="ONO94" s="240" t="n"/>
      <c r="ONQ94" s="15" t="n"/>
      <c r="ONR94" s="15" t="n"/>
      <c r="ONS94" s="248" t="n"/>
      <c r="ONT94" s="248" t="n"/>
      <c r="ONU94" s="240" t="n"/>
      <c r="ONV94" s="240" t="n"/>
      <c r="ONX94" s="15" t="n"/>
      <c r="ONY94" s="15" t="n"/>
      <c r="ONZ94" s="248" t="n"/>
      <c r="OOA94" s="248" t="n"/>
      <c r="OOB94" s="240" t="n"/>
      <c r="OOC94" s="240" t="n"/>
      <c r="OOE94" s="15" t="n"/>
      <c r="OOF94" s="15" t="n"/>
      <c r="OOG94" s="248" t="n"/>
      <c r="OOH94" s="248" t="n"/>
      <c r="OOI94" s="240" t="n"/>
      <c r="OOJ94" s="240" t="n"/>
      <c r="OOL94" s="15" t="n"/>
      <c r="OOM94" s="15" t="n"/>
      <c r="OON94" s="248" t="n"/>
      <c r="OOO94" s="248" t="n"/>
      <c r="OOP94" s="240" t="n"/>
      <c r="OOQ94" s="240" t="n"/>
      <c r="OOS94" s="15" t="n"/>
      <c r="OOT94" s="15" t="n"/>
      <c r="OOU94" s="248" t="n"/>
      <c r="OOV94" s="248" t="n"/>
      <c r="OOW94" s="240" t="n"/>
      <c r="OOX94" s="240" t="n"/>
      <c r="OOZ94" s="15" t="n"/>
      <c r="OPA94" s="15" t="n"/>
      <c r="OPB94" s="248" t="n"/>
      <c r="OPC94" s="248" t="n"/>
      <c r="OPD94" s="240" t="n"/>
      <c r="OPE94" s="240" t="n"/>
      <c r="OPG94" s="15" t="n"/>
      <c r="OPH94" s="15" t="n"/>
      <c r="OPI94" s="248" t="n"/>
      <c r="OPJ94" s="248" t="n"/>
      <c r="OPK94" s="240" t="n"/>
      <c r="OPL94" s="240" t="n"/>
      <c r="OPN94" s="15" t="n"/>
      <c r="OPO94" s="15" t="n"/>
      <c r="OPP94" s="248" t="n"/>
      <c r="OPQ94" s="248" t="n"/>
      <c r="OPR94" s="240" t="n"/>
      <c r="OPS94" s="240" t="n"/>
      <c r="OPU94" s="15" t="n"/>
      <c r="OPV94" s="15" t="n"/>
      <c r="OPW94" s="248" t="n"/>
      <c r="OPX94" s="248" t="n"/>
      <c r="OPY94" s="240" t="n"/>
      <c r="OPZ94" s="240" t="n"/>
      <c r="OQB94" s="15" t="n"/>
      <c r="OQC94" s="15" t="n"/>
      <c r="OQD94" s="248" t="n"/>
      <c r="OQE94" s="248" t="n"/>
      <c r="OQF94" s="240" t="n"/>
      <c r="OQG94" s="240" t="n"/>
      <c r="OQI94" s="15" t="n"/>
      <c r="OQJ94" s="15" t="n"/>
      <c r="OQK94" s="248" t="n"/>
      <c r="OQL94" s="248" t="n"/>
      <c r="OQM94" s="240" t="n"/>
      <c r="OQN94" s="240" t="n"/>
      <c r="OQP94" s="15" t="n"/>
      <c r="OQQ94" s="15" t="n"/>
      <c r="OQR94" s="248" t="n"/>
      <c r="OQS94" s="248" t="n"/>
      <c r="OQT94" s="240" t="n"/>
      <c r="OQU94" s="240" t="n"/>
      <c r="OQW94" s="15" t="n"/>
      <c r="OQX94" s="15" t="n"/>
      <c r="OQY94" s="248" t="n"/>
      <c r="OQZ94" s="248" t="n"/>
      <c r="ORA94" s="240" t="n"/>
      <c r="ORB94" s="240" t="n"/>
      <c r="ORD94" s="15" t="n"/>
      <c r="ORE94" s="15" t="n"/>
      <c r="ORF94" s="248" t="n"/>
      <c r="ORG94" s="248" t="n"/>
      <c r="ORH94" s="240" t="n"/>
      <c r="ORI94" s="240" t="n"/>
      <c r="ORK94" s="15" t="n"/>
      <c r="ORL94" s="15" t="n"/>
      <c r="ORM94" s="248" t="n"/>
      <c r="ORN94" s="248" t="n"/>
      <c r="ORO94" s="240" t="n"/>
      <c r="ORP94" s="240" t="n"/>
      <c r="ORR94" s="15" t="n"/>
      <c r="ORS94" s="15" t="n"/>
      <c r="ORT94" s="248" t="n"/>
      <c r="ORU94" s="248" t="n"/>
      <c r="ORV94" s="240" t="n"/>
      <c r="ORW94" s="240" t="n"/>
      <c r="ORY94" s="15" t="n"/>
      <c r="ORZ94" s="15" t="n"/>
      <c r="OSA94" s="248" t="n"/>
      <c r="OSB94" s="248" t="n"/>
      <c r="OSC94" s="240" t="n"/>
      <c r="OSD94" s="240" t="n"/>
      <c r="OSF94" s="15" t="n"/>
      <c r="OSG94" s="15" t="n"/>
      <c r="OSH94" s="248" t="n"/>
      <c r="OSI94" s="248" t="n"/>
      <c r="OSJ94" s="240" t="n"/>
      <c r="OSK94" s="240" t="n"/>
      <c r="OSM94" s="15" t="n"/>
      <c r="OSN94" s="15" t="n"/>
      <c r="OSO94" s="248" t="n"/>
      <c r="OSP94" s="248" t="n"/>
      <c r="OSQ94" s="240" t="n"/>
      <c r="OSR94" s="240" t="n"/>
      <c r="OST94" s="15" t="n"/>
      <c r="OSU94" s="15" t="n"/>
      <c r="OSV94" s="248" t="n"/>
      <c r="OSW94" s="248" t="n"/>
      <c r="OSX94" s="240" t="n"/>
      <c r="OSY94" s="240" t="n"/>
      <c r="OTA94" s="15" t="n"/>
      <c r="OTB94" s="15" t="n"/>
      <c r="OTC94" s="248" t="n"/>
      <c r="OTD94" s="248" t="n"/>
      <c r="OTE94" s="240" t="n"/>
      <c r="OTF94" s="240" t="n"/>
      <c r="OTH94" s="15" t="n"/>
      <c r="OTI94" s="15" t="n"/>
      <c r="OTJ94" s="248" t="n"/>
      <c r="OTK94" s="248" t="n"/>
      <c r="OTL94" s="240" t="n"/>
      <c r="OTM94" s="240" t="n"/>
      <c r="OTO94" s="15" t="n"/>
      <c r="OTP94" s="15" t="n"/>
      <c r="OTQ94" s="248" t="n"/>
      <c r="OTR94" s="248" t="n"/>
      <c r="OTS94" s="240" t="n"/>
      <c r="OTT94" s="240" t="n"/>
      <c r="OTV94" s="15" t="n"/>
      <c r="OTW94" s="15" t="n"/>
      <c r="OTX94" s="248" t="n"/>
      <c r="OTY94" s="248" t="n"/>
      <c r="OTZ94" s="240" t="n"/>
      <c r="OUA94" s="240" t="n"/>
      <c r="OUC94" s="15" t="n"/>
      <c r="OUD94" s="15" t="n"/>
      <c r="OUE94" s="248" t="n"/>
      <c r="OUF94" s="248" t="n"/>
      <c r="OUG94" s="240" t="n"/>
      <c r="OUH94" s="240" t="n"/>
      <c r="OUJ94" s="15" t="n"/>
      <c r="OUK94" s="15" t="n"/>
      <c r="OUL94" s="248" t="n"/>
      <c r="OUM94" s="248" t="n"/>
      <c r="OUN94" s="240" t="n"/>
      <c r="OUO94" s="240" t="n"/>
      <c r="OUQ94" s="15" t="n"/>
      <c r="OUR94" s="15" t="n"/>
      <c r="OUS94" s="248" t="n"/>
      <c r="OUT94" s="248" t="n"/>
      <c r="OUU94" s="240" t="n"/>
      <c r="OUV94" s="240" t="n"/>
      <c r="OUX94" s="15" t="n"/>
      <c r="OUY94" s="15" t="n"/>
      <c r="OUZ94" s="248" t="n"/>
      <c r="OVA94" s="248" t="n"/>
      <c r="OVB94" s="240" t="n"/>
      <c r="OVC94" s="240" t="n"/>
      <c r="OVE94" s="15" t="n"/>
      <c r="OVF94" s="15" t="n"/>
      <c r="OVG94" s="248" t="n"/>
      <c r="OVH94" s="248" t="n"/>
      <c r="OVI94" s="240" t="n"/>
      <c r="OVJ94" s="240" t="n"/>
      <c r="OVL94" s="15" t="n"/>
      <c r="OVM94" s="15" t="n"/>
      <c r="OVN94" s="248" t="n"/>
      <c r="OVO94" s="248" t="n"/>
      <c r="OVP94" s="240" t="n"/>
      <c r="OVQ94" s="240" t="n"/>
      <c r="OVS94" s="15" t="n"/>
      <c r="OVT94" s="15" t="n"/>
      <c r="OVU94" s="248" t="n"/>
      <c r="OVV94" s="248" t="n"/>
      <c r="OVW94" s="240" t="n"/>
      <c r="OVX94" s="240" t="n"/>
      <c r="OVZ94" s="15" t="n"/>
      <c r="OWA94" s="15" t="n"/>
      <c r="OWB94" s="248" t="n"/>
      <c r="OWC94" s="248" t="n"/>
      <c r="OWD94" s="240" t="n"/>
      <c r="OWE94" s="240" t="n"/>
      <c r="OWG94" s="15" t="n"/>
      <c r="OWH94" s="15" t="n"/>
      <c r="OWI94" s="248" t="n"/>
      <c r="OWJ94" s="248" t="n"/>
      <c r="OWK94" s="240" t="n"/>
      <c r="OWL94" s="240" t="n"/>
      <c r="OWN94" s="15" t="n"/>
      <c r="OWO94" s="15" t="n"/>
      <c r="OWP94" s="248" t="n"/>
      <c r="OWQ94" s="248" t="n"/>
      <c r="OWR94" s="240" t="n"/>
      <c r="OWS94" s="240" t="n"/>
      <c r="OWU94" s="15" t="n"/>
      <c r="OWV94" s="15" t="n"/>
      <c r="OWW94" s="248" t="n"/>
      <c r="OWX94" s="248" t="n"/>
      <c r="OWY94" s="240" t="n"/>
      <c r="OWZ94" s="240" t="n"/>
      <c r="OXB94" s="15" t="n"/>
      <c r="OXC94" s="15" t="n"/>
      <c r="OXD94" s="248" t="n"/>
      <c r="OXE94" s="248" t="n"/>
      <c r="OXF94" s="240" t="n"/>
      <c r="OXG94" s="240" t="n"/>
      <c r="OXI94" s="15" t="n"/>
      <c r="OXJ94" s="15" t="n"/>
      <c r="OXK94" s="248" t="n"/>
      <c r="OXL94" s="248" t="n"/>
      <c r="OXM94" s="240" t="n"/>
      <c r="OXN94" s="240" t="n"/>
      <c r="OXP94" s="15" t="n"/>
      <c r="OXQ94" s="15" t="n"/>
      <c r="OXR94" s="248" t="n"/>
      <c r="OXS94" s="248" t="n"/>
      <c r="OXT94" s="240" t="n"/>
      <c r="OXU94" s="240" t="n"/>
      <c r="OXW94" s="15" t="n"/>
      <c r="OXX94" s="15" t="n"/>
      <c r="OXY94" s="248" t="n"/>
      <c r="OXZ94" s="248" t="n"/>
      <c r="OYA94" s="240" t="n"/>
      <c r="OYB94" s="240" t="n"/>
      <c r="OYD94" s="15" t="n"/>
      <c r="OYE94" s="15" t="n"/>
      <c r="OYF94" s="248" t="n"/>
      <c r="OYG94" s="248" t="n"/>
      <c r="OYH94" s="240" t="n"/>
      <c r="OYI94" s="240" t="n"/>
      <c r="OYK94" s="15" t="n"/>
      <c r="OYL94" s="15" t="n"/>
      <c r="OYM94" s="248" t="n"/>
      <c r="OYN94" s="248" t="n"/>
      <c r="OYO94" s="240" t="n"/>
      <c r="OYP94" s="240" t="n"/>
      <c r="OYR94" s="15" t="n"/>
      <c r="OYS94" s="15" t="n"/>
      <c r="OYT94" s="248" t="n"/>
      <c r="OYU94" s="248" t="n"/>
      <c r="OYV94" s="240" t="n"/>
      <c r="OYW94" s="240" t="n"/>
      <c r="OYY94" s="15" t="n"/>
      <c r="OYZ94" s="15" t="n"/>
      <c r="OZA94" s="248" t="n"/>
      <c r="OZB94" s="248" t="n"/>
      <c r="OZC94" s="240" t="n"/>
      <c r="OZD94" s="240" t="n"/>
      <c r="OZF94" s="15" t="n"/>
      <c r="OZG94" s="15" t="n"/>
      <c r="OZH94" s="248" t="n"/>
      <c r="OZI94" s="248" t="n"/>
      <c r="OZJ94" s="240" t="n"/>
      <c r="OZK94" s="240" t="n"/>
      <c r="OZM94" s="15" t="n"/>
      <c r="OZN94" s="15" t="n"/>
      <c r="OZO94" s="248" t="n"/>
      <c r="OZP94" s="248" t="n"/>
      <c r="OZQ94" s="240" t="n"/>
      <c r="OZR94" s="240" t="n"/>
      <c r="OZT94" s="15" t="n"/>
      <c r="OZU94" s="15" t="n"/>
      <c r="OZV94" s="248" t="n"/>
      <c r="OZW94" s="248" t="n"/>
      <c r="OZX94" s="240" t="n"/>
      <c r="OZY94" s="240" t="n"/>
      <c r="PAA94" s="15" t="n"/>
      <c r="PAB94" s="15" t="n"/>
      <c r="PAC94" s="248" t="n"/>
      <c r="PAD94" s="248" t="n"/>
      <c r="PAE94" s="240" t="n"/>
      <c r="PAF94" s="240" t="n"/>
      <c r="PAH94" s="15" t="n"/>
      <c r="PAI94" s="15" t="n"/>
      <c r="PAJ94" s="248" t="n"/>
      <c r="PAK94" s="248" t="n"/>
      <c r="PAL94" s="240" t="n"/>
      <c r="PAM94" s="240" t="n"/>
      <c r="PAO94" s="15" t="n"/>
      <c r="PAP94" s="15" t="n"/>
      <c r="PAQ94" s="248" t="n"/>
      <c r="PAR94" s="248" t="n"/>
      <c r="PAS94" s="240" t="n"/>
      <c r="PAT94" s="240" t="n"/>
      <c r="PAV94" s="15" t="n"/>
      <c r="PAW94" s="15" t="n"/>
      <c r="PAX94" s="248" t="n"/>
      <c r="PAY94" s="248" t="n"/>
      <c r="PAZ94" s="240" t="n"/>
      <c r="PBA94" s="240" t="n"/>
      <c r="PBC94" s="15" t="n"/>
      <c r="PBD94" s="15" t="n"/>
      <c r="PBE94" s="248" t="n"/>
      <c r="PBF94" s="248" t="n"/>
      <c r="PBG94" s="240" t="n"/>
      <c r="PBH94" s="240" t="n"/>
      <c r="PBJ94" s="15" t="n"/>
      <c r="PBK94" s="15" t="n"/>
      <c r="PBL94" s="248" t="n"/>
      <c r="PBM94" s="248" t="n"/>
      <c r="PBN94" s="240" t="n"/>
      <c r="PBO94" s="240" t="n"/>
      <c r="PBQ94" s="15" t="n"/>
      <c r="PBR94" s="15" t="n"/>
      <c r="PBS94" s="248" t="n"/>
      <c r="PBT94" s="248" t="n"/>
      <c r="PBU94" s="240" t="n"/>
      <c r="PBV94" s="240" t="n"/>
      <c r="PBX94" s="15" t="n"/>
      <c r="PBY94" s="15" t="n"/>
      <c r="PBZ94" s="248" t="n"/>
      <c r="PCA94" s="248" t="n"/>
      <c r="PCB94" s="240" t="n"/>
      <c r="PCC94" s="240" t="n"/>
      <c r="PCE94" s="15" t="n"/>
      <c r="PCF94" s="15" t="n"/>
      <c r="PCG94" s="248" t="n"/>
      <c r="PCH94" s="248" t="n"/>
      <c r="PCI94" s="240" t="n"/>
      <c r="PCJ94" s="240" t="n"/>
      <c r="PCL94" s="15" t="n"/>
      <c r="PCM94" s="15" t="n"/>
      <c r="PCN94" s="248" t="n"/>
      <c r="PCO94" s="248" t="n"/>
      <c r="PCP94" s="240" t="n"/>
      <c r="PCQ94" s="240" t="n"/>
      <c r="PCS94" s="15" t="n"/>
      <c r="PCT94" s="15" t="n"/>
      <c r="PCU94" s="248" t="n"/>
      <c r="PCV94" s="248" t="n"/>
      <c r="PCW94" s="240" t="n"/>
      <c r="PCX94" s="240" t="n"/>
      <c r="PCZ94" s="15" t="n"/>
      <c r="PDA94" s="15" t="n"/>
      <c r="PDB94" s="248" t="n"/>
      <c r="PDC94" s="248" t="n"/>
      <c r="PDD94" s="240" t="n"/>
      <c r="PDE94" s="240" t="n"/>
      <c r="PDG94" s="15" t="n"/>
      <c r="PDH94" s="15" t="n"/>
      <c r="PDI94" s="248" t="n"/>
      <c r="PDJ94" s="248" t="n"/>
      <c r="PDK94" s="240" t="n"/>
      <c r="PDL94" s="240" t="n"/>
      <c r="PDN94" s="15" t="n"/>
      <c r="PDO94" s="15" t="n"/>
      <c r="PDP94" s="248" t="n"/>
      <c r="PDQ94" s="248" t="n"/>
      <c r="PDR94" s="240" t="n"/>
      <c r="PDS94" s="240" t="n"/>
      <c r="PDU94" s="15" t="n"/>
      <c r="PDV94" s="15" t="n"/>
      <c r="PDW94" s="248" t="n"/>
      <c r="PDX94" s="248" t="n"/>
      <c r="PDY94" s="240" t="n"/>
      <c r="PDZ94" s="240" t="n"/>
      <c r="PEB94" s="15" t="n"/>
      <c r="PEC94" s="15" t="n"/>
      <c r="PED94" s="248" t="n"/>
      <c r="PEE94" s="248" t="n"/>
      <c r="PEF94" s="240" t="n"/>
      <c r="PEG94" s="240" t="n"/>
      <c r="PEI94" s="15" t="n"/>
      <c r="PEJ94" s="15" t="n"/>
      <c r="PEK94" s="248" t="n"/>
      <c r="PEL94" s="248" t="n"/>
      <c r="PEM94" s="240" t="n"/>
      <c r="PEN94" s="240" t="n"/>
      <c r="PEP94" s="15" t="n"/>
      <c r="PEQ94" s="15" t="n"/>
      <c r="PER94" s="248" t="n"/>
      <c r="PES94" s="248" t="n"/>
      <c r="PET94" s="240" t="n"/>
      <c r="PEU94" s="240" t="n"/>
      <c r="PEW94" s="15" t="n"/>
      <c r="PEX94" s="15" t="n"/>
      <c r="PEY94" s="248" t="n"/>
      <c r="PEZ94" s="248" t="n"/>
      <c r="PFA94" s="240" t="n"/>
      <c r="PFB94" s="240" t="n"/>
      <c r="PFD94" s="15" t="n"/>
      <c r="PFE94" s="15" t="n"/>
      <c r="PFF94" s="248" t="n"/>
      <c r="PFG94" s="248" t="n"/>
      <c r="PFH94" s="240" t="n"/>
      <c r="PFI94" s="240" t="n"/>
      <c r="PFK94" s="15" t="n"/>
      <c r="PFL94" s="15" t="n"/>
      <c r="PFM94" s="248" t="n"/>
      <c r="PFN94" s="248" t="n"/>
      <c r="PFO94" s="240" t="n"/>
      <c r="PFP94" s="240" t="n"/>
      <c r="PFR94" s="15" t="n"/>
      <c r="PFS94" s="15" t="n"/>
      <c r="PFT94" s="248" t="n"/>
      <c r="PFU94" s="248" t="n"/>
      <c r="PFV94" s="240" t="n"/>
      <c r="PFW94" s="240" t="n"/>
      <c r="PFY94" s="15" t="n"/>
      <c r="PFZ94" s="15" t="n"/>
      <c r="PGA94" s="248" t="n"/>
      <c r="PGB94" s="248" t="n"/>
      <c r="PGC94" s="240" t="n"/>
      <c r="PGD94" s="240" t="n"/>
      <c r="PGF94" s="15" t="n"/>
      <c r="PGG94" s="15" t="n"/>
      <c r="PGH94" s="248" t="n"/>
      <c r="PGI94" s="248" t="n"/>
      <c r="PGJ94" s="240" t="n"/>
      <c r="PGK94" s="240" t="n"/>
      <c r="PGM94" s="15" t="n"/>
      <c r="PGN94" s="15" t="n"/>
      <c r="PGO94" s="248" t="n"/>
      <c r="PGP94" s="248" t="n"/>
      <c r="PGQ94" s="240" t="n"/>
      <c r="PGR94" s="240" t="n"/>
      <c r="PGT94" s="15" t="n"/>
      <c r="PGU94" s="15" t="n"/>
      <c r="PGV94" s="248" t="n"/>
      <c r="PGW94" s="248" t="n"/>
      <c r="PGX94" s="240" t="n"/>
      <c r="PGY94" s="240" t="n"/>
      <c r="PHA94" s="15" t="n"/>
      <c r="PHB94" s="15" t="n"/>
      <c r="PHC94" s="248" t="n"/>
      <c r="PHD94" s="248" t="n"/>
      <c r="PHE94" s="240" t="n"/>
      <c r="PHF94" s="240" t="n"/>
      <c r="PHH94" s="15" t="n"/>
      <c r="PHI94" s="15" t="n"/>
      <c r="PHJ94" s="248" t="n"/>
      <c r="PHK94" s="248" t="n"/>
      <c r="PHL94" s="240" t="n"/>
      <c r="PHM94" s="240" t="n"/>
      <c r="PHO94" s="15" t="n"/>
      <c r="PHP94" s="15" t="n"/>
      <c r="PHQ94" s="248" t="n"/>
      <c r="PHR94" s="248" t="n"/>
      <c r="PHS94" s="240" t="n"/>
      <c r="PHT94" s="240" t="n"/>
      <c r="PHV94" s="15" t="n"/>
      <c r="PHW94" s="15" t="n"/>
      <c r="PHX94" s="248" t="n"/>
      <c r="PHY94" s="248" t="n"/>
      <c r="PHZ94" s="240" t="n"/>
      <c r="PIA94" s="240" t="n"/>
      <c r="PIC94" s="15" t="n"/>
      <c r="PID94" s="15" t="n"/>
      <c r="PIE94" s="248" t="n"/>
      <c r="PIF94" s="248" t="n"/>
      <c r="PIG94" s="240" t="n"/>
      <c r="PIH94" s="240" t="n"/>
      <c r="PIJ94" s="15" t="n"/>
      <c r="PIK94" s="15" t="n"/>
      <c r="PIL94" s="248" t="n"/>
      <c r="PIM94" s="248" t="n"/>
      <c r="PIN94" s="240" t="n"/>
      <c r="PIO94" s="240" t="n"/>
      <c r="PIQ94" s="15" t="n"/>
      <c r="PIR94" s="15" t="n"/>
      <c r="PIS94" s="248" t="n"/>
      <c r="PIT94" s="248" t="n"/>
      <c r="PIU94" s="240" t="n"/>
      <c r="PIV94" s="240" t="n"/>
      <c r="PIX94" s="15" t="n"/>
      <c r="PIY94" s="15" t="n"/>
      <c r="PIZ94" s="248" t="n"/>
      <c r="PJA94" s="248" t="n"/>
      <c r="PJB94" s="240" t="n"/>
      <c r="PJC94" s="240" t="n"/>
      <c r="PJE94" s="15" t="n"/>
      <c r="PJF94" s="15" t="n"/>
      <c r="PJG94" s="248" t="n"/>
      <c r="PJH94" s="248" t="n"/>
      <c r="PJI94" s="240" t="n"/>
      <c r="PJJ94" s="240" t="n"/>
      <c r="PJL94" s="15" t="n"/>
      <c r="PJM94" s="15" t="n"/>
      <c r="PJN94" s="248" t="n"/>
      <c r="PJO94" s="248" t="n"/>
      <c r="PJP94" s="240" t="n"/>
      <c r="PJQ94" s="240" t="n"/>
      <c r="PJS94" s="15" t="n"/>
      <c r="PJT94" s="15" t="n"/>
      <c r="PJU94" s="248" t="n"/>
      <c r="PJV94" s="248" t="n"/>
      <c r="PJW94" s="240" t="n"/>
      <c r="PJX94" s="240" t="n"/>
      <c r="PJZ94" s="15" t="n"/>
      <c r="PKA94" s="15" t="n"/>
      <c r="PKB94" s="248" t="n"/>
      <c r="PKC94" s="248" t="n"/>
      <c r="PKD94" s="240" t="n"/>
      <c r="PKE94" s="240" t="n"/>
      <c r="PKG94" s="15" t="n"/>
      <c r="PKH94" s="15" t="n"/>
      <c r="PKI94" s="248" t="n"/>
      <c r="PKJ94" s="248" t="n"/>
      <c r="PKK94" s="240" t="n"/>
      <c r="PKL94" s="240" t="n"/>
      <c r="PKN94" s="15" t="n"/>
      <c r="PKO94" s="15" t="n"/>
      <c r="PKP94" s="248" t="n"/>
      <c r="PKQ94" s="248" t="n"/>
      <c r="PKR94" s="240" t="n"/>
      <c r="PKS94" s="240" t="n"/>
      <c r="PKU94" s="15" t="n"/>
      <c r="PKV94" s="15" t="n"/>
      <c r="PKW94" s="248" t="n"/>
      <c r="PKX94" s="248" t="n"/>
      <c r="PKY94" s="240" t="n"/>
      <c r="PKZ94" s="240" t="n"/>
      <c r="PLB94" s="15" t="n"/>
      <c r="PLC94" s="15" t="n"/>
      <c r="PLD94" s="248" t="n"/>
      <c r="PLE94" s="248" t="n"/>
      <c r="PLF94" s="240" t="n"/>
      <c r="PLG94" s="240" t="n"/>
      <c r="PLI94" s="15" t="n"/>
      <c r="PLJ94" s="15" t="n"/>
      <c r="PLK94" s="248" t="n"/>
      <c r="PLL94" s="248" t="n"/>
      <c r="PLM94" s="240" t="n"/>
      <c r="PLN94" s="240" t="n"/>
      <c r="PLP94" s="15" t="n"/>
      <c r="PLQ94" s="15" t="n"/>
      <c r="PLR94" s="248" t="n"/>
      <c r="PLS94" s="248" t="n"/>
      <c r="PLT94" s="240" t="n"/>
      <c r="PLU94" s="240" t="n"/>
      <c r="PLW94" s="15" t="n"/>
      <c r="PLX94" s="15" t="n"/>
      <c r="PLY94" s="248" t="n"/>
      <c r="PLZ94" s="248" t="n"/>
      <c r="PMA94" s="240" t="n"/>
      <c r="PMB94" s="240" t="n"/>
      <c r="PMD94" s="15" t="n"/>
      <c r="PME94" s="15" t="n"/>
      <c r="PMF94" s="248" t="n"/>
      <c r="PMG94" s="248" t="n"/>
      <c r="PMH94" s="240" t="n"/>
      <c r="PMI94" s="240" t="n"/>
      <c r="PMK94" s="15" t="n"/>
      <c r="PML94" s="15" t="n"/>
      <c r="PMM94" s="248" t="n"/>
      <c r="PMN94" s="248" t="n"/>
      <c r="PMO94" s="240" t="n"/>
      <c r="PMP94" s="240" t="n"/>
      <c r="PMR94" s="15" t="n"/>
      <c r="PMS94" s="15" t="n"/>
      <c r="PMT94" s="248" t="n"/>
      <c r="PMU94" s="248" t="n"/>
      <c r="PMV94" s="240" t="n"/>
      <c r="PMW94" s="240" t="n"/>
      <c r="PMY94" s="15" t="n"/>
      <c r="PMZ94" s="15" t="n"/>
      <c r="PNA94" s="248" t="n"/>
      <c r="PNB94" s="248" t="n"/>
      <c r="PNC94" s="240" t="n"/>
      <c r="PND94" s="240" t="n"/>
      <c r="PNF94" s="15" t="n"/>
      <c r="PNG94" s="15" t="n"/>
      <c r="PNH94" s="248" t="n"/>
      <c r="PNI94" s="248" t="n"/>
      <c r="PNJ94" s="240" t="n"/>
      <c r="PNK94" s="240" t="n"/>
      <c r="PNM94" s="15" t="n"/>
      <c r="PNN94" s="15" t="n"/>
      <c r="PNO94" s="248" t="n"/>
      <c r="PNP94" s="248" t="n"/>
      <c r="PNQ94" s="240" t="n"/>
      <c r="PNR94" s="240" t="n"/>
      <c r="PNT94" s="15" t="n"/>
      <c r="PNU94" s="15" t="n"/>
      <c r="PNV94" s="248" t="n"/>
      <c r="PNW94" s="248" t="n"/>
      <c r="PNX94" s="240" t="n"/>
      <c r="PNY94" s="240" t="n"/>
      <c r="POA94" s="15" t="n"/>
      <c r="POB94" s="15" t="n"/>
      <c r="POC94" s="248" t="n"/>
      <c r="POD94" s="248" t="n"/>
      <c r="POE94" s="240" t="n"/>
      <c r="POF94" s="240" t="n"/>
      <c r="POH94" s="15" t="n"/>
      <c r="POI94" s="15" t="n"/>
      <c r="POJ94" s="248" t="n"/>
      <c r="POK94" s="248" t="n"/>
      <c r="POL94" s="240" t="n"/>
      <c r="POM94" s="240" t="n"/>
      <c r="POO94" s="15" t="n"/>
      <c r="POP94" s="15" t="n"/>
      <c r="POQ94" s="248" t="n"/>
      <c r="POR94" s="248" t="n"/>
      <c r="POS94" s="240" t="n"/>
      <c r="POT94" s="240" t="n"/>
      <c r="POV94" s="15" t="n"/>
      <c r="POW94" s="15" t="n"/>
      <c r="POX94" s="248" t="n"/>
      <c r="POY94" s="248" t="n"/>
      <c r="POZ94" s="240" t="n"/>
      <c r="PPA94" s="240" t="n"/>
      <c r="PPC94" s="15" t="n"/>
      <c r="PPD94" s="15" t="n"/>
      <c r="PPE94" s="248" t="n"/>
      <c r="PPF94" s="248" t="n"/>
      <c r="PPG94" s="240" t="n"/>
      <c r="PPH94" s="240" t="n"/>
      <c r="PPJ94" s="15" t="n"/>
      <c r="PPK94" s="15" t="n"/>
      <c r="PPL94" s="248" t="n"/>
      <c r="PPM94" s="248" t="n"/>
      <c r="PPN94" s="240" t="n"/>
      <c r="PPO94" s="240" t="n"/>
      <c r="PPQ94" s="15" t="n"/>
      <c r="PPR94" s="15" t="n"/>
      <c r="PPS94" s="248" t="n"/>
      <c r="PPT94" s="248" t="n"/>
      <c r="PPU94" s="240" t="n"/>
      <c r="PPV94" s="240" t="n"/>
      <c r="PPX94" s="15" t="n"/>
      <c r="PPY94" s="15" t="n"/>
      <c r="PPZ94" s="248" t="n"/>
      <c r="PQA94" s="248" t="n"/>
      <c r="PQB94" s="240" t="n"/>
      <c r="PQC94" s="240" t="n"/>
      <c r="PQE94" s="15" t="n"/>
      <c r="PQF94" s="15" t="n"/>
      <c r="PQG94" s="248" t="n"/>
      <c r="PQH94" s="248" t="n"/>
      <c r="PQI94" s="240" t="n"/>
      <c r="PQJ94" s="240" t="n"/>
      <c r="PQL94" s="15" t="n"/>
      <c r="PQM94" s="15" t="n"/>
      <c r="PQN94" s="248" t="n"/>
      <c r="PQO94" s="248" t="n"/>
      <c r="PQP94" s="240" t="n"/>
      <c r="PQQ94" s="240" t="n"/>
      <c r="PQS94" s="15" t="n"/>
      <c r="PQT94" s="15" t="n"/>
      <c r="PQU94" s="248" t="n"/>
      <c r="PQV94" s="248" t="n"/>
      <c r="PQW94" s="240" t="n"/>
      <c r="PQX94" s="240" t="n"/>
      <c r="PQZ94" s="15" t="n"/>
      <c r="PRA94" s="15" t="n"/>
      <c r="PRB94" s="248" t="n"/>
      <c r="PRC94" s="248" t="n"/>
      <c r="PRD94" s="240" t="n"/>
      <c r="PRE94" s="240" t="n"/>
      <c r="PRG94" s="15" t="n"/>
      <c r="PRH94" s="15" t="n"/>
      <c r="PRI94" s="248" t="n"/>
      <c r="PRJ94" s="248" t="n"/>
      <c r="PRK94" s="240" t="n"/>
      <c r="PRL94" s="240" t="n"/>
      <c r="PRN94" s="15" t="n"/>
      <c r="PRO94" s="15" t="n"/>
      <c r="PRP94" s="248" t="n"/>
      <c r="PRQ94" s="248" t="n"/>
      <c r="PRR94" s="240" t="n"/>
      <c r="PRS94" s="240" t="n"/>
      <c r="PRU94" s="15" t="n"/>
      <c r="PRV94" s="15" t="n"/>
      <c r="PRW94" s="248" t="n"/>
      <c r="PRX94" s="248" t="n"/>
      <c r="PRY94" s="240" t="n"/>
      <c r="PRZ94" s="240" t="n"/>
      <c r="PSB94" s="15" t="n"/>
      <c r="PSC94" s="15" t="n"/>
      <c r="PSD94" s="248" t="n"/>
      <c r="PSE94" s="248" t="n"/>
      <c r="PSF94" s="240" t="n"/>
      <c r="PSG94" s="240" t="n"/>
      <c r="PSI94" s="15" t="n"/>
      <c r="PSJ94" s="15" t="n"/>
      <c r="PSK94" s="248" t="n"/>
      <c r="PSL94" s="248" t="n"/>
      <c r="PSM94" s="240" t="n"/>
      <c r="PSN94" s="240" t="n"/>
      <c r="PSP94" s="15" t="n"/>
      <c r="PSQ94" s="15" t="n"/>
      <c r="PSR94" s="248" t="n"/>
      <c r="PSS94" s="248" t="n"/>
      <c r="PST94" s="240" t="n"/>
      <c r="PSU94" s="240" t="n"/>
      <c r="PSW94" s="15" t="n"/>
      <c r="PSX94" s="15" t="n"/>
      <c r="PSY94" s="248" t="n"/>
      <c r="PSZ94" s="248" t="n"/>
      <c r="PTA94" s="240" t="n"/>
      <c r="PTB94" s="240" t="n"/>
      <c r="PTD94" s="15" t="n"/>
      <c r="PTE94" s="15" t="n"/>
      <c r="PTF94" s="248" t="n"/>
      <c r="PTG94" s="248" t="n"/>
      <c r="PTH94" s="240" t="n"/>
      <c r="PTI94" s="240" t="n"/>
      <c r="PTK94" s="15" t="n"/>
      <c r="PTL94" s="15" t="n"/>
      <c r="PTM94" s="248" t="n"/>
      <c r="PTN94" s="248" t="n"/>
      <c r="PTO94" s="240" t="n"/>
      <c r="PTP94" s="240" t="n"/>
      <c r="PTR94" s="15" t="n"/>
      <c r="PTS94" s="15" t="n"/>
      <c r="PTT94" s="248" t="n"/>
      <c r="PTU94" s="248" t="n"/>
      <c r="PTV94" s="240" t="n"/>
      <c r="PTW94" s="240" t="n"/>
      <c r="PTY94" s="15" t="n"/>
      <c r="PTZ94" s="15" t="n"/>
      <c r="PUA94" s="248" t="n"/>
      <c r="PUB94" s="248" t="n"/>
      <c r="PUC94" s="240" t="n"/>
      <c r="PUD94" s="240" t="n"/>
      <c r="PUF94" s="15" t="n"/>
      <c r="PUG94" s="15" t="n"/>
      <c r="PUH94" s="248" t="n"/>
      <c r="PUI94" s="248" t="n"/>
      <c r="PUJ94" s="240" t="n"/>
      <c r="PUK94" s="240" t="n"/>
      <c r="PUM94" s="15" t="n"/>
      <c r="PUN94" s="15" t="n"/>
      <c r="PUO94" s="248" t="n"/>
      <c r="PUP94" s="248" t="n"/>
      <c r="PUQ94" s="240" t="n"/>
      <c r="PUR94" s="240" t="n"/>
      <c r="PUT94" s="15" t="n"/>
      <c r="PUU94" s="15" t="n"/>
      <c r="PUV94" s="248" t="n"/>
      <c r="PUW94" s="248" t="n"/>
      <c r="PUX94" s="240" t="n"/>
      <c r="PUY94" s="240" t="n"/>
      <c r="PVA94" s="15" t="n"/>
      <c r="PVB94" s="15" t="n"/>
      <c r="PVC94" s="248" t="n"/>
      <c r="PVD94" s="248" t="n"/>
      <c r="PVE94" s="240" t="n"/>
      <c r="PVF94" s="240" t="n"/>
      <c r="PVH94" s="15" t="n"/>
      <c r="PVI94" s="15" t="n"/>
      <c r="PVJ94" s="248" t="n"/>
      <c r="PVK94" s="248" t="n"/>
      <c r="PVL94" s="240" t="n"/>
      <c r="PVM94" s="240" t="n"/>
      <c r="PVO94" s="15" t="n"/>
      <c r="PVP94" s="15" t="n"/>
      <c r="PVQ94" s="248" t="n"/>
      <c r="PVR94" s="248" t="n"/>
      <c r="PVS94" s="240" t="n"/>
      <c r="PVT94" s="240" t="n"/>
      <c r="PVV94" s="15" t="n"/>
      <c r="PVW94" s="15" t="n"/>
      <c r="PVX94" s="248" t="n"/>
      <c r="PVY94" s="248" t="n"/>
      <c r="PVZ94" s="240" t="n"/>
      <c r="PWA94" s="240" t="n"/>
      <c r="PWC94" s="15" t="n"/>
      <c r="PWD94" s="15" t="n"/>
      <c r="PWE94" s="248" t="n"/>
      <c r="PWF94" s="248" t="n"/>
      <c r="PWG94" s="240" t="n"/>
      <c r="PWH94" s="240" t="n"/>
      <c r="PWJ94" s="15" t="n"/>
      <c r="PWK94" s="15" t="n"/>
      <c r="PWL94" s="248" t="n"/>
      <c r="PWM94" s="248" t="n"/>
      <c r="PWN94" s="240" t="n"/>
      <c r="PWO94" s="240" t="n"/>
      <c r="PWQ94" s="15" t="n"/>
      <c r="PWR94" s="15" t="n"/>
      <c r="PWS94" s="248" t="n"/>
      <c r="PWT94" s="248" t="n"/>
      <c r="PWU94" s="240" t="n"/>
      <c r="PWV94" s="240" t="n"/>
      <c r="PWX94" s="15" t="n"/>
      <c r="PWY94" s="15" t="n"/>
      <c r="PWZ94" s="248" t="n"/>
      <c r="PXA94" s="248" t="n"/>
      <c r="PXB94" s="240" t="n"/>
      <c r="PXC94" s="240" t="n"/>
      <c r="PXE94" s="15" t="n"/>
      <c r="PXF94" s="15" t="n"/>
      <c r="PXG94" s="248" t="n"/>
      <c r="PXH94" s="248" t="n"/>
      <c r="PXI94" s="240" t="n"/>
      <c r="PXJ94" s="240" t="n"/>
      <c r="PXL94" s="15" t="n"/>
      <c r="PXM94" s="15" t="n"/>
      <c r="PXN94" s="248" t="n"/>
      <c r="PXO94" s="248" t="n"/>
      <c r="PXP94" s="240" t="n"/>
      <c r="PXQ94" s="240" t="n"/>
      <c r="PXS94" s="15" t="n"/>
      <c r="PXT94" s="15" t="n"/>
      <c r="PXU94" s="248" t="n"/>
      <c r="PXV94" s="248" t="n"/>
      <c r="PXW94" s="240" t="n"/>
      <c r="PXX94" s="240" t="n"/>
      <c r="PXZ94" s="15" t="n"/>
      <c r="PYA94" s="15" t="n"/>
      <c r="PYB94" s="248" t="n"/>
      <c r="PYC94" s="248" t="n"/>
      <c r="PYD94" s="240" t="n"/>
      <c r="PYE94" s="240" t="n"/>
      <c r="PYG94" s="15" t="n"/>
      <c r="PYH94" s="15" t="n"/>
      <c r="PYI94" s="248" t="n"/>
      <c r="PYJ94" s="248" t="n"/>
      <c r="PYK94" s="240" t="n"/>
      <c r="PYL94" s="240" t="n"/>
      <c r="PYN94" s="15" t="n"/>
      <c r="PYO94" s="15" t="n"/>
      <c r="PYP94" s="248" t="n"/>
      <c r="PYQ94" s="248" t="n"/>
      <c r="PYR94" s="240" t="n"/>
      <c r="PYS94" s="240" t="n"/>
      <c r="PYU94" s="15" t="n"/>
      <c r="PYV94" s="15" t="n"/>
      <c r="PYW94" s="248" t="n"/>
      <c r="PYX94" s="248" t="n"/>
      <c r="PYY94" s="240" t="n"/>
      <c r="PYZ94" s="240" t="n"/>
      <c r="PZB94" s="15" t="n"/>
      <c r="PZC94" s="15" t="n"/>
      <c r="PZD94" s="248" t="n"/>
      <c r="PZE94" s="248" t="n"/>
      <c r="PZF94" s="240" t="n"/>
      <c r="PZG94" s="240" t="n"/>
      <c r="PZI94" s="15" t="n"/>
      <c r="PZJ94" s="15" t="n"/>
      <c r="PZK94" s="248" t="n"/>
      <c r="PZL94" s="248" t="n"/>
      <c r="PZM94" s="240" t="n"/>
      <c r="PZN94" s="240" t="n"/>
      <c r="PZP94" s="15" t="n"/>
      <c r="PZQ94" s="15" t="n"/>
      <c r="PZR94" s="248" t="n"/>
      <c r="PZS94" s="248" t="n"/>
      <c r="PZT94" s="240" t="n"/>
      <c r="PZU94" s="240" t="n"/>
      <c r="PZW94" s="15" t="n"/>
      <c r="PZX94" s="15" t="n"/>
      <c r="PZY94" s="248" t="n"/>
      <c r="PZZ94" s="248" t="n"/>
      <c r="QAA94" s="240" t="n"/>
      <c r="QAB94" s="240" t="n"/>
      <c r="QAD94" s="15" t="n"/>
      <c r="QAE94" s="15" t="n"/>
      <c r="QAF94" s="248" t="n"/>
      <c r="QAG94" s="248" t="n"/>
      <c r="QAH94" s="240" t="n"/>
      <c r="QAI94" s="240" t="n"/>
      <c r="QAK94" s="15" t="n"/>
      <c r="QAL94" s="15" t="n"/>
      <c r="QAM94" s="248" t="n"/>
      <c r="QAN94" s="248" t="n"/>
      <c r="QAO94" s="240" t="n"/>
      <c r="QAP94" s="240" t="n"/>
      <c r="QAR94" s="15" t="n"/>
      <c r="QAS94" s="15" t="n"/>
      <c r="QAT94" s="248" t="n"/>
      <c r="QAU94" s="248" t="n"/>
      <c r="QAV94" s="240" t="n"/>
      <c r="QAW94" s="240" t="n"/>
      <c r="QAY94" s="15" t="n"/>
      <c r="QAZ94" s="15" t="n"/>
      <c r="QBA94" s="248" t="n"/>
      <c r="QBB94" s="248" t="n"/>
      <c r="QBC94" s="240" t="n"/>
      <c r="QBD94" s="240" t="n"/>
      <c r="QBF94" s="15" t="n"/>
      <c r="QBG94" s="15" t="n"/>
      <c r="QBH94" s="248" t="n"/>
      <c r="QBI94" s="248" t="n"/>
      <c r="QBJ94" s="240" t="n"/>
      <c r="QBK94" s="240" t="n"/>
      <c r="QBM94" s="15" t="n"/>
      <c r="QBN94" s="15" t="n"/>
      <c r="QBO94" s="248" t="n"/>
      <c r="QBP94" s="248" t="n"/>
      <c r="QBQ94" s="240" t="n"/>
      <c r="QBR94" s="240" t="n"/>
      <c r="QBT94" s="15" t="n"/>
      <c r="QBU94" s="15" t="n"/>
      <c r="QBV94" s="248" t="n"/>
      <c r="QBW94" s="248" t="n"/>
      <c r="QBX94" s="240" t="n"/>
      <c r="QBY94" s="240" t="n"/>
      <c r="QCA94" s="15" t="n"/>
      <c r="QCB94" s="15" t="n"/>
      <c r="QCC94" s="248" t="n"/>
      <c r="QCD94" s="248" t="n"/>
      <c r="QCE94" s="240" t="n"/>
      <c r="QCF94" s="240" t="n"/>
      <c r="QCH94" s="15" t="n"/>
      <c r="QCI94" s="15" t="n"/>
      <c r="QCJ94" s="248" t="n"/>
      <c r="QCK94" s="248" t="n"/>
      <c r="QCL94" s="240" t="n"/>
      <c r="QCM94" s="240" t="n"/>
      <c r="QCO94" s="15" t="n"/>
      <c r="QCP94" s="15" t="n"/>
      <c r="QCQ94" s="248" t="n"/>
      <c r="QCR94" s="248" t="n"/>
      <c r="QCS94" s="240" t="n"/>
      <c r="QCT94" s="240" t="n"/>
      <c r="QCV94" s="15" t="n"/>
      <c r="QCW94" s="15" t="n"/>
      <c r="QCX94" s="248" t="n"/>
      <c r="QCY94" s="248" t="n"/>
      <c r="QCZ94" s="240" t="n"/>
      <c r="QDA94" s="240" t="n"/>
      <c r="QDC94" s="15" t="n"/>
      <c r="QDD94" s="15" t="n"/>
      <c r="QDE94" s="248" t="n"/>
      <c r="QDF94" s="248" t="n"/>
      <c r="QDG94" s="240" t="n"/>
      <c r="QDH94" s="240" t="n"/>
      <c r="QDJ94" s="15" t="n"/>
      <c r="QDK94" s="15" t="n"/>
      <c r="QDL94" s="248" t="n"/>
      <c r="QDM94" s="248" t="n"/>
      <c r="QDN94" s="240" t="n"/>
      <c r="QDO94" s="240" t="n"/>
      <c r="QDQ94" s="15" t="n"/>
      <c r="QDR94" s="15" t="n"/>
      <c r="QDS94" s="248" t="n"/>
      <c r="QDT94" s="248" t="n"/>
      <c r="QDU94" s="240" t="n"/>
      <c r="QDV94" s="240" t="n"/>
      <c r="QDX94" s="15" t="n"/>
      <c r="QDY94" s="15" t="n"/>
      <c r="QDZ94" s="248" t="n"/>
      <c r="QEA94" s="248" t="n"/>
      <c r="QEB94" s="240" t="n"/>
      <c r="QEC94" s="240" t="n"/>
      <c r="QEE94" s="15" t="n"/>
      <c r="QEF94" s="15" t="n"/>
      <c r="QEG94" s="248" t="n"/>
      <c r="QEH94" s="248" t="n"/>
      <c r="QEI94" s="240" t="n"/>
      <c r="QEJ94" s="240" t="n"/>
      <c r="QEL94" s="15" t="n"/>
      <c r="QEM94" s="15" t="n"/>
      <c r="QEN94" s="248" t="n"/>
      <c r="QEO94" s="248" t="n"/>
      <c r="QEP94" s="240" t="n"/>
      <c r="QEQ94" s="240" t="n"/>
      <c r="QES94" s="15" t="n"/>
      <c r="QET94" s="15" t="n"/>
      <c r="QEU94" s="248" t="n"/>
      <c r="QEV94" s="248" t="n"/>
      <c r="QEW94" s="240" t="n"/>
      <c r="QEX94" s="240" t="n"/>
      <c r="QEZ94" s="15" t="n"/>
      <c r="QFA94" s="15" t="n"/>
      <c r="QFB94" s="248" t="n"/>
      <c r="QFC94" s="248" t="n"/>
      <c r="QFD94" s="240" t="n"/>
      <c r="QFE94" s="240" t="n"/>
      <c r="QFG94" s="15" t="n"/>
      <c r="QFH94" s="15" t="n"/>
      <c r="QFI94" s="248" t="n"/>
      <c r="QFJ94" s="248" t="n"/>
      <c r="QFK94" s="240" t="n"/>
      <c r="QFL94" s="240" t="n"/>
      <c r="QFN94" s="15" t="n"/>
      <c r="QFO94" s="15" t="n"/>
      <c r="QFP94" s="248" t="n"/>
      <c r="QFQ94" s="248" t="n"/>
      <c r="QFR94" s="240" t="n"/>
      <c r="QFS94" s="240" t="n"/>
      <c r="QFU94" s="15" t="n"/>
      <c r="QFV94" s="15" t="n"/>
      <c r="QFW94" s="248" t="n"/>
      <c r="QFX94" s="248" t="n"/>
      <c r="QFY94" s="240" t="n"/>
      <c r="QFZ94" s="240" t="n"/>
      <c r="QGB94" s="15" t="n"/>
      <c r="QGC94" s="15" t="n"/>
      <c r="QGD94" s="248" t="n"/>
      <c r="QGE94" s="248" t="n"/>
      <c r="QGF94" s="240" t="n"/>
      <c r="QGG94" s="240" t="n"/>
      <c r="QGI94" s="15" t="n"/>
      <c r="QGJ94" s="15" t="n"/>
      <c r="QGK94" s="248" t="n"/>
      <c r="QGL94" s="248" t="n"/>
      <c r="QGM94" s="240" t="n"/>
      <c r="QGN94" s="240" t="n"/>
      <c r="QGP94" s="15" t="n"/>
      <c r="QGQ94" s="15" t="n"/>
      <c r="QGR94" s="248" t="n"/>
      <c r="QGS94" s="248" t="n"/>
      <c r="QGT94" s="240" t="n"/>
      <c r="QGU94" s="240" t="n"/>
      <c r="QGW94" s="15" t="n"/>
      <c r="QGX94" s="15" t="n"/>
      <c r="QGY94" s="248" t="n"/>
      <c r="QGZ94" s="248" t="n"/>
      <c r="QHA94" s="240" t="n"/>
      <c r="QHB94" s="240" t="n"/>
      <c r="QHD94" s="15" t="n"/>
      <c r="QHE94" s="15" t="n"/>
      <c r="QHF94" s="248" t="n"/>
      <c r="QHG94" s="248" t="n"/>
      <c r="QHH94" s="240" t="n"/>
      <c r="QHI94" s="240" t="n"/>
      <c r="QHK94" s="15" t="n"/>
      <c r="QHL94" s="15" t="n"/>
      <c r="QHM94" s="248" t="n"/>
      <c r="QHN94" s="248" t="n"/>
      <c r="QHO94" s="240" t="n"/>
      <c r="QHP94" s="240" t="n"/>
      <c r="QHR94" s="15" t="n"/>
      <c r="QHS94" s="15" t="n"/>
      <c r="QHT94" s="248" t="n"/>
      <c r="QHU94" s="248" t="n"/>
      <c r="QHV94" s="240" t="n"/>
      <c r="QHW94" s="240" t="n"/>
      <c r="QHY94" s="15" t="n"/>
      <c r="QHZ94" s="15" t="n"/>
      <c r="QIA94" s="248" t="n"/>
      <c r="QIB94" s="248" t="n"/>
      <c r="QIC94" s="240" t="n"/>
      <c r="QID94" s="240" t="n"/>
      <c r="QIF94" s="15" t="n"/>
      <c r="QIG94" s="15" t="n"/>
      <c r="QIH94" s="248" t="n"/>
      <c r="QII94" s="248" t="n"/>
      <c r="QIJ94" s="240" t="n"/>
      <c r="QIK94" s="240" t="n"/>
      <c r="QIM94" s="15" t="n"/>
      <c r="QIN94" s="15" t="n"/>
      <c r="QIO94" s="248" t="n"/>
      <c r="QIP94" s="248" t="n"/>
      <c r="QIQ94" s="240" t="n"/>
      <c r="QIR94" s="240" t="n"/>
      <c r="QIT94" s="15" t="n"/>
      <c r="QIU94" s="15" t="n"/>
      <c r="QIV94" s="248" t="n"/>
      <c r="QIW94" s="248" t="n"/>
      <c r="QIX94" s="240" t="n"/>
      <c r="QIY94" s="240" t="n"/>
      <c r="QJA94" s="15" t="n"/>
      <c r="QJB94" s="15" t="n"/>
      <c r="QJC94" s="248" t="n"/>
      <c r="QJD94" s="248" t="n"/>
      <c r="QJE94" s="240" t="n"/>
      <c r="QJF94" s="240" t="n"/>
      <c r="QJH94" s="15" t="n"/>
      <c r="QJI94" s="15" t="n"/>
      <c r="QJJ94" s="248" t="n"/>
      <c r="QJK94" s="248" t="n"/>
      <c r="QJL94" s="240" t="n"/>
      <c r="QJM94" s="240" t="n"/>
      <c r="QJO94" s="15" t="n"/>
      <c r="QJP94" s="15" t="n"/>
      <c r="QJQ94" s="248" t="n"/>
      <c r="QJR94" s="248" t="n"/>
      <c r="QJS94" s="240" t="n"/>
      <c r="QJT94" s="240" t="n"/>
      <c r="QJV94" s="15" t="n"/>
      <c r="QJW94" s="15" t="n"/>
      <c r="QJX94" s="248" t="n"/>
      <c r="QJY94" s="248" t="n"/>
      <c r="QJZ94" s="240" t="n"/>
      <c r="QKA94" s="240" t="n"/>
      <c r="QKC94" s="15" t="n"/>
      <c r="QKD94" s="15" t="n"/>
      <c r="QKE94" s="248" t="n"/>
      <c r="QKF94" s="248" t="n"/>
      <c r="QKG94" s="240" t="n"/>
      <c r="QKH94" s="240" t="n"/>
      <c r="QKJ94" s="15" t="n"/>
      <c r="QKK94" s="15" t="n"/>
      <c r="QKL94" s="248" t="n"/>
      <c r="QKM94" s="248" t="n"/>
      <c r="QKN94" s="240" t="n"/>
      <c r="QKO94" s="240" t="n"/>
      <c r="QKQ94" s="15" t="n"/>
      <c r="QKR94" s="15" t="n"/>
      <c r="QKS94" s="248" t="n"/>
      <c r="QKT94" s="248" t="n"/>
      <c r="QKU94" s="240" t="n"/>
      <c r="QKV94" s="240" t="n"/>
      <c r="QKX94" s="15" t="n"/>
      <c r="QKY94" s="15" t="n"/>
      <c r="QKZ94" s="248" t="n"/>
      <c r="QLA94" s="248" t="n"/>
      <c r="QLB94" s="240" t="n"/>
      <c r="QLC94" s="240" t="n"/>
      <c r="QLE94" s="15" t="n"/>
      <c r="QLF94" s="15" t="n"/>
      <c r="QLG94" s="248" t="n"/>
      <c r="QLH94" s="248" t="n"/>
      <c r="QLI94" s="240" t="n"/>
      <c r="QLJ94" s="240" t="n"/>
      <c r="QLL94" s="15" t="n"/>
      <c r="QLM94" s="15" t="n"/>
      <c r="QLN94" s="248" t="n"/>
      <c r="QLO94" s="248" t="n"/>
      <c r="QLP94" s="240" t="n"/>
      <c r="QLQ94" s="240" t="n"/>
      <c r="QLS94" s="15" t="n"/>
      <c r="QLT94" s="15" t="n"/>
      <c r="QLU94" s="248" t="n"/>
      <c r="QLV94" s="248" t="n"/>
      <c r="QLW94" s="240" t="n"/>
      <c r="QLX94" s="240" t="n"/>
      <c r="QLZ94" s="15" t="n"/>
      <c r="QMA94" s="15" t="n"/>
      <c r="QMB94" s="248" t="n"/>
      <c r="QMC94" s="248" t="n"/>
      <c r="QMD94" s="240" t="n"/>
      <c r="QME94" s="240" t="n"/>
      <c r="QMG94" s="15" t="n"/>
      <c r="QMH94" s="15" t="n"/>
      <c r="QMI94" s="248" t="n"/>
      <c r="QMJ94" s="248" t="n"/>
      <c r="QMK94" s="240" t="n"/>
      <c r="QML94" s="240" t="n"/>
      <c r="QMN94" s="15" t="n"/>
      <c r="QMO94" s="15" t="n"/>
      <c r="QMP94" s="248" t="n"/>
      <c r="QMQ94" s="248" t="n"/>
      <c r="QMR94" s="240" t="n"/>
      <c r="QMS94" s="240" t="n"/>
      <c r="QMU94" s="15" t="n"/>
      <c r="QMV94" s="15" t="n"/>
      <c r="QMW94" s="248" t="n"/>
      <c r="QMX94" s="248" t="n"/>
      <c r="QMY94" s="240" t="n"/>
      <c r="QMZ94" s="240" t="n"/>
      <c r="QNB94" s="15" t="n"/>
      <c r="QNC94" s="15" t="n"/>
      <c r="QND94" s="248" t="n"/>
      <c r="QNE94" s="248" t="n"/>
      <c r="QNF94" s="240" t="n"/>
      <c r="QNG94" s="240" t="n"/>
      <c r="QNI94" s="15" t="n"/>
      <c r="QNJ94" s="15" t="n"/>
      <c r="QNK94" s="248" t="n"/>
      <c r="QNL94" s="248" t="n"/>
      <c r="QNM94" s="240" t="n"/>
      <c r="QNN94" s="240" t="n"/>
      <c r="QNP94" s="15" t="n"/>
      <c r="QNQ94" s="15" t="n"/>
      <c r="QNR94" s="248" t="n"/>
      <c r="QNS94" s="248" t="n"/>
      <c r="QNT94" s="240" t="n"/>
      <c r="QNU94" s="240" t="n"/>
      <c r="QNW94" s="15" t="n"/>
      <c r="QNX94" s="15" t="n"/>
      <c r="QNY94" s="248" t="n"/>
      <c r="QNZ94" s="248" t="n"/>
      <c r="QOA94" s="240" t="n"/>
      <c r="QOB94" s="240" t="n"/>
      <c r="QOD94" s="15" t="n"/>
      <c r="QOE94" s="15" t="n"/>
      <c r="QOF94" s="248" t="n"/>
      <c r="QOG94" s="248" t="n"/>
      <c r="QOH94" s="240" t="n"/>
      <c r="QOI94" s="240" t="n"/>
      <c r="QOK94" s="15" t="n"/>
      <c r="QOL94" s="15" t="n"/>
      <c r="QOM94" s="248" t="n"/>
      <c r="QON94" s="248" t="n"/>
      <c r="QOO94" s="240" t="n"/>
      <c r="QOP94" s="240" t="n"/>
      <c r="QOR94" s="15" t="n"/>
      <c r="QOS94" s="15" t="n"/>
      <c r="QOT94" s="248" t="n"/>
      <c r="QOU94" s="248" t="n"/>
      <c r="QOV94" s="240" t="n"/>
      <c r="QOW94" s="240" t="n"/>
      <c r="QOY94" s="15" t="n"/>
      <c r="QOZ94" s="15" t="n"/>
      <c r="QPA94" s="248" t="n"/>
      <c r="QPB94" s="248" t="n"/>
      <c r="QPC94" s="240" t="n"/>
      <c r="QPD94" s="240" t="n"/>
      <c r="QPF94" s="15" t="n"/>
      <c r="QPG94" s="15" t="n"/>
      <c r="QPH94" s="248" t="n"/>
      <c r="QPI94" s="248" t="n"/>
      <c r="QPJ94" s="240" t="n"/>
      <c r="QPK94" s="240" t="n"/>
      <c r="QPM94" s="15" t="n"/>
      <c r="QPN94" s="15" t="n"/>
      <c r="QPO94" s="248" t="n"/>
      <c r="QPP94" s="248" t="n"/>
      <c r="QPQ94" s="240" t="n"/>
      <c r="QPR94" s="240" t="n"/>
      <c r="QPT94" s="15" t="n"/>
      <c r="QPU94" s="15" t="n"/>
      <c r="QPV94" s="248" t="n"/>
      <c r="QPW94" s="248" t="n"/>
      <c r="QPX94" s="240" t="n"/>
      <c r="QPY94" s="240" t="n"/>
      <c r="QQA94" s="15" t="n"/>
      <c r="QQB94" s="15" t="n"/>
      <c r="QQC94" s="248" t="n"/>
      <c r="QQD94" s="248" t="n"/>
      <c r="QQE94" s="240" t="n"/>
      <c r="QQF94" s="240" t="n"/>
      <c r="QQH94" s="15" t="n"/>
      <c r="QQI94" s="15" t="n"/>
      <c r="QQJ94" s="248" t="n"/>
      <c r="QQK94" s="248" t="n"/>
      <c r="QQL94" s="240" t="n"/>
      <c r="QQM94" s="240" t="n"/>
      <c r="QQO94" s="15" t="n"/>
      <c r="QQP94" s="15" t="n"/>
      <c r="QQQ94" s="248" t="n"/>
      <c r="QQR94" s="248" t="n"/>
      <c r="QQS94" s="240" t="n"/>
      <c r="QQT94" s="240" t="n"/>
      <c r="QQV94" s="15" t="n"/>
      <c r="QQW94" s="15" t="n"/>
      <c r="QQX94" s="248" t="n"/>
      <c r="QQY94" s="248" t="n"/>
      <c r="QQZ94" s="240" t="n"/>
      <c r="QRA94" s="240" t="n"/>
      <c r="QRC94" s="15" t="n"/>
      <c r="QRD94" s="15" t="n"/>
      <c r="QRE94" s="248" t="n"/>
      <c r="QRF94" s="248" t="n"/>
      <c r="QRG94" s="240" t="n"/>
      <c r="QRH94" s="240" t="n"/>
      <c r="QRJ94" s="15" t="n"/>
      <c r="QRK94" s="15" t="n"/>
      <c r="QRL94" s="248" t="n"/>
      <c r="QRM94" s="248" t="n"/>
      <c r="QRN94" s="240" t="n"/>
      <c r="QRO94" s="240" t="n"/>
      <c r="QRQ94" s="15" t="n"/>
      <c r="QRR94" s="15" t="n"/>
      <c r="QRS94" s="248" t="n"/>
      <c r="QRT94" s="248" t="n"/>
      <c r="QRU94" s="240" t="n"/>
      <c r="QRV94" s="240" t="n"/>
      <c r="QRX94" s="15" t="n"/>
      <c r="QRY94" s="15" t="n"/>
      <c r="QRZ94" s="248" t="n"/>
      <c r="QSA94" s="248" t="n"/>
      <c r="QSB94" s="240" t="n"/>
      <c r="QSC94" s="240" t="n"/>
      <c r="QSE94" s="15" t="n"/>
      <c r="QSF94" s="15" t="n"/>
      <c r="QSG94" s="248" t="n"/>
      <c r="QSH94" s="248" t="n"/>
      <c r="QSI94" s="240" t="n"/>
      <c r="QSJ94" s="240" t="n"/>
      <c r="QSL94" s="15" t="n"/>
      <c r="QSM94" s="15" t="n"/>
      <c r="QSN94" s="248" t="n"/>
      <c r="QSO94" s="248" t="n"/>
      <c r="QSP94" s="240" t="n"/>
      <c r="QSQ94" s="240" t="n"/>
      <c r="QSS94" s="15" t="n"/>
      <c r="QST94" s="15" t="n"/>
      <c r="QSU94" s="248" t="n"/>
      <c r="QSV94" s="248" t="n"/>
      <c r="QSW94" s="240" t="n"/>
      <c r="QSX94" s="240" t="n"/>
      <c r="QSZ94" s="15" t="n"/>
      <c r="QTA94" s="15" t="n"/>
      <c r="QTB94" s="248" t="n"/>
      <c r="QTC94" s="248" t="n"/>
      <c r="QTD94" s="240" t="n"/>
      <c r="QTE94" s="240" t="n"/>
      <c r="QTG94" s="15" t="n"/>
      <c r="QTH94" s="15" t="n"/>
      <c r="QTI94" s="248" t="n"/>
      <c r="QTJ94" s="248" t="n"/>
      <c r="QTK94" s="240" t="n"/>
      <c r="QTL94" s="240" t="n"/>
      <c r="QTN94" s="15" t="n"/>
      <c r="QTO94" s="15" t="n"/>
      <c r="QTP94" s="248" t="n"/>
      <c r="QTQ94" s="248" t="n"/>
      <c r="QTR94" s="240" t="n"/>
      <c r="QTS94" s="240" t="n"/>
      <c r="QTU94" s="15" t="n"/>
      <c r="QTV94" s="15" t="n"/>
      <c r="QTW94" s="248" t="n"/>
      <c r="QTX94" s="248" t="n"/>
      <c r="QTY94" s="240" t="n"/>
      <c r="QTZ94" s="240" t="n"/>
      <c r="QUB94" s="15" t="n"/>
      <c r="QUC94" s="15" t="n"/>
      <c r="QUD94" s="248" t="n"/>
      <c r="QUE94" s="248" t="n"/>
      <c r="QUF94" s="240" t="n"/>
      <c r="QUG94" s="240" t="n"/>
      <c r="QUI94" s="15" t="n"/>
      <c r="QUJ94" s="15" t="n"/>
      <c r="QUK94" s="248" t="n"/>
      <c r="QUL94" s="248" t="n"/>
      <c r="QUM94" s="240" t="n"/>
      <c r="QUN94" s="240" t="n"/>
      <c r="QUP94" s="15" t="n"/>
      <c r="QUQ94" s="15" t="n"/>
      <c r="QUR94" s="248" t="n"/>
      <c r="QUS94" s="248" t="n"/>
      <c r="QUT94" s="240" t="n"/>
      <c r="QUU94" s="240" t="n"/>
      <c r="QUW94" s="15" t="n"/>
      <c r="QUX94" s="15" t="n"/>
      <c r="QUY94" s="248" t="n"/>
      <c r="QUZ94" s="248" t="n"/>
      <c r="QVA94" s="240" t="n"/>
      <c r="QVB94" s="240" t="n"/>
      <c r="QVD94" s="15" t="n"/>
      <c r="QVE94" s="15" t="n"/>
      <c r="QVF94" s="248" t="n"/>
      <c r="QVG94" s="248" t="n"/>
      <c r="QVH94" s="240" t="n"/>
      <c r="QVI94" s="240" t="n"/>
      <c r="QVK94" s="15" t="n"/>
      <c r="QVL94" s="15" t="n"/>
      <c r="QVM94" s="248" t="n"/>
      <c r="QVN94" s="248" t="n"/>
      <c r="QVO94" s="240" t="n"/>
      <c r="QVP94" s="240" t="n"/>
      <c r="QVR94" s="15" t="n"/>
      <c r="QVS94" s="15" t="n"/>
      <c r="QVT94" s="248" t="n"/>
      <c r="QVU94" s="248" t="n"/>
      <c r="QVV94" s="240" t="n"/>
      <c r="QVW94" s="240" t="n"/>
      <c r="QVY94" s="15" t="n"/>
      <c r="QVZ94" s="15" t="n"/>
      <c r="QWA94" s="248" t="n"/>
      <c r="QWB94" s="248" t="n"/>
      <c r="QWC94" s="240" t="n"/>
      <c r="QWD94" s="240" t="n"/>
      <c r="QWF94" s="15" t="n"/>
      <c r="QWG94" s="15" t="n"/>
      <c r="QWH94" s="248" t="n"/>
      <c r="QWI94" s="248" t="n"/>
      <c r="QWJ94" s="240" t="n"/>
      <c r="QWK94" s="240" t="n"/>
      <c r="QWM94" s="15" t="n"/>
      <c r="QWN94" s="15" t="n"/>
      <c r="QWO94" s="248" t="n"/>
      <c r="QWP94" s="248" t="n"/>
      <c r="QWQ94" s="240" t="n"/>
      <c r="QWR94" s="240" t="n"/>
      <c r="QWT94" s="15" t="n"/>
      <c r="QWU94" s="15" t="n"/>
      <c r="QWV94" s="248" t="n"/>
      <c r="QWW94" s="248" t="n"/>
      <c r="QWX94" s="240" t="n"/>
      <c r="QWY94" s="240" t="n"/>
      <c r="QXA94" s="15" t="n"/>
      <c r="QXB94" s="15" t="n"/>
      <c r="QXC94" s="248" t="n"/>
      <c r="QXD94" s="248" t="n"/>
      <c r="QXE94" s="240" t="n"/>
      <c r="QXF94" s="240" t="n"/>
      <c r="QXH94" s="15" t="n"/>
      <c r="QXI94" s="15" t="n"/>
      <c r="QXJ94" s="248" t="n"/>
      <c r="QXK94" s="248" t="n"/>
      <c r="QXL94" s="240" t="n"/>
      <c r="QXM94" s="240" t="n"/>
      <c r="QXO94" s="15" t="n"/>
      <c r="QXP94" s="15" t="n"/>
      <c r="QXQ94" s="248" t="n"/>
      <c r="QXR94" s="248" t="n"/>
      <c r="QXS94" s="240" t="n"/>
      <c r="QXT94" s="240" t="n"/>
      <c r="QXV94" s="15" t="n"/>
      <c r="QXW94" s="15" t="n"/>
      <c r="QXX94" s="248" t="n"/>
      <c r="QXY94" s="248" t="n"/>
      <c r="QXZ94" s="240" t="n"/>
      <c r="QYA94" s="240" t="n"/>
      <c r="QYC94" s="15" t="n"/>
      <c r="QYD94" s="15" t="n"/>
      <c r="QYE94" s="248" t="n"/>
      <c r="QYF94" s="248" t="n"/>
      <c r="QYG94" s="240" t="n"/>
      <c r="QYH94" s="240" t="n"/>
      <c r="QYJ94" s="15" t="n"/>
      <c r="QYK94" s="15" t="n"/>
      <c r="QYL94" s="248" t="n"/>
      <c r="QYM94" s="248" t="n"/>
      <c r="QYN94" s="240" t="n"/>
      <c r="QYO94" s="240" t="n"/>
      <c r="QYQ94" s="15" t="n"/>
      <c r="QYR94" s="15" t="n"/>
      <c r="QYS94" s="248" t="n"/>
      <c r="QYT94" s="248" t="n"/>
      <c r="QYU94" s="240" t="n"/>
      <c r="QYV94" s="240" t="n"/>
      <c r="QYX94" s="15" t="n"/>
      <c r="QYY94" s="15" t="n"/>
      <c r="QYZ94" s="248" t="n"/>
      <c r="QZA94" s="248" t="n"/>
      <c r="QZB94" s="240" t="n"/>
      <c r="QZC94" s="240" t="n"/>
      <c r="QZE94" s="15" t="n"/>
      <c r="QZF94" s="15" t="n"/>
      <c r="QZG94" s="248" t="n"/>
      <c r="QZH94" s="248" t="n"/>
      <c r="QZI94" s="240" t="n"/>
      <c r="QZJ94" s="240" t="n"/>
      <c r="QZL94" s="15" t="n"/>
      <c r="QZM94" s="15" t="n"/>
      <c r="QZN94" s="248" t="n"/>
      <c r="QZO94" s="248" t="n"/>
      <c r="QZP94" s="240" t="n"/>
      <c r="QZQ94" s="240" t="n"/>
      <c r="QZS94" s="15" t="n"/>
      <c r="QZT94" s="15" t="n"/>
      <c r="QZU94" s="248" t="n"/>
      <c r="QZV94" s="248" t="n"/>
      <c r="QZW94" s="240" t="n"/>
      <c r="QZX94" s="240" t="n"/>
      <c r="QZZ94" s="15" t="n"/>
      <c r="RAA94" s="15" t="n"/>
      <c r="RAB94" s="248" t="n"/>
      <c r="RAC94" s="248" t="n"/>
      <c r="RAD94" s="240" t="n"/>
      <c r="RAE94" s="240" t="n"/>
      <c r="RAG94" s="15" t="n"/>
      <c r="RAH94" s="15" t="n"/>
      <c r="RAI94" s="248" t="n"/>
      <c r="RAJ94" s="248" t="n"/>
      <c r="RAK94" s="240" t="n"/>
      <c r="RAL94" s="240" t="n"/>
      <c r="RAN94" s="15" t="n"/>
      <c r="RAO94" s="15" t="n"/>
      <c r="RAP94" s="248" t="n"/>
      <c r="RAQ94" s="248" t="n"/>
      <c r="RAR94" s="240" t="n"/>
      <c r="RAS94" s="240" t="n"/>
      <c r="RAU94" s="15" t="n"/>
      <c r="RAV94" s="15" t="n"/>
      <c r="RAW94" s="248" t="n"/>
      <c r="RAX94" s="248" t="n"/>
      <c r="RAY94" s="240" t="n"/>
      <c r="RAZ94" s="240" t="n"/>
      <c r="RBB94" s="15" t="n"/>
      <c r="RBC94" s="15" t="n"/>
      <c r="RBD94" s="248" t="n"/>
      <c r="RBE94" s="248" t="n"/>
      <c r="RBF94" s="240" t="n"/>
      <c r="RBG94" s="240" t="n"/>
      <c r="RBI94" s="15" t="n"/>
      <c r="RBJ94" s="15" t="n"/>
      <c r="RBK94" s="248" t="n"/>
      <c r="RBL94" s="248" t="n"/>
      <c r="RBM94" s="240" t="n"/>
      <c r="RBN94" s="240" t="n"/>
      <c r="RBP94" s="15" t="n"/>
      <c r="RBQ94" s="15" t="n"/>
      <c r="RBR94" s="248" t="n"/>
      <c r="RBS94" s="248" t="n"/>
      <c r="RBT94" s="240" t="n"/>
      <c r="RBU94" s="240" t="n"/>
      <c r="RBW94" s="15" t="n"/>
      <c r="RBX94" s="15" t="n"/>
      <c r="RBY94" s="248" t="n"/>
      <c r="RBZ94" s="248" t="n"/>
      <c r="RCA94" s="240" t="n"/>
      <c r="RCB94" s="240" t="n"/>
      <c r="RCD94" s="15" t="n"/>
      <c r="RCE94" s="15" t="n"/>
      <c r="RCF94" s="248" t="n"/>
      <c r="RCG94" s="248" t="n"/>
      <c r="RCH94" s="240" t="n"/>
      <c r="RCI94" s="240" t="n"/>
      <c r="RCK94" s="15" t="n"/>
      <c r="RCL94" s="15" t="n"/>
      <c r="RCM94" s="248" t="n"/>
      <c r="RCN94" s="248" t="n"/>
      <c r="RCO94" s="240" t="n"/>
      <c r="RCP94" s="240" t="n"/>
      <c r="RCR94" s="15" t="n"/>
      <c r="RCS94" s="15" t="n"/>
      <c r="RCT94" s="248" t="n"/>
      <c r="RCU94" s="248" t="n"/>
      <c r="RCV94" s="240" t="n"/>
      <c r="RCW94" s="240" t="n"/>
      <c r="RCY94" s="15" t="n"/>
      <c r="RCZ94" s="15" t="n"/>
      <c r="RDA94" s="248" t="n"/>
      <c r="RDB94" s="248" t="n"/>
      <c r="RDC94" s="240" t="n"/>
      <c r="RDD94" s="240" t="n"/>
      <c r="RDF94" s="15" t="n"/>
      <c r="RDG94" s="15" t="n"/>
      <c r="RDH94" s="248" t="n"/>
      <c r="RDI94" s="248" t="n"/>
      <c r="RDJ94" s="240" t="n"/>
      <c r="RDK94" s="240" t="n"/>
      <c r="RDM94" s="15" t="n"/>
      <c r="RDN94" s="15" t="n"/>
      <c r="RDO94" s="248" t="n"/>
      <c r="RDP94" s="248" t="n"/>
      <c r="RDQ94" s="240" t="n"/>
      <c r="RDR94" s="240" t="n"/>
      <c r="RDT94" s="15" t="n"/>
      <c r="RDU94" s="15" t="n"/>
      <c r="RDV94" s="248" t="n"/>
      <c r="RDW94" s="248" t="n"/>
      <c r="RDX94" s="240" t="n"/>
      <c r="RDY94" s="240" t="n"/>
      <c r="REA94" s="15" t="n"/>
      <c r="REB94" s="15" t="n"/>
      <c r="REC94" s="248" t="n"/>
      <c r="RED94" s="248" t="n"/>
      <c r="REE94" s="240" t="n"/>
      <c r="REF94" s="240" t="n"/>
      <c r="REH94" s="15" t="n"/>
      <c r="REI94" s="15" t="n"/>
      <c r="REJ94" s="248" t="n"/>
      <c r="REK94" s="248" t="n"/>
      <c r="REL94" s="240" t="n"/>
      <c r="REM94" s="240" t="n"/>
      <c r="REO94" s="15" t="n"/>
      <c r="REP94" s="15" t="n"/>
      <c r="REQ94" s="248" t="n"/>
      <c r="RER94" s="248" t="n"/>
      <c r="RES94" s="240" t="n"/>
      <c r="RET94" s="240" t="n"/>
      <c r="REV94" s="15" t="n"/>
      <c r="REW94" s="15" t="n"/>
      <c r="REX94" s="248" t="n"/>
      <c r="REY94" s="248" t="n"/>
      <c r="REZ94" s="240" t="n"/>
      <c r="RFA94" s="240" t="n"/>
      <c r="RFC94" s="15" t="n"/>
      <c r="RFD94" s="15" t="n"/>
      <c r="RFE94" s="248" t="n"/>
      <c r="RFF94" s="248" t="n"/>
      <c r="RFG94" s="240" t="n"/>
      <c r="RFH94" s="240" t="n"/>
      <c r="RFJ94" s="15" t="n"/>
      <c r="RFK94" s="15" t="n"/>
      <c r="RFL94" s="248" t="n"/>
      <c r="RFM94" s="248" t="n"/>
      <c r="RFN94" s="240" t="n"/>
      <c r="RFO94" s="240" t="n"/>
      <c r="RFQ94" s="15" t="n"/>
      <c r="RFR94" s="15" t="n"/>
      <c r="RFS94" s="248" t="n"/>
      <c r="RFT94" s="248" t="n"/>
      <c r="RFU94" s="240" t="n"/>
      <c r="RFV94" s="240" t="n"/>
      <c r="RFX94" s="15" t="n"/>
      <c r="RFY94" s="15" t="n"/>
      <c r="RFZ94" s="248" t="n"/>
      <c r="RGA94" s="248" t="n"/>
      <c r="RGB94" s="240" t="n"/>
      <c r="RGC94" s="240" t="n"/>
      <c r="RGE94" s="15" t="n"/>
      <c r="RGF94" s="15" t="n"/>
      <c r="RGG94" s="248" t="n"/>
      <c r="RGH94" s="248" t="n"/>
      <c r="RGI94" s="240" t="n"/>
      <c r="RGJ94" s="240" t="n"/>
      <c r="RGL94" s="15" t="n"/>
      <c r="RGM94" s="15" t="n"/>
      <c r="RGN94" s="248" t="n"/>
      <c r="RGO94" s="248" t="n"/>
      <c r="RGP94" s="240" t="n"/>
      <c r="RGQ94" s="240" t="n"/>
      <c r="RGS94" s="15" t="n"/>
      <c r="RGT94" s="15" t="n"/>
      <c r="RGU94" s="248" t="n"/>
      <c r="RGV94" s="248" t="n"/>
      <c r="RGW94" s="240" t="n"/>
      <c r="RGX94" s="240" t="n"/>
      <c r="RGZ94" s="15" t="n"/>
      <c r="RHA94" s="15" t="n"/>
      <c r="RHB94" s="248" t="n"/>
      <c r="RHC94" s="248" t="n"/>
      <c r="RHD94" s="240" t="n"/>
      <c r="RHE94" s="240" t="n"/>
      <c r="RHG94" s="15" t="n"/>
      <c r="RHH94" s="15" t="n"/>
      <c r="RHI94" s="248" t="n"/>
      <c r="RHJ94" s="248" t="n"/>
      <c r="RHK94" s="240" t="n"/>
      <c r="RHL94" s="240" t="n"/>
      <c r="RHN94" s="15" t="n"/>
      <c r="RHO94" s="15" t="n"/>
      <c r="RHP94" s="248" t="n"/>
      <c r="RHQ94" s="248" t="n"/>
      <c r="RHR94" s="240" t="n"/>
      <c r="RHS94" s="240" t="n"/>
      <c r="RHU94" s="15" t="n"/>
      <c r="RHV94" s="15" t="n"/>
      <c r="RHW94" s="248" t="n"/>
      <c r="RHX94" s="248" t="n"/>
      <c r="RHY94" s="240" t="n"/>
      <c r="RHZ94" s="240" t="n"/>
      <c r="RIB94" s="15" t="n"/>
      <c r="RIC94" s="15" t="n"/>
      <c r="RID94" s="248" t="n"/>
      <c r="RIE94" s="248" t="n"/>
      <c r="RIF94" s="240" t="n"/>
      <c r="RIG94" s="240" t="n"/>
      <c r="RII94" s="15" t="n"/>
      <c r="RIJ94" s="15" t="n"/>
      <c r="RIK94" s="248" t="n"/>
      <c r="RIL94" s="248" t="n"/>
      <c r="RIM94" s="240" t="n"/>
      <c r="RIN94" s="240" t="n"/>
      <c r="RIP94" s="15" t="n"/>
      <c r="RIQ94" s="15" t="n"/>
      <c r="RIR94" s="248" t="n"/>
      <c r="RIS94" s="248" t="n"/>
      <c r="RIT94" s="240" t="n"/>
      <c r="RIU94" s="240" t="n"/>
      <c r="RIW94" s="15" t="n"/>
      <c r="RIX94" s="15" t="n"/>
      <c r="RIY94" s="248" t="n"/>
      <c r="RIZ94" s="248" t="n"/>
      <c r="RJA94" s="240" t="n"/>
      <c r="RJB94" s="240" t="n"/>
      <c r="RJD94" s="15" t="n"/>
      <c r="RJE94" s="15" t="n"/>
      <c r="RJF94" s="248" t="n"/>
      <c r="RJG94" s="248" t="n"/>
      <c r="RJH94" s="240" t="n"/>
      <c r="RJI94" s="240" t="n"/>
      <c r="RJK94" s="15" t="n"/>
      <c r="RJL94" s="15" t="n"/>
      <c r="RJM94" s="248" t="n"/>
      <c r="RJN94" s="248" t="n"/>
      <c r="RJO94" s="240" t="n"/>
      <c r="RJP94" s="240" t="n"/>
      <c r="RJR94" s="15" t="n"/>
      <c r="RJS94" s="15" t="n"/>
      <c r="RJT94" s="248" t="n"/>
      <c r="RJU94" s="248" t="n"/>
      <c r="RJV94" s="240" t="n"/>
      <c r="RJW94" s="240" t="n"/>
      <c r="RJY94" s="15" t="n"/>
      <c r="RJZ94" s="15" t="n"/>
      <c r="RKA94" s="248" t="n"/>
      <c r="RKB94" s="248" t="n"/>
      <c r="RKC94" s="240" t="n"/>
      <c r="RKD94" s="240" t="n"/>
      <c r="RKF94" s="15" t="n"/>
      <c r="RKG94" s="15" t="n"/>
      <c r="RKH94" s="248" t="n"/>
      <c r="RKI94" s="248" t="n"/>
      <c r="RKJ94" s="240" t="n"/>
      <c r="RKK94" s="240" t="n"/>
      <c r="RKM94" s="15" t="n"/>
      <c r="RKN94" s="15" t="n"/>
      <c r="RKO94" s="248" t="n"/>
      <c r="RKP94" s="248" t="n"/>
      <c r="RKQ94" s="240" t="n"/>
      <c r="RKR94" s="240" t="n"/>
      <c r="RKT94" s="15" t="n"/>
      <c r="RKU94" s="15" t="n"/>
      <c r="RKV94" s="248" t="n"/>
      <c r="RKW94" s="248" t="n"/>
      <c r="RKX94" s="240" t="n"/>
      <c r="RKY94" s="240" t="n"/>
      <c r="RLA94" s="15" t="n"/>
      <c r="RLB94" s="15" t="n"/>
      <c r="RLC94" s="248" t="n"/>
      <c r="RLD94" s="248" t="n"/>
      <c r="RLE94" s="240" t="n"/>
      <c r="RLF94" s="240" t="n"/>
      <c r="RLH94" s="15" t="n"/>
      <c r="RLI94" s="15" t="n"/>
      <c r="RLJ94" s="248" t="n"/>
      <c r="RLK94" s="248" t="n"/>
      <c r="RLL94" s="240" t="n"/>
      <c r="RLM94" s="240" t="n"/>
      <c r="RLO94" s="15" t="n"/>
      <c r="RLP94" s="15" t="n"/>
      <c r="RLQ94" s="248" t="n"/>
      <c r="RLR94" s="248" t="n"/>
      <c r="RLS94" s="240" t="n"/>
      <c r="RLT94" s="240" t="n"/>
      <c r="RLV94" s="15" t="n"/>
      <c r="RLW94" s="15" t="n"/>
      <c r="RLX94" s="248" t="n"/>
      <c r="RLY94" s="248" t="n"/>
      <c r="RLZ94" s="240" t="n"/>
      <c r="RMA94" s="240" t="n"/>
      <c r="RMC94" s="15" t="n"/>
      <c r="RMD94" s="15" t="n"/>
      <c r="RME94" s="248" t="n"/>
      <c r="RMF94" s="248" t="n"/>
      <c r="RMG94" s="240" t="n"/>
      <c r="RMH94" s="240" t="n"/>
      <c r="RMJ94" s="15" t="n"/>
      <c r="RMK94" s="15" t="n"/>
      <c r="RML94" s="248" t="n"/>
      <c r="RMM94" s="248" t="n"/>
      <c r="RMN94" s="240" t="n"/>
      <c r="RMO94" s="240" t="n"/>
      <c r="RMQ94" s="15" t="n"/>
      <c r="RMR94" s="15" t="n"/>
      <c r="RMS94" s="248" t="n"/>
      <c r="RMT94" s="248" t="n"/>
      <c r="RMU94" s="240" t="n"/>
      <c r="RMV94" s="240" t="n"/>
      <c r="RMX94" s="15" t="n"/>
      <c r="RMY94" s="15" t="n"/>
      <c r="RMZ94" s="248" t="n"/>
      <c r="RNA94" s="248" t="n"/>
      <c r="RNB94" s="240" t="n"/>
      <c r="RNC94" s="240" t="n"/>
      <c r="RNE94" s="15" t="n"/>
      <c r="RNF94" s="15" t="n"/>
      <c r="RNG94" s="248" t="n"/>
      <c r="RNH94" s="248" t="n"/>
      <c r="RNI94" s="240" t="n"/>
      <c r="RNJ94" s="240" t="n"/>
      <c r="RNL94" s="15" t="n"/>
      <c r="RNM94" s="15" t="n"/>
      <c r="RNN94" s="248" t="n"/>
      <c r="RNO94" s="248" t="n"/>
      <c r="RNP94" s="240" t="n"/>
      <c r="RNQ94" s="240" t="n"/>
      <c r="RNS94" s="15" t="n"/>
      <c r="RNT94" s="15" t="n"/>
      <c r="RNU94" s="248" t="n"/>
      <c r="RNV94" s="248" t="n"/>
      <c r="RNW94" s="240" t="n"/>
      <c r="RNX94" s="240" t="n"/>
      <c r="RNZ94" s="15" t="n"/>
      <c r="ROA94" s="15" t="n"/>
      <c r="ROB94" s="248" t="n"/>
      <c r="ROC94" s="248" t="n"/>
      <c r="ROD94" s="240" t="n"/>
      <c r="ROE94" s="240" t="n"/>
      <c r="ROG94" s="15" t="n"/>
      <c r="ROH94" s="15" t="n"/>
      <c r="ROI94" s="248" t="n"/>
      <c r="ROJ94" s="248" t="n"/>
      <c r="ROK94" s="240" t="n"/>
      <c r="ROL94" s="240" t="n"/>
      <c r="RON94" s="15" t="n"/>
      <c r="ROO94" s="15" t="n"/>
      <c r="ROP94" s="248" t="n"/>
      <c r="ROQ94" s="248" t="n"/>
      <c r="ROR94" s="240" t="n"/>
      <c r="ROS94" s="240" t="n"/>
      <c r="ROU94" s="15" t="n"/>
      <c r="ROV94" s="15" t="n"/>
      <c r="ROW94" s="248" t="n"/>
      <c r="ROX94" s="248" t="n"/>
      <c r="ROY94" s="240" t="n"/>
      <c r="ROZ94" s="240" t="n"/>
      <c r="RPB94" s="15" t="n"/>
      <c r="RPC94" s="15" t="n"/>
      <c r="RPD94" s="248" t="n"/>
      <c r="RPE94" s="248" t="n"/>
      <c r="RPF94" s="240" t="n"/>
      <c r="RPG94" s="240" t="n"/>
      <c r="RPI94" s="15" t="n"/>
      <c r="RPJ94" s="15" t="n"/>
      <c r="RPK94" s="248" t="n"/>
      <c r="RPL94" s="248" t="n"/>
      <c r="RPM94" s="240" t="n"/>
      <c r="RPN94" s="240" t="n"/>
      <c r="RPP94" s="15" t="n"/>
      <c r="RPQ94" s="15" t="n"/>
      <c r="RPR94" s="248" t="n"/>
      <c r="RPS94" s="248" t="n"/>
      <c r="RPT94" s="240" t="n"/>
      <c r="RPU94" s="240" t="n"/>
      <c r="RPW94" s="15" t="n"/>
      <c r="RPX94" s="15" t="n"/>
      <c r="RPY94" s="248" t="n"/>
      <c r="RPZ94" s="248" t="n"/>
      <c r="RQA94" s="240" t="n"/>
      <c r="RQB94" s="240" t="n"/>
      <c r="RQD94" s="15" t="n"/>
      <c r="RQE94" s="15" t="n"/>
      <c r="RQF94" s="248" t="n"/>
      <c r="RQG94" s="248" t="n"/>
      <c r="RQH94" s="240" t="n"/>
      <c r="RQI94" s="240" t="n"/>
      <c r="RQK94" s="15" t="n"/>
      <c r="RQL94" s="15" t="n"/>
      <c r="RQM94" s="248" t="n"/>
      <c r="RQN94" s="248" t="n"/>
      <c r="RQO94" s="240" t="n"/>
      <c r="RQP94" s="240" t="n"/>
      <c r="RQR94" s="15" t="n"/>
      <c r="RQS94" s="15" t="n"/>
      <c r="RQT94" s="248" t="n"/>
      <c r="RQU94" s="248" t="n"/>
      <c r="RQV94" s="240" t="n"/>
      <c r="RQW94" s="240" t="n"/>
      <c r="RQY94" s="15" t="n"/>
      <c r="RQZ94" s="15" t="n"/>
      <c r="RRA94" s="248" t="n"/>
      <c r="RRB94" s="248" t="n"/>
      <c r="RRC94" s="240" t="n"/>
      <c r="RRD94" s="240" t="n"/>
      <c r="RRF94" s="15" t="n"/>
      <c r="RRG94" s="15" t="n"/>
      <c r="RRH94" s="248" t="n"/>
      <c r="RRI94" s="248" t="n"/>
      <c r="RRJ94" s="240" t="n"/>
      <c r="RRK94" s="240" t="n"/>
      <c r="RRM94" s="15" t="n"/>
      <c r="RRN94" s="15" t="n"/>
      <c r="RRO94" s="248" t="n"/>
      <c r="RRP94" s="248" t="n"/>
      <c r="RRQ94" s="240" t="n"/>
      <c r="RRR94" s="240" t="n"/>
      <c r="RRT94" s="15" t="n"/>
      <c r="RRU94" s="15" t="n"/>
      <c r="RRV94" s="248" t="n"/>
      <c r="RRW94" s="248" t="n"/>
      <c r="RRX94" s="240" t="n"/>
      <c r="RRY94" s="240" t="n"/>
      <c r="RSA94" s="15" t="n"/>
      <c r="RSB94" s="15" t="n"/>
      <c r="RSC94" s="248" t="n"/>
      <c r="RSD94" s="248" t="n"/>
      <c r="RSE94" s="240" t="n"/>
      <c r="RSF94" s="240" t="n"/>
      <c r="RSH94" s="15" t="n"/>
      <c r="RSI94" s="15" t="n"/>
      <c r="RSJ94" s="248" t="n"/>
      <c r="RSK94" s="248" t="n"/>
      <c r="RSL94" s="240" t="n"/>
      <c r="RSM94" s="240" t="n"/>
      <c r="RSO94" s="15" t="n"/>
      <c r="RSP94" s="15" t="n"/>
      <c r="RSQ94" s="248" t="n"/>
      <c r="RSR94" s="248" t="n"/>
      <c r="RSS94" s="240" t="n"/>
      <c r="RST94" s="240" t="n"/>
      <c r="RSV94" s="15" t="n"/>
      <c r="RSW94" s="15" t="n"/>
      <c r="RSX94" s="248" t="n"/>
      <c r="RSY94" s="248" t="n"/>
      <c r="RSZ94" s="240" t="n"/>
      <c r="RTA94" s="240" t="n"/>
      <c r="RTC94" s="15" t="n"/>
      <c r="RTD94" s="15" t="n"/>
      <c r="RTE94" s="248" t="n"/>
      <c r="RTF94" s="248" t="n"/>
      <c r="RTG94" s="240" t="n"/>
      <c r="RTH94" s="240" t="n"/>
      <c r="RTJ94" s="15" t="n"/>
      <c r="RTK94" s="15" t="n"/>
      <c r="RTL94" s="248" t="n"/>
      <c r="RTM94" s="248" t="n"/>
      <c r="RTN94" s="240" t="n"/>
      <c r="RTO94" s="240" t="n"/>
      <c r="RTQ94" s="15" t="n"/>
      <c r="RTR94" s="15" t="n"/>
      <c r="RTS94" s="248" t="n"/>
      <c r="RTT94" s="248" t="n"/>
      <c r="RTU94" s="240" t="n"/>
      <c r="RTV94" s="240" t="n"/>
      <c r="RTX94" s="15" t="n"/>
      <c r="RTY94" s="15" t="n"/>
      <c r="RTZ94" s="248" t="n"/>
      <c r="RUA94" s="248" t="n"/>
      <c r="RUB94" s="240" t="n"/>
      <c r="RUC94" s="240" t="n"/>
      <c r="RUE94" s="15" t="n"/>
      <c r="RUF94" s="15" t="n"/>
      <c r="RUG94" s="248" t="n"/>
      <c r="RUH94" s="248" t="n"/>
      <c r="RUI94" s="240" t="n"/>
      <c r="RUJ94" s="240" t="n"/>
      <c r="RUL94" s="15" t="n"/>
      <c r="RUM94" s="15" t="n"/>
      <c r="RUN94" s="248" t="n"/>
      <c r="RUO94" s="248" t="n"/>
      <c r="RUP94" s="240" t="n"/>
      <c r="RUQ94" s="240" t="n"/>
      <c r="RUS94" s="15" t="n"/>
      <c r="RUT94" s="15" t="n"/>
      <c r="RUU94" s="248" t="n"/>
      <c r="RUV94" s="248" t="n"/>
      <c r="RUW94" s="240" t="n"/>
      <c r="RUX94" s="240" t="n"/>
      <c r="RUZ94" s="15" t="n"/>
      <c r="RVA94" s="15" t="n"/>
      <c r="RVB94" s="248" t="n"/>
      <c r="RVC94" s="248" t="n"/>
      <c r="RVD94" s="240" t="n"/>
      <c r="RVE94" s="240" t="n"/>
      <c r="RVG94" s="15" t="n"/>
      <c r="RVH94" s="15" t="n"/>
      <c r="RVI94" s="248" t="n"/>
      <c r="RVJ94" s="248" t="n"/>
      <c r="RVK94" s="240" t="n"/>
      <c r="RVL94" s="240" t="n"/>
      <c r="RVN94" s="15" t="n"/>
      <c r="RVO94" s="15" t="n"/>
      <c r="RVP94" s="248" t="n"/>
      <c r="RVQ94" s="248" t="n"/>
      <c r="RVR94" s="240" t="n"/>
      <c r="RVS94" s="240" t="n"/>
      <c r="RVU94" s="15" t="n"/>
      <c r="RVV94" s="15" t="n"/>
      <c r="RVW94" s="248" t="n"/>
      <c r="RVX94" s="248" t="n"/>
      <c r="RVY94" s="240" t="n"/>
      <c r="RVZ94" s="240" t="n"/>
      <c r="RWB94" s="15" t="n"/>
      <c r="RWC94" s="15" t="n"/>
      <c r="RWD94" s="248" t="n"/>
      <c r="RWE94" s="248" t="n"/>
      <c r="RWF94" s="240" t="n"/>
      <c r="RWG94" s="240" t="n"/>
      <c r="RWI94" s="15" t="n"/>
      <c r="RWJ94" s="15" t="n"/>
      <c r="RWK94" s="248" t="n"/>
      <c r="RWL94" s="248" t="n"/>
      <c r="RWM94" s="240" t="n"/>
      <c r="RWN94" s="240" t="n"/>
      <c r="RWP94" s="15" t="n"/>
      <c r="RWQ94" s="15" t="n"/>
      <c r="RWR94" s="248" t="n"/>
      <c r="RWS94" s="248" t="n"/>
      <c r="RWT94" s="240" t="n"/>
      <c r="RWU94" s="240" t="n"/>
      <c r="RWW94" s="15" t="n"/>
      <c r="RWX94" s="15" t="n"/>
      <c r="RWY94" s="248" t="n"/>
      <c r="RWZ94" s="248" t="n"/>
      <c r="RXA94" s="240" t="n"/>
      <c r="RXB94" s="240" t="n"/>
      <c r="RXD94" s="15" t="n"/>
      <c r="RXE94" s="15" t="n"/>
      <c r="RXF94" s="248" t="n"/>
      <c r="RXG94" s="248" t="n"/>
      <c r="RXH94" s="240" t="n"/>
      <c r="RXI94" s="240" t="n"/>
      <c r="RXK94" s="15" t="n"/>
      <c r="RXL94" s="15" t="n"/>
      <c r="RXM94" s="248" t="n"/>
      <c r="RXN94" s="248" t="n"/>
      <c r="RXO94" s="240" t="n"/>
      <c r="RXP94" s="240" t="n"/>
      <c r="RXR94" s="15" t="n"/>
      <c r="RXS94" s="15" t="n"/>
      <c r="RXT94" s="248" t="n"/>
      <c r="RXU94" s="248" t="n"/>
      <c r="RXV94" s="240" t="n"/>
      <c r="RXW94" s="240" t="n"/>
      <c r="RXY94" s="15" t="n"/>
      <c r="RXZ94" s="15" t="n"/>
      <c r="RYA94" s="248" t="n"/>
      <c r="RYB94" s="248" t="n"/>
      <c r="RYC94" s="240" t="n"/>
      <c r="RYD94" s="240" t="n"/>
      <c r="RYF94" s="15" t="n"/>
      <c r="RYG94" s="15" t="n"/>
      <c r="RYH94" s="248" t="n"/>
      <c r="RYI94" s="248" t="n"/>
      <c r="RYJ94" s="240" t="n"/>
      <c r="RYK94" s="240" t="n"/>
      <c r="RYM94" s="15" t="n"/>
      <c r="RYN94" s="15" t="n"/>
      <c r="RYO94" s="248" t="n"/>
      <c r="RYP94" s="248" t="n"/>
      <c r="RYQ94" s="240" t="n"/>
      <c r="RYR94" s="240" t="n"/>
      <c r="RYT94" s="15" t="n"/>
      <c r="RYU94" s="15" t="n"/>
      <c r="RYV94" s="248" t="n"/>
      <c r="RYW94" s="248" t="n"/>
      <c r="RYX94" s="240" t="n"/>
      <c r="RYY94" s="240" t="n"/>
      <c r="RZA94" s="15" t="n"/>
      <c r="RZB94" s="15" t="n"/>
      <c r="RZC94" s="248" t="n"/>
      <c r="RZD94" s="248" t="n"/>
      <c r="RZE94" s="240" t="n"/>
      <c r="RZF94" s="240" t="n"/>
      <c r="RZH94" s="15" t="n"/>
      <c r="RZI94" s="15" t="n"/>
      <c r="RZJ94" s="248" t="n"/>
      <c r="RZK94" s="248" t="n"/>
      <c r="RZL94" s="240" t="n"/>
      <c r="RZM94" s="240" t="n"/>
      <c r="RZO94" s="15" t="n"/>
      <c r="RZP94" s="15" t="n"/>
      <c r="RZQ94" s="248" t="n"/>
      <c r="RZR94" s="248" t="n"/>
      <c r="RZS94" s="240" t="n"/>
      <c r="RZT94" s="240" t="n"/>
      <c r="RZV94" s="15" t="n"/>
      <c r="RZW94" s="15" t="n"/>
      <c r="RZX94" s="248" t="n"/>
      <c r="RZY94" s="248" t="n"/>
      <c r="RZZ94" s="240" t="n"/>
      <c r="SAA94" s="240" t="n"/>
      <c r="SAC94" s="15" t="n"/>
      <c r="SAD94" s="15" t="n"/>
      <c r="SAE94" s="248" t="n"/>
      <c r="SAF94" s="248" t="n"/>
      <c r="SAG94" s="240" t="n"/>
      <c r="SAH94" s="240" t="n"/>
      <c r="SAJ94" s="15" t="n"/>
      <c r="SAK94" s="15" t="n"/>
      <c r="SAL94" s="248" t="n"/>
      <c r="SAM94" s="248" t="n"/>
      <c r="SAN94" s="240" t="n"/>
      <c r="SAO94" s="240" t="n"/>
      <c r="SAQ94" s="15" t="n"/>
      <c r="SAR94" s="15" t="n"/>
      <c r="SAS94" s="248" t="n"/>
      <c r="SAT94" s="248" t="n"/>
      <c r="SAU94" s="240" t="n"/>
      <c r="SAV94" s="240" t="n"/>
      <c r="SAX94" s="15" t="n"/>
      <c r="SAY94" s="15" t="n"/>
      <c r="SAZ94" s="248" t="n"/>
      <c r="SBA94" s="248" t="n"/>
      <c r="SBB94" s="240" t="n"/>
      <c r="SBC94" s="240" t="n"/>
      <c r="SBE94" s="15" t="n"/>
      <c r="SBF94" s="15" t="n"/>
      <c r="SBG94" s="248" t="n"/>
      <c r="SBH94" s="248" t="n"/>
      <c r="SBI94" s="240" t="n"/>
      <c r="SBJ94" s="240" t="n"/>
      <c r="SBL94" s="15" t="n"/>
      <c r="SBM94" s="15" t="n"/>
      <c r="SBN94" s="248" t="n"/>
      <c r="SBO94" s="248" t="n"/>
      <c r="SBP94" s="240" t="n"/>
      <c r="SBQ94" s="240" t="n"/>
      <c r="SBS94" s="15" t="n"/>
      <c r="SBT94" s="15" t="n"/>
      <c r="SBU94" s="248" t="n"/>
      <c r="SBV94" s="248" t="n"/>
      <c r="SBW94" s="240" t="n"/>
      <c r="SBX94" s="240" t="n"/>
      <c r="SBZ94" s="15" t="n"/>
      <c r="SCA94" s="15" t="n"/>
      <c r="SCB94" s="248" t="n"/>
      <c r="SCC94" s="248" t="n"/>
      <c r="SCD94" s="240" t="n"/>
      <c r="SCE94" s="240" t="n"/>
      <c r="SCG94" s="15" t="n"/>
      <c r="SCH94" s="15" t="n"/>
      <c r="SCI94" s="248" t="n"/>
      <c r="SCJ94" s="248" t="n"/>
      <c r="SCK94" s="240" t="n"/>
      <c r="SCL94" s="240" t="n"/>
      <c r="SCN94" s="15" t="n"/>
      <c r="SCO94" s="15" t="n"/>
      <c r="SCP94" s="248" t="n"/>
      <c r="SCQ94" s="248" t="n"/>
      <c r="SCR94" s="240" t="n"/>
      <c r="SCS94" s="240" t="n"/>
      <c r="SCU94" s="15" t="n"/>
      <c r="SCV94" s="15" t="n"/>
      <c r="SCW94" s="248" t="n"/>
      <c r="SCX94" s="248" t="n"/>
      <c r="SCY94" s="240" t="n"/>
      <c r="SCZ94" s="240" t="n"/>
      <c r="SDB94" s="15" t="n"/>
      <c r="SDC94" s="15" t="n"/>
      <c r="SDD94" s="248" t="n"/>
      <c r="SDE94" s="248" t="n"/>
      <c r="SDF94" s="240" t="n"/>
      <c r="SDG94" s="240" t="n"/>
      <c r="SDI94" s="15" t="n"/>
      <c r="SDJ94" s="15" t="n"/>
      <c r="SDK94" s="248" t="n"/>
      <c r="SDL94" s="248" t="n"/>
      <c r="SDM94" s="240" t="n"/>
      <c r="SDN94" s="240" t="n"/>
      <c r="SDP94" s="15" t="n"/>
      <c r="SDQ94" s="15" t="n"/>
      <c r="SDR94" s="248" t="n"/>
      <c r="SDS94" s="248" t="n"/>
      <c r="SDT94" s="240" t="n"/>
      <c r="SDU94" s="240" t="n"/>
      <c r="SDW94" s="15" t="n"/>
      <c r="SDX94" s="15" t="n"/>
      <c r="SDY94" s="248" t="n"/>
      <c r="SDZ94" s="248" t="n"/>
      <c r="SEA94" s="240" t="n"/>
      <c r="SEB94" s="240" t="n"/>
      <c r="SED94" s="15" t="n"/>
      <c r="SEE94" s="15" t="n"/>
      <c r="SEF94" s="248" t="n"/>
      <c r="SEG94" s="248" t="n"/>
      <c r="SEH94" s="240" t="n"/>
      <c r="SEI94" s="240" t="n"/>
      <c r="SEK94" s="15" t="n"/>
      <c r="SEL94" s="15" t="n"/>
      <c r="SEM94" s="248" t="n"/>
      <c r="SEN94" s="248" t="n"/>
      <c r="SEO94" s="240" t="n"/>
      <c r="SEP94" s="240" t="n"/>
      <c r="SER94" s="15" t="n"/>
      <c r="SES94" s="15" t="n"/>
      <c r="SET94" s="248" t="n"/>
      <c r="SEU94" s="248" t="n"/>
      <c r="SEV94" s="240" t="n"/>
      <c r="SEW94" s="240" t="n"/>
      <c r="SEY94" s="15" t="n"/>
      <c r="SEZ94" s="15" t="n"/>
      <c r="SFA94" s="248" t="n"/>
      <c r="SFB94" s="248" t="n"/>
      <c r="SFC94" s="240" t="n"/>
      <c r="SFD94" s="240" t="n"/>
      <c r="SFF94" s="15" t="n"/>
      <c r="SFG94" s="15" t="n"/>
      <c r="SFH94" s="248" t="n"/>
      <c r="SFI94" s="248" t="n"/>
      <c r="SFJ94" s="240" t="n"/>
      <c r="SFK94" s="240" t="n"/>
      <c r="SFM94" s="15" t="n"/>
      <c r="SFN94" s="15" t="n"/>
      <c r="SFO94" s="248" t="n"/>
      <c r="SFP94" s="248" t="n"/>
      <c r="SFQ94" s="240" t="n"/>
      <c r="SFR94" s="240" t="n"/>
      <c r="SFT94" s="15" t="n"/>
      <c r="SFU94" s="15" t="n"/>
      <c r="SFV94" s="248" t="n"/>
      <c r="SFW94" s="248" t="n"/>
      <c r="SFX94" s="240" t="n"/>
      <c r="SFY94" s="240" t="n"/>
      <c r="SGA94" s="15" t="n"/>
      <c r="SGB94" s="15" t="n"/>
      <c r="SGC94" s="248" t="n"/>
      <c r="SGD94" s="248" t="n"/>
      <c r="SGE94" s="240" t="n"/>
      <c r="SGF94" s="240" t="n"/>
      <c r="SGH94" s="15" t="n"/>
      <c r="SGI94" s="15" t="n"/>
      <c r="SGJ94" s="248" t="n"/>
      <c r="SGK94" s="248" t="n"/>
      <c r="SGL94" s="240" t="n"/>
      <c r="SGM94" s="240" t="n"/>
      <c r="SGO94" s="15" t="n"/>
      <c r="SGP94" s="15" t="n"/>
      <c r="SGQ94" s="248" t="n"/>
      <c r="SGR94" s="248" t="n"/>
      <c r="SGS94" s="240" t="n"/>
      <c r="SGT94" s="240" t="n"/>
      <c r="SGV94" s="15" t="n"/>
      <c r="SGW94" s="15" t="n"/>
      <c r="SGX94" s="248" t="n"/>
      <c r="SGY94" s="248" t="n"/>
      <c r="SGZ94" s="240" t="n"/>
      <c r="SHA94" s="240" t="n"/>
      <c r="SHC94" s="15" t="n"/>
      <c r="SHD94" s="15" t="n"/>
      <c r="SHE94" s="248" t="n"/>
      <c r="SHF94" s="248" t="n"/>
      <c r="SHG94" s="240" t="n"/>
      <c r="SHH94" s="240" t="n"/>
      <c r="SHJ94" s="15" t="n"/>
      <c r="SHK94" s="15" t="n"/>
      <c r="SHL94" s="248" t="n"/>
      <c r="SHM94" s="248" t="n"/>
      <c r="SHN94" s="240" t="n"/>
      <c r="SHO94" s="240" t="n"/>
      <c r="SHQ94" s="15" t="n"/>
      <c r="SHR94" s="15" t="n"/>
      <c r="SHS94" s="248" t="n"/>
      <c r="SHT94" s="248" t="n"/>
      <c r="SHU94" s="240" t="n"/>
      <c r="SHV94" s="240" t="n"/>
      <c r="SHX94" s="15" t="n"/>
      <c r="SHY94" s="15" t="n"/>
      <c r="SHZ94" s="248" t="n"/>
      <c r="SIA94" s="248" t="n"/>
      <c r="SIB94" s="240" t="n"/>
      <c r="SIC94" s="240" t="n"/>
      <c r="SIE94" s="15" t="n"/>
      <c r="SIF94" s="15" t="n"/>
      <c r="SIG94" s="248" t="n"/>
      <c r="SIH94" s="248" t="n"/>
      <c r="SII94" s="240" t="n"/>
      <c r="SIJ94" s="240" t="n"/>
      <c r="SIL94" s="15" t="n"/>
      <c r="SIM94" s="15" t="n"/>
      <c r="SIN94" s="248" t="n"/>
      <c r="SIO94" s="248" t="n"/>
      <c r="SIP94" s="240" t="n"/>
      <c r="SIQ94" s="240" t="n"/>
      <c r="SIS94" s="15" t="n"/>
      <c r="SIT94" s="15" t="n"/>
      <c r="SIU94" s="248" t="n"/>
      <c r="SIV94" s="248" t="n"/>
      <c r="SIW94" s="240" t="n"/>
      <c r="SIX94" s="240" t="n"/>
      <c r="SIZ94" s="15" t="n"/>
      <c r="SJA94" s="15" t="n"/>
      <c r="SJB94" s="248" t="n"/>
      <c r="SJC94" s="248" t="n"/>
      <c r="SJD94" s="240" t="n"/>
      <c r="SJE94" s="240" t="n"/>
      <c r="SJG94" s="15" t="n"/>
      <c r="SJH94" s="15" t="n"/>
      <c r="SJI94" s="248" t="n"/>
      <c r="SJJ94" s="248" t="n"/>
      <c r="SJK94" s="240" t="n"/>
      <c r="SJL94" s="240" t="n"/>
      <c r="SJN94" s="15" t="n"/>
      <c r="SJO94" s="15" t="n"/>
      <c r="SJP94" s="248" t="n"/>
      <c r="SJQ94" s="248" t="n"/>
      <c r="SJR94" s="240" t="n"/>
      <c r="SJS94" s="240" t="n"/>
      <c r="SJU94" s="15" t="n"/>
      <c r="SJV94" s="15" t="n"/>
      <c r="SJW94" s="248" t="n"/>
      <c r="SJX94" s="248" t="n"/>
      <c r="SJY94" s="240" t="n"/>
      <c r="SJZ94" s="240" t="n"/>
      <c r="SKB94" s="15" t="n"/>
      <c r="SKC94" s="15" t="n"/>
      <c r="SKD94" s="248" t="n"/>
      <c r="SKE94" s="248" t="n"/>
      <c r="SKF94" s="240" t="n"/>
      <c r="SKG94" s="240" t="n"/>
      <c r="SKI94" s="15" t="n"/>
      <c r="SKJ94" s="15" t="n"/>
      <c r="SKK94" s="248" t="n"/>
      <c r="SKL94" s="248" t="n"/>
      <c r="SKM94" s="240" t="n"/>
      <c r="SKN94" s="240" t="n"/>
      <c r="SKP94" s="15" t="n"/>
      <c r="SKQ94" s="15" t="n"/>
      <c r="SKR94" s="248" t="n"/>
      <c r="SKS94" s="248" t="n"/>
      <c r="SKT94" s="240" t="n"/>
      <c r="SKU94" s="240" t="n"/>
      <c r="SKW94" s="15" t="n"/>
      <c r="SKX94" s="15" t="n"/>
      <c r="SKY94" s="248" t="n"/>
      <c r="SKZ94" s="248" t="n"/>
      <c r="SLA94" s="240" t="n"/>
      <c r="SLB94" s="240" t="n"/>
      <c r="SLD94" s="15" t="n"/>
      <c r="SLE94" s="15" t="n"/>
      <c r="SLF94" s="248" t="n"/>
      <c r="SLG94" s="248" t="n"/>
      <c r="SLH94" s="240" t="n"/>
      <c r="SLI94" s="240" t="n"/>
      <c r="SLK94" s="15" t="n"/>
      <c r="SLL94" s="15" t="n"/>
      <c r="SLM94" s="248" t="n"/>
      <c r="SLN94" s="248" t="n"/>
      <c r="SLO94" s="240" t="n"/>
      <c r="SLP94" s="240" t="n"/>
      <c r="SLR94" s="15" t="n"/>
      <c r="SLS94" s="15" t="n"/>
      <c r="SLT94" s="248" t="n"/>
      <c r="SLU94" s="248" t="n"/>
      <c r="SLV94" s="240" t="n"/>
      <c r="SLW94" s="240" t="n"/>
      <c r="SLY94" s="15" t="n"/>
      <c r="SLZ94" s="15" t="n"/>
      <c r="SMA94" s="248" t="n"/>
      <c r="SMB94" s="248" t="n"/>
      <c r="SMC94" s="240" t="n"/>
      <c r="SMD94" s="240" t="n"/>
      <c r="SMF94" s="15" t="n"/>
      <c r="SMG94" s="15" t="n"/>
      <c r="SMH94" s="248" t="n"/>
      <c r="SMI94" s="248" t="n"/>
      <c r="SMJ94" s="240" t="n"/>
      <c r="SMK94" s="240" t="n"/>
      <c r="SMM94" s="15" t="n"/>
      <c r="SMN94" s="15" t="n"/>
      <c r="SMO94" s="248" t="n"/>
      <c r="SMP94" s="248" t="n"/>
      <c r="SMQ94" s="240" t="n"/>
      <c r="SMR94" s="240" t="n"/>
      <c r="SMT94" s="15" t="n"/>
      <c r="SMU94" s="15" t="n"/>
      <c r="SMV94" s="248" t="n"/>
      <c r="SMW94" s="248" t="n"/>
      <c r="SMX94" s="240" t="n"/>
      <c r="SMY94" s="240" t="n"/>
      <c r="SNA94" s="15" t="n"/>
      <c r="SNB94" s="15" t="n"/>
      <c r="SNC94" s="248" t="n"/>
      <c r="SND94" s="248" t="n"/>
      <c r="SNE94" s="240" t="n"/>
      <c r="SNF94" s="240" t="n"/>
      <c r="SNH94" s="15" t="n"/>
      <c r="SNI94" s="15" t="n"/>
      <c r="SNJ94" s="248" t="n"/>
      <c r="SNK94" s="248" t="n"/>
      <c r="SNL94" s="240" t="n"/>
      <c r="SNM94" s="240" t="n"/>
      <c r="SNO94" s="15" t="n"/>
      <c r="SNP94" s="15" t="n"/>
      <c r="SNQ94" s="248" t="n"/>
      <c r="SNR94" s="248" t="n"/>
      <c r="SNS94" s="240" t="n"/>
      <c r="SNT94" s="240" t="n"/>
      <c r="SNV94" s="15" t="n"/>
      <c r="SNW94" s="15" t="n"/>
      <c r="SNX94" s="248" t="n"/>
      <c r="SNY94" s="248" t="n"/>
      <c r="SNZ94" s="240" t="n"/>
      <c r="SOA94" s="240" t="n"/>
      <c r="SOC94" s="15" t="n"/>
      <c r="SOD94" s="15" t="n"/>
      <c r="SOE94" s="248" t="n"/>
      <c r="SOF94" s="248" t="n"/>
      <c r="SOG94" s="240" t="n"/>
      <c r="SOH94" s="240" t="n"/>
      <c r="SOJ94" s="15" t="n"/>
      <c r="SOK94" s="15" t="n"/>
      <c r="SOL94" s="248" t="n"/>
      <c r="SOM94" s="248" t="n"/>
      <c r="SON94" s="240" t="n"/>
      <c r="SOO94" s="240" t="n"/>
      <c r="SOQ94" s="15" t="n"/>
      <c r="SOR94" s="15" t="n"/>
      <c r="SOS94" s="248" t="n"/>
      <c r="SOT94" s="248" t="n"/>
      <c r="SOU94" s="240" t="n"/>
      <c r="SOV94" s="240" t="n"/>
      <c r="SOX94" s="15" t="n"/>
      <c r="SOY94" s="15" t="n"/>
      <c r="SOZ94" s="248" t="n"/>
      <c r="SPA94" s="248" t="n"/>
      <c r="SPB94" s="240" t="n"/>
      <c r="SPC94" s="240" t="n"/>
      <c r="SPE94" s="15" t="n"/>
      <c r="SPF94" s="15" t="n"/>
      <c r="SPG94" s="248" t="n"/>
      <c r="SPH94" s="248" t="n"/>
      <c r="SPI94" s="240" t="n"/>
      <c r="SPJ94" s="240" t="n"/>
      <c r="SPL94" s="15" t="n"/>
      <c r="SPM94" s="15" t="n"/>
      <c r="SPN94" s="248" t="n"/>
      <c r="SPO94" s="248" t="n"/>
      <c r="SPP94" s="240" t="n"/>
      <c r="SPQ94" s="240" t="n"/>
      <c r="SPS94" s="15" t="n"/>
      <c r="SPT94" s="15" t="n"/>
      <c r="SPU94" s="248" t="n"/>
      <c r="SPV94" s="248" t="n"/>
      <c r="SPW94" s="240" t="n"/>
      <c r="SPX94" s="240" t="n"/>
      <c r="SPZ94" s="15" t="n"/>
      <c r="SQA94" s="15" t="n"/>
      <c r="SQB94" s="248" t="n"/>
      <c r="SQC94" s="248" t="n"/>
      <c r="SQD94" s="240" t="n"/>
      <c r="SQE94" s="240" t="n"/>
      <c r="SQG94" s="15" t="n"/>
      <c r="SQH94" s="15" t="n"/>
      <c r="SQI94" s="248" t="n"/>
      <c r="SQJ94" s="248" t="n"/>
      <c r="SQK94" s="240" t="n"/>
      <c r="SQL94" s="240" t="n"/>
      <c r="SQN94" s="15" t="n"/>
      <c r="SQO94" s="15" t="n"/>
      <c r="SQP94" s="248" t="n"/>
      <c r="SQQ94" s="248" t="n"/>
      <c r="SQR94" s="240" t="n"/>
      <c r="SQS94" s="240" t="n"/>
      <c r="SQU94" s="15" t="n"/>
      <c r="SQV94" s="15" t="n"/>
      <c r="SQW94" s="248" t="n"/>
      <c r="SQX94" s="248" t="n"/>
      <c r="SQY94" s="240" t="n"/>
      <c r="SQZ94" s="240" t="n"/>
      <c r="SRB94" s="15" t="n"/>
      <c r="SRC94" s="15" t="n"/>
      <c r="SRD94" s="248" t="n"/>
      <c r="SRE94" s="248" t="n"/>
      <c r="SRF94" s="240" t="n"/>
      <c r="SRG94" s="240" t="n"/>
      <c r="SRI94" s="15" t="n"/>
      <c r="SRJ94" s="15" t="n"/>
      <c r="SRK94" s="248" t="n"/>
      <c r="SRL94" s="248" t="n"/>
      <c r="SRM94" s="240" t="n"/>
      <c r="SRN94" s="240" t="n"/>
      <c r="SRP94" s="15" t="n"/>
      <c r="SRQ94" s="15" t="n"/>
      <c r="SRR94" s="248" t="n"/>
      <c r="SRS94" s="248" t="n"/>
      <c r="SRT94" s="240" t="n"/>
      <c r="SRU94" s="240" t="n"/>
      <c r="SRW94" s="15" t="n"/>
      <c r="SRX94" s="15" t="n"/>
      <c r="SRY94" s="248" t="n"/>
      <c r="SRZ94" s="248" t="n"/>
      <c r="SSA94" s="240" t="n"/>
      <c r="SSB94" s="240" t="n"/>
      <c r="SSD94" s="15" t="n"/>
      <c r="SSE94" s="15" t="n"/>
      <c r="SSF94" s="248" t="n"/>
      <c r="SSG94" s="248" t="n"/>
      <c r="SSH94" s="240" t="n"/>
      <c r="SSI94" s="240" t="n"/>
      <c r="SSK94" s="15" t="n"/>
      <c r="SSL94" s="15" t="n"/>
      <c r="SSM94" s="248" t="n"/>
      <c r="SSN94" s="248" t="n"/>
      <c r="SSO94" s="240" t="n"/>
      <c r="SSP94" s="240" t="n"/>
      <c r="SSR94" s="15" t="n"/>
      <c r="SSS94" s="15" t="n"/>
      <c r="SST94" s="248" t="n"/>
      <c r="SSU94" s="248" t="n"/>
      <c r="SSV94" s="240" t="n"/>
      <c r="SSW94" s="240" t="n"/>
      <c r="SSY94" s="15" t="n"/>
      <c r="SSZ94" s="15" t="n"/>
      <c r="STA94" s="248" t="n"/>
      <c r="STB94" s="248" t="n"/>
      <c r="STC94" s="240" t="n"/>
      <c r="STD94" s="240" t="n"/>
      <c r="STF94" s="15" t="n"/>
      <c r="STG94" s="15" t="n"/>
      <c r="STH94" s="248" t="n"/>
      <c r="STI94" s="248" t="n"/>
      <c r="STJ94" s="240" t="n"/>
      <c r="STK94" s="240" t="n"/>
      <c r="STM94" s="15" t="n"/>
      <c r="STN94" s="15" t="n"/>
      <c r="STO94" s="248" t="n"/>
      <c r="STP94" s="248" t="n"/>
      <c r="STQ94" s="240" t="n"/>
      <c r="STR94" s="240" t="n"/>
      <c r="STT94" s="15" t="n"/>
      <c r="STU94" s="15" t="n"/>
      <c r="STV94" s="248" t="n"/>
      <c r="STW94" s="248" t="n"/>
      <c r="STX94" s="240" t="n"/>
      <c r="STY94" s="240" t="n"/>
      <c r="SUA94" s="15" t="n"/>
      <c r="SUB94" s="15" t="n"/>
      <c r="SUC94" s="248" t="n"/>
      <c r="SUD94" s="248" t="n"/>
      <c r="SUE94" s="240" t="n"/>
      <c r="SUF94" s="240" t="n"/>
      <c r="SUH94" s="15" t="n"/>
      <c r="SUI94" s="15" t="n"/>
      <c r="SUJ94" s="248" t="n"/>
      <c r="SUK94" s="248" t="n"/>
      <c r="SUL94" s="240" t="n"/>
      <c r="SUM94" s="240" t="n"/>
      <c r="SUO94" s="15" t="n"/>
      <c r="SUP94" s="15" t="n"/>
      <c r="SUQ94" s="248" t="n"/>
      <c r="SUR94" s="248" t="n"/>
      <c r="SUS94" s="240" t="n"/>
      <c r="SUT94" s="240" t="n"/>
      <c r="SUV94" s="15" t="n"/>
      <c r="SUW94" s="15" t="n"/>
      <c r="SUX94" s="248" t="n"/>
      <c r="SUY94" s="248" t="n"/>
      <c r="SUZ94" s="240" t="n"/>
      <c r="SVA94" s="240" t="n"/>
      <c r="SVC94" s="15" t="n"/>
      <c r="SVD94" s="15" t="n"/>
      <c r="SVE94" s="248" t="n"/>
      <c r="SVF94" s="248" t="n"/>
      <c r="SVG94" s="240" t="n"/>
      <c r="SVH94" s="240" t="n"/>
      <c r="SVJ94" s="15" t="n"/>
      <c r="SVK94" s="15" t="n"/>
      <c r="SVL94" s="248" t="n"/>
      <c r="SVM94" s="248" t="n"/>
      <c r="SVN94" s="240" t="n"/>
      <c r="SVO94" s="240" t="n"/>
      <c r="SVQ94" s="15" t="n"/>
      <c r="SVR94" s="15" t="n"/>
      <c r="SVS94" s="248" t="n"/>
      <c r="SVT94" s="248" t="n"/>
      <c r="SVU94" s="240" t="n"/>
      <c r="SVV94" s="240" t="n"/>
      <c r="SVX94" s="15" t="n"/>
      <c r="SVY94" s="15" t="n"/>
      <c r="SVZ94" s="248" t="n"/>
      <c r="SWA94" s="248" t="n"/>
      <c r="SWB94" s="240" t="n"/>
      <c r="SWC94" s="240" t="n"/>
      <c r="SWE94" s="15" t="n"/>
      <c r="SWF94" s="15" t="n"/>
      <c r="SWG94" s="248" t="n"/>
      <c r="SWH94" s="248" t="n"/>
      <c r="SWI94" s="240" t="n"/>
      <c r="SWJ94" s="240" t="n"/>
      <c r="SWL94" s="15" t="n"/>
      <c r="SWM94" s="15" t="n"/>
      <c r="SWN94" s="248" t="n"/>
      <c r="SWO94" s="248" t="n"/>
      <c r="SWP94" s="240" t="n"/>
      <c r="SWQ94" s="240" t="n"/>
      <c r="SWS94" s="15" t="n"/>
      <c r="SWT94" s="15" t="n"/>
      <c r="SWU94" s="248" t="n"/>
      <c r="SWV94" s="248" t="n"/>
      <c r="SWW94" s="240" t="n"/>
      <c r="SWX94" s="240" t="n"/>
      <c r="SWZ94" s="15" t="n"/>
      <c r="SXA94" s="15" t="n"/>
      <c r="SXB94" s="248" t="n"/>
      <c r="SXC94" s="248" t="n"/>
      <c r="SXD94" s="240" t="n"/>
      <c r="SXE94" s="240" t="n"/>
      <c r="SXG94" s="15" t="n"/>
      <c r="SXH94" s="15" t="n"/>
      <c r="SXI94" s="248" t="n"/>
      <c r="SXJ94" s="248" t="n"/>
      <c r="SXK94" s="240" t="n"/>
      <c r="SXL94" s="240" t="n"/>
      <c r="SXN94" s="15" t="n"/>
      <c r="SXO94" s="15" t="n"/>
      <c r="SXP94" s="248" t="n"/>
      <c r="SXQ94" s="248" t="n"/>
      <c r="SXR94" s="240" t="n"/>
      <c r="SXS94" s="240" t="n"/>
      <c r="SXU94" s="15" t="n"/>
      <c r="SXV94" s="15" t="n"/>
      <c r="SXW94" s="248" t="n"/>
      <c r="SXX94" s="248" t="n"/>
      <c r="SXY94" s="240" t="n"/>
      <c r="SXZ94" s="240" t="n"/>
      <c r="SYB94" s="15" t="n"/>
      <c r="SYC94" s="15" t="n"/>
      <c r="SYD94" s="248" t="n"/>
      <c r="SYE94" s="248" t="n"/>
      <c r="SYF94" s="240" t="n"/>
      <c r="SYG94" s="240" t="n"/>
      <c r="SYI94" s="15" t="n"/>
      <c r="SYJ94" s="15" t="n"/>
      <c r="SYK94" s="248" t="n"/>
      <c r="SYL94" s="248" t="n"/>
      <c r="SYM94" s="240" t="n"/>
      <c r="SYN94" s="240" t="n"/>
      <c r="SYP94" s="15" t="n"/>
      <c r="SYQ94" s="15" t="n"/>
      <c r="SYR94" s="248" t="n"/>
      <c r="SYS94" s="248" t="n"/>
      <c r="SYT94" s="240" t="n"/>
      <c r="SYU94" s="240" t="n"/>
      <c r="SYW94" s="15" t="n"/>
      <c r="SYX94" s="15" t="n"/>
      <c r="SYY94" s="248" t="n"/>
      <c r="SYZ94" s="248" t="n"/>
      <c r="SZA94" s="240" t="n"/>
      <c r="SZB94" s="240" t="n"/>
      <c r="SZD94" s="15" t="n"/>
      <c r="SZE94" s="15" t="n"/>
      <c r="SZF94" s="248" t="n"/>
      <c r="SZG94" s="248" t="n"/>
      <c r="SZH94" s="240" t="n"/>
      <c r="SZI94" s="240" t="n"/>
      <c r="SZK94" s="15" t="n"/>
      <c r="SZL94" s="15" t="n"/>
      <c r="SZM94" s="248" t="n"/>
      <c r="SZN94" s="248" t="n"/>
      <c r="SZO94" s="240" t="n"/>
      <c r="SZP94" s="240" t="n"/>
      <c r="SZR94" s="15" t="n"/>
      <c r="SZS94" s="15" t="n"/>
      <c r="SZT94" s="248" t="n"/>
      <c r="SZU94" s="248" t="n"/>
      <c r="SZV94" s="240" t="n"/>
      <c r="SZW94" s="240" t="n"/>
      <c r="SZY94" s="15" t="n"/>
      <c r="SZZ94" s="15" t="n"/>
      <c r="TAA94" s="248" t="n"/>
      <c r="TAB94" s="248" t="n"/>
      <c r="TAC94" s="240" t="n"/>
      <c r="TAD94" s="240" t="n"/>
      <c r="TAF94" s="15" t="n"/>
      <c r="TAG94" s="15" t="n"/>
      <c r="TAH94" s="248" t="n"/>
      <c r="TAI94" s="248" t="n"/>
      <c r="TAJ94" s="240" t="n"/>
      <c r="TAK94" s="240" t="n"/>
      <c r="TAM94" s="15" t="n"/>
      <c r="TAN94" s="15" t="n"/>
      <c r="TAO94" s="248" t="n"/>
      <c r="TAP94" s="248" t="n"/>
      <c r="TAQ94" s="240" t="n"/>
      <c r="TAR94" s="240" t="n"/>
      <c r="TAT94" s="15" t="n"/>
      <c r="TAU94" s="15" t="n"/>
      <c r="TAV94" s="248" t="n"/>
      <c r="TAW94" s="248" t="n"/>
      <c r="TAX94" s="240" t="n"/>
      <c r="TAY94" s="240" t="n"/>
      <c r="TBA94" s="15" t="n"/>
      <c r="TBB94" s="15" t="n"/>
      <c r="TBC94" s="248" t="n"/>
      <c r="TBD94" s="248" t="n"/>
      <c r="TBE94" s="240" t="n"/>
      <c r="TBF94" s="240" t="n"/>
      <c r="TBH94" s="15" t="n"/>
      <c r="TBI94" s="15" t="n"/>
      <c r="TBJ94" s="248" t="n"/>
      <c r="TBK94" s="248" t="n"/>
      <c r="TBL94" s="240" t="n"/>
      <c r="TBM94" s="240" t="n"/>
      <c r="TBO94" s="15" t="n"/>
      <c r="TBP94" s="15" t="n"/>
      <c r="TBQ94" s="248" t="n"/>
      <c r="TBR94" s="248" t="n"/>
      <c r="TBS94" s="240" t="n"/>
      <c r="TBT94" s="240" t="n"/>
      <c r="TBV94" s="15" t="n"/>
      <c r="TBW94" s="15" t="n"/>
      <c r="TBX94" s="248" t="n"/>
      <c r="TBY94" s="248" t="n"/>
      <c r="TBZ94" s="240" t="n"/>
      <c r="TCA94" s="240" t="n"/>
      <c r="TCC94" s="15" t="n"/>
      <c r="TCD94" s="15" t="n"/>
      <c r="TCE94" s="248" t="n"/>
      <c r="TCF94" s="248" t="n"/>
      <c r="TCG94" s="240" t="n"/>
      <c r="TCH94" s="240" t="n"/>
      <c r="TCJ94" s="15" t="n"/>
      <c r="TCK94" s="15" t="n"/>
      <c r="TCL94" s="248" t="n"/>
      <c r="TCM94" s="248" t="n"/>
      <c r="TCN94" s="240" t="n"/>
      <c r="TCO94" s="240" t="n"/>
      <c r="TCQ94" s="15" t="n"/>
      <c r="TCR94" s="15" t="n"/>
      <c r="TCS94" s="248" t="n"/>
      <c r="TCT94" s="248" t="n"/>
      <c r="TCU94" s="240" t="n"/>
      <c r="TCV94" s="240" t="n"/>
      <c r="TCX94" s="15" t="n"/>
      <c r="TCY94" s="15" t="n"/>
      <c r="TCZ94" s="248" t="n"/>
      <c r="TDA94" s="248" t="n"/>
      <c r="TDB94" s="240" t="n"/>
      <c r="TDC94" s="240" t="n"/>
      <c r="TDE94" s="15" t="n"/>
      <c r="TDF94" s="15" t="n"/>
      <c r="TDG94" s="248" t="n"/>
      <c r="TDH94" s="248" t="n"/>
      <c r="TDI94" s="240" t="n"/>
      <c r="TDJ94" s="240" t="n"/>
      <c r="TDL94" s="15" t="n"/>
      <c r="TDM94" s="15" t="n"/>
      <c r="TDN94" s="248" t="n"/>
      <c r="TDO94" s="248" t="n"/>
      <c r="TDP94" s="240" t="n"/>
      <c r="TDQ94" s="240" t="n"/>
      <c r="TDS94" s="15" t="n"/>
      <c r="TDT94" s="15" t="n"/>
      <c r="TDU94" s="248" t="n"/>
      <c r="TDV94" s="248" t="n"/>
      <c r="TDW94" s="240" t="n"/>
      <c r="TDX94" s="240" t="n"/>
      <c r="TDZ94" s="15" t="n"/>
      <c r="TEA94" s="15" t="n"/>
      <c r="TEB94" s="248" t="n"/>
      <c r="TEC94" s="248" t="n"/>
      <c r="TED94" s="240" t="n"/>
      <c r="TEE94" s="240" t="n"/>
      <c r="TEG94" s="15" t="n"/>
      <c r="TEH94" s="15" t="n"/>
      <c r="TEI94" s="248" t="n"/>
      <c r="TEJ94" s="248" t="n"/>
      <c r="TEK94" s="240" t="n"/>
      <c r="TEL94" s="240" t="n"/>
      <c r="TEN94" s="15" t="n"/>
      <c r="TEO94" s="15" t="n"/>
      <c r="TEP94" s="248" t="n"/>
      <c r="TEQ94" s="248" t="n"/>
      <c r="TER94" s="240" t="n"/>
      <c r="TES94" s="240" t="n"/>
      <c r="TEU94" s="15" t="n"/>
      <c r="TEV94" s="15" t="n"/>
      <c r="TEW94" s="248" t="n"/>
      <c r="TEX94" s="248" t="n"/>
      <c r="TEY94" s="240" t="n"/>
      <c r="TEZ94" s="240" t="n"/>
      <c r="TFB94" s="15" t="n"/>
      <c r="TFC94" s="15" t="n"/>
      <c r="TFD94" s="248" t="n"/>
      <c r="TFE94" s="248" t="n"/>
      <c r="TFF94" s="240" t="n"/>
      <c r="TFG94" s="240" t="n"/>
      <c r="TFI94" s="15" t="n"/>
      <c r="TFJ94" s="15" t="n"/>
      <c r="TFK94" s="248" t="n"/>
      <c r="TFL94" s="248" t="n"/>
      <c r="TFM94" s="240" t="n"/>
      <c r="TFN94" s="240" t="n"/>
      <c r="TFP94" s="15" t="n"/>
      <c r="TFQ94" s="15" t="n"/>
      <c r="TFR94" s="248" t="n"/>
      <c r="TFS94" s="248" t="n"/>
      <c r="TFT94" s="240" t="n"/>
      <c r="TFU94" s="240" t="n"/>
      <c r="TFW94" s="15" t="n"/>
      <c r="TFX94" s="15" t="n"/>
      <c r="TFY94" s="248" t="n"/>
      <c r="TFZ94" s="248" t="n"/>
      <c r="TGA94" s="240" t="n"/>
      <c r="TGB94" s="240" t="n"/>
      <c r="TGD94" s="15" t="n"/>
      <c r="TGE94" s="15" t="n"/>
      <c r="TGF94" s="248" t="n"/>
      <c r="TGG94" s="248" t="n"/>
      <c r="TGH94" s="240" t="n"/>
      <c r="TGI94" s="240" t="n"/>
      <c r="TGK94" s="15" t="n"/>
      <c r="TGL94" s="15" t="n"/>
      <c r="TGM94" s="248" t="n"/>
      <c r="TGN94" s="248" t="n"/>
      <c r="TGO94" s="240" t="n"/>
      <c r="TGP94" s="240" t="n"/>
      <c r="TGR94" s="15" t="n"/>
      <c r="TGS94" s="15" t="n"/>
      <c r="TGT94" s="248" t="n"/>
      <c r="TGU94" s="248" t="n"/>
      <c r="TGV94" s="240" t="n"/>
      <c r="TGW94" s="240" t="n"/>
      <c r="TGY94" s="15" t="n"/>
      <c r="TGZ94" s="15" t="n"/>
      <c r="THA94" s="248" t="n"/>
      <c r="THB94" s="248" t="n"/>
      <c r="THC94" s="240" t="n"/>
      <c r="THD94" s="240" t="n"/>
      <c r="THF94" s="15" t="n"/>
      <c r="THG94" s="15" t="n"/>
      <c r="THH94" s="248" t="n"/>
      <c r="THI94" s="248" t="n"/>
      <c r="THJ94" s="240" t="n"/>
      <c r="THK94" s="240" t="n"/>
      <c r="THM94" s="15" t="n"/>
      <c r="THN94" s="15" t="n"/>
      <c r="THO94" s="248" t="n"/>
      <c r="THP94" s="248" t="n"/>
      <c r="THQ94" s="240" t="n"/>
      <c r="THR94" s="240" t="n"/>
      <c r="THT94" s="15" t="n"/>
      <c r="THU94" s="15" t="n"/>
      <c r="THV94" s="248" t="n"/>
      <c r="THW94" s="248" t="n"/>
      <c r="THX94" s="240" t="n"/>
      <c r="THY94" s="240" t="n"/>
      <c r="TIA94" s="15" t="n"/>
      <c r="TIB94" s="15" t="n"/>
      <c r="TIC94" s="248" t="n"/>
      <c r="TID94" s="248" t="n"/>
      <c r="TIE94" s="240" t="n"/>
      <c r="TIF94" s="240" t="n"/>
      <c r="TIH94" s="15" t="n"/>
      <c r="TII94" s="15" t="n"/>
      <c r="TIJ94" s="248" t="n"/>
      <c r="TIK94" s="248" t="n"/>
      <c r="TIL94" s="240" t="n"/>
      <c r="TIM94" s="240" t="n"/>
      <c r="TIO94" s="15" t="n"/>
      <c r="TIP94" s="15" t="n"/>
      <c r="TIQ94" s="248" t="n"/>
      <c r="TIR94" s="248" t="n"/>
      <c r="TIS94" s="240" t="n"/>
      <c r="TIT94" s="240" t="n"/>
      <c r="TIV94" s="15" t="n"/>
      <c r="TIW94" s="15" t="n"/>
      <c r="TIX94" s="248" t="n"/>
      <c r="TIY94" s="248" t="n"/>
      <c r="TIZ94" s="240" t="n"/>
      <c r="TJA94" s="240" t="n"/>
      <c r="TJC94" s="15" t="n"/>
      <c r="TJD94" s="15" t="n"/>
      <c r="TJE94" s="248" t="n"/>
      <c r="TJF94" s="248" t="n"/>
      <c r="TJG94" s="240" t="n"/>
      <c r="TJH94" s="240" t="n"/>
      <c r="TJJ94" s="15" t="n"/>
      <c r="TJK94" s="15" t="n"/>
      <c r="TJL94" s="248" t="n"/>
      <c r="TJM94" s="248" t="n"/>
      <c r="TJN94" s="240" t="n"/>
      <c r="TJO94" s="240" t="n"/>
      <c r="TJQ94" s="15" t="n"/>
      <c r="TJR94" s="15" t="n"/>
      <c r="TJS94" s="248" t="n"/>
      <c r="TJT94" s="248" t="n"/>
      <c r="TJU94" s="240" t="n"/>
      <c r="TJV94" s="240" t="n"/>
      <c r="TJX94" s="15" t="n"/>
      <c r="TJY94" s="15" t="n"/>
      <c r="TJZ94" s="248" t="n"/>
      <c r="TKA94" s="248" t="n"/>
      <c r="TKB94" s="240" t="n"/>
      <c r="TKC94" s="240" t="n"/>
      <c r="TKE94" s="15" t="n"/>
      <c r="TKF94" s="15" t="n"/>
      <c r="TKG94" s="248" t="n"/>
      <c r="TKH94" s="248" t="n"/>
      <c r="TKI94" s="240" t="n"/>
      <c r="TKJ94" s="240" t="n"/>
      <c r="TKL94" s="15" t="n"/>
      <c r="TKM94" s="15" t="n"/>
      <c r="TKN94" s="248" t="n"/>
      <c r="TKO94" s="248" t="n"/>
      <c r="TKP94" s="240" t="n"/>
      <c r="TKQ94" s="240" t="n"/>
      <c r="TKS94" s="15" t="n"/>
      <c r="TKT94" s="15" t="n"/>
      <c r="TKU94" s="248" t="n"/>
      <c r="TKV94" s="248" t="n"/>
      <c r="TKW94" s="240" t="n"/>
      <c r="TKX94" s="240" t="n"/>
      <c r="TKZ94" s="15" t="n"/>
      <c r="TLA94" s="15" t="n"/>
      <c r="TLB94" s="248" t="n"/>
      <c r="TLC94" s="248" t="n"/>
      <c r="TLD94" s="240" t="n"/>
      <c r="TLE94" s="240" t="n"/>
      <c r="TLG94" s="15" t="n"/>
      <c r="TLH94" s="15" t="n"/>
      <c r="TLI94" s="248" t="n"/>
      <c r="TLJ94" s="248" t="n"/>
      <c r="TLK94" s="240" t="n"/>
      <c r="TLL94" s="240" t="n"/>
      <c r="TLN94" s="15" t="n"/>
      <c r="TLO94" s="15" t="n"/>
      <c r="TLP94" s="248" t="n"/>
      <c r="TLQ94" s="248" t="n"/>
      <c r="TLR94" s="240" t="n"/>
      <c r="TLS94" s="240" t="n"/>
      <c r="TLU94" s="15" t="n"/>
      <c r="TLV94" s="15" t="n"/>
      <c r="TLW94" s="248" t="n"/>
      <c r="TLX94" s="248" t="n"/>
      <c r="TLY94" s="240" t="n"/>
      <c r="TLZ94" s="240" t="n"/>
      <c r="TMB94" s="15" t="n"/>
      <c r="TMC94" s="15" t="n"/>
      <c r="TMD94" s="248" t="n"/>
      <c r="TME94" s="248" t="n"/>
      <c r="TMF94" s="240" t="n"/>
      <c r="TMG94" s="240" t="n"/>
      <c r="TMI94" s="15" t="n"/>
      <c r="TMJ94" s="15" t="n"/>
      <c r="TMK94" s="248" t="n"/>
      <c r="TML94" s="248" t="n"/>
      <c r="TMM94" s="240" t="n"/>
      <c r="TMN94" s="240" t="n"/>
      <c r="TMP94" s="15" t="n"/>
      <c r="TMQ94" s="15" t="n"/>
      <c r="TMR94" s="248" t="n"/>
      <c r="TMS94" s="248" t="n"/>
      <c r="TMT94" s="240" t="n"/>
      <c r="TMU94" s="240" t="n"/>
      <c r="TMW94" s="15" t="n"/>
      <c r="TMX94" s="15" t="n"/>
      <c r="TMY94" s="248" t="n"/>
      <c r="TMZ94" s="248" t="n"/>
      <c r="TNA94" s="240" t="n"/>
      <c r="TNB94" s="240" t="n"/>
      <c r="TND94" s="15" t="n"/>
      <c r="TNE94" s="15" t="n"/>
      <c r="TNF94" s="248" t="n"/>
      <c r="TNG94" s="248" t="n"/>
      <c r="TNH94" s="240" t="n"/>
      <c r="TNI94" s="240" t="n"/>
      <c r="TNK94" s="15" t="n"/>
      <c r="TNL94" s="15" t="n"/>
      <c r="TNM94" s="248" t="n"/>
      <c r="TNN94" s="248" t="n"/>
      <c r="TNO94" s="240" t="n"/>
      <c r="TNP94" s="240" t="n"/>
      <c r="TNR94" s="15" t="n"/>
      <c r="TNS94" s="15" t="n"/>
      <c r="TNT94" s="248" t="n"/>
      <c r="TNU94" s="248" t="n"/>
      <c r="TNV94" s="240" t="n"/>
      <c r="TNW94" s="240" t="n"/>
      <c r="TNY94" s="15" t="n"/>
      <c r="TNZ94" s="15" t="n"/>
      <c r="TOA94" s="248" t="n"/>
      <c r="TOB94" s="248" t="n"/>
      <c r="TOC94" s="240" t="n"/>
      <c r="TOD94" s="240" t="n"/>
      <c r="TOF94" s="15" t="n"/>
      <c r="TOG94" s="15" t="n"/>
      <c r="TOH94" s="248" t="n"/>
      <c r="TOI94" s="248" t="n"/>
      <c r="TOJ94" s="240" t="n"/>
      <c r="TOK94" s="240" t="n"/>
      <c r="TOM94" s="15" t="n"/>
      <c r="TON94" s="15" t="n"/>
      <c r="TOO94" s="248" t="n"/>
      <c r="TOP94" s="248" t="n"/>
      <c r="TOQ94" s="240" t="n"/>
      <c r="TOR94" s="240" t="n"/>
      <c r="TOT94" s="15" t="n"/>
      <c r="TOU94" s="15" t="n"/>
      <c r="TOV94" s="248" t="n"/>
      <c r="TOW94" s="248" t="n"/>
      <c r="TOX94" s="240" t="n"/>
      <c r="TOY94" s="240" t="n"/>
      <c r="TPA94" s="15" t="n"/>
      <c r="TPB94" s="15" t="n"/>
      <c r="TPC94" s="248" t="n"/>
      <c r="TPD94" s="248" t="n"/>
      <c r="TPE94" s="240" t="n"/>
      <c r="TPF94" s="240" t="n"/>
      <c r="TPH94" s="15" t="n"/>
      <c r="TPI94" s="15" t="n"/>
      <c r="TPJ94" s="248" t="n"/>
      <c r="TPK94" s="248" t="n"/>
      <c r="TPL94" s="240" t="n"/>
      <c r="TPM94" s="240" t="n"/>
      <c r="TPO94" s="15" t="n"/>
      <c r="TPP94" s="15" t="n"/>
      <c r="TPQ94" s="248" t="n"/>
      <c r="TPR94" s="248" t="n"/>
      <c r="TPS94" s="240" t="n"/>
      <c r="TPT94" s="240" t="n"/>
      <c r="TPV94" s="15" t="n"/>
      <c r="TPW94" s="15" t="n"/>
      <c r="TPX94" s="248" t="n"/>
      <c r="TPY94" s="248" t="n"/>
      <c r="TPZ94" s="240" t="n"/>
      <c r="TQA94" s="240" t="n"/>
      <c r="TQC94" s="15" t="n"/>
      <c r="TQD94" s="15" t="n"/>
      <c r="TQE94" s="248" t="n"/>
      <c r="TQF94" s="248" t="n"/>
      <c r="TQG94" s="240" t="n"/>
      <c r="TQH94" s="240" t="n"/>
      <c r="TQJ94" s="15" t="n"/>
      <c r="TQK94" s="15" t="n"/>
      <c r="TQL94" s="248" t="n"/>
      <c r="TQM94" s="248" t="n"/>
      <c r="TQN94" s="240" t="n"/>
      <c r="TQO94" s="240" t="n"/>
      <c r="TQQ94" s="15" t="n"/>
      <c r="TQR94" s="15" t="n"/>
      <c r="TQS94" s="248" t="n"/>
      <c r="TQT94" s="248" t="n"/>
      <c r="TQU94" s="240" t="n"/>
      <c r="TQV94" s="240" t="n"/>
      <c r="TQX94" s="15" t="n"/>
      <c r="TQY94" s="15" t="n"/>
      <c r="TQZ94" s="248" t="n"/>
      <c r="TRA94" s="248" t="n"/>
      <c r="TRB94" s="240" t="n"/>
      <c r="TRC94" s="240" t="n"/>
      <c r="TRE94" s="15" t="n"/>
      <c r="TRF94" s="15" t="n"/>
      <c r="TRG94" s="248" t="n"/>
      <c r="TRH94" s="248" t="n"/>
      <c r="TRI94" s="240" t="n"/>
      <c r="TRJ94" s="240" t="n"/>
      <c r="TRL94" s="15" t="n"/>
      <c r="TRM94" s="15" t="n"/>
      <c r="TRN94" s="248" t="n"/>
      <c r="TRO94" s="248" t="n"/>
      <c r="TRP94" s="240" t="n"/>
      <c r="TRQ94" s="240" t="n"/>
      <c r="TRS94" s="15" t="n"/>
      <c r="TRT94" s="15" t="n"/>
      <c r="TRU94" s="248" t="n"/>
      <c r="TRV94" s="248" t="n"/>
      <c r="TRW94" s="240" t="n"/>
      <c r="TRX94" s="240" t="n"/>
      <c r="TRZ94" s="15" t="n"/>
      <c r="TSA94" s="15" t="n"/>
      <c r="TSB94" s="248" t="n"/>
      <c r="TSC94" s="248" t="n"/>
      <c r="TSD94" s="240" t="n"/>
      <c r="TSE94" s="240" t="n"/>
      <c r="TSG94" s="15" t="n"/>
      <c r="TSH94" s="15" t="n"/>
      <c r="TSI94" s="248" t="n"/>
      <c r="TSJ94" s="248" t="n"/>
      <c r="TSK94" s="240" t="n"/>
      <c r="TSL94" s="240" t="n"/>
      <c r="TSN94" s="15" t="n"/>
      <c r="TSO94" s="15" t="n"/>
      <c r="TSP94" s="248" t="n"/>
      <c r="TSQ94" s="248" t="n"/>
      <c r="TSR94" s="240" t="n"/>
      <c r="TSS94" s="240" t="n"/>
      <c r="TSU94" s="15" t="n"/>
      <c r="TSV94" s="15" t="n"/>
      <c r="TSW94" s="248" t="n"/>
      <c r="TSX94" s="248" t="n"/>
      <c r="TSY94" s="240" t="n"/>
      <c r="TSZ94" s="240" t="n"/>
      <c r="TTB94" s="15" t="n"/>
      <c r="TTC94" s="15" t="n"/>
      <c r="TTD94" s="248" t="n"/>
      <c r="TTE94" s="248" t="n"/>
      <c r="TTF94" s="240" t="n"/>
      <c r="TTG94" s="240" t="n"/>
      <c r="TTI94" s="15" t="n"/>
      <c r="TTJ94" s="15" t="n"/>
      <c r="TTK94" s="248" t="n"/>
      <c r="TTL94" s="248" t="n"/>
      <c r="TTM94" s="240" t="n"/>
      <c r="TTN94" s="240" t="n"/>
      <c r="TTP94" s="15" t="n"/>
      <c r="TTQ94" s="15" t="n"/>
      <c r="TTR94" s="248" t="n"/>
      <c r="TTS94" s="248" t="n"/>
      <c r="TTT94" s="240" t="n"/>
      <c r="TTU94" s="240" t="n"/>
      <c r="TTW94" s="15" t="n"/>
      <c r="TTX94" s="15" t="n"/>
      <c r="TTY94" s="248" t="n"/>
      <c r="TTZ94" s="248" t="n"/>
      <c r="TUA94" s="240" t="n"/>
      <c r="TUB94" s="240" t="n"/>
      <c r="TUD94" s="15" t="n"/>
      <c r="TUE94" s="15" t="n"/>
      <c r="TUF94" s="248" t="n"/>
      <c r="TUG94" s="248" t="n"/>
      <c r="TUH94" s="240" t="n"/>
      <c r="TUI94" s="240" t="n"/>
      <c r="TUK94" s="15" t="n"/>
      <c r="TUL94" s="15" t="n"/>
      <c r="TUM94" s="248" t="n"/>
      <c r="TUN94" s="248" t="n"/>
      <c r="TUO94" s="240" t="n"/>
      <c r="TUP94" s="240" t="n"/>
      <c r="TUR94" s="15" t="n"/>
      <c r="TUS94" s="15" t="n"/>
      <c r="TUT94" s="248" t="n"/>
      <c r="TUU94" s="248" t="n"/>
      <c r="TUV94" s="240" t="n"/>
      <c r="TUW94" s="240" t="n"/>
      <c r="TUY94" s="15" t="n"/>
      <c r="TUZ94" s="15" t="n"/>
      <c r="TVA94" s="248" t="n"/>
      <c r="TVB94" s="248" t="n"/>
      <c r="TVC94" s="240" t="n"/>
      <c r="TVD94" s="240" t="n"/>
      <c r="TVF94" s="15" t="n"/>
      <c r="TVG94" s="15" t="n"/>
      <c r="TVH94" s="248" t="n"/>
      <c r="TVI94" s="248" t="n"/>
      <c r="TVJ94" s="240" t="n"/>
      <c r="TVK94" s="240" t="n"/>
      <c r="TVM94" s="15" t="n"/>
      <c r="TVN94" s="15" t="n"/>
      <c r="TVO94" s="248" t="n"/>
      <c r="TVP94" s="248" t="n"/>
      <c r="TVQ94" s="240" t="n"/>
      <c r="TVR94" s="240" t="n"/>
      <c r="TVT94" s="15" t="n"/>
      <c r="TVU94" s="15" t="n"/>
      <c r="TVV94" s="248" t="n"/>
      <c r="TVW94" s="248" t="n"/>
      <c r="TVX94" s="240" t="n"/>
      <c r="TVY94" s="240" t="n"/>
      <c r="TWA94" s="15" t="n"/>
      <c r="TWB94" s="15" t="n"/>
      <c r="TWC94" s="248" t="n"/>
      <c r="TWD94" s="248" t="n"/>
      <c r="TWE94" s="240" t="n"/>
      <c r="TWF94" s="240" t="n"/>
      <c r="TWH94" s="15" t="n"/>
      <c r="TWI94" s="15" t="n"/>
      <c r="TWJ94" s="248" t="n"/>
      <c r="TWK94" s="248" t="n"/>
      <c r="TWL94" s="240" t="n"/>
      <c r="TWM94" s="240" t="n"/>
      <c r="TWO94" s="15" t="n"/>
      <c r="TWP94" s="15" t="n"/>
      <c r="TWQ94" s="248" t="n"/>
      <c r="TWR94" s="248" t="n"/>
      <c r="TWS94" s="240" t="n"/>
      <c r="TWT94" s="240" t="n"/>
      <c r="TWV94" s="15" t="n"/>
      <c r="TWW94" s="15" t="n"/>
      <c r="TWX94" s="248" t="n"/>
      <c r="TWY94" s="248" t="n"/>
      <c r="TWZ94" s="240" t="n"/>
      <c r="TXA94" s="240" t="n"/>
      <c r="TXC94" s="15" t="n"/>
      <c r="TXD94" s="15" t="n"/>
      <c r="TXE94" s="248" t="n"/>
      <c r="TXF94" s="248" t="n"/>
      <c r="TXG94" s="240" t="n"/>
      <c r="TXH94" s="240" t="n"/>
      <c r="TXJ94" s="15" t="n"/>
      <c r="TXK94" s="15" t="n"/>
      <c r="TXL94" s="248" t="n"/>
      <c r="TXM94" s="248" t="n"/>
      <c r="TXN94" s="240" t="n"/>
      <c r="TXO94" s="240" t="n"/>
      <c r="TXQ94" s="15" t="n"/>
      <c r="TXR94" s="15" t="n"/>
      <c r="TXS94" s="248" t="n"/>
      <c r="TXT94" s="248" t="n"/>
      <c r="TXU94" s="240" t="n"/>
      <c r="TXV94" s="240" t="n"/>
      <c r="TXX94" s="15" t="n"/>
      <c r="TXY94" s="15" t="n"/>
      <c r="TXZ94" s="248" t="n"/>
      <c r="TYA94" s="248" t="n"/>
      <c r="TYB94" s="240" t="n"/>
      <c r="TYC94" s="240" t="n"/>
      <c r="TYE94" s="15" t="n"/>
      <c r="TYF94" s="15" t="n"/>
      <c r="TYG94" s="248" t="n"/>
      <c r="TYH94" s="248" t="n"/>
      <c r="TYI94" s="240" t="n"/>
      <c r="TYJ94" s="240" t="n"/>
      <c r="TYL94" s="15" t="n"/>
      <c r="TYM94" s="15" t="n"/>
      <c r="TYN94" s="248" t="n"/>
      <c r="TYO94" s="248" t="n"/>
      <c r="TYP94" s="240" t="n"/>
      <c r="TYQ94" s="240" t="n"/>
      <c r="TYS94" s="15" t="n"/>
      <c r="TYT94" s="15" t="n"/>
      <c r="TYU94" s="248" t="n"/>
      <c r="TYV94" s="248" t="n"/>
      <c r="TYW94" s="240" t="n"/>
      <c r="TYX94" s="240" t="n"/>
      <c r="TYZ94" s="15" t="n"/>
      <c r="TZA94" s="15" t="n"/>
      <c r="TZB94" s="248" t="n"/>
      <c r="TZC94" s="248" t="n"/>
      <c r="TZD94" s="240" t="n"/>
      <c r="TZE94" s="240" t="n"/>
      <c r="TZG94" s="15" t="n"/>
      <c r="TZH94" s="15" t="n"/>
      <c r="TZI94" s="248" t="n"/>
      <c r="TZJ94" s="248" t="n"/>
      <c r="TZK94" s="240" t="n"/>
      <c r="TZL94" s="240" t="n"/>
      <c r="TZN94" s="15" t="n"/>
      <c r="TZO94" s="15" t="n"/>
      <c r="TZP94" s="248" t="n"/>
      <c r="TZQ94" s="248" t="n"/>
      <c r="TZR94" s="240" t="n"/>
      <c r="TZS94" s="240" t="n"/>
      <c r="TZU94" s="15" t="n"/>
      <c r="TZV94" s="15" t="n"/>
      <c r="TZW94" s="248" t="n"/>
      <c r="TZX94" s="248" t="n"/>
      <c r="TZY94" s="240" t="n"/>
      <c r="TZZ94" s="240" t="n"/>
      <c r="UAB94" s="15" t="n"/>
      <c r="UAC94" s="15" t="n"/>
      <c r="UAD94" s="248" t="n"/>
      <c r="UAE94" s="248" t="n"/>
      <c r="UAF94" s="240" t="n"/>
      <c r="UAG94" s="240" t="n"/>
      <c r="UAI94" s="15" t="n"/>
      <c r="UAJ94" s="15" t="n"/>
      <c r="UAK94" s="248" t="n"/>
      <c r="UAL94" s="248" t="n"/>
      <c r="UAM94" s="240" t="n"/>
      <c r="UAN94" s="240" t="n"/>
      <c r="UAP94" s="15" t="n"/>
      <c r="UAQ94" s="15" t="n"/>
      <c r="UAR94" s="248" t="n"/>
      <c r="UAS94" s="248" t="n"/>
      <c r="UAT94" s="240" t="n"/>
      <c r="UAU94" s="240" t="n"/>
      <c r="UAW94" s="15" t="n"/>
      <c r="UAX94" s="15" t="n"/>
      <c r="UAY94" s="248" t="n"/>
      <c r="UAZ94" s="248" t="n"/>
      <c r="UBA94" s="240" t="n"/>
      <c r="UBB94" s="240" t="n"/>
      <c r="UBD94" s="15" t="n"/>
      <c r="UBE94" s="15" t="n"/>
      <c r="UBF94" s="248" t="n"/>
      <c r="UBG94" s="248" t="n"/>
      <c r="UBH94" s="240" t="n"/>
      <c r="UBI94" s="240" t="n"/>
      <c r="UBK94" s="15" t="n"/>
      <c r="UBL94" s="15" t="n"/>
      <c r="UBM94" s="248" t="n"/>
      <c r="UBN94" s="248" t="n"/>
      <c r="UBO94" s="240" t="n"/>
      <c r="UBP94" s="240" t="n"/>
      <c r="UBR94" s="15" t="n"/>
      <c r="UBS94" s="15" t="n"/>
      <c r="UBT94" s="248" t="n"/>
      <c r="UBU94" s="248" t="n"/>
      <c r="UBV94" s="240" t="n"/>
      <c r="UBW94" s="240" t="n"/>
      <c r="UBY94" s="15" t="n"/>
      <c r="UBZ94" s="15" t="n"/>
      <c r="UCA94" s="248" t="n"/>
      <c r="UCB94" s="248" t="n"/>
      <c r="UCC94" s="240" t="n"/>
      <c r="UCD94" s="240" t="n"/>
      <c r="UCF94" s="15" t="n"/>
      <c r="UCG94" s="15" t="n"/>
      <c r="UCH94" s="248" t="n"/>
      <c r="UCI94" s="248" t="n"/>
      <c r="UCJ94" s="240" t="n"/>
      <c r="UCK94" s="240" t="n"/>
      <c r="UCM94" s="15" t="n"/>
      <c r="UCN94" s="15" t="n"/>
      <c r="UCO94" s="248" t="n"/>
      <c r="UCP94" s="248" t="n"/>
      <c r="UCQ94" s="240" t="n"/>
      <c r="UCR94" s="240" t="n"/>
      <c r="UCT94" s="15" t="n"/>
      <c r="UCU94" s="15" t="n"/>
      <c r="UCV94" s="248" t="n"/>
      <c r="UCW94" s="248" t="n"/>
      <c r="UCX94" s="240" t="n"/>
      <c r="UCY94" s="240" t="n"/>
      <c r="UDA94" s="15" t="n"/>
      <c r="UDB94" s="15" t="n"/>
      <c r="UDC94" s="248" t="n"/>
      <c r="UDD94" s="248" t="n"/>
      <c r="UDE94" s="240" t="n"/>
      <c r="UDF94" s="240" t="n"/>
      <c r="UDH94" s="15" t="n"/>
      <c r="UDI94" s="15" t="n"/>
      <c r="UDJ94" s="248" t="n"/>
      <c r="UDK94" s="248" t="n"/>
      <c r="UDL94" s="240" t="n"/>
      <c r="UDM94" s="240" t="n"/>
      <c r="UDO94" s="15" t="n"/>
      <c r="UDP94" s="15" t="n"/>
      <c r="UDQ94" s="248" t="n"/>
      <c r="UDR94" s="248" t="n"/>
      <c r="UDS94" s="240" t="n"/>
      <c r="UDT94" s="240" t="n"/>
      <c r="UDV94" s="15" t="n"/>
      <c r="UDW94" s="15" t="n"/>
      <c r="UDX94" s="248" t="n"/>
      <c r="UDY94" s="248" t="n"/>
      <c r="UDZ94" s="240" t="n"/>
      <c r="UEA94" s="240" t="n"/>
      <c r="UEC94" s="15" t="n"/>
      <c r="UED94" s="15" t="n"/>
      <c r="UEE94" s="248" t="n"/>
      <c r="UEF94" s="248" t="n"/>
      <c r="UEG94" s="240" t="n"/>
      <c r="UEH94" s="240" t="n"/>
      <c r="UEJ94" s="15" t="n"/>
      <c r="UEK94" s="15" t="n"/>
      <c r="UEL94" s="248" t="n"/>
      <c r="UEM94" s="248" t="n"/>
      <c r="UEN94" s="240" t="n"/>
      <c r="UEO94" s="240" t="n"/>
      <c r="UEQ94" s="15" t="n"/>
      <c r="UER94" s="15" t="n"/>
      <c r="UES94" s="248" t="n"/>
      <c r="UET94" s="248" t="n"/>
      <c r="UEU94" s="240" t="n"/>
      <c r="UEV94" s="240" t="n"/>
      <c r="UEX94" s="15" t="n"/>
      <c r="UEY94" s="15" t="n"/>
      <c r="UEZ94" s="248" t="n"/>
      <c r="UFA94" s="248" t="n"/>
      <c r="UFB94" s="240" t="n"/>
      <c r="UFC94" s="240" t="n"/>
      <c r="UFE94" s="15" t="n"/>
      <c r="UFF94" s="15" t="n"/>
      <c r="UFG94" s="248" t="n"/>
      <c r="UFH94" s="248" t="n"/>
      <c r="UFI94" s="240" t="n"/>
      <c r="UFJ94" s="240" t="n"/>
      <c r="UFL94" s="15" t="n"/>
      <c r="UFM94" s="15" t="n"/>
      <c r="UFN94" s="248" t="n"/>
      <c r="UFO94" s="248" t="n"/>
      <c r="UFP94" s="240" t="n"/>
      <c r="UFQ94" s="240" t="n"/>
      <c r="UFS94" s="15" t="n"/>
      <c r="UFT94" s="15" t="n"/>
      <c r="UFU94" s="248" t="n"/>
      <c r="UFV94" s="248" t="n"/>
      <c r="UFW94" s="240" t="n"/>
      <c r="UFX94" s="240" t="n"/>
      <c r="UFZ94" s="15" t="n"/>
      <c r="UGA94" s="15" t="n"/>
      <c r="UGB94" s="248" t="n"/>
      <c r="UGC94" s="248" t="n"/>
      <c r="UGD94" s="240" t="n"/>
      <c r="UGE94" s="240" t="n"/>
      <c r="UGG94" s="15" t="n"/>
      <c r="UGH94" s="15" t="n"/>
      <c r="UGI94" s="248" t="n"/>
      <c r="UGJ94" s="248" t="n"/>
      <c r="UGK94" s="240" t="n"/>
      <c r="UGL94" s="240" t="n"/>
      <c r="UGN94" s="15" t="n"/>
      <c r="UGO94" s="15" t="n"/>
      <c r="UGP94" s="248" t="n"/>
      <c r="UGQ94" s="248" t="n"/>
      <c r="UGR94" s="240" t="n"/>
      <c r="UGS94" s="240" t="n"/>
      <c r="UGU94" s="15" t="n"/>
      <c r="UGV94" s="15" t="n"/>
      <c r="UGW94" s="248" t="n"/>
      <c r="UGX94" s="248" t="n"/>
      <c r="UGY94" s="240" t="n"/>
      <c r="UGZ94" s="240" t="n"/>
      <c r="UHB94" s="15" t="n"/>
      <c r="UHC94" s="15" t="n"/>
      <c r="UHD94" s="248" t="n"/>
      <c r="UHE94" s="248" t="n"/>
      <c r="UHF94" s="240" t="n"/>
      <c r="UHG94" s="240" t="n"/>
      <c r="UHI94" s="15" t="n"/>
      <c r="UHJ94" s="15" t="n"/>
      <c r="UHK94" s="248" t="n"/>
      <c r="UHL94" s="248" t="n"/>
      <c r="UHM94" s="240" t="n"/>
      <c r="UHN94" s="240" t="n"/>
      <c r="UHP94" s="15" t="n"/>
      <c r="UHQ94" s="15" t="n"/>
      <c r="UHR94" s="248" t="n"/>
      <c r="UHS94" s="248" t="n"/>
      <c r="UHT94" s="240" t="n"/>
      <c r="UHU94" s="240" t="n"/>
      <c r="UHW94" s="15" t="n"/>
      <c r="UHX94" s="15" t="n"/>
      <c r="UHY94" s="248" t="n"/>
      <c r="UHZ94" s="248" t="n"/>
      <c r="UIA94" s="240" t="n"/>
      <c r="UIB94" s="240" t="n"/>
      <c r="UID94" s="15" t="n"/>
      <c r="UIE94" s="15" t="n"/>
      <c r="UIF94" s="248" t="n"/>
      <c r="UIG94" s="248" t="n"/>
      <c r="UIH94" s="240" t="n"/>
      <c r="UII94" s="240" t="n"/>
      <c r="UIK94" s="15" t="n"/>
      <c r="UIL94" s="15" t="n"/>
      <c r="UIM94" s="248" t="n"/>
      <c r="UIN94" s="248" t="n"/>
      <c r="UIO94" s="240" t="n"/>
      <c r="UIP94" s="240" t="n"/>
      <c r="UIR94" s="15" t="n"/>
      <c r="UIS94" s="15" t="n"/>
      <c r="UIT94" s="248" t="n"/>
      <c r="UIU94" s="248" t="n"/>
      <c r="UIV94" s="240" t="n"/>
      <c r="UIW94" s="240" t="n"/>
      <c r="UIY94" s="15" t="n"/>
      <c r="UIZ94" s="15" t="n"/>
      <c r="UJA94" s="248" t="n"/>
      <c r="UJB94" s="248" t="n"/>
      <c r="UJC94" s="240" t="n"/>
      <c r="UJD94" s="240" t="n"/>
      <c r="UJF94" s="15" t="n"/>
      <c r="UJG94" s="15" t="n"/>
      <c r="UJH94" s="248" t="n"/>
      <c r="UJI94" s="248" t="n"/>
      <c r="UJJ94" s="240" t="n"/>
      <c r="UJK94" s="240" t="n"/>
      <c r="UJM94" s="15" t="n"/>
      <c r="UJN94" s="15" t="n"/>
      <c r="UJO94" s="248" t="n"/>
      <c r="UJP94" s="248" t="n"/>
      <c r="UJQ94" s="240" t="n"/>
      <c r="UJR94" s="240" t="n"/>
      <c r="UJT94" s="15" t="n"/>
      <c r="UJU94" s="15" t="n"/>
      <c r="UJV94" s="248" t="n"/>
      <c r="UJW94" s="248" t="n"/>
      <c r="UJX94" s="240" t="n"/>
      <c r="UJY94" s="240" t="n"/>
      <c r="UKA94" s="15" t="n"/>
      <c r="UKB94" s="15" t="n"/>
      <c r="UKC94" s="248" t="n"/>
      <c r="UKD94" s="248" t="n"/>
      <c r="UKE94" s="240" t="n"/>
      <c r="UKF94" s="240" t="n"/>
      <c r="UKH94" s="15" t="n"/>
      <c r="UKI94" s="15" t="n"/>
      <c r="UKJ94" s="248" t="n"/>
      <c r="UKK94" s="248" t="n"/>
      <c r="UKL94" s="240" t="n"/>
      <c r="UKM94" s="240" t="n"/>
      <c r="UKO94" s="15" t="n"/>
      <c r="UKP94" s="15" t="n"/>
      <c r="UKQ94" s="248" t="n"/>
      <c r="UKR94" s="248" t="n"/>
      <c r="UKS94" s="240" t="n"/>
      <c r="UKT94" s="240" t="n"/>
      <c r="UKV94" s="15" t="n"/>
      <c r="UKW94" s="15" t="n"/>
      <c r="UKX94" s="248" t="n"/>
      <c r="UKY94" s="248" t="n"/>
      <c r="UKZ94" s="240" t="n"/>
      <c r="ULA94" s="240" t="n"/>
      <c r="ULC94" s="15" t="n"/>
      <c r="ULD94" s="15" t="n"/>
      <c r="ULE94" s="248" t="n"/>
      <c r="ULF94" s="248" t="n"/>
      <c r="ULG94" s="240" t="n"/>
      <c r="ULH94" s="240" t="n"/>
      <c r="ULJ94" s="15" t="n"/>
      <c r="ULK94" s="15" t="n"/>
      <c r="ULL94" s="248" t="n"/>
      <c r="ULM94" s="248" t="n"/>
      <c r="ULN94" s="240" t="n"/>
      <c r="ULO94" s="240" t="n"/>
      <c r="ULQ94" s="15" t="n"/>
      <c r="ULR94" s="15" t="n"/>
      <c r="ULS94" s="248" t="n"/>
      <c r="ULT94" s="248" t="n"/>
      <c r="ULU94" s="240" t="n"/>
      <c r="ULV94" s="240" t="n"/>
      <c r="ULX94" s="15" t="n"/>
      <c r="ULY94" s="15" t="n"/>
      <c r="ULZ94" s="248" t="n"/>
      <c r="UMA94" s="248" t="n"/>
      <c r="UMB94" s="240" t="n"/>
      <c r="UMC94" s="240" t="n"/>
      <c r="UME94" s="15" t="n"/>
      <c r="UMF94" s="15" t="n"/>
      <c r="UMG94" s="248" t="n"/>
      <c r="UMH94" s="248" t="n"/>
      <c r="UMI94" s="240" t="n"/>
      <c r="UMJ94" s="240" t="n"/>
      <c r="UML94" s="15" t="n"/>
      <c r="UMM94" s="15" t="n"/>
      <c r="UMN94" s="248" t="n"/>
      <c r="UMO94" s="248" t="n"/>
      <c r="UMP94" s="240" t="n"/>
      <c r="UMQ94" s="240" t="n"/>
      <c r="UMS94" s="15" t="n"/>
      <c r="UMT94" s="15" t="n"/>
      <c r="UMU94" s="248" t="n"/>
      <c r="UMV94" s="248" t="n"/>
      <c r="UMW94" s="240" t="n"/>
      <c r="UMX94" s="240" t="n"/>
      <c r="UMZ94" s="15" t="n"/>
      <c r="UNA94" s="15" t="n"/>
      <c r="UNB94" s="248" t="n"/>
      <c r="UNC94" s="248" t="n"/>
      <c r="UND94" s="240" t="n"/>
      <c r="UNE94" s="240" t="n"/>
      <c r="UNG94" s="15" t="n"/>
      <c r="UNH94" s="15" t="n"/>
      <c r="UNI94" s="248" t="n"/>
      <c r="UNJ94" s="248" t="n"/>
      <c r="UNK94" s="240" t="n"/>
      <c r="UNL94" s="240" t="n"/>
      <c r="UNN94" s="15" t="n"/>
      <c r="UNO94" s="15" t="n"/>
      <c r="UNP94" s="248" t="n"/>
      <c r="UNQ94" s="248" t="n"/>
      <c r="UNR94" s="240" t="n"/>
      <c r="UNS94" s="240" t="n"/>
      <c r="UNU94" s="15" t="n"/>
      <c r="UNV94" s="15" t="n"/>
      <c r="UNW94" s="248" t="n"/>
      <c r="UNX94" s="248" t="n"/>
      <c r="UNY94" s="240" t="n"/>
      <c r="UNZ94" s="240" t="n"/>
      <c r="UOB94" s="15" t="n"/>
      <c r="UOC94" s="15" t="n"/>
      <c r="UOD94" s="248" t="n"/>
      <c r="UOE94" s="248" t="n"/>
      <c r="UOF94" s="240" t="n"/>
      <c r="UOG94" s="240" t="n"/>
      <c r="UOI94" s="15" t="n"/>
      <c r="UOJ94" s="15" t="n"/>
      <c r="UOK94" s="248" t="n"/>
      <c r="UOL94" s="248" t="n"/>
      <c r="UOM94" s="240" t="n"/>
      <c r="UON94" s="240" t="n"/>
      <c r="UOP94" s="15" t="n"/>
      <c r="UOQ94" s="15" t="n"/>
      <c r="UOR94" s="248" t="n"/>
      <c r="UOS94" s="248" t="n"/>
      <c r="UOT94" s="240" t="n"/>
      <c r="UOU94" s="240" t="n"/>
      <c r="UOW94" s="15" t="n"/>
      <c r="UOX94" s="15" t="n"/>
      <c r="UOY94" s="248" t="n"/>
      <c r="UOZ94" s="248" t="n"/>
      <c r="UPA94" s="240" t="n"/>
      <c r="UPB94" s="240" t="n"/>
      <c r="UPD94" s="15" t="n"/>
      <c r="UPE94" s="15" t="n"/>
      <c r="UPF94" s="248" t="n"/>
      <c r="UPG94" s="248" t="n"/>
      <c r="UPH94" s="240" t="n"/>
      <c r="UPI94" s="240" t="n"/>
      <c r="UPK94" s="15" t="n"/>
      <c r="UPL94" s="15" t="n"/>
      <c r="UPM94" s="248" t="n"/>
      <c r="UPN94" s="248" t="n"/>
      <c r="UPO94" s="240" t="n"/>
      <c r="UPP94" s="240" t="n"/>
      <c r="UPR94" s="15" t="n"/>
      <c r="UPS94" s="15" t="n"/>
      <c r="UPT94" s="248" t="n"/>
      <c r="UPU94" s="248" t="n"/>
      <c r="UPV94" s="240" t="n"/>
      <c r="UPW94" s="240" t="n"/>
      <c r="UPY94" s="15" t="n"/>
      <c r="UPZ94" s="15" t="n"/>
      <c r="UQA94" s="248" t="n"/>
      <c r="UQB94" s="248" t="n"/>
      <c r="UQC94" s="240" t="n"/>
      <c r="UQD94" s="240" t="n"/>
      <c r="UQF94" s="15" t="n"/>
      <c r="UQG94" s="15" t="n"/>
      <c r="UQH94" s="248" t="n"/>
      <c r="UQI94" s="248" t="n"/>
      <c r="UQJ94" s="240" t="n"/>
      <c r="UQK94" s="240" t="n"/>
      <c r="UQM94" s="15" t="n"/>
      <c r="UQN94" s="15" t="n"/>
      <c r="UQO94" s="248" t="n"/>
      <c r="UQP94" s="248" t="n"/>
      <c r="UQQ94" s="240" t="n"/>
      <c r="UQR94" s="240" t="n"/>
      <c r="UQT94" s="15" t="n"/>
      <c r="UQU94" s="15" t="n"/>
      <c r="UQV94" s="248" t="n"/>
      <c r="UQW94" s="248" t="n"/>
      <c r="UQX94" s="240" t="n"/>
      <c r="UQY94" s="240" t="n"/>
      <c r="URA94" s="15" t="n"/>
      <c r="URB94" s="15" t="n"/>
      <c r="URC94" s="248" t="n"/>
      <c r="URD94" s="248" t="n"/>
      <c r="URE94" s="240" t="n"/>
      <c r="URF94" s="240" t="n"/>
      <c r="URH94" s="15" t="n"/>
      <c r="URI94" s="15" t="n"/>
      <c r="URJ94" s="248" t="n"/>
      <c r="URK94" s="248" t="n"/>
      <c r="URL94" s="240" t="n"/>
      <c r="URM94" s="240" t="n"/>
      <c r="URO94" s="15" t="n"/>
      <c r="URP94" s="15" t="n"/>
      <c r="URQ94" s="248" t="n"/>
      <c r="URR94" s="248" t="n"/>
      <c r="URS94" s="240" t="n"/>
      <c r="URT94" s="240" t="n"/>
      <c r="URV94" s="15" t="n"/>
      <c r="URW94" s="15" t="n"/>
      <c r="URX94" s="248" t="n"/>
      <c r="URY94" s="248" t="n"/>
      <c r="URZ94" s="240" t="n"/>
      <c r="USA94" s="240" t="n"/>
      <c r="USC94" s="15" t="n"/>
      <c r="USD94" s="15" t="n"/>
      <c r="USE94" s="248" t="n"/>
      <c r="USF94" s="248" t="n"/>
      <c r="USG94" s="240" t="n"/>
      <c r="USH94" s="240" t="n"/>
      <c r="USJ94" s="15" t="n"/>
      <c r="USK94" s="15" t="n"/>
      <c r="USL94" s="248" t="n"/>
      <c r="USM94" s="248" t="n"/>
      <c r="USN94" s="240" t="n"/>
      <c r="USO94" s="240" t="n"/>
      <c r="USQ94" s="15" t="n"/>
      <c r="USR94" s="15" t="n"/>
      <c r="USS94" s="248" t="n"/>
      <c r="UST94" s="248" t="n"/>
      <c r="USU94" s="240" t="n"/>
      <c r="USV94" s="240" t="n"/>
      <c r="USX94" s="15" t="n"/>
      <c r="USY94" s="15" t="n"/>
      <c r="USZ94" s="248" t="n"/>
      <c r="UTA94" s="248" t="n"/>
      <c r="UTB94" s="240" t="n"/>
      <c r="UTC94" s="240" t="n"/>
      <c r="UTE94" s="15" t="n"/>
      <c r="UTF94" s="15" t="n"/>
      <c r="UTG94" s="248" t="n"/>
      <c r="UTH94" s="248" t="n"/>
      <c r="UTI94" s="240" t="n"/>
      <c r="UTJ94" s="240" t="n"/>
      <c r="UTL94" s="15" t="n"/>
      <c r="UTM94" s="15" t="n"/>
      <c r="UTN94" s="248" t="n"/>
      <c r="UTO94" s="248" t="n"/>
      <c r="UTP94" s="240" t="n"/>
      <c r="UTQ94" s="240" t="n"/>
      <c r="UTS94" s="15" t="n"/>
      <c r="UTT94" s="15" t="n"/>
      <c r="UTU94" s="248" t="n"/>
      <c r="UTV94" s="248" t="n"/>
      <c r="UTW94" s="240" t="n"/>
      <c r="UTX94" s="240" t="n"/>
      <c r="UTZ94" s="15" t="n"/>
      <c r="UUA94" s="15" t="n"/>
      <c r="UUB94" s="248" t="n"/>
      <c r="UUC94" s="248" t="n"/>
      <c r="UUD94" s="240" t="n"/>
      <c r="UUE94" s="240" t="n"/>
      <c r="UUG94" s="15" t="n"/>
      <c r="UUH94" s="15" t="n"/>
      <c r="UUI94" s="248" t="n"/>
      <c r="UUJ94" s="248" t="n"/>
      <c r="UUK94" s="240" t="n"/>
      <c r="UUL94" s="240" t="n"/>
      <c r="UUN94" s="15" t="n"/>
      <c r="UUO94" s="15" t="n"/>
      <c r="UUP94" s="248" t="n"/>
      <c r="UUQ94" s="248" t="n"/>
      <c r="UUR94" s="240" t="n"/>
      <c r="UUS94" s="240" t="n"/>
      <c r="UUU94" s="15" t="n"/>
      <c r="UUV94" s="15" t="n"/>
      <c r="UUW94" s="248" t="n"/>
      <c r="UUX94" s="248" t="n"/>
      <c r="UUY94" s="240" t="n"/>
      <c r="UUZ94" s="240" t="n"/>
      <c r="UVB94" s="15" t="n"/>
      <c r="UVC94" s="15" t="n"/>
      <c r="UVD94" s="248" t="n"/>
      <c r="UVE94" s="248" t="n"/>
      <c r="UVF94" s="240" t="n"/>
      <c r="UVG94" s="240" t="n"/>
      <c r="UVI94" s="15" t="n"/>
      <c r="UVJ94" s="15" t="n"/>
      <c r="UVK94" s="248" t="n"/>
      <c r="UVL94" s="248" t="n"/>
      <c r="UVM94" s="240" t="n"/>
      <c r="UVN94" s="240" t="n"/>
      <c r="UVP94" s="15" t="n"/>
      <c r="UVQ94" s="15" t="n"/>
      <c r="UVR94" s="248" t="n"/>
      <c r="UVS94" s="248" t="n"/>
      <c r="UVT94" s="240" t="n"/>
      <c r="UVU94" s="240" t="n"/>
      <c r="UVW94" s="15" t="n"/>
      <c r="UVX94" s="15" t="n"/>
      <c r="UVY94" s="248" t="n"/>
      <c r="UVZ94" s="248" t="n"/>
      <c r="UWA94" s="240" t="n"/>
      <c r="UWB94" s="240" t="n"/>
      <c r="UWD94" s="15" t="n"/>
      <c r="UWE94" s="15" t="n"/>
      <c r="UWF94" s="248" t="n"/>
      <c r="UWG94" s="248" t="n"/>
      <c r="UWH94" s="240" t="n"/>
      <c r="UWI94" s="240" t="n"/>
      <c r="UWK94" s="15" t="n"/>
      <c r="UWL94" s="15" t="n"/>
      <c r="UWM94" s="248" t="n"/>
      <c r="UWN94" s="248" t="n"/>
      <c r="UWO94" s="240" t="n"/>
      <c r="UWP94" s="240" t="n"/>
      <c r="UWR94" s="15" t="n"/>
      <c r="UWS94" s="15" t="n"/>
      <c r="UWT94" s="248" t="n"/>
      <c r="UWU94" s="248" t="n"/>
      <c r="UWV94" s="240" t="n"/>
      <c r="UWW94" s="240" t="n"/>
      <c r="UWY94" s="15" t="n"/>
      <c r="UWZ94" s="15" t="n"/>
      <c r="UXA94" s="248" t="n"/>
      <c r="UXB94" s="248" t="n"/>
      <c r="UXC94" s="240" t="n"/>
      <c r="UXD94" s="240" t="n"/>
      <c r="UXF94" s="15" t="n"/>
      <c r="UXG94" s="15" t="n"/>
      <c r="UXH94" s="248" t="n"/>
      <c r="UXI94" s="248" t="n"/>
      <c r="UXJ94" s="240" t="n"/>
      <c r="UXK94" s="240" t="n"/>
      <c r="UXM94" s="15" t="n"/>
      <c r="UXN94" s="15" t="n"/>
      <c r="UXO94" s="248" t="n"/>
      <c r="UXP94" s="248" t="n"/>
      <c r="UXQ94" s="240" t="n"/>
      <c r="UXR94" s="240" t="n"/>
      <c r="UXT94" s="15" t="n"/>
      <c r="UXU94" s="15" t="n"/>
      <c r="UXV94" s="248" t="n"/>
      <c r="UXW94" s="248" t="n"/>
      <c r="UXX94" s="240" t="n"/>
      <c r="UXY94" s="240" t="n"/>
      <c r="UYA94" s="15" t="n"/>
      <c r="UYB94" s="15" t="n"/>
      <c r="UYC94" s="248" t="n"/>
      <c r="UYD94" s="248" t="n"/>
      <c r="UYE94" s="240" t="n"/>
      <c r="UYF94" s="240" t="n"/>
      <c r="UYH94" s="15" t="n"/>
      <c r="UYI94" s="15" t="n"/>
      <c r="UYJ94" s="248" t="n"/>
      <c r="UYK94" s="248" t="n"/>
      <c r="UYL94" s="240" t="n"/>
      <c r="UYM94" s="240" t="n"/>
      <c r="UYO94" s="15" t="n"/>
      <c r="UYP94" s="15" t="n"/>
      <c r="UYQ94" s="248" t="n"/>
      <c r="UYR94" s="248" t="n"/>
      <c r="UYS94" s="240" t="n"/>
      <c r="UYT94" s="240" t="n"/>
      <c r="UYV94" s="15" t="n"/>
      <c r="UYW94" s="15" t="n"/>
      <c r="UYX94" s="248" t="n"/>
      <c r="UYY94" s="248" t="n"/>
      <c r="UYZ94" s="240" t="n"/>
      <c r="UZA94" s="240" t="n"/>
      <c r="UZC94" s="15" t="n"/>
      <c r="UZD94" s="15" t="n"/>
      <c r="UZE94" s="248" t="n"/>
      <c r="UZF94" s="248" t="n"/>
      <c r="UZG94" s="240" t="n"/>
      <c r="UZH94" s="240" t="n"/>
      <c r="UZJ94" s="15" t="n"/>
      <c r="UZK94" s="15" t="n"/>
      <c r="UZL94" s="248" t="n"/>
      <c r="UZM94" s="248" t="n"/>
      <c r="UZN94" s="240" t="n"/>
      <c r="UZO94" s="240" t="n"/>
      <c r="UZQ94" s="15" t="n"/>
      <c r="UZR94" s="15" t="n"/>
      <c r="UZS94" s="248" t="n"/>
      <c r="UZT94" s="248" t="n"/>
      <c r="UZU94" s="240" t="n"/>
      <c r="UZV94" s="240" t="n"/>
      <c r="UZX94" s="15" t="n"/>
      <c r="UZY94" s="15" t="n"/>
      <c r="UZZ94" s="248" t="n"/>
      <c r="VAA94" s="248" t="n"/>
      <c r="VAB94" s="240" t="n"/>
      <c r="VAC94" s="240" t="n"/>
      <c r="VAE94" s="15" t="n"/>
      <c r="VAF94" s="15" t="n"/>
      <c r="VAG94" s="248" t="n"/>
      <c r="VAH94" s="248" t="n"/>
      <c r="VAI94" s="240" t="n"/>
      <c r="VAJ94" s="240" t="n"/>
      <c r="VAL94" s="15" t="n"/>
      <c r="VAM94" s="15" t="n"/>
      <c r="VAN94" s="248" t="n"/>
      <c r="VAO94" s="248" t="n"/>
      <c r="VAP94" s="240" t="n"/>
      <c r="VAQ94" s="240" t="n"/>
      <c r="VAS94" s="15" t="n"/>
      <c r="VAT94" s="15" t="n"/>
      <c r="VAU94" s="248" t="n"/>
      <c r="VAV94" s="248" t="n"/>
      <c r="VAW94" s="240" t="n"/>
      <c r="VAX94" s="240" t="n"/>
      <c r="VAZ94" s="15" t="n"/>
      <c r="VBA94" s="15" t="n"/>
      <c r="VBB94" s="248" t="n"/>
      <c r="VBC94" s="248" t="n"/>
      <c r="VBD94" s="240" t="n"/>
      <c r="VBE94" s="240" t="n"/>
      <c r="VBG94" s="15" t="n"/>
      <c r="VBH94" s="15" t="n"/>
      <c r="VBI94" s="248" t="n"/>
      <c r="VBJ94" s="248" t="n"/>
      <c r="VBK94" s="240" t="n"/>
      <c r="VBL94" s="240" t="n"/>
      <c r="VBN94" s="15" t="n"/>
      <c r="VBO94" s="15" t="n"/>
      <c r="VBP94" s="248" t="n"/>
      <c r="VBQ94" s="248" t="n"/>
      <c r="VBR94" s="240" t="n"/>
      <c r="VBS94" s="240" t="n"/>
      <c r="VBU94" s="15" t="n"/>
      <c r="VBV94" s="15" t="n"/>
      <c r="VBW94" s="248" t="n"/>
      <c r="VBX94" s="248" t="n"/>
      <c r="VBY94" s="240" t="n"/>
      <c r="VBZ94" s="240" t="n"/>
      <c r="VCB94" s="15" t="n"/>
      <c r="VCC94" s="15" t="n"/>
      <c r="VCD94" s="248" t="n"/>
      <c r="VCE94" s="248" t="n"/>
      <c r="VCF94" s="240" t="n"/>
      <c r="VCG94" s="240" t="n"/>
      <c r="VCI94" s="15" t="n"/>
      <c r="VCJ94" s="15" t="n"/>
      <c r="VCK94" s="248" t="n"/>
      <c r="VCL94" s="248" t="n"/>
      <c r="VCM94" s="240" t="n"/>
      <c r="VCN94" s="240" t="n"/>
      <c r="VCP94" s="15" t="n"/>
      <c r="VCQ94" s="15" t="n"/>
      <c r="VCR94" s="248" t="n"/>
      <c r="VCS94" s="248" t="n"/>
      <c r="VCT94" s="240" t="n"/>
      <c r="VCU94" s="240" t="n"/>
      <c r="VCW94" s="15" t="n"/>
      <c r="VCX94" s="15" t="n"/>
      <c r="VCY94" s="248" t="n"/>
      <c r="VCZ94" s="248" t="n"/>
      <c r="VDA94" s="240" t="n"/>
      <c r="VDB94" s="240" t="n"/>
      <c r="VDD94" s="15" t="n"/>
      <c r="VDE94" s="15" t="n"/>
      <c r="VDF94" s="248" t="n"/>
      <c r="VDG94" s="248" t="n"/>
      <c r="VDH94" s="240" t="n"/>
      <c r="VDI94" s="240" t="n"/>
      <c r="VDK94" s="15" t="n"/>
      <c r="VDL94" s="15" t="n"/>
      <c r="VDM94" s="248" t="n"/>
      <c r="VDN94" s="248" t="n"/>
      <c r="VDO94" s="240" t="n"/>
      <c r="VDP94" s="240" t="n"/>
      <c r="VDR94" s="15" t="n"/>
      <c r="VDS94" s="15" t="n"/>
      <c r="VDT94" s="248" t="n"/>
      <c r="VDU94" s="248" t="n"/>
      <c r="VDV94" s="240" t="n"/>
      <c r="VDW94" s="240" t="n"/>
      <c r="VDY94" s="15" t="n"/>
      <c r="VDZ94" s="15" t="n"/>
      <c r="VEA94" s="248" t="n"/>
      <c r="VEB94" s="248" t="n"/>
      <c r="VEC94" s="240" t="n"/>
      <c r="VED94" s="240" t="n"/>
      <c r="VEF94" s="15" t="n"/>
      <c r="VEG94" s="15" t="n"/>
      <c r="VEH94" s="248" t="n"/>
      <c r="VEI94" s="248" t="n"/>
      <c r="VEJ94" s="240" t="n"/>
      <c r="VEK94" s="240" t="n"/>
      <c r="VEM94" s="15" t="n"/>
      <c r="VEN94" s="15" t="n"/>
      <c r="VEO94" s="248" t="n"/>
      <c r="VEP94" s="248" t="n"/>
      <c r="VEQ94" s="240" t="n"/>
      <c r="VER94" s="240" t="n"/>
      <c r="VET94" s="15" t="n"/>
      <c r="VEU94" s="15" t="n"/>
      <c r="VEV94" s="248" t="n"/>
      <c r="VEW94" s="248" t="n"/>
      <c r="VEX94" s="240" t="n"/>
      <c r="VEY94" s="240" t="n"/>
      <c r="VFA94" s="15" t="n"/>
      <c r="VFB94" s="15" t="n"/>
      <c r="VFC94" s="248" t="n"/>
      <c r="VFD94" s="248" t="n"/>
      <c r="VFE94" s="240" t="n"/>
      <c r="VFF94" s="240" t="n"/>
      <c r="VFH94" s="15" t="n"/>
      <c r="VFI94" s="15" t="n"/>
      <c r="VFJ94" s="248" t="n"/>
      <c r="VFK94" s="248" t="n"/>
      <c r="VFL94" s="240" t="n"/>
      <c r="VFM94" s="240" t="n"/>
      <c r="VFO94" s="15" t="n"/>
      <c r="VFP94" s="15" t="n"/>
      <c r="VFQ94" s="248" t="n"/>
      <c r="VFR94" s="248" t="n"/>
      <c r="VFS94" s="240" t="n"/>
      <c r="VFT94" s="240" t="n"/>
      <c r="VFV94" s="15" t="n"/>
      <c r="VFW94" s="15" t="n"/>
      <c r="VFX94" s="248" t="n"/>
      <c r="VFY94" s="248" t="n"/>
      <c r="VFZ94" s="240" t="n"/>
      <c r="VGA94" s="240" t="n"/>
      <c r="VGC94" s="15" t="n"/>
      <c r="VGD94" s="15" t="n"/>
      <c r="VGE94" s="248" t="n"/>
      <c r="VGF94" s="248" t="n"/>
      <c r="VGG94" s="240" t="n"/>
      <c r="VGH94" s="240" t="n"/>
      <c r="VGJ94" s="15" t="n"/>
      <c r="VGK94" s="15" t="n"/>
      <c r="VGL94" s="248" t="n"/>
      <c r="VGM94" s="248" t="n"/>
      <c r="VGN94" s="240" t="n"/>
      <c r="VGO94" s="240" t="n"/>
      <c r="VGQ94" s="15" t="n"/>
      <c r="VGR94" s="15" t="n"/>
      <c r="VGS94" s="248" t="n"/>
      <c r="VGT94" s="248" t="n"/>
      <c r="VGU94" s="240" t="n"/>
      <c r="VGV94" s="240" t="n"/>
      <c r="VGX94" s="15" t="n"/>
      <c r="VGY94" s="15" t="n"/>
      <c r="VGZ94" s="248" t="n"/>
      <c r="VHA94" s="248" t="n"/>
      <c r="VHB94" s="240" t="n"/>
      <c r="VHC94" s="240" t="n"/>
      <c r="VHE94" s="15" t="n"/>
      <c r="VHF94" s="15" t="n"/>
      <c r="VHG94" s="248" t="n"/>
      <c r="VHH94" s="248" t="n"/>
      <c r="VHI94" s="240" t="n"/>
      <c r="VHJ94" s="240" t="n"/>
      <c r="VHL94" s="15" t="n"/>
      <c r="VHM94" s="15" t="n"/>
      <c r="VHN94" s="248" t="n"/>
      <c r="VHO94" s="248" t="n"/>
      <c r="VHP94" s="240" t="n"/>
      <c r="VHQ94" s="240" t="n"/>
      <c r="VHS94" s="15" t="n"/>
      <c r="VHT94" s="15" t="n"/>
      <c r="VHU94" s="248" t="n"/>
      <c r="VHV94" s="248" t="n"/>
      <c r="VHW94" s="240" t="n"/>
      <c r="VHX94" s="240" t="n"/>
      <c r="VHZ94" s="15" t="n"/>
      <c r="VIA94" s="15" t="n"/>
      <c r="VIB94" s="248" t="n"/>
      <c r="VIC94" s="248" t="n"/>
      <c r="VID94" s="240" t="n"/>
      <c r="VIE94" s="240" t="n"/>
      <c r="VIG94" s="15" t="n"/>
      <c r="VIH94" s="15" t="n"/>
      <c r="VII94" s="248" t="n"/>
      <c r="VIJ94" s="248" t="n"/>
      <c r="VIK94" s="240" t="n"/>
      <c r="VIL94" s="240" t="n"/>
      <c r="VIN94" s="15" t="n"/>
      <c r="VIO94" s="15" t="n"/>
      <c r="VIP94" s="248" t="n"/>
      <c r="VIQ94" s="248" t="n"/>
      <c r="VIR94" s="240" t="n"/>
      <c r="VIS94" s="240" t="n"/>
      <c r="VIU94" s="15" t="n"/>
      <c r="VIV94" s="15" t="n"/>
      <c r="VIW94" s="248" t="n"/>
      <c r="VIX94" s="248" t="n"/>
      <c r="VIY94" s="240" t="n"/>
      <c r="VIZ94" s="240" t="n"/>
      <c r="VJB94" s="15" t="n"/>
      <c r="VJC94" s="15" t="n"/>
      <c r="VJD94" s="248" t="n"/>
      <c r="VJE94" s="248" t="n"/>
      <c r="VJF94" s="240" t="n"/>
      <c r="VJG94" s="240" t="n"/>
      <c r="VJI94" s="15" t="n"/>
      <c r="VJJ94" s="15" t="n"/>
      <c r="VJK94" s="248" t="n"/>
      <c r="VJL94" s="248" t="n"/>
      <c r="VJM94" s="240" t="n"/>
      <c r="VJN94" s="240" t="n"/>
      <c r="VJP94" s="15" t="n"/>
      <c r="VJQ94" s="15" t="n"/>
      <c r="VJR94" s="248" t="n"/>
      <c r="VJS94" s="248" t="n"/>
      <c r="VJT94" s="240" t="n"/>
      <c r="VJU94" s="240" t="n"/>
      <c r="VJW94" s="15" t="n"/>
      <c r="VJX94" s="15" t="n"/>
      <c r="VJY94" s="248" t="n"/>
      <c r="VJZ94" s="248" t="n"/>
      <c r="VKA94" s="240" t="n"/>
      <c r="VKB94" s="240" t="n"/>
      <c r="VKD94" s="15" t="n"/>
      <c r="VKE94" s="15" t="n"/>
      <c r="VKF94" s="248" t="n"/>
      <c r="VKG94" s="248" t="n"/>
      <c r="VKH94" s="240" t="n"/>
      <c r="VKI94" s="240" t="n"/>
      <c r="VKK94" s="15" t="n"/>
      <c r="VKL94" s="15" t="n"/>
      <c r="VKM94" s="248" t="n"/>
      <c r="VKN94" s="248" t="n"/>
      <c r="VKO94" s="240" t="n"/>
      <c r="VKP94" s="240" t="n"/>
      <c r="VKR94" s="15" t="n"/>
      <c r="VKS94" s="15" t="n"/>
      <c r="VKT94" s="248" t="n"/>
      <c r="VKU94" s="248" t="n"/>
      <c r="VKV94" s="240" t="n"/>
      <c r="VKW94" s="240" t="n"/>
      <c r="VKY94" s="15" t="n"/>
      <c r="VKZ94" s="15" t="n"/>
      <c r="VLA94" s="248" t="n"/>
      <c r="VLB94" s="248" t="n"/>
      <c r="VLC94" s="240" t="n"/>
      <c r="VLD94" s="240" t="n"/>
      <c r="VLF94" s="15" t="n"/>
      <c r="VLG94" s="15" t="n"/>
      <c r="VLH94" s="248" t="n"/>
      <c r="VLI94" s="248" t="n"/>
      <c r="VLJ94" s="240" t="n"/>
      <c r="VLK94" s="240" t="n"/>
      <c r="VLM94" s="15" t="n"/>
      <c r="VLN94" s="15" t="n"/>
      <c r="VLO94" s="248" t="n"/>
      <c r="VLP94" s="248" t="n"/>
      <c r="VLQ94" s="240" t="n"/>
      <c r="VLR94" s="240" t="n"/>
      <c r="VLT94" s="15" t="n"/>
      <c r="VLU94" s="15" t="n"/>
      <c r="VLV94" s="248" t="n"/>
      <c r="VLW94" s="248" t="n"/>
      <c r="VLX94" s="240" t="n"/>
      <c r="VLY94" s="240" t="n"/>
      <c r="VMA94" s="15" t="n"/>
      <c r="VMB94" s="15" t="n"/>
      <c r="VMC94" s="248" t="n"/>
      <c r="VMD94" s="248" t="n"/>
      <c r="VME94" s="240" t="n"/>
      <c r="VMF94" s="240" t="n"/>
      <c r="VMH94" s="15" t="n"/>
      <c r="VMI94" s="15" t="n"/>
      <c r="VMJ94" s="248" t="n"/>
      <c r="VMK94" s="248" t="n"/>
      <c r="VML94" s="240" t="n"/>
      <c r="VMM94" s="240" t="n"/>
      <c r="VMO94" s="15" t="n"/>
      <c r="VMP94" s="15" t="n"/>
      <c r="VMQ94" s="248" t="n"/>
      <c r="VMR94" s="248" t="n"/>
      <c r="VMS94" s="240" t="n"/>
      <c r="VMT94" s="240" t="n"/>
      <c r="VMV94" s="15" t="n"/>
      <c r="VMW94" s="15" t="n"/>
      <c r="VMX94" s="248" t="n"/>
      <c r="VMY94" s="248" t="n"/>
      <c r="VMZ94" s="240" t="n"/>
      <c r="VNA94" s="240" t="n"/>
      <c r="VNC94" s="15" t="n"/>
      <c r="VND94" s="15" t="n"/>
      <c r="VNE94" s="248" t="n"/>
      <c r="VNF94" s="248" t="n"/>
      <c r="VNG94" s="240" t="n"/>
      <c r="VNH94" s="240" t="n"/>
      <c r="VNJ94" s="15" t="n"/>
      <c r="VNK94" s="15" t="n"/>
      <c r="VNL94" s="248" t="n"/>
      <c r="VNM94" s="248" t="n"/>
      <c r="VNN94" s="240" t="n"/>
      <c r="VNO94" s="240" t="n"/>
      <c r="VNQ94" s="15" t="n"/>
      <c r="VNR94" s="15" t="n"/>
      <c r="VNS94" s="248" t="n"/>
      <c r="VNT94" s="248" t="n"/>
      <c r="VNU94" s="240" t="n"/>
      <c r="VNV94" s="240" t="n"/>
      <c r="VNX94" s="15" t="n"/>
      <c r="VNY94" s="15" t="n"/>
      <c r="VNZ94" s="248" t="n"/>
      <c r="VOA94" s="248" t="n"/>
      <c r="VOB94" s="240" t="n"/>
      <c r="VOC94" s="240" t="n"/>
      <c r="VOE94" s="15" t="n"/>
      <c r="VOF94" s="15" t="n"/>
      <c r="VOG94" s="248" t="n"/>
      <c r="VOH94" s="248" t="n"/>
      <c r="VOI94" s="240" t="n"/>
      <c r="VOJ94" s="240" t="n"/>
      <c r="VOL94" s="15" t="n"/>
      <c r="VOM94" s="15" t="n"/>
      <c r="VON94" s="248" t="n"/>
      <c r="VOO94" s="248" t="n"/>
      <c r="VOP94" s="240" t="n"/>
      <c r="VOQ94" s="240" t="n"/>
      <c r="VOS94" s="15" t="n"/>
      <c r="VOT94" s="15" t="n"/>
      <c r="VOU94" s="248" t="n"/>
      <c r="VOV94" s="248" t="n"/>
      <c r="VOW94" s="240" t="n"/>
      <c r="VOX94" s="240" t="n"/>
      <c r="VOZ94" s="15" t="n"/>
      <c r="VPA94" s="15" t="n"/>
      <c r="VPB94" s="248" t="n"/>
      <c r="VPC94" s="248" t="n"/>
      <c r="VPD94" s="240" t="n"/>
      <c r="VPE94" s="240" t="n"/>
      <c r="VPG94" s="15" t="n"/>
      <c r="VPH94" s="15" t="n"/>
      <c r="VPI94" s="248" t="n"/>
      <c r="VPJ94" s="248" t="n"/>
      <c r="VPK94" s="240" t="n"/>
      <c r="VPL94" s="240" t="n"/>
      <c r="VPN94" s="15" t="n"/>
      <c r="VPO94" s="15" t="n"/>
      <c r="VPP94" s="248" t="n"/>
      <c r="VPQ94" s="248" t="n"/>
      <c r="VPR94" s="240" t="n"/>
      <c r="VPS94" s="240" t="n"/>
      <c r="VPU94" s="15" t="n"/>
      <c r="VPV94" s="15" t="n"/>
      <c r="VPW94" s="248" t="n"/>
      <c r="VPX94" s="248" t="n"/>
      <c r="VPY94" s="240" t="n"/>
      <c r="VPZ94" s="240" t="n"/>
      <c r="VQB94" s="15" t="n"/>
      <c r="VQC94" s="15" t="n"/>
      <c r="VQD94" s="248" t="n"/>
      <c r="VQE94" s="248" t="n"/>
      <c r="VQF94" s="240" t="n"/>
      <c r="VQG94" s="240" t="n"/>
      <c r="VQI94" s="15" t="n"/>
      <c r="VQJ94" s="15" t="n"/>
      <c r="VQK94" s="248" t="n"/>
      <c r="VQL94" s="248" t="n"/>
      <c r="VQM94" s="240" t="n"/>
      <c r="VQN94" s="240" t="n"/>
      <c r="VQP94" s="15" t="n"/>
      <c r="VQQ94" s="15" t="n"/>
      <c r="VQR94" s="248" t="n"/>
      <c r="VQS94" s="248" t="n"/>
      <c r="VQT94" s="240" t="n"/>
      <c r="VQU94" s="240" t="n"/>
      <c r="VQW94" s="15" t="n"/>
      <c r="VQX94" s="15" t="n"/>
      <c r="VQY94" s="248" t="n"/>
      <c r="VQZ94" s="248" t="n"/>
      <c r="VRA94" s="240" t="n"/>
      <c r="VRB94" s="240" t="n"/>
      <c r="VRD94" s="15" t="n"/>
      <c r="VRE94" s="15" t="n"/>
      <c r="VRF94" s="248" t="n"/>
      <c r="VRG94" s="248" t="n"/>
      <c r="VRH94" s="240" t="n"/>
      <c r="VRI94" s="240" t="n"/>
      <c r="VRK94" s="15" t="n"/>
      <c r="VRL94" s="15" t="n"/>
      <c r="VRM94" s="248" t="n"/>
      <c r="VRN94" s="248" t="n"/>
      <c r="VRO94" s="240" t="n"/>
      <c r="VRP94" s="240" t="n"/>
      <c r="VRR94" s="15" t="n"/>
      <c r="VRS94" s="15" t="n"/>
      <c r="VRT94" s="248" t="n"/>
      <c r="VRU94" s="248" t="n"/>
      <c r="VRV94" s="240" t="n"/>
      <c r="VRW94" s="240" t="n"/>
      <c r="VRY94" s="15" t="n"/>
      <c r="VRZ94" s="15" t="n"/>
      <c r="VSA94" s="248" t="n"/>
      <c r="VSB94" s="248" t="n"/>
      <c r="VSC94" s="240" t="n"/>
      <c r="VSD94" s="240" t="n"/>
      <c r="VSF94" s="15" t="n"/>
      <c r="VSG94" s="15" t="n"/>
      <c r="VSH94" s="248" t="n"/>
      <c r="VSI94" s="248" t="n"/>
      <c r="VSJ94" s="240" t="n"/>
      <c r="VSK94" s="240" t="n"/>
      <c r="VSM94" s="15" t="n"/>
      <c r="VSN94" s="15" t="n"/>
      <c r="VSO94" s="248" t="n"/>
      <c r="VSP94" s="248" t="n"/>
      <c r="VSQ94" s="240" t="n"/>
      <c r="VSR94" s="240" t="n"/>
      <c r="VST94" s="15" t="n"/>
      <c r="VSU94" s="15" t="n"/>
      <c r="VSV94" s="248" t="n"/>
      <c r="VSW94" s="248" t="n"/>
      <c r="VSX94" s="240" t="n"/>
      <c r="VSY94" s="240" t="n"/>
      <c r="VTA94" s="15" t="n"/>
      <c r="VTB94" s="15" t="n"/>
      <c r="VTC94" s="248" t="n"/>
      <c r="VTD94" s="248" t="n"/>
      <c r="VTE94" s="240" t="n"/>
      <c r="VTF94" s="240" t="n"/>
      <c r="VTH94" s="15" t="n"/>
      <c r="VTI94" s="15" t="n"/>
      <c r="VTJ94" s="248" t="n"/>
      <c r="VTK94" s="248" t="n"/>
      <c r="VTL94" s="240" t="n"/>
      <c r="VTM94" s="240" t="n"/>
      <c r="VTO94" s="15" t="n"/>
      <c r="VTP94" s="15" t="n"/>
      <c r="VTQ94" s="248" t="n"/>
      <c r="VTR94" s="248" t="n"/>
      <c r="VTS94" s="240" t="n"/>
      <c r="VTT94" s="240" t="n"/>
      <c r="VTV94" s="15" t="n"/>
      <c r="VTW94" s="15" t="n"/>
      <c r="VTX94" s="248" t="n"/>
      <c r="VTY94" s="248" t="n"/>
      <c r="VTZ94" s="240" t="n"/>
      <c r="VUA94" s="240" t="n"/>
      <c r="VUC94" s="15" t="n"/>
      <c r="VUD94" s="15" t="n"/>
      <c r="VUE94" s="248" t="n"/>
      <c r="VUF94" s="248" t="n"/>
      <c r="VUG94" s="240" t="n"/>
      <c r="VUH94" s="240" t="n"/>
      <c r="VUJ94" s="15" t="n"/>
      <c r="VUK94" s="15" t="n"/>
      <c r="VUL94" s="248" t="n"/>
      <c r="VUM94" s="248" t="n"/>
      <c r="VUN94" s="240" t="n"/>
      <c r="VUO94" s="240" t="n"/>
      <c r="VUQ94" s="15" t="n"/>
      <c r="VUR94" s="15" t="n"/>
      <c r="VUS94" s="248" t="n"/>
      <c r="VUT94" s="248" t="n"/>
      <c r="VUU94" s="240" t="n"/>
      <c r="VUV94" s="240" t="n"/>
      <c r="VUX94" s="15" t="n"/>
      <c r="VUY94" s="15" t="n"/>
      <c r="VUZ94" s="248" t="n"/>
      <c r="VVA94" s="248" t="n"/>
      <c r="VVB94" s="240" t="n"/>
      <c r="VVC94" s="240" t="n"/>
      <c r="VVE94" s="15" t="n"/>
      <c r="VVF94" s="15" t="n"/>
      <c r="VVG94" s="248" t="n"/>
      <c r="VVH94" s="248" t="n"/>
      <c r="VVI94" s="240" t="n"/>
      <c r="VVJ94" s="240" t="n"/>
      <c r="VVL94" s="15" t="n"/>
      <c r="VVM94" s="15" t="n"/>
      <c r="VVN94" s="248" t="n"/>
      <c r="VVO94" s="248" t="n"/>
      <c r="VVP94" s="240" t="n"/>
      <c r="VVQ94" s="240" t="n"/>
      <c r="VVS94" s="15" t="n"/>
      <c r="VVT94" s="15" t="n"/>
      <c r="VVU94" s="248" t="n"/>
      <c r="VVV94" s="248" t="n"/>
      <c r="VVW94" s="240" t="n"/>
      <c r="VVX94" s="240" t="n"/>
      <c r="VVZ94" s="15" t="n"/>
      <c r="VWA94" s="15" t="n"/>
      <c r="VWB94" s="248" t="n"/>
      <c r="VWC94" s="248" t="n"/>
      <c r="VWD94" s="240" t="n"/>
      <c r="VWE94" s="240" t="n"/>
      <c r="VWG94" s="15" t="n"/>
      <c r="VWH94" s="15" t="n"/>
      <c r="VWI94" s="248" t="n"/>
      <c r="VWJ94" s="248" t="n"/>
      <c r="VWK94" s="240" t="n"/>
      <c r="VWL94" s="240" t="n"/>
      <c r="VWN94" s="15" t="n"/>
      <c r="VWO94" s="15" t="n"/>
      <c r="VWP94" s="248" t="n"/>
      <c r="VWQ94" s="248" t="n"/>
      <c r="VWR94" s="240" t="n"/>
      <c r="VWS94" s="240" t="n"/>
      <c r="VWU94" s="15" t="n"/>
      <c r="VWV94" s="15" t="n"/>
      <c r="VWW94" s="248" t="n"/>
      <c r="VWX94" s="248" t="n"/>
      <c r="VWY94" s="240" t="n"/>
      <c r="VWZ94" s="240" t="n"/>
      <c r="VXB94" s="15" t="n"/>
      <c r="VXC94" s="15" t="n"/>
      <c r="VXD94" s="248" t="n"/>
      <c r="VXE94" s="248" t="n"/>
      <c r="VXF94" s="240" t="n"/>
      <c r="VXG94" s="240" t="n"/>
      <c r="VXI94" s="15" t="n"/>
      <c r="VXJ94" s="15" t="n"/>
      <c r="VXK94" s="248" t="n"/>
      <c r="VXL94" s="248" t="n"/>
      <c r="VXM94" s="240" t="n"/>
      <c r="VXN94" s="240" t="n"/>
      <c r="VXP94" s="15" t="n"/>
      <c r="VXQ94" s="15" t="n"/>
      <c r="VXR94" s="248" t="n"/>
      <c r="VXS94" s="248" t="n"/>
      <c r="VXT94" s="240" t="n"/>
      <c r="VXU94" s="240" t="n"/>
      <c r="VXW94" s="15" t="n"/>
      <c r="VXX94" s="15" t="n"/>
      <c r="VXY94" s="248" t="n"/>
      <c r="VXZ94" s="248" t="n"/>
      <c r="VYA94" s="240" t="n"/>
      <c r="VYB94" s="240" t="n"/>
      <c r="VYD94" s="15" t="n"/>
      <c r="VYE94" s="15" t="n"/>
      <c r="VYF94" s="248" t="n"/>
      <c r="VYG94" s="248" t="n"/>
      <c r="VYH94" s="240" t="n"/>
      <c r="VYI94" s="240" t="n"/>
      <c r="VYK94" s="15" t="n"/>
      <c r="VYL94" s="15" t="n"/>
      <c r="VYM94" s="248" t="n"/>
      <c r="VYN94" s="248" t="n"/>
      <c r="VYO94" s="240" t="n"/>
      <c r="VYP94" s="240" t="n"/>
      <c r="VYR94" s="15" t="n"/>
      <c r="VYS94" s="15" t="n"/>
      <c r="VYT94" s="248" t="n"/>
      <c r="VYU94" s="248" t="n"/>
      <c r="VYV94" s="240" t="n"/>
      <c r="VYW94" s="240" t="n"/>
      <c r="VYY94" s="15" t="n"/>
      <c r="VYZ94" s="15" t="n"/>
      <c r="VZA94" s="248" t="n"/>
      <c r="VZB94" s="248" t="n"/>
      <c r="VZC94" s="240" t="n"/>
      <c r="VZD94" s="240" t="n"/>
      <c r="VZF94" s="15" t="n"/>
      <c r="VZG94" s="15" t="n"/>
      <c r="VZH94" s="248" t="n"/>
      <c r="VZI94" s="248" t="n"/>
      <c r="VZJ94" s="240" t="n"/>
      <c r="VZK94" s="240" t="n"/>
      <c r="VZM94" s="15" t="n"/>
      <c r="VZN94" s="15" t="n"/>
      <c r="VZO94" s="248" t="n"/>
      <c r="VZP94" s="248" t="n"/>
      <c r="VZQ94" s="240" t="n"/>
      <c r="VZR94" s="240" t="n"/>
      <c r="VZT94" s="15" t="n"/>
      <c r="VZU94" s="15" t="n"/>
      <c r="VZV94" s="248" t="n"/>
      <c r="VZW94" s="248" t="n"/>
      <c r="VZX94" s="240" t="n"/>
      <c r="VZY94" s="240" t="n"/>
      <c r="WAA94" s="15" t="n"/>
      <c r="WAB94" s="15" t="n"/>
      <c r="WAC94" s="248" t="n"/>
      <c r="WAD94" s="248" t="n"/>
      <c r="WAE94" s="240" t="n"/>
      <c r="WAF94" s="240" t="n"/>
      <c r="WAH94" s="15" t="n"/>
      <c r="WAI94" s="15" t="n"/>
      <c r="WAJ94" s="248" t="n"/>
      <c r="WAK94" s="248" t="n"/>
      <c r="WAL94" s="240" t="n"/>
      <c r="WAM94" s="240" t="n"/>
      <c r="WAO94" s="15" t="n"/>
      <c r="WAP94" s="15" t="n"/>
      <c r="WAQ94" s="248" t="n"/>
      <c r="WAR94" s="248" t="n"/>
      <c r="WAS94" s="240" t="n"/>
      <c r="WAT94" s="240" t="n"/>
      <c r="WAV94" s="15" t="n"/>
      <c r="WAW94" s="15" t="n"/>
      <c r="WAX94" s="248" t="n"/>
      <c r="WAY94" s="248" t="n"/>
      <c r="WAZ94" s="240" t="n"/>
      <c r="WBA94" s="240" t="n"/>
      <c r="WBC94" s="15" t="n"/>
      <c r="WBD94" s="15" t="n"/>
      <c r="WBE94" s="248" t="n"/>
      <c r="WBF94" s="248" t="n"/>
      <c r="WBG94" s="240" t="n"/>
      <c r="WBH94" s="240" t="n"/>
      <c r="WBJ94" s="15" t="n"/>
      <c r="WBK94" s="15" t="n"/>
      <c r="WBL94" s="248" t="n"/>
      <c r="WBM94" s="248" t="n"/>
      <c r="WBN94" s="240" t="n"/>
      <c r="WBO94" s="240" t="n"/>
      <c r="WBQ94" s="15" t="n"/>
      <c r="WBR94" s="15" t="n"/>
      <c r="WBS94" s="248" t="n"/>
      <c r="WBT94" s="248" t="n"/>
      <c r="WBU94" s="240" t="n"/>
      <c r="WBV94" s="240" t="n"/>
      <c r="WBX94" s="15" t="n"/>
      <c r="WBY94" s="15" t="n"/>
      <c r="WBZ94" s="248" t="n"/>
      <c r="WCA94" s="248" t="n"/>
      <c r="WCB94" s="240" t="n"/>
      <c r="WCC94" s="240" t="n"/>
      <c r="WCE94" s="15" t="n"/>
      <c r="WCF94" s="15" t="n"/>
      <c r="WCG94" s="248" t="n"/>
      <c r="WCH94" s="248" t="n"/>
      <c r="WCI94" s="240" t="n"/>
      <c r="WCJ94" s="240" t="n"/>
      <c r="WCL94" s="15" t="n"/>
      <c r="WCM94" s="15" t="n"/>
      <c r="WCN94" s="248" t="n"/>
      <c r="WCO94" s="248" t="n"/>
      <c r="WCP94" s="240" t="n"/>
      <c r="WCQ94" s="240" t="n"/>
      <c r="WCS94" s="15" t="n"/>
      <c r="WCT94" s="15" t="n"/>
      <c r="WCU94" s="248" t="n"/>
      <c r="WCV94" s="248" t="n"/>
      <c r="WCW94" s="240" t="n"/>
      <c r="WCX94" s="240" t="n"/>
      <c r="WCZ94" s="15" t="n"/>
      <c r="WDA94" s="15" t="n"/>
      <c r="WDB94" s="248" t="n"/>
      <c r="WDC94" s="248" t="n"/>
      <c r="WDD94" s="240" t="n"/>
      <c r="WDE94" s="240" t="n"/>
      <c r="WDG94" s="15" t="n"/>
      <c r="WDH94" s="15" t="n"/>
      <c r="WDI94" s="248" t="n"/>
      <c r="WDJ94" s="248" t="n"/>
      <c r="WDK94" s="240" t="n"/>
      <c r="WDL94" s="240" t="n"/>
      <c r="WDN94" s="15" t="n"/>
      <c r="WDO94" s="15" t="n"/>
      <c r="WDP94" s="248" t="n"/>
      <c r="WDQ94" s="248" t="n"/>
      <c r="WDR94" s="240" t="n"/>
      <c r="WDS94" s="240" t="n"/>
      <c r="WDU94" s="15" t="n"/>
      <c r="WDV94" s="15" t="n"/>
      <c r="WDW94" s="248" t="n"/>
      <c r="WDX94" s="248" t="n"/>
      <c r="WDY94" s="240" t="n"/>
      <c r="WDZ94" s="240" t="n"/>
      <c r="WEB94" s="15" t="n"/>
      <c r="WEC94" s="15" t="n"/>
      <c r="WED94" s="248" t="n"/>
      <c r="WEE94" s="248" t="n"/>
      <c r="WEF94" s="240" t="n"/>
      <c r="WEG94" s="240" t="n"/>
      <c r="WEI94" s="15" t="n"/>
      <c r="WEJ94" s="15" t="n"/>
      <c r="WEK94" s="248" t="n"/>
      <c r="WEL94" s="248" t="n"/>
      <c r="WEM94" s="240" t="n"/>
      <c r="WEN94" s="240" t="n"/>
      <c r="WEP94" s="15" t="n"/>
      <c r="WEQ94" s="15" t="n"/>
      <c r="WER94" s="248" t="n"/>
      <c r="WES94" s="248" t="n"/>
      <c r="WET94" s="240" t="n"/>
      <c r="WEU94" s="240" t="n"/>
      <c r="WEW94" s="15" t="n"/>
      <c r="WEX94" s="15" t="n"/>
      <c r="WEY94" s="248" t="n"/>
      <c r="WEZ94" s="248" t="n"/>
      <c r="WFA94" s="240" t="n"/>
      <c r="WFB94" s="240" t="n"/>
      <c r="WFD94" s="15" t="n"/>
      <c r="WFE94" s="15" t="n"/>
      <c r="WFF94" s="248" t="n"/>
      <c r="WFG94" s="248" t="n"/>
      <c r="WFH94" s="240" t="n"/>
      <c r="WFI94" s="240" t="n"/>
      <c r="WFK94" s="15" t="n"/>
      <c r="WFL94" s="15" t="n"/>
      <c r="WFM94" s="248" t="n"/>
      <c r="WFN94" s="248" t="n"/>
      <c r="WFO94" s="240" t="n"/>
      <c r="WFP94" s="240" t="n"/>
      <c r="WFR94" s="15" t="n"/>
      <c r="WFS94" s="15" t="n"/>
      <c r="WFT94" s="248" t="n"/>
      <c r="WFU94" s="248" t="n"/>
      <c r="WFV94" s="240" t="n"/>
      <c r="WFW94" s="240" t="n"/>
      <c r="WFY94" s="15" t="n"/>
      <c r="WFZ94" s="15" t="n"/>
      <c r="WGA94" s="248" t="n"/>
      <c r="WGB94" s="248" t="n"/>
      <c r="WGC94" s="240" t="n"/>
      <c r="WGD94" s="240" t="n"/>
      <c r="WGF94" s="15" t="n"/>
      <c r="WGG94" s="15" t="n"/>
      <c r="WGH94" s="248" t="n"/>
      <c r="WGI94" s="248" t="n"/>
      <c r="WGJ94" s="240" t="n"/>
      <c r="WGK94" s="240" t="n"/>
      <c r="WGM94" s="15" t="n"/>
      <c r="WGN94" s="15" t="n"/>
      <c r="WGO94" s="248" t="n"/>
      <c r="WGP94" s="248" t="n"/>
      <c r="WGQ94" s="240" t="n"/>
      <c r="WGR94" s="240" t="n"/>
      <c r="WGT94" s="15" t="n"/>
      <c r="WGU94" s="15" t="n"/>
      <c r="WGV94" s="248" t="n"/>
      <c r="WGW94" s="248" t="n"/>
      <c r="WGX94" s="240" t="n"/>
      <c r="WGY94" s="240" t="n"/>
      <c r="WHA94" s="15" t="n"/>
      <c r="WHB94" s="15" t="n"/>
      <c r="WHC94" s="248" t="n"/>
      <c r="WHD94" s="248" t="n"/>
      <c r="WHE94" s="240" t="n"/>
      <c r="WHF94" s="240" t="n"/>
      <c r="WHH94" s="15" t="n"/>
      <c r="WHI94" s="15" t="n"/>
      <c r="WHJ94" s="248" t="n"/>
      <c r="WHK94" s="248" t="n"/>
      <c r="WHL94" s="240" t="n"/>
      <c r="WHM94" s="240" t="n"/>
      <c r="WHO94" s="15" t="n"/>
      <c r="WHP94" s="15" t="n"/>
      <c r="WHQ94" s="248" t="n"/>
      <c r="WHR94" s="248" t="n"/>
      <c r="WHS94" s="240" t="n"/>
      <c r="WHT94" s="240" t="n"/>
      <c r="WHV94" s="15" t="n"/>
      <c r="WHW94" s="15" t="n"/>
      <c r="WHX94" s="248" t="n"/>
      <c r="WHY94" s="248" t="n"/>
      <c r="WHZ94" s="240" t="n"/>
      <c r="WIA94" s="240" t="n"/>
      <c r="WIC94" s="15" t="n"/>
      <c r="WID94" s="15" t="n"/>
      <c r="WIE94" s="248" t="n"/>
      <c r="WIF94" s="248" t="n"/>
      <c r="WIG94" s="240" t="n"/>
      <c r="WIH94" s="240" t="n"/>
      <c r="WIJ94" s="15" t="n"/>
      <c r="WIK94" s="15" t="n"/>
      <c r="WIL94" s="248" t="n"/>
      <c r="WIM94" s="248" t="n"/>
      <c r="WIN94" s="240" t="n"/>
      <c r="WIO94" s="240" t="n"/>
      <c r="WIQ94" s="15" t="n"/>
      <c r="WIR94" s="15" t="n"/>
      <c r="WIS94" s="248" t="n"/>
      <c r="WIT94" s="248" t="n"/>
      <c r="WIU94" s="240" t="n"/>
      <c r="WIV94" s="240" t="n"/>
      <c r="WIX94" s="15" t="n"/>
      <c r="WIY94" s="15" t="n"/>
      <c r="WIZ94" s="248" t="n"/>
      <c r="WJA94" s="248" t="n"/>
      <c r="WJB94" s="240" t="n"/>
      <c r="WJC94" s="240" t="n"/>
      <c r="WJE94" s="15" t="n"/>
      <c r="WJF94" s="15" t="n"/>
      <c r="WJG94" s="248" t="n"/>
      <c r="WJH94" s="248" t="n"/>
      <c r="WJI94" s="240" t="n"/>
      <c r="WJJ94" s="240" t="n"/>
      <c r="WJL94" s="15" t="n"/>
      <c r="WJM94" s="15" t="n"/>
      <c r="WJN94" s="248" t="n"/>
      <c r="WJO94" s="248" t="n"/>
      <c r="WJP94" s="240" t="n"/>
      <c r="WJQ94" s="240" t="n"/>
      <c r="WJS94" s="15" t="n"/>
      <c r="WJT94" s="15" t="n"/>
      <c r="WJU94" s="248" t="n"/>
      <c r="WJV94" s="248" t="n"/>
      <c r="WJW94" s="240" t="n"/>
      <c r="WJX94" s="240" t="n"/>
      <c r="WJZ94" s="15" t="n"/>
      <c r="WKA94" s="15" t="n"/>
      <c r="WKB94" s="248" t="n"/>
      <c r="WKC94" s="248" t="n"/>
      <c r="WKD94" s="240" t="n"/>
      <c r="WKE94" s="240" t="n"/>
      <c r="WKG94" s="15" t="n"/>
      <c r="WKH94" s="15" t="n"/>
      <c r="WKI94" s="248" t="n"/>
      <c r="WKJ94" s="248" t="n"/>
      <c r="WKK94" s="240" t="n"/>
      <c r="WKL94" s="240" t="n"/>
      <c r="WKN94" s="15" t="n"/>
      <c r="WKO94" s="15" t="n"/>
      <c r="WKP94" s="248" t="n"/>
      <c r="WKQ94" s="248" t="n"/>
      <c r="WKR94" s="240" t="n"/>
      <c r="WKS94" s="240" t="n"/>
      <c r="WKU94" s="15" t="n"/>
      <c r="WKV94" s="15" t="n"/>
      <c r="WKW94" s="248" t="n"/>
      <c r="WKX94" s="248" t="n"/>
      <c r="WKY94" s="240" t="n"/>
      <c r="WKZ94" s="240" t="n"/>
      <c r="WLB94" s="15" t="n"/>
      <c r="WLC94" s="15" t="n"/>
      <c r="WLD94" s="248" t="n"/>
      <c r="WLE94" s="248" t="n"/>
      <c r="WLF94" s="240" t="n"/>
      <c r="WLG94" s="240" t="n"/>
      <c r="WLI94" s="15" t="n"/>
      <c r="WLJ94" s="15" t="n"/>
      <c r="WLK94" s="248" t="n"/>
      <c r="WLL94" s="248" t="n"/>
      <c r="WLM94" s="240" t="n"/>
      <c r="WLN94" s="240" t="n"/>
      <c r="WLP94" s="15" t="n"/>
      <c r="WLQ94" s="15" t="n"/>
      <c r="WLR94" s="248" t="n"/>
      <c r="WLS94" s="248" t="n"/>
      <c r="WLT94" s="240" t="n"/>
      <c r="WLU94" s="240" t="n"/>
      <c r="WLW94" s="15" t="n"/>
      <c r="WLX94" s="15" t="n"/>
      <c r="WLY94" s="248" t="n"/>
      <c r="WLZ94" s="248" t="n"/>
      <c r="WMA94" s="240" t="n"/>
      <c r="WMB94" s="240" t="n"/>
      <c r="WMD94" s="15" t="n"/>
      <c r="WME94" s="15" t="n"/>
      <c r="WMF94" s="248" t="n"/>
      <c r="WMG94" s="248" t="n"/>
      <c r="WMH94" s="240" t="n"/>
      <c r="WMI94" s="240" t="n"/>
      <c r="WMK94" s="15" t="n"/>
      <c r="WML94" s="15" t="n"/>
      <c r="WMM94" s="248" t="n"/>
      <c r="WMN94" s="248" t="n"/>
      <c r="WMO94" s="240" t="n"/>
      <c r="WMP94" s="240" t="n"/>
      <c r="WMR94" s="15" t="n"/>
      <c r="WMS94" s="15" t="n"/>
      <c r="WMT94" s="248" t="n"/>
      <c r="WMU94" s="248" t="n"/>
      <c r="WMV94" s="240" t="n"/>
      <c r="WMW94" s="240" t="n"/>
      <c r="WMY94" s="15" t="n"/>
      <c r="WMZ94" s="15" t="n"/>
      <c r="WNA94" s="248" t="n"/>
      <c r="WNB94" s="248" t="n"/>
      <c r="WNC94" s="240" t="n"/>
      <c r="WND94" s="240" t="n"/>
      <c r="WNF94" s="15" t="n"/>
      <c r="WNG94" s="15" t="n"/>
      <c r="WNH94" s="248" t="n"/>
      <c r="WNI94" s="248" t="n"/>
      <c r="WNJ94" s="240" t="n"/>
      <c r="WNK94" s="240" t="n"/>
      <c r="WNM94" s="15" t="n"/>
      <c r="WNN94" s="15" t="n"/>
      <c r="WNO94" s="248" t="n"/>
      <c r="WNP94" s="248" t="n"/>
      <c r="WNQ94" s="240" t="n"/>
      <c r="WNR94" s="240" t="n"/>
      <c r="WNT94" s="15" t="n"/>
      <c r="WNU94" s="15" t="n"/>
      <c r="WNV94" s="248" t="n"/>
      <c r="WNW94" s="248" t="n"/>
      <c r="WNX94" s="240" t="n"/>
      <c r="WNY94" s="240" t="n"/>
      <c r="WOA94" s="15" t="n"/>
      <c r="WOB94" s="15" t="n"/>
      <c r="WOC94" s="248" t="n"/>
      <c r="WOD94" s="248" t="n"/>
      <c r="WOE94" s="240" t="n"/>
      <c r="WOF94" s="240" t="n"/>
      <c r="WOH94" s="15" t="n"/>
      <c r="WOI94" s="15" t="n"/>
      <c r="WOJ94" s="248" t="n"/>
      <c r="WOK94" s="248" t="n"/>
      <c r="WOL94" s="240" t="n"/>
      <c r="WOM94" s="240" t="n"/>
      <c r="WOO94" s="15" t="n"/>
      <c r="WOP94" s="15" t="n"/>
      <c r="WOQ94" s="248" t="n"/>
      <c r="WOR94" s="248" t="n"/>
      <c r="WOS94" s="240" t="n"/>
      <c r="WOT94" s="240" t="n"/>
      <c r="WOV94" s="15" t="n"/>
      <c r="WOW94" s="15" t="n"/>
      <c r="WOX94" s="248" t="n"/>
      <c r="WOY94" s="248" t="n"/>
      <c r="WOZ94" s="240" t="n"/>
      <c r="WPA94" s="240" t="n"/>
      <c r="WPC94" s="15" t="n"/>
      <c r="WPD94" s="15" t="n"/>
      <c r="WPE94" s="248" t="n"/>
      <c r="WPF94" s="248" t="n"/>
      <c r="WPG94" s="240" t="n"/>
      <c r="WPH94" s="240" t="n"/>
      <c r="WPJ94" s="15" t="n"/>
      <c r="WPK94" s="15" t="n"/>
      <c r="WPL94" s="248" t="n"/>
      <c r="WPM94" s="248" t="n"/>
      <c r="WPN94" s="240" t="n"/>
      <c r="WPO94" s="240" t="n"/>
      <c r="WPQ94" s="15" t="n"/>
      <c r="WPR94" s="15" t="n"/>
      <c r="WPS94" s="248" t="n"/>
      <c r="WPT94" s="248" t="n"/>
      <c r="WPU94" s="240" t="n"/>
      <c r="WPV94" s="240" t="n"/>
      <c r="WPX94" s="15" t="n"/>
      <c r="WPY94" s="15" t="n"/>
      <c r="WPZ94" s="248" t="n"/>
      <c r="WQA94" s="248" t="n"/>
      <c r="WQB94" s="240" t="n"/>
      <c r="WQC94" s="240" t="n"/>
      <c r="WQE94" s="15" t="n"/>
      <c r="WQF94" s="15" t="n"/>
      <c r="WQG94" s="248" t="n"/>
      <c r="WQH94" s="248" t="n"/>
      <c r="WQI94" s="240" t="n"/>
      <c r="WQJ94" s="240" t="n"/>
      <c r="WQL94" s="15" t="n"/>
      <c r="WQM94" s="15" t="n"/>
      <c r="WQN94" s="248" t="n"/>
      <c r="WQO94" s="248" t="n"/>
      <c r="WQP94" s="240" t="n"/>
      <c r="WQQ94" s="240" t="n"/>
      <c r="WQS94" s="15" t="n"/>
      <c r="WQT94" s="15" t="n"/>
      <c r="WQU94" s="248" t="n"/>
      <c r="WQV94" s="248" t="n"/>
      <c r="WQW94" s="240" t="n"/>
      <c r="WQX94" s="240" t="n"/>
      <c r="WQZ94" s="15" t="n"/>
      <c r="WRA94" s="15" t="n"/>
      <c r="WRB94" s="248" t="n"/>
      <c r="WRC94" s="248" t="n"/>
      <c r="WRD94" s="240" t="n"/>
      <c r="WRE94" s="240" t="n"/>
      <c r="WRG94" s="15" t="n"/>
      <c r="WRH94" s="15" t="n"/>
      <c r="WRI94" s="248" t="n"/>
      <c r="WRJ94" s="248" t="n"/>
      <c r="WRK94" s="240" t="n"/>
      <c r="WRL94" s="240" t="n"/>
      <c r="WRN94" s="15" t="n"/>
      <c r="WRO94" s="15" t="n"/>
      <c r="WRP94" s="248" t="n"/>
      <c r="WRQ94" s="248" t="n"/>
      <c r="WRR94" s="240" t="n"/>
      <c r="WRS94" s="240" t="n"/>
      <c r="WRU94" s="15" t="n"/>
      <c r="WRV94" s="15" t="n"/>
      <c r="WRW94" s="248" t="n"/>
      <c r="WRX94" s="248" t="n"/>
      <c r="WRY94" s="240" t="n"/>
      <c r="WRZ94" s="240" t="n"/>
      <c r="WSB94" s="15" t="n"/>
      <c r="WSC94" s="15" t="n"/>
      <c r="WSD94" s="248" t="n"/>
      <c r="WSE94" s="248" t="n"/>
      <c r="WSF94" s="240" t="n"/>
      <c r="WSG94" s="240" t="n"/>
      <c r="WSI94" s="15" t="n"/>
      <c r="WSJ94" s="15" t="n"/>
      <c r="WSK94" s="248" t="n"/>
      <c r="WSL94" s="248" t="n"/>
      <c r="WSM94" s="240" t="n"/>
      <c r="WSN94" s="240" t="n"/>
      <c r="WSP94" s="15" t="n"/>
      <c r="WSQ94" s="15" t="n"/>
      <c r="WSR94" s="248" t="n"/>
      <c r="WSS94" s="248" t="n"/>
      <c r="WST94" s="240" t="n"/>
      <c r="WSU94" s="240" t="n"/>
      <c r="WSW94" s="15" t="n"/>
      <c r="WSX94" s="15" t="n"/>
      <c r="WSY94" s="248" t="n"/>
      <c r="WSZ94" s="248" t="n"/>
      <c r="WTA94" s="240" t="n"/>
      <c r="WTB94" s="240" t="n"/>
      <c r="WTD94" s="15" t="n"/>
      <c r="WTE94" s="15" t="n"/>
      <c r="WTF94" s="248" t="n"/>
      <c r="WTG94" s="248" t="n"/>
      <c r="WTH94" s="240" t="n"/>
      <c r="WTI94" s="240" t="n"/>
      <c r="WTK94" s="15" t="n"/>
      <c r="WTL94" s="15" t="n"/>
      <c r="WTM94" s="248" t="n"/>
      <c r="WTN94" s="248" t="n"/>
      <c r="WTO94" s="240" t="n"/>
      <c r="WTP94" s="240" t="n"/>
      <c r="WTR94" s="15" t="n"/>
      <c r="WTS94" s="15" t="n"/>
      <c r="WTT94" s="248" t="n"/>
      <c r="WTU94" s="248" t="n"/>
      <c r="WTV94" s="240" t="n"/>
      <c r="WTW94" s="240" t="n"/>
      <c r="WTY94" s="15" t="n"/>
      <c r="WTZ94" s="15" t="n"/>
      <c r="WUA94" s="248" t="n"/>
      <c r="WUB94" s="248" t="n"/>
      <c r="WUC94" s="240" t="n"/>
      <c r="WUD94" s="240" t="n"/>
      <c r="WUF94" s="15" t="n"/>
      <c r="WUG94" s="15" t="n"/>
      <c r="WUH94" s="248" t="n"/>
      <c r="WUI94" s="248" t="n"/>
      <c r="WUJ94" s="240" t="n"/>
      <c r="WUK94" s="240" t="n"/>
      <c r="WUM94" s="15" t="n"/>
      <c r="WUN94" s="15" t="n"/>
      <c r="WUO94" s="248" t="n"/>
      <c r="WUP94" s="248" t="n"/>
      <c r="WUQ94" s="240" t="n"/>
      <c r="WUR94" s="240" t="n"/>
      <c r="WUT94" s="15" t="n"/>
      <c r="WUU94" s="15" t="n"/>
      <c r="WUV94" s="248" t="n"/>
      <c r="WUW94" s="248" t="n"/>
      <c r="WUX94" s="240" t="n"/>
      <c r="WUY94" s="240" t="n"/>
      <c r="WVA94" s="15" t="n"/>
      <c r="WVB94" s="15" t="n"/>
      <c r="WVC94" s="248" t="n"/>
      <c r="WVD94" s="248" t="n"/>
      <c r="WVE94" s="240" t="n"/>
      <c r="WVF94" s="240" t="n"/>
      <c r="WVH94" s="15" t="n"/>
      <c r="WVI94" s="15" t="n"/>
      <c r="WVJ94" s="248" t="n"/>
      <c r="WVK94" s="248" t="n"/>
      <c r="WVL94" s="240" t="n"/>
      <c r="WVM94" s="240" t="n"/>
      <c r="WVO94" s="15" t="n"/>
      <c r="WVP94" s="15" t="n"/>
      <c r="WVQ94" s="248" t="n"/>
      <c r="WVR94" s="248" t="n"/>
      <c r="WVS94" s="240" t="n"/>
      <c r="WVT94" s="240" t="n"/>
      <c r="WVV94" s="15" t="n"/>
      <c r="WVW94" s="15" t="n"/>
      <c r="WVX94" s="248" t="n"/>
      <c r="WVY94" s="248" t="n"/>
      <c r="WVZ94" s="240" t="n"/>
      <c r="WWA94" s="240" t="n"/>
      <c r="WWC94" s="15" t="n"/>
      <c r="WWD94" s="15" t="n"/>
      <c r="WWE94" s="248" t="n"/>
      <c r="WWF94" s="248" t="n"/>
      <c r="WWG94" s="240" t="n"/>
      <c r="WWH94" s="240" t="n"/>
      <c r="WWJ94" s="15" t="n"/>
      <c r="WWK94" s="15" t="n"/>
      <c r="WWL94" s="248" t="n"/>
      <c r="WWM94" s="248" t="n"/>
      <c r="WWN94" s="240" t="n"/>
      <c r="WWO94" s="240" t="n"/>
      <c r="WWQ94" s="15" t="n"/>
      <c r="WWR94" s="15" t="n"/>
      <c r="WWS94" s="248" t="n"/>
      <c r="WWT94" s="248" t="n"/>
      <c r="WWU94" s="240" t="n"/>
      <c r="WWV94" s="240" t="n"/>
      <c r="WWX94" s="15" t="n"/>
      <c r="WWY94" s="15" t="n"/>
      <c r="WWZ94" s="248" t="n"/>
      <c r="WXA94" s="248" t="n"/>
      <c r="WXB94" s="240" t="n"/>
      <c r="WXC94" s="240" t="n"/>
      <c r="WXE94" s="15" t="n"/>
      <c r="WXF94" s="15" t="n"/>
      <c r="WXG94" s="248" t="n"/>
      <c r="WXH94" s="248" t="n"/>
      <c r="WXI94" s="240" t="n"/>
      <c r="WXJ94" s="240" t="n"/>
      <c r="WXL94" s="15" t="n"/>
      <c r="WXM94" s="15" t="n"/>
      <c r="WXN94" s="248" t="n"/>
      <c r="WXO94" s="248" t="n"/>
      <c r="WXP94" s="240" t="n"/>
      <c r="WXQ94" s="240" t="n"/>
      <c r="WXS94" s="15" t="n"/>
      <c r="WXT94" s="15" t="n"/>
      <c r="WXU94" s="248" t="n"/>
      <c r="WXV94" s="248" t="n"/>
      <c r="WXW94" s="240" t="n"/>
      <c r="WXX94" s="240" t="n"/>
      <c r="WXZ94" s="15" t="n"/>
      <c r="WYA94" s="15" t="n"/>
      <c r="WYB94" s="248" t="n"/>
      <c r="WYC94" s="248" t="n"/>
      <c r="WYD94" s="240" t="n"/>
      <c r="WYE94" s="240" t="n"/>
      <c r="WYG94" s="15" t="n"/>
      <c r="WYH94" s="15" t="n"/>
      <c r="WYI94" s="248" t="n"/>
      <c r="WYJ94" s="248" t="n"/>
      <c r="WYK94" s="240" t="n"/>
      <c r="WYL94" s="240" t="n"/>
      <c r="WYN94" s="15" t="n"/>
      <c r="WYO94" s="15" t="n"/>
      <c r="WYP94" s="248" t="n"/>
      <c r="WYQ94" s="248" t="n"/>
      <c r="WYR94" s="240" t="n"/>
      <c r="WYS94" s="240" t="n"/>
      <c r="WYU94" s="15" t="n"/>
      <c r="WYV94" s="15" t="n"/>
      <c r="WYW94" s="248" t="n"/>
      <c r="WYX94" s="248" t="n"/>
      <c r="WYY94" s="240" t="n"/>
      <c r="WYZ94" s="240" t="n"/>
      <c r="WZB94" s="15" t="n"/>
      <c r="WZC94" s="15" t="n"/>
      <c r="WZD94" s="248" t="n"/>
      <c r="WZE94" s="248" t="n"/>
      <c r="WZF94" s="240" t="n"/>
      <c r="WZG94" s="240" t="n"/>
      <c r="WZI94" s="15" t="n"/>
      <c r="WZJ94" s="15" t="n"/>
      <c r="WZK94" s="248" t="n"/>
      <c r="WZL94" s="248" t="n"/>
      <c r="WZM94" s="240" t="n"/>
      <c r="WZN94" s="240" t="n"/>
      <c r="WZP94" s="15" t="n"/>
      <c r="WZQ94" s="15" t="n"/>
      <c r="WZR94" s="248" t="n"/>
      <c r="WZS94" s="248" t="n"/>
      <c r="WZT94" s="240" t="n"/>
      <c r="WZU94" s="240" t="n"/>
      <c r="WZW94" s="15" t="n"/>
      <c r="WZX94" s="15" t="n"/>
      <c r="WZY94" s="248" t="n"/>
      <c r="WZZ94" s="248" t="n"/>
      <c r="XAA94" s="240" t="n"/>
      <c r="XAB94" s="240" t="n"/>
      <c r="XAD94" s="15" t="n"/>
      <c r="XAE94" s="15" t="n"/>
      <c r="XAF94" s="248" t="n"/>
      <c r="XAG94" s="248" t="n"/>
      <c r="XAH94" s="240" t="n"/>
      <c r="XAI94" s="240" t="n"/>
      <c r="XAK94" s="15" t="n"/>
      <c r="XAL94" s="15" t="n"/>
      <c r="XAM94" s="248" t="n"/>
      <c r="XAN94" s="248" t="n"/>
      <c r="XAO94" s="240" t="n"/>
      <c r="XAP94" s="240" t="n"/>
      <c r="XAR94" s="15" t="n"/>
      <c r="XAS94" s="15" t="n"/>
      <c r="XAT94" s="248" t="n"/>
      <c r="XAU94" s="248" t="n"/>
      <c r="XAV94" s="240" t="n"/>
      <c r="XAW94" s="240" t="n"/>
      <c r="XAY94" s="15" t="n"/>
      <c r="XAZ94" s="15" t="n"/>
      <c r="XBA94" s="248" t="n"/>
      <c r="XBB94" s="248" t="n"/>
      <c r="XBC94" s="240" t="n"/>
      <c r="XBD94" s="240" t="n"/>
      <c r="XBF94" s="15" t="n"/>
      <c r="XBG94" s="15" t="n"/>
      <c r="XBH94" s="248" t="n"/>
      <c r="XBI94" s="248" t="n"/>
      <c r="XBJ94" s="240" t="n"/>
      <c r="XBK94" s="240" t="n"/>
      <c r="XBM94" s="15" t="n"/>
      <c r="XBN94" s="15" t="n"/>
      <c r="XBO94" s="248" t="n"/>
      <c r="XBP94" s="248" t="n"/>
      <c r="XBQ94" s="240" t="n"/>
      <c r="XBR94" s="240" t="n"/>
      <c r="XBT94" s="15" t="n"/>
      <c r="XBU94" s="15" t="n"/>
      <c r="XBV94" s="248" t="n"/>
      <c r="XBW94" s="248" t="n"/>
      <c r="XBX94" s="240" t="n"/>
      <c r="XBY94" s="240" t="n"/>
      <c r="XCA94" s="15" t="n"/>
      <c r="XCB94" s="15" t="n"/>
      <c r="XCC94" s="248" t="n"/>
      <c r="XCD94" s="248" t="n"/>
      <c r="XCE94" s="240" t="n"/>
      <c r="XCF94" s="240" t="n"/>
      <c r="XCH94" s="15" t="n"/>
      <c r="XCI94" s="15" t="n"/>
      <c r="XCJ94" s="248" t="n"/>
      <c r="XCK94" s="248" t="n"/>
      <c r="XCL94" s="240" t="n"/>
      <c r="XCM94" s="240" t="n"/>
      <c r="XCO94" s="15" t="n"/>
      <c r="XCP94" s="15" t="n"/>
      <c r="XCQ94" s="248" t="n"/>
      <c r="XCR94" s="248" t="n"/>
      <c r="XCS94" s="240" t="n"/>
      <c r="XCT94" s="240" t="n"/>
      <c r="XCV94" s="15" t="n"/>
      <c r="XCW94" s="15" t="n"/>
      <c r="XCX94" s="248" t="n"/>
      <c r="XCY94" s="248" t="n"/>
      <c r="XCZ94" s="240" t="n"/>
      <c r="XDA94" s="240" t="n"/>
      <c r="XDC94" s="15" t="n"/>
      <c r="XDD94" s="15" t="n"/>
      <c r="XDE94" s="248" t="n"/>
      <c r="XDF94" s="248" t="n"/>
      <c r="XDG94" s="240" t="n"/>
      <c r="XDH94" s="240" t="n"/>
      <c r="XDJ94" s="15" t="n"/>
      <c r="XDK94" s="15" t="n"/>
      <c r="XDL94" s="248" t="n"/>
      <c r="XDM94" s="248" t="n"/>
      <c r="XDN94" s="240" t="n"/>
      <c r="XDO94" s="240" t="n"/>
      <c r="XDQ94" s="15" t="n"/>
      <c r="XDR94" s="15" t="n"/>
      <c r="XDS94" s="248" t="n"/>
      <c r="XDT94" s="248" t="n"/>
      <c r="XDU94" s="240" t="n"/>
      <c r="XDV94" s="240" t="n"/>
      <c r="XDX94" s="15" t="n"/>
      <c r="XDY94" s="15" t="n"/>
      <c r="XDZ94" s="248" t="n"/>
      <c r="XEA94" s="248" t="n"/>
      <c r="XEB94" s="240" t="n"/>
      <c r="XEC94" s="240" t="n"/>
      <c r="XEE94" s="15" t="n"/>
      <c r="XEF94" s="15" t="n"/>
      <c r="XEG94" s="248" t="n"/>
      <c r="XEH94" s="248" t="n"/>
      <c r="XEI94" s="240" t="n"/>
      <c r="XEJ94" s="240" t="n"/>
      <c r="XEL94" s="15" t="n"/>
      <c r="XEM94" s="15" t="n"/>
      <c r="XEN94" s="248" t="n"/>
      <c r="XEO94" s="248" t="n"/>
      <c r="XEP94" s="240" t="n"/>
      <c r="XEQ94" s="240" t="n"/>
      <c r="XES94" s="15" t="n"/>
      <c r="XET94" s="15" t="n"/>
      <c r="XEU94" s="248" t="n"/>
      <c r="XEV94" s="248" t="n"/>
      <c r="XEW94" s="240" t="n"/>
      <c r="XEX94" s="240" t="n"/>
      <c r="XEZ94" s="15" t="n"/>
      <c r="XFA94" s="15" t="n"/>
      <c r="XFB94" s="248" t="n"/>
      <c r="XFC94" s="248" t="n"/>
      <c r="XFD94" s="240" t="n"/>
    </row>
    <row r="95">
      <c r="A95" s="41" t="inlineStr">
        <is>
          <t>Coverage M</t>
        </is>
      </c>
      <c r="B95" s="42" t="inlineStr">
        <is>
          <t>Loss of Farm Income (Business Interruption).</t>
        </is>
      </c>
      <c r="C95" s="42" t="n"/>
      <c r="D95" s="42" t="n"/>
      <c r="E95" s="253" t="n">
        <v>0</v>
      </c>
      <c r="F95" s="253" t="n"/>
      <c r="G95" s="253" t="n"/>
      <c r="H95" s="253" t="n"/>
      <c r="I95" s="253" t="n"/>
      <c r="J95" s="253" t="n"/>
      <c r="K95" s="154" t="n">
        <v>0.0045</v>
      </c>
      <c r="L95" s="142">
        <f>E95*K95</f>
        <v/>
      </c>
      <c r="M95" s="254" t="n"/>
      <c r="N95" s="93" t="n"/>
      <c r="O95" s="15" t="n"/>
      <c r="P95" s="248" t="n"/>
      <c r="Q95" s="248" t="n"/>
      <c r="R95" s="240" t="n"/>
      <c r="S95" s="240" t="n"/>
      <c r="U95" s="15" t="n"/>
      <c r="V95" s="15" t="n"/>
      <c r="W95" s="248" t="n"/>
      <c r="X95" s="248" t="n"/>
      <c r="Y95" s="240" t="n"/>
      <c r="Z95" s="240" t="n"/>
      <c r="AB95" s="15" t="n"/>
      <c r="AC95" s="15" t="n"/>
      <c r="AD95" s="248" t="n"/>
      <c r="AE95" s="248" t="n"/>
      <c r="AF95" s="240" t="n"/>
      <c r="AG95" s="240" t="n"/>
      <c r="AI95" s="15" t="n"/>
      <c r="AJ95" s="15" t="n"/>
      <c r="AK95" s="248" t="n"/>
      <c r="AL95" s="248" t="n"/>
      <c r="AM95" s="240" t="n"/>
      <c r="AN95" s="240" t="n"/>
      <c r="AP95" s="15" t="n"/>
      <c r="AQ95" s="15" t="n"/>
      <c r="AR95" s="248" t="n"/>
      <c r="AS95" s="248" t="n"/>
      <c r="AT95" s="240" t="n"/>
      <c r="AU95" s="240" t="n"/>
      <c r="AW95" s="15" t="n"/>
      <c r="AX95" s="15" t="n"/>
      <c r="AY95" s="248" t="n"/>
      <c r="AZ95" s="248" t="n"/>
      <c r="BA95" s="240" t="n"/>
      <c r="BB95" s="240" t="n"/>
      <c r="BD95" s="15" t="n"/>
      <c r="BE95" s="15" t="n"/>
      <c r="BF95" s="248" t="n"/>
      <c r="BG95" s="248" t="n"/>
      <c r="BH95" s="240" t="n"/>
      <c r="BI95" s="240" t="n"/>
      <c r="BK95" s="15" t="n"/>
      <c r="BL95" s="15" t="n"/>
      <c r="BM95" s="248" t="n"/>
      <c r="BN95" s="248" t="n"/>
      <c r="BO95" s="240" t="n"/>
      <c r="BP95" s="240" t="n"/>
      <c r="BR95" s="15" t="n"/>
      <c r="BS95" s="15" t="n"/>
      <c r="BT95" s="248" t="n"/>
      <c r="BU95" s="248" t="n"/>
      <c r="BV95" s="240" t="n"/>
      <c r="BW95" s="240" t="n"/>
      <c r="BY95" s="15" t="n"/>
      <c r="BZ95" s="15" t="n"/>
      <c r="CA95" s="248" t="n"/>
      <c r="CB95" s="248" t="n"/>
      <c r="CC95" s="240" t="n"/>
      <c r="CD95" s="240" t="n"/>
      <c r="CF95" s="15" t="n"/>
      <c r="CG95" s="15" t="n"/>
      <c r="CH95" s="248" t="n"/>
      <c r="CI95" s="248" t="n"/>
      <c r="CJ95" s="240" t="n"/>
      <c r="CK95" s="240" t="n"/>
      <c r="CM95" s="15" t="n"/>
      <c r="CN95" s="15" t="n"/>
      <c r="CO95" s="248" t="n"/>
      <c r="CP95" s="248" t="n"/>
      <c r="CQ95" s="240" t="n"/>
      <c r="CR95" s="240" t="n"/>
      <c r="CT95" s="15" t="n"/>
      <c r="CU95" s="15" t="n"/>
      <c r="CV95" s="248" t="n"/>
      <c r="CW95" s="248" t="n"/>
      <c r="CX95" s="240" t="n"/>
      <c r="CY95" s="240" t="n"/>
      <c r="DA95" s="15" t="n"/>
      <c r="DB95" s="15" t="n"/>
      <c r="DC95" s="248" t="n"/>
      <c r="DD95" s="248" t="n"/>
      <c r="DE95" s="240" t="n"/>
      <c r="DF95" s="240" t="n"/>
      <c r="DH95" s="15" t="n"/>
      <c r="DI95" s="15" t="n"/>
      <c r="DJ95" s="248" t="n"/>
      <c r="DK95" s="248" t="n"/>
      <c r="DL95" s="240" t="n"/>
      <c r="DM95" s="240" t="n"/>
      <c r="DO95" s="15" t="n"/>
      <c r="DP95" s="15" t="n"/>
      <c r="DQ95" s="248" t="n"/>
      <c r="DR95" s="248" t="n"/>
      <c r="DS95" s="240" t="n"/>
      <c r="DT95" s="240" t="n"/>
      <c r="DV95" s="15" t="n"/>
      <c r="DW95" s="15" t="n"/>
      <c r="DX95" s="248" t="n"/>
      <c r="DY95" s="248" t="n"/>
      <c r="DZ95" s="240" t="n"/>
      <c r="EA95" s="240" t="n"/>
      <c r="EC95" s="15" t="n"/>
      <c r="ED95" s="15" t="n"/>
      <c r="EE95" s="248" t="n"/>
      <c r="EF95" s="248" t="n"/>
      <c r="EG95" s="240" t="n"/>
      <c r="EH95" s="240" t="n"/>
      <c r="EJ95" s="15" t="n"/>
      <c r="EK95" s="15" t="n"/>
      <c r="EL95" s="248" t="n"/>
      <c r="EM95" s="248" t="n"/>
      <c r="EN95" s="240" t="n"/>
      <c r="EO95" s="240" t="n"/>
      <c r="EQ95" s="15" t="n"/>
      <c r="ER95" s="15" t="n"/>
      <c r="ES95" s="248" t="n"/>
      <c r="ET95" s="248" t="n"/>
      <c r="EU95" s="240" t="n"/>
      <c r="EV95" s="240" t="n"/>
      <c r="EX95" s="15" t="n"/>
      <c r="EY95" s="15" t="n"/>
      <c r="EZ95" s="248" t="n"/>
      <c r="FA95" s="248" t="n"/>
      <c r="FB95" s="240" t="n"/>
      <c r="FC95" s="240" t="n"/>
      <c r="FE95" s="15" t="n"/>
      <c r="FF95" s="15" t="n"/>
      <c r="FG95" s="248" t="n"/>
      <c r="FH95" s="248" t="n"/>
      <c r="FI95" s="240" t="n"/>
      <c r="FJ95" s="240" t="n"/>
      <c r="FL95" s="15" t="n"/>
      <c r="FM95" s="15" t="n"/>
      <c r="FN95" s="248" t="n"/>
      <c r="FO95" s="248" t="n"/>
      <c r="FP95" s="240" t="n"/>
      <c r="FQ95" s="240" t="n"/>
      <c r="FS95" s="15" t="n"/>
      <c r="FT95" s="15" t="n"/>
      <c r="FU95" s="248" t="n"/>
      <c r="FV95" s="248" t="n"/>
      <c r="FW95" s="240" t="n"/>
      <c r="FX95" s="240" t="n"/>
      <c r="FZ95" s="15" t="n"/>
      <c r="GA95" s="15" t="n"/>
      <c r="GB95" s="248" t="n"/>
      <c r="GC95" s="248" t="n"/>
      <c r="GD95" s="240" t="n"/>
      <c r="GE95" s="240" t="n"/>
      <c r="GG95" s="15" t="n"/>
      <c r="GH95" s="15" t="n"/>
      <c r="GI95" s="248" t="n"/>
      <c r="GJ95" s="248" t="n"/>
      <c r="GK95" s="240" t="n"/>
      <c r="GL95" s="240" t="n"/>
      <c r="GN95" s="15" t="n"/>
      <c r="GO95" s="15" t="n"/>
      <c r="GP95" s="248" t="n"/>
      <c r="GQ95" s="248" t="n"/>
      <c r="GR95" s="240" t="n"/>
      <c r="GS95" s="240" t="n"/>
      <c r="GU95" s="15" t="n"/>
      <c r="GV95" s="15" t="n"/>
      <c r="GW95" s="248" t="n"/>
      <c r="GX95" s="248" t="n"/>
      <c r="GY95" s="240" t="n"/>
      <c r="GZ95" s="240" t="n"/>
      <c r="HB95" s="15" t="n"/>
      <c r="HC95" s="15" t="n"/>
      <c r="HD95" s="248" t="n"/>
      <c r="HE95" s="248" t="n"/>
      <c r="HF95" s="240" t="n"/>
      <c r="HG95" s="240" t="n"/>
      <c r="HI95" s="15" t="n"/>
      <c r="HJ95" s="15" t="n"/>
      <c r="HK95" s="248" t="n"/>
      <c r="HL95" s="248" t="n"/>
      <c r="HM95" s="240" t="n"/>
      <c r="HN95" s="240" t="n"/>
      <c r="HP95" s="15" t="n"/>
      <c r="HQ95" s="15" t="n"/>
      <c r="HR95" s="248" t="n"/>
      <c r="HS95" s="248" t="n"/>
      <c r="HT95" s="240" t="n"/>
      <c r="HU95" s="240" t="n"/>
      <c r="HW95" s="15" t="n"/>
      <c r="HX95" s="15" t="n"/>
      <c r="HY95" s="248" t="n"/>
      <c r="HZ95" s="248" t="n"/>
      <c r="IA95" s="240" t="n"/>
      <c r="IB95" s="240" t="n"/>
      <c r="ID95" s="15" t="n"/>
      <c r="IE95" s="15" t="n"/>
      <c r="IF95" s="248" t="n"/>
      <c r="IG95" s="248" t="n"/>
      <c r="IH95" s="240" t="n"/>
      <c r="II95" s="240" t="n"/>
      <c r="IK95" s="15" t="n"/>
      <c r="IL95" s="15" t="n"/>
      <c r="IM95" s="248" t="n"/>
      <c r="IN95" s="248" t="n"/>
      <c r="IO95" s="240" t="n"/>
      <c r="IP95" s="240" t="n"/>
      <c r="IR95" s="15" t="n"/>
      <c r="IS95" s="15" t="n"/>
      <c r="IT95" s="248" t="n"/>
      <c r="IU95" s="248" t="n"/>
      <c r="IV95" s="240" t="n"/>
      <c r="IW95" s="240" t="n"/>
      <c r="IY95" s="15" t="n"/>
      <c r="IZ95" s="15" t="n"/>
      <c r="JA95" s="248" t="n"/>
      <c r="JB95" s="248" t="n"/>
      <c r="JC95" s="240" t="n"/>
      <c r="JD95" s="240" t="n"/>
      <c r="JF95" s="15" t="n"/>
      <c r="JG95" s="15" t="n"/>
      <c r="JH95" s="248" t="n"/>
      <c r="JI95" s="248" t="n"/>
      <c r="JJ95" s="240" t="n"/>
      <c r="JK95" s="240" t="n"/>
      <c r="JM95" s="15" t="n"/>
      <c r="JN95" s="15" t="n"/>
      <c r="JO95" s="248" t="n"/>
      <c r="JP95" s="248" t="n"/>
      <c r="JQ95" s="240" t="n"/>
      <c r="JR95" s="240" t="n"/>
      <c r="JT95" s="15" t="n"/>
      <c r="JU95" s="15" t="n"/>
      <c r="JV95" s="248" t="n"/>
      <c r="JW95" s="248" t="n"/>
      <c r="JX95" s="240" t="n"/>
      <c r="JY95" s="240" t="n"/>
      <c r="KA95" s="15" t="n"/>
      <c r="KB95" s="15" t="n"/>
      <c r="KC95" s="248" t="n"/>
      <c r="KD95" s="248" t="n"/>
      <c r="KE95" s="240" t="n"/>
      <c r="KF95" s="240" t="n"/>
      <c r="KH95" s="15" t="n"/>
      <c r="KI95" s="15" t="n"/>
      <c r="KJ95" s="248" t="n"/>
      <c r="KK95" s="248" t="n"/>
      <c r="KL95" s="240" t="n"/>
      <c r="KM95" s="240" t="n"/>
      <c r="KO95" s="15" t="n"/>
      <c r="KP95" s="15" t="n"/>
      <c r="KQ95" s="248" t="n"/>
      <c r="KR95" s="248" t="n"/>
      <c r="KS95" s="240" t="n"/>
      <c r="KT95" s="240" t="n"/>
      <c r="KV95" s="15" t="n"/>
      <c r="KW95" s="15" t="n"/>
      <c r="KX95" s="248" t="n"/>
      <c r="KY95" s="248" t="n"/>
      <c r="KZ95" s="240" t="n"/>
      <c r="LA95" s="240" t="n"/>
      <c r="LC95" s="15" t="n"/>
      <c r="LD95" s="15" t="n"/>
      <c r="LE95" s="248" t="n"/>
      <c r="LF95" s="248" t="n"/>
      <c r="LG95" s="240" t="n"/>
      <c r="LH95" s="240" t="n"/>
      <c r="LJ95" s="15" t="n"/>
      <c r="LK95" s="15" t="n"/>
      <c r="LL95" s="248" t="n"/>
      <c r="LM95" s="248" t="n"/>
      <c r="LN95" s="240" t="n"/>
      <c r="LO95" s="240" t="n"/>
      <c r="LQ95" s="15" t="n"/>
      <c r="LR95" s="15" t="n"/>
      <c r="LS95" s="248" t="n"/>
      <c r="LT95" s="248" t="n"/>
      <c r="LU95" s="240" t="n"/>
      <c r="LV95" s="240" t="n"/>
      <c r="LX95" s="15" t="n"/>
      <c r="LY95" s="15" t="n"/>
      <c r="LZ95" s="248" t="n"/>
      <c r="MA95" s="248" t="n"/>
      <c r="MB95" s="240" t="n"/>
      <c r="MC95" s="240" t="n"/>
      <c r="ME95" s="15" t="n"/>
      <c r="MF95" s="15" t="n"/>
      <c r="MG95" s="248" t="n"/>
      <c r="MH95" s="248" t="n"/>
      <c r="MI95" s="240" t="n"/>
      <c r="MJ95" s="240" t="n"/>
      <c r="ML95" s="15" t="n"/>
      <c r="MM95" s="15" t="n"/>
      <c r="MN95" s="248" t="n"/>
      <c r="MO95" s="248" t="n"/>
      <c r="MP95" s="240" t="n"/>
      <c r="MQ95" s="240" t="n"/>
      <c r="MS95" s="15" t="n"/>
      <c r="MT95" s="15" t="n"/>
      <c r="MU95" s="248" t="n"/>
      <c r="MV95" s="248" t="n"/>
      <c r="MW95" s="240" t="n"/>
      <c r="MX95" s="240" t="n"/>
      <c r="MZ95" s="15" t="n"/>
      <c r="NA95" s="15" t="n"/>
      <c r="NB95" s="248" t="n"/>
      <c r="NC95" s="248" t="n"/>
      <c r="ND95" s="240" t="n"/>
      <c r="NE95" s="240" t="n"/>
      <c r="NG95" s="15" t="n"/>
      <c r="NH95" s="15" t="n"/>
      <c r="NI95" s="248" t="n"/>
      <c r="NJ95" s="248" t="n"/>
      <c r="NK95" s="240" t="n"/>
      <c r="NL95" s="240" t="n"/>
      <c r="NN95" s="15" t="n"/>
      <c r="NO95" s="15" t="n"/>
      <c r="NP95" s="248" t="n"/>
      <c r="NQ95" s="248" t="n"/>
      <c r="NR95" s="240" t="n"/>
      <c r="NS95" s="240" t="n"/>
      <c r="NU95" s="15" t="n"/>
      <c r="NV95" s="15" t="n"/>
      <c r="NW95" s="248" t="n"/>
      <c r="NX95" s="248" t="n"/>
      <c r="NY95" s="240" t="n"/>
      <c r="NZ95" s="240" t="n"/>
      <c r="OB95" s="15" t="n"/>
      <c r="OC95" s="15" t="n"/>
      <c r="OD95" s="248" t="n"/>
      <c r="OE95" s="248" t="n"/>
      <c r="OF95" s="240" t="n"/>
      <c r="OG95" s="240" t="n"/>
      <c r="OI95" s="15" t="n"/>
      <c r="OJ95" s="15" t="n"/>
      <c r="OK95" s="248" t="n"/>
      <c r="OL95" s="248" t="n"/>
      <c r="OM95" s="240" t="n"/>
      <c r="ON95" s="240" t="n"/>
      <c r="OP95" s="15" t="n"/>
      <c r="OQ95" s="15" t="n"/>
      <c r="OR95" s="248" t="n"/>
      <c r="OS95" s="248" t="n"/>
      <c r="OT95" s="240" t="n"/>
      <c r="OU95" s="240" t="n"/>
      <c r="OW95" s="15" t="n"/>
      <c r="OX95" s="15" t="n"/>
      <c r="OY95" s="248" t="n"/>
      <c r="OZ95" s="248" t="n"/>
      <c r="PA95" s="240" t="n"/>
      <c r="PB95" s="240" t="n"/>
      <c r="PD95" s="15" t="n"/>
      <c r="PE95" s="15" t="n"/>
      <c r="PF95" s="248" t="n"/>
      <c r="PG95" s="248" t="n"/>
      <c r="PH95" s="240" t="n"/>
      <c r="PI95" s="240" t="n"/>
      <c r="PK95" s="15" t="n"/>
      <c r="PL95" s="15" t="n"/>
      <c r="PM95" s="248" t="n"/>
      <c r="PN95" s="248" t="n"/>
      <c r="PO95" s="240" t="n"/>
      <c r="PP95" s="240" t="n"/>
      <c r="PR95" s="15" t="n"/>
      <c r="PS95" s="15" t="n"/>
      <c r="PT95" s="248" t="n"/>
      <c r="PU95" s="248" t="n"/>
      <c r="PV95" s="240" t="n"/>
      <c r="PW95" s="240" t="n"/>
      <c r="PY95" s="15" t="n"/>
      <c r="PZ95" s="15" t="n"/>
      <c r="QA95" s="248" t="n"/>
      <c r="QB95" s="248" t="n"/>
      <c r="QC95" s="240" t="n"/>
      <c r="QD95" s="240" t="n"/>
      <c r="QF95" s="15" t="n"/>
      <c r="QG95" s="15" t="n"/>
      <c r="QH95" s="248" t="n"/>
      <c r="QI95" s="248" t="n"/>
      <c r="QJ95" s="240" t="n"/>
      <c r="QK95" s="240" t="n"/>
      <c r="QM95" s="15" t="n"/>
      <c r="QN95" s="15" t="n"/>
      <c r="QO95" s="248" t="n"/>
      <c r="QP95" s="248" t="n"/>
      <c r="QQ95" s="240" t="n"/>
      <c r="QR95" s="240" t="n"/>
      <c r="QT95" s="15" t="n"/>
      <c r="QU95" s="15" t="n"/>
      <c r="QV95" s="248" t="n"/>
      <c r="QW95" s="248" t="n"/>
      <c r="QX95" s="240" t="n"/>
      <c r="QY95" s="240" t="n"/>
      <c r="RA95" s="15" t="n"/>
      <c r="RB95" s="15" t="n"/>
      <c r="RC95" s="248" t="n"/>
      <c r="RD95" s="248" t="n"/>
      <c r="RE95" s="240" t="n"/>
      <c r="RF95" s="240" t="n"/>
      <c r="RH95" s="15" t="n"/>
      <c r="RI95" s="15" t="n"/>
      <c r="RJ95" s="248" t="n"/>
      <c r="RK95" s="248" t="n"/>
      <c r="RL95" s="240" t="n"/>
      <c r="RM95" s="240" t="n"/>
      <c r="RO95" s="15" t="n"/>
      <c r="RP95" s="15" t="n"/>
      <c r="RQ95" s="248" t="n"/>
      <c r="RR95" s="248" t="n"/>
      <c r="RS95" s="240" t="n"/>
      <c r="RT95" s="240" t="n"/>
      <c r="RV95" s="15" t="n"/>
      <c r="RW95" s="15" t="n"/>
      <c r="RX95" s="248" t="n"/>
      <c r="RY95" s="248" t="n"/>
      <c r="RZ95" s="240" t="n"/>
      <c r="SA95" s="240" t="n"/>
      <c r="SC95" s="15" t="n"/>
      <c r="SD95" s="15" t="n"/>
      <c r="SE95" s="248" t="n"/>
      <c r="SF95" s="248" t="n"/>
      <c r="SG95" s="240" t="n"/>
      <c r="SH95" s="240" t="n"/>
      <c r="SJ95" s="15" t="n"/>
      <c r="SK95" s="15" t="n"/>
      <c r="SL95" s="248" t="n"/>
      <c r="SM95" s="248" t="n"/>
      <c r="SN95" s="240" t="n"/>
      <c r="SO95" s="240" t="n"/>
      <c r="SQ95" s="15" t="n"/>
      <c r="SR95" s="15" t="n"/>
      <c r="SS95" s="248" t="n"/>
      <c r="ST95" s="248" t="n"/>
      <c r="SU95" s="240" t="n"/>
      <c r="SV95" s="240" t="n"/>
      <c r="SX95" s="15" t="n"/>
      <c r="SY95" s="15" t="n"/>
      <c r="SZ95" s="248" t="n"/>
      <c r="TA95" s="248" t="n"/>
      <c r="TB95" s="240" t="n"/>
      <c r="TC95" s="240" t="n"/>
      <c r="TE95" s="15" t="n"/>
      <c r="TF95" s="15" t="n"/>
      <c r="TG95" s="248" t="n"/>
      <c r="TH95" s="248" t="n"/>
      <c r="TI95" s="240" t="n"/>
      <c r="TJ95" s="240" t="n"/>
      <c r="TL95" s="15" t="n"/>
      <c r="TM95" s="15" t="n"/>
      <c r="TN95" s="248" t="n"/>
      <c r="TO95" s="248" t="n"/>
      <c r="TP95" s="240" t="n"/>
      <c r="TQ95" s="240" t="n"/>
      <c r="TS95" s="15" t="n"/>
      <c r="TT95" s="15" t="n"/>
      <c r="TU95" s="248" t="n"/>
      <c r="TV95" s="248" t="n"/>
      <c r="TW95" s="240" t="n"/>
      <c r="TX95" s="240" t="n"/>
      <c r="TZ95" s="15" t="n"/>
      <c r="UA95" s="15" t="n"/>
      <c r="UB95" s="248" t="n"/>
      <c r="UC95" s="248" t="n"/>
      <c r="UD95" s="240" t="n"/>
      <c r="UE95" s="240" t="n"/>
      <c r="UG95" s="15" t="n"/>
      <c r="UH95" s="15" t="n"/>
      <c r="UI95" s="248" t="n"/>
      <c r="UJ95" s="248" t="n"/>
      <c r="UK95" s="240" t="n"/>
      <c r="UL95" s="240" t="n"/>
      <c r="UN95" s="15" t="n"/>
      <c r="UO95" s="15" t="n"/>
      <c r="UP95" s="248" t="n"/>
      <c r="UQ95" s="248" t="n"/>
      <c r="UR95" s="240" t="n"/>
      <c r="US95" s="240" t="n"/>
      <c r="UU95" s="15" t="n"/>
      <c r="UV95" s="15" t="n"/>
      <c r="UW95" s="248" t="n"/>
      <c r="UX95" s="248" t="n"/>
      <c r="UY95" s="240" t="n"/>
      <c r="UZ95" s="240" t="n"/>
      <c r="VB95" s="15" t="n"/>
      <c r="VC95" s="15" t="n"/>
      <c r="VD95" s="248" t="n"/>
      <c r="VE95" s="248" t="n"/>
      <c r="VF95" s="240" t="n"/>
      <c r="VG95" s="240" t="n"/>
      <c r="VI95" s="15" t="n"/>
      <c r="VJ95" s="15" t="n"/>
      <c r="VK95" s="248" t="n"/>
      <c r="VL95" s="248" t="n"/>
      <c r="VM95" s="240" t="n"/>
      <c r="VN95" s="240" t="n"/>
      <c r="VP95" s="15" t="n"/>
      <c r="VQ95" s="15" t="n"/>
      <c r="VR95" s="248" t="n"/>
      <c r="VS95" s="248" t="n"/>
      <c r="VT95" s="240" t="n"/>
      <c r="VU95" s="240" t="n"/>
      <c r="VW95" s="15" t="n"/>
      <c r="VX95" s="15" t="n"/>
      <c r="VY95" s="248" t="n"/>
      <c r="VZ95" s="248" t="n"/>
      <c r="WA95" s="240" t="n"/>
      <c r="WB95" s="240" t="n"/>
      <c r="WD95" s="15" t="n"/>
      <c r="WE95" s="15" t="n"/>
      <c r="WF95" s="248" t="n"/>
      <c r="WG95" s="248" t="n"/>
      <c r="WH95" s="240" t="n"/>
      <c r="WI95" s="240" t="n"/>
      <c r="WK95" s="15" t="n"/>
      <c r="WL95" s="15" t="n"/>
      <c r="WM95" s="248" t="n"/>
      <c r="WN95" s="248" t="n"/>
      <c r="WO95" s="240" t="n"/>
      <c r="WP95" s="240" t="n"/>
      <c r="WR95" s="15" t="n"/>
      <c r="WS95" s="15" t="n"/>
      <c r="WT95" s="248" t="n"/>
      <c r="WU95" s="248" t="n"/>
      <c r="WV95" s="240" t="n"/>
      <c r="WW95" s="240" t="n"/>
      <c r="WY95" s="15" t="n"/>
      <c r="WZ95" s="15" t="n"/>
      <c r="XA95" s="248" t="n"/>
      <c r="XB95" s="248" t="n"/>
      <c r="XC95" s="240" t="n"/>
      <c r="XD95" s="240" t="n"/>
      <c r="XF95" s="15" t="n"/>
      <c r="XG95" s="15" t="n"/>
      <c r="XH95" s="248" t="n"/>
      <c r="XI95" s="248" t="n"/>
      <c r="XJ95" s="240" t="n"/>
      <c r="XK95" s="240" t="n"/>
      <c r="XM95" s="15" t="n"/>
      <c r="XN95" s="15" t="n"/>
      <c r="XO95" s="248" t="n"/>
      <c r="XP95" s="248" t="n"/>
      <c r="XQ95" s="240" t="n"/>
      <c r="XR95" s="240" t="n"/>
      <c r="XT95" s="15" t="n"/>
      <c r="XU95" s="15" t="n"/>
      <c r="XV95" s="248" t="n"/>
      <c r="XW95" s="248" t="n"/>
      <c r="XX95" s="240" t="n"/>
      <c r="XY95" s="240" t="n"/>
      <c r="YA95" s="15" t="n"/>
      <c r="YB95" s="15" t="n"/>
      <c r="YC95" s="248" t="n"/>
      <c r="YD95" s="248" t="n"/>
      <c r="YE95" s="240" t="n"/>
      <c r="YF95" s="240" t="n"/>
      <c r="YH95" s="15" t="n"/>
      <c r="YI95" s="15" t="n"/>
      <c r="YJ95" s="248" t="n"/>
      <c r="YK95" s="248" t="n"/>
      <c r="YL95" s="240" t="n"/>
      <c r="YM95" s="240" t="n"/>
      <c r="YO95" s="15" t="n"/>
      <c r="YP95" s="15" t="n"/>
      <c r="YQ95" s="248" t="n"/>
      <c r="YR95" s="248" t="n"/>
      <c r="YS95" s="240" t="n"/>
      <c r="YT95" s="240" t="n"/>
      <c r="YV95" s="15" t="n"/>
      <c r="YW95" s="15" t="n"/>
      <c r="YX95" s="248" t="n"/>
      <c r="YY95" s="248" t="n"/>
      <c r="YZ95" s="240" t="n"/>
      <c r="ZA95" s="240" t="n"/>
      <c r="ZC95" s="15" t="n"/>
      <c r="ZD95" s="15" t="n"/>
      <c r="ZE95" s="248" t="n"/>
      <c r="ZF95" s="248" t="n"/>
      <c r="ZG95" s="240" t="n"/>
      <c r="ZH95" s="240" t="n"/>
      <c r="ZJ95" s="15" t="n"/>
      <c r="ZK95" s="15" t="n"/>
      <c r="ZL95" s="248" t="n"/>
      <c r="ZM95" s="248" t="n"/>
      <c r="ZN95" s="240" t="n"/>
      <c r="ZO95" s="240" t="n"/>
      <c r="ZQ95" s="15" t="n"/>
      <c r="ZR95" s="15" t="n"/>
      <c r="ZS95" s="248" t="n"/>
      <c r="ZT95" s="248" t="n"/>
      <c r="ZU95" s="240" t="n"/>
      <c r="ZV95" s="240" t="n"/>
      <c r="ZX95" s="15" t="n"/>
      <c r="ZY95" s="15" t="n"/>
      <c r="ZZ95" s="248" t="n"/>
      <c r="AAA95" s="248" t="n"/>
      <c r="AAB95" s="240" t="n"/>
      <c r="AAC95" s="240" t="n"/>
      <c r="AAE95" s="15" t="n"/>
      <c r="AAF95" s="15" t="n"/>
      <c r="AAG95" s="248" t="n"/>
      <c r="AAH95" s="248" t="n"/>
      <c r="AAI95" s="240" t="n"/>
      <c r="AAJ95" s="240" t="n"/>
      <c r="AAL95" s="15" t="n"/>
      <c r="AAM95" s="15" t="n"/>
      <c r="AAN95" s="248" t="n"/>
      <c r="AAO95" s="248" t="n"/>
      <c r="AAP95" s="240" t="n"/>
      <c r="AAQ95" s="240" t="n"/>
      <c r="AAS95" s="15" t="n"/>
      <c r="AAT95" s="15" t="n"/>
      <c r="AAU95" s="248" t="n"/>
      <c r="AAV95" s="248" t="n"/>
      <c r="AAW95" s="240" t="n"/>
      <c r="AAX95" s="240" t="n"/>
      <c r="AAZ95" s="15" t="n"/>
      <c r="ABA95" s="15" t="n"/>
      <c r="ABB95" s="248" t="n"/>
      <c r="ABC95" s="248" t="n"/>
      <c r="ABD95" s="240" t="n"/>
      <c r="ABE95" s="240" t="n"/>
      <c r="ABG95" s="15" t="n"/>
      <c r="ABH95" s="15" t="n"/>
      <c r="ABI95" s="248" t="n"/>
      <c r="ABJ95" s="248" t="n"/>
      <c r="ABK95" s="240" t="n"/>
      <c r="ABL95" s="240" t="n"/>
      <c r="ABN95" s="15" t="n"/>
      <c r="ABO95" s="15" t="n"/>
      <c r="ABP95" s="248" t="n"/>
      <c r="ABQ95" s="248" t="n"/>
      <c r="ABR95" s="240" t="n"/>
      <c r="ABS95" s="240" t="n"/>
      <c r="ABU95" s="15" t="n"/>
      <c r="ABV95" s="15" t="n"/>
      <c r="ABW95" s="248" t="n"/>
      <c r="ABX95" s="248" t="n"/>
      <c r="ABY95" s="240" t="n"/>
      <c r="ABZ95" s="240" t="n"/>
      <c r="ACB95" s="15" t="n"/>
      <c r="ACC95" s="15" t="n"/>
      <c r="ACD95" s="248" t="n"/>
      <c r="ACE95" s="248" t="n"/>
      <c r="ACF95" s="240" t="n"/>
      <c r="ACG95" s="240" t="n"/>
      <c r="ACI95" s="15" t="n"/>
      <c r="ACJ95" s="15" t="n"/>
      <c r="ACK95" s="248" t="n"/>
      <c r="ACL95" s="248" t="n"/>
      <c r="ACM95" s="240" t="n"/>
      <c r="ACN95" s="240" t="n"/>
      <c r="ACP95" s="15" t="n"/>
      <c r="ACQ95" s="15" t="n"/>
      <c r="ACR95" s="248" t="n"/>
      <c r="ACS95" s="248" t="n"/>
      <c r="ACT95" s="240" t="n"/>
      <c r="ACU95" s="240" t="n"/>
      <c r="ACW95" s="15" t="n"/>
      <c r="ACX95" s="15" t="n"/>
      <c r="ACY95" s="248" t="n"/>
      <c r="ACZ95" s="248" t="n"/>
      <c r="ADA95" s="240" t="n"/>
      <c r="ADB95" s="240" t="n"/>
      <c r="ADD95" s="15" t="n"/>
      <c r="ADE95" s="15" t="n"/>
      <c r="ADF95" s="248" t="n"/>
      <c r="ADG95" s="248" t="n"/>
      <c r="ADH95" s="240" t="n"/>
      <c r="ADI95" s="240" t="n"/>
      <c r="ADK95" s="15" t="n"/>
      <c r="ADL95" s="15" t="n"/>
      <c r="ADM95" s="248" t="n"/>
      <c r="ADN95" s="248" t="n"/>
      <c r="ADO95" s="240" t="n"/>
      <c r="ADP95" s="240" t="n"/>
      <c r="ADR95" s="15" t="n"/>
      <c r="ADS95" s="15" t="n"/>
      <c r="ADT95" s="248" t="n"/>
      <c r="ADU95" s="248" t="n"/>
      <c r="ADV95" s="240" t="n"/>
      <c r="ADW95" s="240" t="n"/>
      <c r="ADY95" s="15" t="n"/>
      <c r="ADZ95" s="15" t="n"/>
      <c r="AEA95" s="248" t="n"/>
      <c r="AEB95" s="248" t="n"/>
      <c r="AEC95" s="240" t="n"/>
      <c r="AED95" s="240" t="n"/>
      <c r="AEF95" s="15" t="n"/>
      <c r="AEG95" s="15" t="n"/>
      <c r="AEH95" s="248" t="n"/>
      <c r="AEI95" s="248" t="n"/>
      <c r="AEJ95" s="240" t="n"/>
      <c r="AEK95" s="240" t="n"/>
      <c r="AEM95" s="15" t="n"/>
      <c r="AEN95" s="15" t="n"/>
      <c r="AEO95" s="248" t="n"/>
      <c r="AEP95" s="248" t="n"/>
      <c r="AEQ95" s="240" t="n"/>
      <c r="AER95" s="240" t="n"/>
      <c r="AET95" s="15" t="n"/>
      <c r="AEU95" s="15" t="n"/>
      <c r="AEV95" s="248" t="n"/>
      <c r="AEW95" s="248" t="n"/>
      <c r="AEX95" s="240" t="n"/>
      <c r="AEY95" s="240" t="n"/>
      <c r="AFA95" s="15" t="n"/>
      <c r="AFB95" s="15" t="n"/>
      <c r="AFC95" s="248" t="n"/>
      <c r="AFD95" s="248" t="n"/>
      <c r="AFE95" s="240" t="n"/>
      <c r="AFF95" s="240" t="n"/>
      <c r="AFH95" s="15" t="n"/>
      <c r="AFI95" s="15" t="n"/>
      <c r="AFJ95" s="248" t="n"/>
      <c r="AFK95" s="248" t="n"/>
      <c r="AFL95" s="240" t="n"/>
      <c r="AFM95" s="240" t="n"/>
      <c r="AFO95" s="15" t="n"/>
      <c r="AFP95" s="15" t="n"/>
      <c r="AFQ95" s="248" t="n"/>
      <c r="AFR95" s="248" t="n"/>
      <c r="AFS95" s="240" t="n"/>
      <c r="AFT95" s="240" t="n"/>
      <c r="AFV95" s="15" t="n"/>
      <c r="AFW95" s="15" t="n"/>
      <c r="AFX95" s="248" t="n"/>
      <c r="AFY95" s="248" t="n"/>
      <c r="AFZ95" s="240" t="n"/>
      <c r="AGA95" s="240" t="n"/>
      <c r="AGC95" s="15" t="n"/>
      <c r="AGD95" s="15" t="n"/>
      <c r="AGE95" s="248" t="n"/>
      <c r="AGF95" s="248" t="n"/>
      <c r="AGG95" s="240" t="n"/>
      <c r="AGH95" s="240" t="n"/>
      <c r="AGJ95" s="15" t="n"/>
      <c r="AGK95" s="15" t="n"/>
      <c r="AGL95" s="248" t="n"/>
      <c r="AGM95" s="248" t="n"/>
      <c r="AGN95" s="240" t="n"/>
      <c r="AGO95" s="240" t="n"/>
      <c r="AGQ95" s="15" t="n"/>
      <c r="AGR95" s="15" t="n"/>
      <c r="AGS95" s="248" t="n"/>
      <c r="AGT95" s="248" t="n"/>
      <c r="AGU95" s="240" t="n"/>
      <c r="AGV95" s="240" t="n"/>
      <c r="AGX95" s="15" t="n"/>
      <c r="AGY95" s="15" t="n"/>
      <c r="AGZ95" s="248" t="n"/>
      <c r="AHA95" s="248" t="n"/>
      <c r="AHB95" s="240" t="n"/>
      <c r="AHC95" s="240" t="n"/>
      <c r="AHE95" s="15" t="n"/>
      <c r="AHF95" s="15" t="n"/>
      <c r="AHG95" s="248" t="n"/>
      <c r="AHH95" s="248" t="n"/>
      <c r="AHI95" s="240" t="n"/>
      <c r="AHJ95" s="240" t="n"/>
      <c r="AHL95" s="15" t="n"/>
      <c r="AHM95" s="15" t="n"/>
      <c r="AHN95" s="248" t="n"/>
      <c r="AHO95" s="248" t="n"/>
      <c r="AHP95" s="240" t="n"/>
      <c r="AHQ95" s="240" t="n"/>
      <c r="AHS95" s="15" t="n"/>
      <c r="AHT95" s="15" t="n"/>
      <c r="AHU95" s="248" t="n"/>
      <c r="AHV95" s="248" t="n"/>
      <c r="AHW95" s="240" t="n"/>
      <c r="AHX95" s="240" t="n"/>
      <c r="AHZ95" s="15" t="n"/>
      <c r="AIA95" s="15" t="n"/>
      <c r="AIB95" s="248" t="n"/>
      <c r="AIC95" s="248" t="n"/>
      <c r="AID95" s="240" t="n"/>
      <c r="AIE95" s="240" t="n"/>
      <c r="AIG95" s="15" t="n"/>
      <c r="AIH95" s="15" t="n"/>
      <c r="AII95" s="248" t="n"/>
      <c r="AIJ95" s="248" t="n"/>
      <c r="AIK95" s="240" t="n"/>
      <c r="AIL95" s="240" t="n"/>
      <c r="AIN95" s="15" t="n"/>
      <c r="AIO95" s="15" t="n"/>
      <c r="AIP95" s="248" t="n"/>
      <c r="AIQ95" s="248" t="n"/>
      <c r="AIR95" s="240" t="n"/>
      <c r="AIS95" s="240" t="n"/>
      <c r="AIU95" s="15" t="n"/>
      <c r="AIV95" s="15" t="n"/>
      <c r="AIW95" s="248" t="n"/>
      <c r="AIX95" s="248" t="n"/>
      <c r="AIY95" s="240" t="n"/>
      <c r="AIZ95" s="240" t="n"/>
      <c r="AJB95" s="15" t="n"/>
      <c r="AJC95" s="15" t="n"/>
      <c r="AJD95" s="248" t="n"/>
      <c r="AJE95" s="248" t="n"/>
      <c r="AJF95" s="240" t="n"/>
      <c r="AJG95" s="240" t="n"/>
      <c r="AJI95" s="15" t="n"/>
      <c r="AJJ95" s="15" t="n"/>
      <c r="AJK95" s="248" t="n"/>
      <c r="AJL95" s="248" t="n"/>
      <c r="AJM95" s="240" t="n"/>
      <c r="AJN95" s="240" t="n"/>
      <c r="AJP95" s="15" t="n"/>
      <c r="AJQ95" s="15" t="n"/>
      <c r="AJR95" s="248" t="n"/>
      <c r="AJS95" s="248" t="n"/>
      <c r="AJT95" s="240" t="n"/>
      <c r="AJU95" s="240" t="n"/>
      <c r="AJW95" s="15" t="n"/>
      <c r="AJX95" s="15" t="n"/>
      <c r="AJY95" s="248" t="n"/>
      <c r="AJZ95" s="248" t="n"/>
      <c r="AKA95" s="240" t="n"/>
      <c r="AKB95" s="240" t="n"/>
      <c r="AKD95" s="15" t="n"/>
      <c r="AKE95" s="15" t="n"/>
      <c r="AKF95" s="248" t="n"/>
      <c r="AKG95" s="248" t="n"/>
      <c r="AKH95" s="240" t="n"/>
      <c r="AKI95" s="240" t="n"/>
      <c r="AKK95" s="15" t="n"/>
      <c r="AKL95" s="15" t="n"/>
      <c r="AKM95" s="248" t="n"/>
      <c r="AKN95" s="248" t="n"/>
      <c r="AKO95" s="240" t="n"/>
      <c r="AKP95" s="240" t="n"/>
      <c r="AKR95" s="15" t="n"/>
      <c r="AKS95" s="15" t="n"/>
      <c r="AKT95" s="248" t="n"/>
      <c r="AKU95" s="248" t="n"/>
      <c r="AKV95" s="240" t="n"/>
      <c r="AKW95" s="240" t="n"/>
      <c r="AKY95" s="15" t="n"/>
      <c r="AKZ95" s="15" t="n"/>
      <c r="ALA95" s="248" t="n"/>
      <c r="ALB95" s="248" t="n"/>
      <c r="ALC95" s="240" t="n"/>
      <c r="ALD95" s="240" t="n"/>
      <c r="ALF95" s="15" t="n"/>
      <c r="ALG95" s="15" t="n"/>
      <c r="ALH95" s="248" t="n"/>
      <c r="ALI95" s="248" t="n"/>
      <c r="ALJ95" s="240" t="n"/>
      <c r="ALK95" s="240" t="n"/>
      <c r="ALM95" s="15" t="n"/>
      <c r="ALN95" s="15" t="n"/>
      <c r="ALO95" s="248" t="n"/>
      <c r="ALP95" s="248" t="n"/>
      <c r="ALQ95" s="240" t="n"/>
      <c r="ALR95" s="240" t="n"/>
      <c r="ALT95" s="15" t="n"/>
      <c r="ALU95" s="15" t="n"/>
      <c r="ALV95" s="248" t="n"/>
      <c r="ALW95" s="248" t="n"/>
      <c r="ALX95" s="240" t="n"/>
      <c r="ALY95" s="240" t="n"/>
      <c r="AMA95" s="15" t="n"/>
      <c r="AMB95" s="15" t="n"/>
      <c r="AMC95" s="248" t="n"/>
      <c r="AMD95" s="248" t="n"/>
      <c r="AME95" s="240" t="n"/>
      <c r="AMF95" s="240" t="n"/>
      <c r="AMH95" s="15" t="n"/>
      <c r="AMI95" s="15" t="n"/>
      <c r="AMJ95" s="248" t="n"/>
      <c r="AMK95" s="248" t="n"/>
      <c r="AML95" s="240" t="n"/>
      <c r="AMM95" s="240" t="n"/>
      <c r="AMO95" s="15" t="n"/>
      <c r="AMP95" s="15" t="n"/>
      <c r="AMQ95" s="248" t="n"/>
      <c r="AMR95" s="248" t="n"/>
      <c r="AMS95" s="240" t="n"/>
      <c r="AMT95" s="240" t="n"/>
      <c r="AMV95" s="15" t="n"/>
      <c r="AMW95" s="15" t="n"/>
      <c r="AMX95" s="248" t="n"/>
      <c r="AMY95" s="248" t="n"/>
      <c r="AMZ95" s="240" t="n"/>
      <c r="ANA95" s="240" t="n"/>
      <c r="ANC95" s="15" t="n"/>
      <c r="AND95" s="15" t="n"/>
      <c r="ANE95" s="248" t="n"/>
      <c r="ANF95" s="248" t="n"/>
      <c r="ANG95" s="240" t="n"/>
      <c r="ANH95" s="240" t="n"/>
      <c r="ANJ95" s="15" t="n"/>
      <c r="ANK95" s="15" t="n"/>
      <c r="ANL95" s="248" t="n"/>
      <c r="ANM95" s="248" t="n"/>
      <c r="ANN95" s="240" t="n"/>
      <c r="ANO95" s="240" t="n"/>
      <c r="ANQ95" s="15" t="n"/>
      <c r="ANR95" s="15" t="n"/>
      <c r="ANS95" s="248" t="n"/>
      <c r="ANT95" s="248" t="n"/>
      <c r="ANU95" s="240" t="n"/>
      <c r="ANV95" s="240" t="n"/>
      <c r="ANX95" s="15" t="n"/>
      <c r="ANY95" s="15" t="n"/>
      <c r="ANZ95" s="248" t="n"/>
      <c r="AOA95" s="248" t="n"/>
      <c r="AOB95" s="240" t="n"/>
      <c r="AOC95" s="240" t="n"/>
      <c r="AOE95" s="15" t="n"/>
      <c r="AOF95" s="15" t="n"/>
      <c r="AOG95" s="248" t="n"/>
      <c r="AOH95" s="248" t="n"/>
      <c r="AOI95" s="240" t="n"/>
      <c r="AOJ95" s="240" t="n"/>
      <c r="AOL95" s="15" t="n"/>
      <c r="AOM95" s="15" t="n"/>
      <c r="AON95" s="248" t="n"/>
      <c r="AOO95" s="248" t="n"/>
      <c r="AOP95" s="240" t="n"/>
      <c r="AOQ95" s="240" t="n"/>
      <c r="AOS95" s="15" t="n"/>
      <c r="AOT95" s="15" t="n"/>
      <c r="AOU95" s="248" t="n"/>
      <c r="AOV95" s="248" t="n"/>
      <c r="AOW95" s="240" t="n"/>
      <c r="AOX95" s="240" t="n"/>
      <c r="AOZ95" s="15" t="n"/>
      <c r="APA95" s="15" t="n"/>
      <c r="APB95" s="248" t="n"/>
      <c r="APC95" s="248" t="n"/>
      <c r="APD95" s="240" t="n"/>
      <c r="APE95" s="240" t="n"/>
      <c r="APG95" s="15" t="n"/>
      <c r="APH95" s="15" t="n"/>
      <c r="API95" s="248" t="n"/>
      <c r="APJ95" s="248" t="n"/>
      <c r="APK95" s="240" t="n"/>
      <c r="APL95" s="240" t="n"/>
      <c r="APN95" s="15" t="n"/>
      <c r="APO95" s="15" t="n"/>
      <c r="APP95" s="248" t="n"/>
      <c r="APQ95" s="248" t="n"/>
      <c r="APR95" s="240" t="n"/>
      <c r="APS95" s="240" t="n"/>
      <c r="APU95" s="15" t="n"/>
      <c r="APV95" s="15" t="n"/>
      <c r="APW95" s="248" t="n"/>
      <c r="APX95" s="248" t="n"/>
      <c r="APY95" s="240" t="n"/>
      <c r="APZ95" s="240" t="n"/>
      <c r="AQB95" s="15" t="n"/>
      <c r="AQC95" s="15" t="n"/>
      <c r="AQD95" s="248" t="n"/>
      <c r="AQE95" s="248" t="n"/>
      <c r="AQF95" s="240" t="n"/>
      <c r="AQG95" s="240" t="n"/>
      <c r="AQI95" s="15" t="n"/>
      <c r="AQJ95" s="15" t="n"/>
      <c r="AQK95" s="248" t="n"/>
      <c r="AQL95" s="248" t="n"/>
      <c r="AQM95" s="240" t="n"/>
      <c r="AQN95" s="240" t="n"/>
      <c r="AQP95" s="15" t="n"/>
      <c r="AQQ95" s="15" t="n"/>
      <c r="AQR95" s="248" t="n"/>
      <c r="AQS95" s="248" t="n"/>
      <c r="AQT95" s="240" t="n"/>
      <c r="AQU95" s="240" t="n"/>
      <c r="AQW95" s="15" t="n"/>
      <c r="AQX95" s="15" t="n"/>
      <c r="AQY95" s="248" t="n"/>
      <c r="AQZ95" s="248" t="n"/>
      <c r="ARA95" s="240" t="n"/>
      <c r="ARB95" s="240" t="n"/>
      <c r="ARD95" s="15" t="n"/>
      <c r="ARE95" s="15" t="n"/>
      <c r="ARF95" s="248" t="n"/>
      <c r="ARG95" s="248" t="n"/>
      <c r="ARH95" s="240" t="n"/>
      <c r="ARI95" s="240" t="n"/>
      <c r="ARK95" s="15" t="n"/>
      <c r="ARL95" s="15" t="n"/>
      <c r="ARM95" s="248" t="n"/>
      <c r="ARN95" s="248" t="n"/>
      <c r="ARO95" s="240" t="n"/>
      <c r="ARP95" s="240" t="n"/>
      <c r="ARR95" s="15" t="n"/>
      <c r="ARS95" s="15" t="n"/>
      <c r="ART95" s="248" t="n"/>
      <c r="ARU95" s="248" t="n"/>
      <c r="ARV95" s="240" t="n"/>
      <c r="ARW95" s="240" t="n"/>
      <c r="ARY95" s="15" t="n"/>
      <c r="ARZ95" s="15" t="n"/>
      <c r="ASA95" s="248" t="n"/>
      <c r="ASB95" s="248" t="n"/>
      <c r="ASC95" s="240" t="n"/>
      <c r="ASD95" s="240" t="n"/>
      <c r="ASF95" s="15" t="n"/>
      <c r="ASG95" s="15" t="n"/>
      <c r="ASH95" s="248" t="n"/>
      <c r="ASI95" s="248" t="n"/>
      <c r="ASJ95" s="240" t="n"/>
      <c r="ASK95" s="240" t="n"/>
      <c r="ASM95" s="15" t="n"/>
      <c r="ASN95" s="15" t="n"/>
      <c r="ASO95" s="248" t="n"/>
      <c r="ASP95" s="248" t="n"/>
      <c r="ASQ95" s="240" t="n"/>
      <c r="ASR95" s="240" t="n"/>
      <c r="AST95" s="15" t="n"/>
      <c r="ASU95" s="15" t="n"/>
      <c r="ASV95" s="248" t="n"/>
      <c r="ASW95" s="248" t="n"/>
      <c r="ASX95" s="240" t="n"/>
      <c r="ASY95" s="240" t="n"/>
      <c r="ATA95" s="15" t="n"/>
      <c r="ATB95" s="15" t="n"/>
      <c r="ATC95" s="248" t="n"/>
      <c r="ATD95" s="248" t="n"/>
      <c r="ATE95" s="240" t="n"/>
      <c r="ATF95" s="240" t="n"/>
      <c r="ATH95" s="15" t="n"/>
      <c r="ATI95" s="15" t="n"/>
      <c r="ATJ95" s="248" t="n"/>
      <c r="ATK95" s="248" t="n"/>
      <c r="ATL95" s="240" t="n"/>
      <c r="ATM95" s="240" t="n"/>
      <c r="ATO95" s="15" t="n"/>
      <c r="ATP95" s="15" t="n"/>
      <c r="ATQ95" s="248" t="n"/>
      <c r="ATR95" s="248" t="n"/>
      <c r="ATS95" s="240" t="n"/>
      <c r="ATT95" s="240" t="n"/>
      <c r="ATV95" s="15" t="n"/>
      <c r="ATW95" s="15" t="n"/>
      <c r="ATX95" s="248" t="n"/>
      <c r="ATY95" s="248" t="n"/>
      <c r="ATZ95" s="240" t="n"/>
      <c r="AUA95" s="240" t="n"/>
      <c r="AUC95" s="15" t="n"/>
      <c r="AUD95" s="15" t="n"/>
      <c r="AUE95" s="248" t="n"/>
      <c r="AUF95" s="248" t="n"/>
      <c r="AUG95" s="240" t="n"/>
      <c r="AUH95" s="240" t="n"/>
      <c r="AUJ95" s="15" t="n"/>
      <c r="AUK95" s="15" t="n"/>
      <c r="AUL95" s="248" t="n"/>
      <c r="AUM95" s="248" t="n"/>
      <c r="AUN95" s="240" t="n"/>
      <c r="AUO95" s="240" t="n"/>
      <c r="AUQ95" s="15" t="n"/>
      <c r="AUR95" s="15" t="n"/>
      <c r="AUS95" s="248" t="n"/>
      <c r="AUT95" s="248" t="n"/>
      <c r="AUU95" s="240" t="n"/>
      <c r="AUV95" s="240" t="n"/>
      <c r="AUX95" s="15" t="n"/>
      <c r="AUY95" s="15" t="n"/>
      <c r="AUZ95" s="248" t="n"/>
      <c r="AVA95" s="248" t="n"/>
      <c r="AVB95" s="240" t="n"/>
      <c r="AVC95" s="240" t="n"/>
      <c r="AVE95" s="15" t="n"/>
      <c r="AVF95" s="15" t="n"/>
      <c r="AVG95" s="248" t="n"/>
      <c r="AVH95" s="248" t="n"/>
      <c r="AVI95" s="240" t="n"/>
      <c r="AVJ95" s="240" t="n"/>
      <c r="AVL95" s="15" t="n"/>
      <c r="AVM95" s="15" t="n"/>
      <c r="AVN95" s="248" t="n"/>
      <c r="AVO95" s="248" t="n"/>
      <c r="AVP95" s="240" t="n"/>
      <c r="AVQ95" s="240" t="n"/>
      <c r="AVS95" s="15" t="n"/>
      <c r="AVT95" s="15" t="n"/>
      <c r="AVU95" s="248" t="n"/>
      <c r="AVV95" s="248" t="n"/>
      <c r="AVW95" s="240" t="n"/>
      <c r="AVX95" s="240" t="n"/>
      <c r="AVZ95" s="15" t="n"/>
      <c r="AWA95" s="15" t="n"/>
      <c r="AWB95" s="248" t="n"/>
      <c r="AWC95" s="248" t="n"/>
      <c r="AWD95" s="240" t="n"/>
      <c r="AWE95" s="240" t="n"/>
      <c r="AWG95" s="15" t="n"/>
      <c r="AWH95" s="15" t="n"/>
      <c r="AWI95" s="248" t="n"/>
      <c r="AWJ95" s="248" t="n"/>
      <c r="AWK95" s="240" t="n"/>
      <c r="AWL95" s="240" t="n"/>
      <c r="AWN95" s="15" t="n"/>
      <c r="AWO95" s="15" t="n"/>
      <c r="AWP95" s="248" t="n"/>
      <c r="AWQ95" s="248" t="n"/>
      <c r="AWR95" s="240" t="n"/>
      <c r="AWS95" s="240" t="n"/>
      <c r="AWU95" s="15" t="n"/>
      <c r="AWV95" s="15" t="n"/>
      <c r="AWW95" s="248" t="n"/>
      <c r="AWX95" s="248" t="n"/>
      <c r="AWY95" s="240" t="n"/>
      <c r="AWZ95" s="240" t="n"/>
      <c r="AXB95" s="15" t="n"/>
      <c r="AXC95" s="15" t="n"/>
      <c r="AXD95" s="248" t="n"/>
      <c r="AXE95" s="248" t="n"/>
      <c r="AXF95" s="240" t="n"/>
      <c r="AXG95" s="240" t="n"/>
      <c r="AXI95" s="15" t="n"/>
      <c r="AXJ95" s="15" t="n"/>
      <c r="AXK95" s="248" t="n"/>
      <c r="AXL95" s="248" t="n"/>
      <c r="AXM95" s="240" t="n"/>
      <c r="AXN95" s="240" t="n"/>
      <c r="AXP95" s="15" t="n"/>
      <c r="AXQ95" s="15" t="n"/>
      <c r="AXR95" s="248" t="n"/>
      <c r="AXS95" s="248" t="n"/>
      <c r="AXT95" s="240" t="n"/>
      <c r="AXU95" s="240" t="n"/>
      <c r="AXW95" s="15" t="n"/>
      <c r="AXX95" s="15" t="n"/>
      <c r="AXY95" s="248" t="n"/>
      <c r="AXZ95" s="248" t="n"/>
      <c r="AYA95" s="240" t="n"/>
      <c r="AYB95" s="240" t="n"/>
      <c r="AYD95" s="15" t="n"/>
      <c r="AYE95" s="15" t="n"/>
      <c r="AYF95" s="248" t="n"/>
      <c r="AYG95" s="248" t="n"/>
      <c r="AYH95" s="240" t="n"/>
      <c r="AYI95" s="240" t="n"/>
      <c r="AYK95" s="15" t="n"/>
      <c r="AYL95" s="15" t="n"/>
      <c r="AYM95" s="248" t="n"/>
      <c r="AYN95" s="248" t="n"/>
      <c r="AYO95" s="240" t="n"/>
      <c r="AYP95" s="240" t="n"/>
      <c r="AYR95" s="15" t="n"/>
      <c r="AYS95" s="15" t="n"/>
      <c r="AYT95" s="248" t="n"/>
      <c r="AYU95" s="248" t="n"/>
      <c r="AYV95" s="240" t="n"/>
      <c r="AYW95" s="240" t="n"/>
      <c r="AYY95" s="15" t="n"/>
      <c r="AYZ95" s="15" t="n"/>
      <c r="AZA95" s="248" t="n"/>
      <c r="AZB95" s="248" t="n"/>
      <c r="AZC95" s="240" t="n"/>
      <c r="AZD95" s="240" t="n"/>
      <c r="AZF95" s="15" t="n"/>
      <c r="AZG95" s="15" t="n"/>
      <c r="AZH95" s="248" t="n"/>
      <c r="AZI95" s="248" t="n"/>
      <c r="AZJ95" s="240" t="n"/>
      <c r="AZK95" s="240" t="n"/>
      <c r="AZM95" s="15" t="n"/>
      <c r="AZN95" s="15" t="n"/>
      <c r="AZO95" s="248" t="n"/>
      <c r="AZP95" s="248" t="n"/>
      <c r="AZQ95" s="240" t="n"/>
      <c r="AZR95" s="240" t="n"/>
      <c r="AZT95" s="15" t="n"/>
      <c r="AZU95" s="15" t="n"/>
      <c r="AZV95" s="248" t="n"/>
      <c r="AZW95" s="248" t="n"/>
      <c r="AZX95" s="240" t="n"/>
      <c r="AZY95" s="240" t="n"/>
      <c r="BAA95" s="15" t="n"/>
      <c r="BAB95" s="15" t="n"/>
      <c r="BAC95" s="248" t="n"/>
      <c r="BAD95" s="248" t="n"/>
      <c r="BAE95" s="240" t="n"/>
      <c r="BAF95" s="240" t="n"/>
      <c r="BAH95" s="15" t="n"/>
      <c r="BAI95" s="15" t="n"/>
      <c r="BAJ95" s="248" t="n"/>
      <c r="BAK95" s="248" t="n"/>
      <c r="BAL95" s="240" t="n"/>
      <c r="BAM95" s="240" t="n"/>
      <c r="BAO95" s="15" t="n"/>
      <c r="BAP95" s="15" t="n"/>
      <c r="BAQ95" s="248" t="n"/>
      <c r="BAR95" s="248" t="n"/>
      <c r="BAS95" s="240" t="n"/>
      <c r="BAT95" s="240" t="n"/>
      <c r="BAV95" s="15" t="n"/>
      <c r="BAW95" s="15" t="n"/>
      <c r="BAX95" s="248" t="n"/>
      <c r="BAY95" s="248" t="n"/>
      <c r="BAZ95" s="240" t="n"/>
      <c r="BBA95" s="240" t="n"/>
      <c r="BBC95" s="15" t="n"/>
      <c r="BBD95" s="15" t="n"/>
      <c r="BBE95" s="248" t="n"/>
      <c r="BBF95" s="248" t="n"/>
      <c r="BBG95" s="240" t="n"/>
      <c r="BBH95" s="240" t="n"/>
      <c r="BBJ95" s="15" t="n"/>
      <c r="BBK95" s="15" t="n"/>
      <c r="BBL95" s="248" t="n"/>
      <c r="BBM95" s="248" t="n"/>
      <c r="BBN95" s="240" t="n"/>
      <c r="BBO95" s="240" t="n"/>
      <c r="BBQ95" s="15" t="n"/>
      <c r="BBR95" s="15" t="n"/>
      <c r="BBS95" s="248" t="n"/>
      <c r="BBT95" s="248" t="n"/>
      <c r="BBU95" s="240" t="n"/>
      <c r="BBV95" s="240" t="n"/>
      <c r="BBX95" s="15" t="n"/>
      <c r="BBY95" s="15" t="n"/>
      <c r="BBZ95" s="248" t="n"/>
      <c r="BCA95" s="248" t="n"/>
      <c r="BCB95" s="240" t="n"/>
      <c r="BCC95" s="240" t="n"/>
      <c r="BCE95" s="15" t="n"/>
      <c r="BCF95" s="15" t="n"/>
      <c r="BCG95" s="248" t="n"/>
      <c r="BCH95" s="248" t="n"/>
      <c r="BCI95" s="240" t="n"/>
      <c r="BCJ95" s="240" t="n"/>
      <c r="BCL95" s="15" t="n"/>
      <c r="BCM95" s="15" t="n"/>
      <c r="BCN95" s="248" t="n"/>
      <c r="BCO95" s="248" t="n"/>
      <c r="BCP95" s="240" t="n"/>
      <c r="BCQ95" s="240" t="n"/>
      <c r="BCS95" s="15" t="n"/>
      <c r="BCT95" s="15" t="n"/>
      <c r="BCU95" s="248" t="n"/>
      <c r="BCV95" s="248" t="n"/>
      <c r="BCW95" s="240" t="n"/>
      <c r="BCX95" s="240" t="n"/>
      <c r="BCZ95" s="15" t="n"/>
      <c r="BDA95" s="15" t="n"/>
      <c r="BDB95" s="248" t="n"/>
      <c r="BDC95" s="248" t="n"/>
      <c r="BDD95" s="240" t="n"/>
      <c r="BDE95" s="240" t="n"/>
      <c r="BDG95" s="15" t="n"/>
      <c r="BDH95" s="15" t="n"/>
      <c r="BDI95" s="248" t="n"/>
      <c r="BDJ95" s="248" t="n"/>
      <c r="BDK95" s="240" t="n"/>
      <c r="BDL95" s="240" t="n"/>
      <c r="BDN95" s="15" t="n"/>
      <c r="BDO95" s="15" t="n"/>
      <c r="BDP95" s="248" t="n"/>
      <c r="BDQ95" s="248" t="n"/>
      <c r="BDR95" s="240" t="n"/>
      <c r="BDS95" s="240" t="n"/>
      <c r="BDU95" s="15" t="n"/>
      <c r="BDV95" s="15" t="n"/>
      <c r="BDW95" s="248" t="n"/>
      <c r="BDX95" s="248" t="n"/>
      <c r="BDY95" s="240" t="n"/>
      <c r="BDZ95" s="240" t="n"/>
      <c r="BEB95" s="15" t="n"/>
      <c r="BEC95" s="15" t="n"/>
      <c r="BED95" s="248" t="n"/>
      <c r="BEE95" s="248" t="n"/>
      <c r="BEF95" s="240" t="n"/>
      <c r="BEG95" s="240" t="n"/>
      <c r="BEI95" s="15" t="n"/>
      <c r="BEJ95" s="15" t="n"/>
      <c r="BEK95" s="248" t="n"/>
      <c r="BEL95" s="248" t="n"/>
      <c r="BEM95" s="240" t="n"/>
      <c r="BEN95" s="240" t="n"/>
      <c r="BEP95" s="15" t="n"/>
      <c r="BEQ95" s="15" t="n"/>
      <c r="BER95" s="248" t="n"/>
      <c r="BES95" s="248" t="n"/>
      <c r="BET95" s="240" t="n"/>
      <c r="BEU95" s="240" t="n"/>
      <c r="BEW95" s="15" t="n"/>
      <c r="BEX95" s="15" t="n"/>
      <c r="BEY95" s="248" t="n"/>
      <c r="BEZ95" s="248" t="n"/>
      <c r="BFA95" s="240" t="n"/>
      <c r="BFB95" s="240" t="n"/>
      <c r="BFD95" s="15" t="n"/>
      <c r="BFE95" s="15" t="n"/>
      <c r="BFF95" s="248" t="n"/>
      <c r="BFG95" s="248" t="n"/>
      <c r="BFH95" s="240" t="n"/>
      <c r="BFI95" s="240" t="n"/>
      <c r="BFK95" s="15" t="n"/>
      <c r="BFL95" s="15" t="n"/>
      <c r="BFM95" s="248" t="n"/>
      <c r="BFN95" s="248" t="n"/>
      <c r="BFO95" s="240" t="n"/>
      <c r="BFP95" s="240" t="n"/>
      <c r="BFR95" s="15" t="n"/>
      <c r="BFS95" s="15" t="n"/>
      <c r="BFT95" s="248" t="n"/>
      <c r="BFU95" s="248" t="n"/>
      <c r="BFV95" s="240" t="n"/>
      <c r="BFW95" s="240" t="n"/>
      <c r="BFY95" s="15" t="n"/>
      <c r="BFZ95" s="15" t="n"/>
      <c r="BGA95" s="248" t="n"/>
      <c r="BGB95" s="248" t="n"/>
      <c r="BGC95" s="240" t="n"/>
      <c r="BGD95" s="240" t="n"/>
      <c r="BGF95" s="15" t="n"/>
      <c r="BGG95" s="15" t="n"/>
      <c r="BGH95" s="248" t="n"/>
      <c r="BGI95" s="248" t="n"/>
      <c r="BGJ95" s="240" t="n"/>
      <c r="BGK95" s="240" t="n"/>
      <c r="BGM95" s="15" t="n"/>
      <c r="BGN95" s="15" t="n"/>
      <c r="BGO95" s="248" t="n"/>
      <c r="BGP95" s="248" t="n"/>
      <c r="BGQ95" s="240" t="n"/>
      <c r="BGR95" s="240" t="n"/>
      <c r="BGT95" s="15" t="n"/>
      <c r="BGU95" s="15" t="n"/>
      <c r="BGV95" s="248" t="n"/>
      <c r="BGW95" s="248" t="n"/>
      <c r="BGX95" s="240" t="n"/>
      <c r="BGY95" s="240" t="n"/>
      <c r="BHA95" s="15" t="n"/>
      <c r="BHB95" s="15" t="n"/>
      <c r="BHC95" s="248" t="n"/>
      <c r="BHD95" s="248" t="n"/>
      <c r="BHE95" s="240" t="n"/>
      <c r="BHF95" s="240" t="n"/>
      <c r="BHH95" s="15" t="n"/>
      <c r="BHI95" s="15" t="n"/>
      <c r="BHJ95" s="248" t="n"/>
      <c r="BHK95" s="248" t="n"/>
      <c r="BHL95" s="240" t="n"/>
      <c r="BHM95" s="240" t="n"/>
      <c r="BHO95" s="15" t="n"/>
      <c r="BHP95" s="15" t="n"/>
      <c r="BHQ95" s="248" t="n"/>
      <c r="BHR95" s="248" t="n"/>
      <c r="BHS95" s="240" t="n"/>
      <c r="BHT95" s="240" t="n"/>
      <c r="BHV95" s="15" t="n"/>
      <c r="BHW95" s="15" t="n"/>
      <c r="BHX95" s="248" t="n"/>
      <c r="BHY95" s="248" t="n"/>
      <c r="BHZ95" s="240" t="n"/>
      <c r="BIA95" s="240" t="n"/>
      <c r="BIC95" s="15" t="n"/>
      <c r="BID95" s="15" t="n"/>
      <c r="BIE95" s="248" t="n"/>
      <c r="BIF95" s="248" t="n"/>
      <c r="BIG95" s="240" t="n"/>
      <c r="BIH95" s="240" t="n"/>
      <c r="BIJ95" s="15" t="n"/>
      <c r="BIK95" s="15" t="n"/>
      <c r="BIL95" s="248" t="n"/>
      <c r="BIM95" s="248" t="n"/>
      <c r="BIN95" s="240" t="n"/>
      <c r="BIO95" s="240" t="n"/>
      <c r="BIQ95" s="15" t="n"/>
      <c r="BIR95" s="15" t="n"/>
      <c r="BIS95" s="248" t="n"/>
      <c r="BIT95" s="248" t="n"/>
      <c r="BIU95" s="240" t="n"/>
      <c r="BIV95" s="240" t="n"/>
      <c r="BIX95" s="15" t="n"/>
      <c r="BIY95" s="15" t="n"/>
      <c r="BIZ95" s="248" t="n"/>
      <c r="BJA95" s="248" t="n"/>
      <c r="BJB95" s="240" t="n"/>
      <c r="BJC95" s="240" t="n"/>
      <c r="BJE95" s="15" t="n"/>
      <c r="BJF95" s="15" t="n"/>
      <c r="BJG95" s="248" t="n"/>
      <c r="BJH95" s="248" t="n"/>
      <c r="BJI95" s="240" t="n"/>
      <c r="BJJ95" s="240" t="n"/>
      <c r="BJL95" s="15" t="n"/>
      <c r="BJM95" s="15" t="n"/>
      <c r="BJN95" s="248" t="n"/>
      <c r="BJO95" s="248" t="n"/>
      <c r="BJP95" s="240" t="n"/>
      <c r="BJQ95" s="240" t="n"/>
      <c r="BJS95" s="15" t="n"/>
      <c r="BJT95" s="15" t="n"/>
      <c r="BJU95" s="248" t="n"/>
      <c r="BJV95" s="248" t="n"/>
      <c r="BJW95" s="240" t="n"/>
      <c r="BJX95" s="240" t="n"/>
      <c r="BJZ95" s="15" t="n"/>
      <c r="BKA95" s="15" t="n"/>
      <c r="BKB95" s="248" t="n"/>
      <c r="BKC95" s="248" t="n"/>
      <c r="BKD95" s="240" t="n"/>
      <c r="BKE95" s="240" t="n"/>
      <c r="BKG95" s="15" t="n"/>
      <c r="BKH95" s="15" t="n"/>
      <c r="BKI95" s="248" t="n"/>
      <c r="BKJ95" s="248" t="n"/>
      <c r="BKK95" s="240" t="n"/>
      <c r="BKL95" s="240" t="n"/>
      <c r="BKN95" s="15" t="n"/>
      <c r="BKO95" s="15" t="n"/>
      <c r="BKP95" s="248" t="n"/>
      <c r="BKQ95" s="248" t="n"/>
      <c r="BKR95" s="240" t="n"/>
      <c r="BKS95" s="240" t="n"/>
      <c r="BKU95" s="15" t="n"/>
      <c r="BKV95" s="15" t="n"/>
      <c r="BKW95" s="248" t="n"/>
      <c r="BKX95" s="248" t="n"/>
      <c r="BKY95" s="240" t="n"/>
      <c r="BKZ95" s="240" t="n"/>
      <c r="BLB95" s="15" t="n"/>
      <c r="BLC95" s="15" t="n"/>
      <c r="BLD95" s="248" t="n"/>
      <c r="BLE95" s="248" t="n"/>
      <c r="BLF95" s="240" t="n"/>
      <c r="BLG95" s="240" t="n"/>
      <c r="BLI95" s="15" t="n"/>
      <c r="BLJ95" s="15" t="n"/>
      <c r="BLK95" s="248" t="n"/>
      <c r="BLL95" s="248" t="n"/>
      <c r="BLM95" s="240" t="n"/>
      <c r="BLN95" s="240" t="n"/>
      <c r="BLP95" s="15" t="n"/>
      <c r="BLQ95" s="15" t="n"/>
      <c r="BLR95" s="248" t="n"/>
      <c r="BLS95" s="248" t="n"/>
      <c r="BLT95" s="240" t="n"/>
      <c r="BLU95" s="240" t="n"/>
      <c r="BLW95" s="15" t="n"/>
      <c r="BLX95" s="15" t="n"/>
      <c r="BLY95" s="248" t="n"/>
      <c r="BLZ95" s="248" t="n"/>
      <c r="BMA95" s="240" t="n"/>
      <c r="BMB95" s="240" t="n"/>
      <c r="BMD95" s="15" t="n"/>
      <c r="BME95" s="15" t="n"/>
      <c r="BMF95" s="248" t="n"/>
      <c r="BMG95" s="248" t="n"/>
      <c r="BMH95" s="240" t="n"/>
      <c r="BMI95" s="240" t="n"/>
      <c r="BMK95" s="15" t="n"/>
      <c r="BML95" s="15" t="n"/>
      <c r="BMM95" s="248" t="n"/>
      <c r="BMN95" s="248" t="n"/>
      <c r="BMO95" s="240" t="n"/>
      <c r="BMP95" s="240" t="n"/>
      <c r="BMR95" s="15" t="n"/>
      <c r="BMS95" s="15" t="n"/>
      <c r="BMT95" s="248" t="n"/>
      <c r="BMU95" s="248" t="n"/>
      <c r="BMV95" s="240" t="n"/>
      <c r="BMW95" s="240" t="n"/>
      <c r="BMY95" s="15" t="n"/>
      <c r="BMZ95" s="15" t="n"/>
      <c r="BNA95" s="248" t="n"/>
      <c r="BNB95" s="248" t="n"/>
      <c r="BNC95" s="240" t="n"/>
      <c r="BND95" s="240" t="n"/>
      <c r="BNF95" s="15" t="n"/>
      <c r="BNG95" s="15" t="n"/>
      <c r="BNH95" s="248" t="n"/>
      <c r="BNI95" s="248" t="n"/>
      <c r="BNJ95" s="240" t="n"/>
      <c r="BNK95" s="240" t="n"/>
      <c r="BNM95" s="15" t="n"/>
      <c r="BNN95" s="15" t="n"/>
      <c r="BNO95" s="248" t="n"/>
      <c r="BNP95" s="248" t="n"/>
      <c r="BNQ95" s="240" t="n"/>
      <c r="BNR95" s="240" t="n"/>
      <c r="BNT95" s="15" t="n"/>
      <c r="BNU95" s="15" t="n"/>
      <c r="BNV95" s="248" t="n"/>
      <c r="BNW95" s="248" t="n"/>
      <c r="BNX95" s="240" t="n"/>
      <c r="BNY95" s="240" t="n"/>
      <c r="BOA95" s="15" t="n"/>
      <c r="BOB95" s="15" t="n"/>
      <c r="BOC95" s="248" t="n"/>
      <c r="BOD95" s="248" t="n"/>
      <c r="BOE95" s="240" t="n"/>
      <c r="BOF95" s="240" t="n"/>
      <c r="BOH95" s="15" t="n"/>
      <c r="BOI95" s="15" t="n"/>
      <c r="BOJ95" s="248" t="n"/>
      <c r="BOK95" s="248" t="n"/>
      <c r="BOL95" s="240" t="n"/>
      <c r="BOM95" s="240" t="n"/>
      <c r="BOO95" s="15" t="n"/>
      <c r="BOP95" s="15" t="n"/>
      <c r="BOQ95" s="248" t="n"/>
      <c r="BOR95" s="248" t="n"/>
      <c r="BOS95" s="240" t="n"/>
      <c r="BOT95" s="240" t="n"/>
      <c r="BOV95" s="15" t="n"/>
      <c r="BOW95" s="15" t="n"/>
      <c r="BOX95" s="248" t="n"/>
      <c r="BOY95" s="248" t="n"/>
      <c r="BOZ95" s="240" t="n"/>
      <c r="BPA95" s="240" t="n"/>
      <c r="BPC95" s="15" t="n"/>
      <c r="BPD95" s="15" t="n"/>
      <c r="BPE95" s="248" t="n"/>
      <c r="BPF95" s="248" t="n"/>
      <c r="BPG95" s="240" t="n"/>
      <c r="BPH95" s="240" t="n"/>
      <c r="BPJ95" s="15" t="n"/>
      <c r="BPK95" s="15" t="n"/>
      <c r="BPL95" s="248" t="n"/>
      <c r="BPM95" s="248" t="n"/>
      <c r="BPN95" s="240" t="n"/>
      <c r="BPO95" s="240" t="n"/>
      <c r="BPQ95" s="15" t="n"/>
      <c r="BPR95" s="15" t="n"/>
      <c r="BPS95" s="248" t="n"/>
      <c r="BPT95" s="248" t="n"/>
      <c r="BPU95" s="240" t="n"/>
      <c r="BPV95" s="240" t="n"/>
      <c r="BPX95" s="15" t="n"/>
      <c r="BPY95" s="15" t="n"/>
      <c r="BPZ95" s="248" t="n"/>
      <c r="BQA95" s="248" t="n"/>
      <c r="BQB95" s="240" t="n"/>
      <c r="BQC95" s="240" t="n"/>
      <c r="BQE95" s="15" t="n"/>
      <c r="BQF95" s="15" t="n"/>
      <c r="BQG95" s="248" t="n"/>
      <c r="BQH95" s="248" t="n"/>
      <c r="BQI95" s="240" t="n"/>
      <c r="BQJ95" s="240" t="n"/>
      <c r="BQL95" s="15" t="n"/>
      <c r="BQM95" s="15" t="n"/>
      <c r="BQN95" s="248" t="n"/>
      <c r="BQO95" s="248" t="n"/>
      <c r="BQP95" s="240" t="n"/>
      <c r="BQQ95" s="240" t="n"/>
      <c r="BQS95" s="15" t="n"/>
      <c r="BQT95" s="15" t="n"/>
      <c r="BQU95" s="248" t="n"/>
      <c r="BQV95" s="248" t="n"/>
      <c r="BQW95" s="240" t="n"/>
      <c r="BQX95" s="240" t="n"/>
      <c r="BQZ95" s="15" t="n"/>
      <c r="BRA95" s="15" t="n"/>
      <c r="BRB95" s="248" t="n"/>
      <c r="BRC95" s="248" t="n"/>
      <c r="BRD95" s="240" t="n"/>
      <c r="BRE95" s="240" t="n"/>
      <c r="BRG95" s="15" t="n"/>
      <c r="BRH95" s="15" t="n"/>
      <c r="BRI95" s="248" t="n"/>
      <c r="BRJ95" s="248" t="n"/>
      <c r="BRK95" s="240" t="n"/>
      <c r="BRL95" s="240" t="n"/>
      <c r="BRN95" s="15" t="n"/>
      <c r="BRO95" s="15" t="n"/>
      <c r="BRP95" s="248" t="n"/>
      <c r="BRQ95" s="248" t="n"/>
      <c r="BRR95" s="240" t="n"/>
      <c r="BRS95" s="240" t="n"/>
      <c r="BRU95" s="15" t="n"/>
      <c r="BRV95" s="15" t="n"/>
      <c r="BRW95" s="248" t="n"/>
      <c r="BRX95" s="248" t="n"/>
      <c r="BRY95" s="240" t="n"/>
      <c r="BRZ95" s="240" t="n"/>
      <c r="BSB95" s="15" t="n"/>
      <c r="BSC95" s="15" t="n"/>
      <c r="BSD95" s="248" t="n"/>
      <c r="BSE95" s="248" t="n"/>
      <c r="BSF95" s="240" t="n"/>
      <c r="BSG95" s="240" t="n"/>
      <c r="BSI95" s="15" t="n"/>
      <c r="BSJ95" s="15" t="n"/>
      <c r="BSK95" s="248" t="n"/>
      <c r="BSL95" s="248" t="n"/>
      <c r="BSM95" s="240" t="n"/>
      <c r="BSN95" s="240" t="n"/>
      <c r="BSP95" s="15" t="n"/>
      <c r="BSQ95" s="15" t="n"/>
      <c r="BSR95" s="248" t="n"/>
      <c r="BSS95" s="248" t="n"/>
      <c r="BST95" s="240" t="n"/>
      <c r="BSU95" s="240" t="n"/>
      <c r="BSW95" s="15" t="n"/>
      <c r="BSX95" s="15" t="n"/>
      <c r="BSY95" s="248" t="n"/>
      <c r="BSZ95" s="248" t="n"/>
      <c r="BTA95" s="240" t="n"/>
      <c r="BTB95" s="240" t="n"/>
      <c r="BTD95" s="15" t="n"/>
      <c r="BTE95" s="15" t="n"/>
      <c r="BTF95" s="248" t="n"/>
      <c r="BTG95" s="248" t="n"/>
      <c r="BTH95" s="240" t="n"/>
      <c r="BTI95" s="240" t="n"/>
      <c r="BTK95" s="15" t="n"/>
      <c r="BTL95" s="15" t="n"/>
      <c r="BTM95" s="248" t="n"/>
      <c r="BTN95" s="248" t="n"/>
      <c r="BTO95" s="240" t="n"/>
      <c r="BTP95" s="240" t="n"/>
      <c r="BTR95" s="15" t="n"/>
      <c r="BTS95" s="15" t="n"/>
      <c r="BTT95" s="248" t="n"/>
      <c r="BTU95" s="248" t="n"/>
      <c r="BTV95" s="240" t="n"/>
      <c r="BTW95" s="240" t="n"/>
      <c r="BTY95" s="15" t="n"/>
      <c r="BTZ95" s="15" t="n"/>
      <c r="BUA95" s="248" t="n"/>
      <c r="BUB95" s="248" t="n"/>
      <c r="BUC95" s="240" t="n"/>
      <c r="BUD95" s="240" t="n"/>
      <c r="BUF95" s="15" t="n"/>
      <c r="BUG95" s="15" t="n"/>
      <c r="BUH95" s="248" t="n"/>
      <c r="BUI95" s="248" t="n"/>
      <c r="BUJ95" s="240" t="n"/>
      <c r="BUK95" s="240" t="n"/>
      <c r="BUM95" s="15" t="n"/>
      <c r="BUN95" s="15" t="n"/>
      <c r="BUO95" s="248" t="n"/>
      <c r="BUP95" s="248" t="n"/>
      <c r="BUQ95" s="240" t="n"/>
      <c r="BUR95" s="240" t="n"/>
      <c r="BUT95" s="15" t="n"/>
      <c r="BUU95" s="15" t="n"/>
      <c r="BUV95" s="248" t="n"/>
      <c r="BUW95" s="248" t="n"/>
      <c r="BUX95" s="240" t="n"/>
      <c r="BUY95" s="240" t="n"/>
      <c r="BVA95" s="15" t="n"/>
      <c r="BVB95" s="15" t="n"/>
      <c r="BVC95" s="248" t="n"/>
      <c r="BVD95" s="248" t="n"/>
      <c r="BVE95" s="240" t="n"/>
      <c r="BVF95" s="240" t="n"/>
      <c r="BVH95" s="15" t="n"/>
      <c r="BVI95" s="15" t="n"/>
      <c r="BVJ95" s="248" t="n"/>
      <c r="BVK95" s="248" t="n"/>
      <c r="BVL95" s="240" t="n"/>
      <c r="BVM95" s="240" t="n"/>
      <c r="BVO95" s="15" t="n"/>
      <c r="BVP95" s="15" t="n"/>
      <c r="BVQ95" s="248" t="n"/>
      <c r="BVR95" s="248" t="n"/>
      <c r="BVS95" s="240" t="n"/>
      <c r="BVT95" s="240" t="n"/>
      <c r="BVV95" s="15" t="n"/>
      <c r="BVW95" s="15" t="n"/>
      <c r="BVX95" s="248" t="n"/>
      <c r="BVY95" s="248" t="n"/>
      <c r="BVZ95" s="240" t="n"/>
      <c r="BWA95" s="240" t="n"/>
      <c r="BWC95" s="15" t="n"/>
      <c r="BWD95" s="15" t="n"/>
      <c r="BWE95" s="248" t="n"/>
      <c r="BWF95" s="248" t="n"/>
      <c r="BWG95" s="240" t="n"/>
      <c r="BWH95" s="240" t="n"/>
      <c r="BWJ95" s="15" t="n"/>
      <c r="BWK95" s="15" t="n"/>
      <c r="BWL95" s="248" t="n"/>
      <c r="BWM95" s="248" t="n"/>
      <c r="BWN95" s="240" t="n"/>
      <c r="BWO95" s="240" t="n"/>
      <c r="BWQ95" s="15" t="n"/>
      <c r="BWR95" s="15" t="n"/>
      <c r="BWS95" s="248" t="n"/>
      <c r="BWT95" s="248" t="n"/>
      <c r="BWU95" s="240" t="n"/>
      <c r="BWV95" s="240" t="n"/>
      <c r="BWX95" s="15" t="n"/>
      <c r="BWY95" s="15" t="n"/>
      <c r="BWZ95" s="248" t="n"/>
      <c r="BXA95" s="248" t="n"/>
      <c r="BXB95" s="240" t="n"/>
      <c r="BXC95" s="240" t="n"/>
      <c r="BXE95" s="15" t="n"/>
      <c r="BXF95" s="15" t="n"/>
      <c r="BXG95" s="248" t="n"/>
      <c r="BXH95" s="248" t="n"/>
      <c r="BXI95" s="240" t="n"/>
      <c r="BXJ95" s="240" t="n"/>
      <c r="BXL95" s="15" t="n"/>
      <c r="BXM95" s="15" t="n"/>
      <c r="BXN95" s="248" t="n"/>
      <c r="BXO95" s="248" t="n"/>
      <c r="BXP95" s="240" t="n"/>
      <c r="BXQ95" s="240" t="n"/>
      <c r="BXS95" s="15" t="n"/>
      <c r="BXT95" s="15" t="n"/>
      <c r="BXU95" s="248" t="n"/>
      <c r="BXV95" s="248" t="n"/>
      <c r="BXW95" s="240" t="n"/>
      <c r="BXX95" s="240" t="n"/>
      <c r="BXZ95" s="15" t="n"/>
      <c r="BYA95" s="15" t="n"/>
      <c r="BYB95" s="248" t="n"/>
      <c r="BYC95" s="248" t="n"/>
      <c r="BYD95" s="240" t="n"/>
      <c r="BYE95" s="240" t="n"/>
      <c r="BYG95" s="15" t="n"/>
      <c r="BYH95" s="15" t="n"/>
      <c r="BYI95" s="248" t="n"/>
      <c r="BYJ95" s="248" t="n"/>
      <c r="BYK95" s="240" t="n"/>
      <c r="BYL95" s="240" t="n"/>
      <c r="BYN95" s="15" t="n"/>
      <c r="BYO95" s="15" t="n"/>
      <c r="BYP95" s="248" t="n"/>
      <c r="BYQ95" s="248" t="n"/>
      <c r="BYR95" s="240" t="n"/>
      <c r="BYS95" s="240" t="n"/>
      <c r="BYU95" s="15" t="n"/>
      <c r="BYV95" s="15" t="n"/>
      <c r="BYW95" s="248" t="n"/>
      <c r="BYX95" s="248" t="n"/>
      <c r="BYY95" s="240" t="n"/>
      <c r="BYZ95" s="240" t="n"/>
      <c r="BZB95" s="15" t="n"/>
      <c r="BZC95" s="15" t="n"/>
      <c r="BZD95" s="248" t="n"/>
      <c r="BZE95" s="248" t="n"/>
      <c r="BZF95" s="240" t="n"/>
      <c r="BZG95" s="240" t="n"/>
      <c r="BZI95" s="15" t="n"/>
      <c r="BZJ95" s="15" t="n"/>
      <c r="BZK95" s="248" t="n"/>
      <c r="BZL95" s="248" t="n"/>
      <c r="BZM95" s="240" t="n"/>
      <c r="BZN95" s="240" t="n"/>
      <c r="BZP95" s="15" t="n"/>
      <c r="BZQ95" s="15" t="n"/>
      <c r="BZR95" s="248" t="n"/>
      <c r="BZS95" s="248" t="n"/>
      <c r="BZT95" s="240" t="n"/>
      <c r="BZU95" s="240" t="n"/>
      <c r="BZW95" s="15" t="n"/>
      <c r="BZX95" s="15" t="n"/>
      <c r="BZY95" s="248" t="n"/>
      <c r="BZZ95" s="248" t="n"/>
      <c r="CAA95" s="240" t="n"/>
      <c r="CAB95" s="240" t="n"/>
      <c r="CAD95" s="15" t="n"/>
      <c r="CAE95" s="15" t="n"/>
      <c r="CAF95" s="248" t="n"/>
      <c r="CAG95" s="248" t="n"/>
      <c r="CAH95" s="240" t="n"/>
      <c r="CAI95" s="240" t="n"/>
      <c r="CAK95" s="15" t="n"/>
      <c r="CAL95" s="15" t="n"/>
      <c r="CAM95" s="248" t="n"/>
      <c r="CAN95" s="248" t="n"/>
      <c r="CAO95" s="240" t="n"/>
      <c r="CAP95" s="240" t="n"/>
      <c r="CAR95" s="15" t="n"/>
      <c r="CAS95" s="15" t="n"/>
      <c r="CAT95" s="248" t="n"/>
      <c r="CAU95" s="248" t="n"/>
      <c r="CAV95" s="240" t="n"/>
      <c r="CAW95" s="240" t="n"/>
      <c r="CAY95" s="15" t="n"/>
      <c r="CAZ95" s="15" t="n"/>
      <c r="CBA95" s="248" t="n"/>
      <c r="CBB95" s="248" t="n"/>
      <c r="CBC95" s="240" t="n"/>
      <c r="CBD95" s="240" t="n"/>
      <c r="CBF95" s="15" t="n"/>
      <c r="CBG95" s="15" t="n"/>
      <c r="CBH95" s="248" t="n"/>
      <c r="CBI95" s="248" t="n"/>
      <c r="CBJ95" s="240" t="n"/>
      <c r="CBK95" s="240" t="n"/>
      <c r="CBM95" s="15" t="n"/>
      <c r="CBN95" s="15" t="n"/>
      <c r="CBO95" s="248" t="n"/>
      <c r="CBP95" s="248" t="n"/>
      <c r="CBQ95" s="240" t="n"/>
      <c r="CBR95" s="240" t="n"/>
      <c r="CBT95" s="15" t="n"/>
      <c r="CBU95" s="15" t="n"/>
      <c r="CBV95" s="248" t="n"/>
      <c r="CBW95" s="248" t="n"/>
      <c r="CBX95" s="240" t="n"/>
      <c r="CBY95" s="240" t="n"/>
      <c r="CCA95" s="15" t="n"/>
      <c r="CCB95" s="15" t="n"/>
      <c r="CCC95" s="248" t="n"/>
      <c r="CCD95" s="248" t="n"/>
      <c r="CCE95" s="240" t="n"/>
      <c r="CCF95" s="240" t="n"/>
      <c r="CCH95" s="15" t="n"/>
      <c r="CCI95" s="15" t="n"/>
      <c r="CCJ95" s="248" t="n"/>
      <c r="CCK95" s="248" t="n"/>
      <c r="CCL95" s="240" t="n"/>
      <c r="CCM95" s="240" t="n"/>
      <c r="CCO95" s="15" t="n"/>
      <c r="CCP95" s="15" t="n"/>
      <c r="CCQ95" s="248" t="n"/>
      <c r="CCR95" s="248" t="n"/>
      <c r="CCS95" s="240" t="n"/>
      <c r="CCT95" s="240" t="n"/>
      <c r="CCV95" s="15" t="n"/>
      <c r="CCW95" s="15" t="n"/>
      <c r="CCX95" s="248" t="n"/>
      <c r="CCY95" s="248" t="n"/>
      <c r="CCZ95" s="240" t="n"/>
      <c r="CDA95" s="240" t="n"/>
      <c r="CDC95" s="15" t="n"/>
      <c r="CDD95" s="15" t="n"/>
      <c r="CDE95" s="248" t="n"/>
      <c r="CDF95" s="248" t="n"/>
      <c r="CDG95" s="240" t="n"/>
      <c r="CDH95" s="240" t="n"/>
      <c r="CDJ95" s="15" t="n"/>
      <c r="CDK95" s="15" t="n"/>
      <c r="CDL95" s="248" t="n"/>
      <c r="CDM95" s="248" t="n"/>
      <c r="CDN95" s="240" t="n"/>
      <c r="CDO95" s="240" t="n"/>
      <c r="CDQ95" s="15" t="n"/>
      <c r="CDR95" s="15" t="n"/>
      <c r="CDS95" s="248" t="n"/>
      <c r="CDT95" s="248" t="n"/>
      <c r="CDU95" s="240" t="n"/>
      <c r="CDV95" s="240" t="n"/>
      <c r="CDX95" s="15" t="n"/>
      <c r="CDY95" s="15" t="n"/>
      <c r="CDZ95" s="248" t="n"/>
      <c r="CEA95" s="248" t="n"/>
      <c r="CEB95" s="240" t="n"/>
      <c r="CEC95" s="240" t="n"/>
      <c r="CEE95" s="15" t="n"/>
      <c r="CEF95" s="15" t="n"/>
      <c r="CEG95" s="248" t="n"/>
      <c r="CEH95" s="248" t="n"/>
      <c r="CEI95" s="240" t="n"/>
      <c r="CEJ95" s="240" t="n"/>
      <c r="CEL95" s="15" t="n"/>
      <c r="CEM95" s="15" t="n"/>
      <c r="CEN95" s="248" t="n"/>
      <c r="CEO95" s="248" t="n"/>
      <c r="CEP95" s="240" t="n"/>
      <c r="CEQ95" s="240" t="n"/>
      <c r="CES95" s="15" t="n"/>
      <c r="CET95" s="15" t="n"/>
      <c r="CEU95" s="248" t="n"/>
      <c r="CEV95" s="248" t="n"/>
      <c r="CEW95" s="240" t="n"/>
      <c r="CEX95" s="240" t="n"/>
      <c r="CEZ95" s="15" t="n"/>
      <c r="CFA95" s="15" t="n"/>
      <c r="CFB95" s="248" t="n"/>
      <c r="CFC95" s="248" t="n"/>
      <c r="CFD95" s="240" t="n"/>
      <c r="CFE95" s="240" t="n"/>
      <c r="CFG95" s="15" t="n"/>
      <c r="CFH95" s="15" t="n"/>
      <c r="CFI95" s="248" t="n"/>
      <c r="CFJ95" s="248" t="n"/>
      <c r="CFK95" s="240" t="n"/>
      <c r="CFL95" s="240" t="n"/>
      <c r="CFN95" s="15" t="n"/>
      <c r="CFO95" s="15" t="n"/>
      <c r="CFP95" s="248" t="n"/>
      <c r="CFQ95" s="248" t="n"/>
      <c r="CFR95" s="240" t="n"/>
      <c r="CFS95" s="240" t="n"/>
      <c r="CFU95" s="15" t="n"/>
      <c r="CFV95" s="15" t="n"/>
      <c r="CFW95" s="248" t="n"/>
      <c r="CFX95" s="248" t="n"/>
      <c r="CFY95" s="240" t="n"/>
      <c r="CFZ95" s="240" t="n"/>
      <c r="CGB95" s="15" t="n"/>
      <c r="CGC95" s="15" t="n"/>
      <c r="CGD95" s="248" t="n"/>
      <c r="CGE95" s="248" t="n"/>
      <c r="CGF95" s="240" t="n"/>
      <c r="CGG95" s="240" t="n"/>
      <c r="CGI95" s="15" t="n"/>
      <c r="CGJ95" s="15" t="n"/>
      <c r="CGK95" s="248" t="n"/>
      <c r="CGL95" s="248" t="n"/>
      <c r="CGM95" s="240" t="n"/>
      <c r="CGN95" s="240" t="n"/>
      <c r="CGP95" s="15" t="n"/>
      <c r="CGQ95" s="15" t="n"/>
      <c r="CGR95" s="248" t="n"/>
      <c r="CGS95" s="248" t="n"/>
      <c r="CGT95" s="240" t="n"/>
      <c r="CGU95" s="240" t="n"/>
      <c r="CGW95" s="15" t="n"/>
      <c r="CGX95" s="15" t="n"/>
      <c r="CGY95" s="248" t="n"/>
      <c r="CGZ95" s="248" t="n"/>
      <c r="CHA95" s="240" t="n"/>
      <c r="CHB95" s="240" t="n"/>
      <c r="CHD95" s="15" t="n"/>
      <c r="CHE95" s="15" t="n"/>
      <c r="CHF95" s="248" t="n"/>
      <c r="CHG95" s="248" t="n"/>
      <c r="CHH95" s="240" t="n"/>
      <c r="CHI95" s="240" t="n"/>
      <c r="CHK95" s="15" t="n"/>
      <c r="CHL95" s="15" t="n"/>
      <c r="CHM95" s="248" t="n"/>
      <c r="CHN95" s="248" t="n"/>
      <c r="CHO95" s="240" t="n"/>
      <c r="CHP95" s="240" t="n"/>
      <c r="CHR95" s="15" t="n"/>
      <c r="CHS95" s="15" t="n"/>
      <c r="CHT95" s="248" t="n"/>
      <c r="CHU95" s="248" t="n"/>
      <c r="CHV95" s="240" t="n"/>
      <c r="CHW95" s="240" t="n"/>
      <c r="CHY95" s="15" t="n"/>
      <c r="CHZ95" s="15" t="n"/>
      <c r="CIA95" s="248" t="n"/>
      <c r="CIB95" s="248" t="n"/>
      <c r="CIC95" s="240" t="n"/>
      <c r="CID95" s="240" t="n"/>
      <c r="CIF95" s="15" t="n"/>
      <c r="CIG95" s="15" t="n"/>
      <c r="CIH95" s="248" t="n"/>
      <c r="CII95" s="248" t="n"/>
      <c r="CIJ95" s="240" t="n"/>
      <c r="CIK95" s="240" t="n"/>
      <c r="CIM95" s="15" t="n"/>
      <c r="CIN95" s="15" t="n"/>
      <c r="CIO95" s="248" t="n"/>
      <c r="CIP95" s="248" t="n"/>
      <c r="CIQ95" s="240" t="n"/>
      <c r="CIR95" s="240" t="n"/>
      <c r="CIT95" s="15" t="n"/>
      <c r="CIU95" s="15" t="n"/>
      <c r="CIV95" s="248" t="n"/>
      <c r="CIW95" s="248" t="n"/>
      <c r="CIX95" s="240" t="n"/>
      <c r="CIY95" s="240" t="n"/>
      <c r="CJA95" s="15" t="n"/>
      <c r="CJB95" s="15" t="n"/>
      <c r="CJC95" s="248" t="n"/>
      <c r="CJD95" s="248" t="n"/>
      <c r="CJE95" s="240" t="n"/>
      <c r="CJF95" s="240" t="n"/>
      <c r="CJH95" s="15" t="n"/>
      <c r="CJI95" s="15" t="n"/>
      <c r="CJJ95" s="248" t="n"/>
      <c r="CJK95" s="248" t="n"/>
      <c r="CJL95" s="240" t="n"/>
      <c r="CJM95" s="240" t="n"/>
      <c r="CJO95" s="15" t="n"/>
      <c r="CJP95" s="15" t="n"/>
      <c r="CJQ95" s="248" t="n"/>
      <c r="CJR95" s="248" t="n"/>
      <c r="CJS95" s="240" t="n"/>
      <c r="CJT95" s="240" t="n"/>
      <c r="CJV95" s="15" t="n"/>
      <c r="CJW95" s="15" t="n"/>
      <c r="CJX95" s="248" t="n"/>
      <c r="CJY95" s="248" t="n"/>
      <c r="CJZ95" s="240" t="n"/>
      <c r="CKA95" s="240" t="n"/>
      <c r="CKC95" s="15" t="n"/>
      <c r="CKD95" s="15" t="n"/>
      <c r="CKE95" s="248" t="n"/>
      <c r="CKF95" s="248" t="n"/>
      <c r="CKG95" s="240" t="n"/>
      <c r="CKH95" s="240" t="n"/>
      <c r="CKJ95" s="15" t="n"/>
      <c r="CKK95" s="15" t="n"/>
      <c r="CKL95" s="248" t="n"/>
      <c r="CKM95" s="248" t="n"/>
      <c r="CKN95" s="240" t="n"/>
      <c r="CKO95" s="240" t="n"/>
      <c r="CKQ95" s="15" t="n"/>
      <c r="CKR95" s="15" t="n"/>
      <c r="CKS95" s="248" t="n"/>
      <c r="CKT95" s="248" t="n"/>
      <c r="CKU95" s="240" t="n"/>
      <c r="CKV95" s="240" t="n"/>
      <c r="CKX95" s="15" t="n"/>
      <c r="CKY95" s="15" t="n"/>
      <c r="CKZ95" s="248" t="n"/>
      <c r="CLA95" s="248" t="n"/>
      <c r="CLB95" s="240" t="n"/>
      <c r="CLC95" s="240" t="n"/>
      <c r="CLE95" s="15" t="n"/>
      <c r="CLF95" s="15" t="n"/>
      <c r="CLG95" s="248" t="n"/>
      <c r="CLH95" s="248" t="n"/>
      <c r="CLI95" s="240" t="n"/>
      <c r="CLJ95" s="240" t="n"/>
      <c r="CLL95" s="15" t="n"/>
      <c r="CLM95" s="15" t="n"/>
      <c r="CLN95" s="248" t="n"/>
      <c r="CLO95" s="248" t="n"/>
      <c r="CLP95" s="240" t="n"/>
      <c r="CLQ95" s="240" t="n"/>
      <c r="CLS95" s="15" t="n"/>
      <c r="CLT95" s="15" t="n"/>
      <c r="CLU95" s="248" t="n"/>
      <c r="CLV95" s="248" t="n"/>
      <c r="CLW95" s="240" t="n"/>
      <c r="CLX95" s="240" t="n"/>
      <c r="CLZ95" s="15" t="n"/>
      <c r="CMA95" s="15" t="n"/>
      <c r="CMB95" s="248" t="n"/>
      <c r="CMC95" s="248" t="n"/>
      <c r="CMD95" s="240" t="n"/>
      <c r="CME95" s="240" t="n"/>
      <c r="CMG95" s="15" t="n"/>
      <c r="CMH95" s="15" t="n"/>
      <c r="CMI95" s="248" t="n"/>
      <c r="CMJ95" s="248" t="n"/>
      <c r="CMK95" s="240" t="n"/>
      <c r="CML95" s="240" t="n"/>
      <c r="CMN95" s="15" t="n"/>
      <c r="CMO95" s="15" t="n"/>
      <c r="CMP95" s="248" t="n"/>
      <c r="CMQ95" s="248" t="n"/>
      <c r="CMR95" s="240" t="n"/>
      <c r="CMS95" s="240" t="n"/>
      <c r="CMU95" s="15" t="n"/>
      <c r="CMV95" s="15" t="n"/>
      <c r="CMW95" s="248" t="n"/>
      <c r="CMX95" s="248" t="n"/>
      <c r="CMY95" s="240" t="n"/>
      <c r="CMZ95" s="240" t="n"/>
      <c r="CNB95" s="15" t="n"/>
      <c r="CNC95" s="15" t="n"/>
      <c r="CND95" s="248" t="n"/>
      <c r="CNE95" s="248" t="n"/>
      <c r="CNF95" s="240" t="n"/>
      <c r="CNG95" s="240" t="n"/>
      <c r="CNI95" s="15" t="n"/>
      <c r="CNJ95" s="15" t="n"/>
      <c r="CNK95" s="248" t="n"/>
      <c r="CNL95" s="248" t="n"/>
      <c r="CNM95" s="240" t="n"/>
      <c r="CNN95" s="240" t="n"/>
      <c r="CNP95" s="15" t="n"/>
      <c r="CNQ95" s="15" t="n"/>
      <c r="CNR95" s="248" t="n"/>
      <c r="CNS95" s="248" t="n"/>
      <c r="CNT95" s="240" t="n"/>
      <c r="CNU95" s="240" t="n"/>
      <c r="CNW95" s="15" t="n"/>
      <c r="CNX95" s="15" t="n"/>
      <c r="CNY95" s="248" t="n"/>
      <c r="CNZ95" s="248" t="n"/>
      <c r="COA95" s="240" t="n"/>
      <c r="COB95" s="240" t="n"/>
      <c r="COD95" s="15" t="n"/>
      <c r="COE95" s="15" t="n"/>
      <c r="COF95" s="248" t="n"/>
      <c r="COG95" s="248" t="n"/>
      <c r="COH95" s="240" t="n"/>
      <c r="COI95" s="240" t="n"/>
      <c r="COK95" s="15" t="n"/>
      <c r="COL95" s="15" t="n"/>
      <c r="COM95" s="248" t="n"/>
      <c r="CON95" s="248" t="n"/>
      <c r="COO95" s="240" t="n"/>
      <c r="COP95" s="240" t="n"/>
      <c r="COR95" s="15" t="n"/>
      <c r="COS95" s="15" t="n"/>
      <c r="COT95" s="248" t="n"/>
      <c r="COU95" s="248" t="n"/>
      <c r="COV95" s="240" t="n"/>
      <c r="COW95" s="240" t="n"/>
      <c r="COY95" s="15" t="n"/>
      <c r="COZ95" s="15" t="n"/>
      <c r="CPA95" s="248" t="n"/>
      <c r="CPB95" s="248" t="n"/>
      <c r="CPC95" s="240" t="n"/>
      <c r="CPD95" s="240" t="n"/>
      <c r="CPF95" s="15" t="n"/>
      <c r="CPG95" s="15" t="n"/>
      <c r="CPH95" s="248" t="n"/>
      <c r="CPI95" s="248" t="n"/>
      <c r="CPJ95" s="240" t="n"/>
      <c r="CPK95" s="240" t="n"/>
      <c r="CPM95" s="15" t="n"/>
      <c r="CPN95" s="15" t="n"/>
      <c r="CPO95" s="248" t="n"/>
      <c r="CPP95" s="248" t="n"/>
      <c r="CPQ95" s="240" t="n"/>
      <c r="CPR95" s="240" t="n"/>
      <c r="CPT95" s="15" t="n"/>
      <c r="CPU95" s="15" t="n"/>
      <c r="CPV95" s="248" t="n"/>
      <c r="CPW95" s="248" t="n"/>
      <c r="CPX95" s="240" t="n"/>
      <c r="CPY95" s="240" t="n"/>
      <c r="CQA95" s="15" t="n"/>
      <c r="CQB95" s="15" t="n"/>
      <c r="CQC95" s="248" t="n"/>
      <c r="CQD95" s="248" t="n"/>
      <c r="CQE95" s="240" t="n"/>
      <c r="CQF95" s="240" t="n"/>
      <c r="CQH95" s="15" t="n"/>
      <c r="CQI95" s="15" t="n"/>
      <c r="CQJ95" s="248" t="n"/>
      <c r="CQK95" s="248" t="n"/>
      <c r="CQL95" s="240" t="n"/>
      <c r="CQM95" s="240" t="n"/>
      <c r="CQO95" s="15" t="n"/>
      <c r="CQP95" s="15" t="n"/>
      <c r="CQQ95" s="248" t="n"/>
      <c r="CQR95" s="248" t="n"/>
      <c r="CQS95" s="240" t="n"/>
      <c r="CQT95" s="240" t="n"/>
      <c r="CQV95" s="15" t="n"/>
      <c r="CQW95" s="15" t="n"/>
      <c r="CQX95" s="248" t="n"/>
      <c r="CQY95" s="248" t="n"/>
      <c r="CQZ95" s="240" t="n"/>
      <c r="CRA95" s="240" t="n"/>
      <c r="CRC95" s="15" t="n"/>
      <c r="CRD95" s="15" t="n"/>
      <c r="CRE95" s="248" t="n"/>
      <c r="CRF95" s="248" t="n"/>
      <c r="CRG95" s="240" t="n"/>
      <c r="CRH95" s="240" t="n"/>
      <c r="CRJ95" s="15" t="n"/>
      <c r="CRK95" s="15" t="n"/>
      <c r="CRL95" s="248" t="n"/>
      <c r="CRM95" s="248" t="n"/>
      <c r="CRN95" s="240" t="n"/>
      <c r="CRO95" s="240" t="n"/>
      <c r="CRQ95" s="15" t="n"/>
      <c r="CRR95" s="15" t="n"/>
      <c r="CRS95" s="248" t="n"/>
      <c r="CRT95" s="248" t="n"/>
      <c r="CRU95" s="240" t="n"/>
      <c r="CRV95" s="240" t="n"/>
      <c r="CRX95" s="15" t="n"/>
      <c r="CRY95" s="15" t="n"/>
      <c r="CRZ95" s="248" t="n"/>
      <c r="CSA95" s="248" t="n"/>
      <c r="CSB95" s="240" t="n"/>
      <c r="CSC95" s="240" t="n"/>
      <c r="CSE95" s="15" t="n"/>
      <c r="CSF95" s="15" t="n"/>
      <c r="CSG95" s="248" t="n"/>
      <c r="CSH95" s="248" t="n"/>
      <c r="CSI95" s="240" t="n"/>
      <c r="CSJ95" s="240" t="n"/>
      <c r="CSL95" s="15" t="n"/>
      <c r="CSM95" s="15" t="n"/>
      <c r="CSN95" s="248" t="n"/>
      <c r="CSO95" s="248" t="n"/>
      <c r="CSP95" s="240" t="n"/>
      <c r="CSQ95" s="240" t="n"/>
      <c r="CSS95" s="15" t="n"/>
      <c r="CST95" s="15" t="n"/>
      <c r="CSU95" s="248" t="n"/>
      <c r="CSV95" s="248" t="n"/>
      <c r="CSW95" s="240" t="n"/>
      <c r="CSX95" s="240" t="n"/>
      <c r="CSZ95" s="15" t="n"/>
      <c r="CTA95" s="15" t="n"/>
      <c r="CTB95" s="248" t="n"/>
      <c r="CTC95" s="248" t="n"/>
      <c r="CTD95" s="240" t="n"/>
      <c r="CTE95" s="240" t="n"/>
      <c r="CTG95" s="15" t="n"/>
      <c r="CTH95" s="15" t="n"/>
      <c r="CTI95" s="248" t="n"/>
      <c r="CTJ95" s="248" t="n"/>
      <c r="CTK95" s="240" t="n"/>
      <c r="CTL95" s="240" t="n"/>
      <c r="CTN95" s="15" t="n"/>
      <c r="CTO95" s="15" t="n"/>
      <c r="CTP95" s="248" t="n"/>
      <c r="CTQ95" s="248" t="n"/>
      <c r="CTR95" s="240" t="n"/>
      <c r="CTS95" s="240" t="n"/>
      <c r="CTU95" s="15" t="n"/>
      <c r="CTV95" s="15" t="n"/>
      <c r="CTW95" s="248" t="n"/>
      <c r="CTX95" s="248" t="n"/>
      <c r="CTY95" s="240" t="n"/>
      <c r="CTZ95" s="240" t="n"/>
      <c r="CUB95" s="15" t="n"/>
      <c r="CUC95" s="15" t="n"/>
      <c r="CUD95" s="248" t="n"/>
      <c r="CUE95" s="248" t="n"/>
      <c r="CUF95" s="240" t="n"/>
      <c r="CUG95" s="240" t="n"/>
      <c r="CUI95" s="15" t="n"/>
      <c r="CUJ95" s="15" t="n"/>
      <c r="CUK95" s="248" t="n"/>
      <c r="CUL95" s="248" t="n"/>
      <c r="CUM95" s="240" t="n"/>
      <c r="CUN95" s="240" t="n"/>
      <c r="CUP95" s="15" t="n"/>
      <c r="CUQ95" s="15" t="n"/>
      <c r="CUR95" s="248" t="n"/>
      <c r="CUS95" s="248" t="n"/>
      <c r="CUT95" s="240" t="n"/>
      <c r="CUU95" s="240" t="n"/>
      <c r="CUW95" s="15" t="n"/>
      <c r="CUX95" s="15" t="n"/>
      <c r="CUY95" s="248" t="n"/>
      <c r="CUZ95" s="248" t="n"/>
      <c r="CVA95" s="240" t="n"/>
      <c r="CVB95" s="240" t="n"/>
      <c r="CVD95" s="15" t="n"/>
      <c r="CVE95" s="15" t="n"/>
      <c r="CVF95" s="248" t="n"/>
      <c r="CVG95" s="248" t="n"/>
      <c r="CVH95" s="240" t="n"/>
      <c r="CVI95" s="240" t="n"/>
      <c r="CVK95" s="15" t="n"/>
      <c r="CVL95" s="15" t="n"/>
      <c r="CVM95" s="248" t="n"/>
      <c r="CVN95" s="248" t="n"/>
      <c r="CVO95" s="240" t="n"/>
      <c r="CVP95" s="240" t="n"/>
      <c r="CVR95" s="15" t="n"/>
      <c r="CVS95" s="15" t="n"/>
      <c r="CVT95" s="248" t="n"/>
      <c r="CVU95" s="248" t="n"/>
      <c r="CVV95" s="240" t="n"/>
      <c r="CVW95" s="240" t="n"/>
      <c r="CVY95" s="15" t="n"/>
      <c r="CVZ95" s="15" t="n"/>
      <c r="CWA95" s="248" t="n"/>
      <c r="CWB95" s="248" t="n"/>
      <c r="CWC95" s="240" t="n"/>
      <c r="CWD95" s="240" t="n"/>
      <c r="CWF95" s="15" t="n"/>
      <c r="CWG95" s="15" t="n"/>
      <c r="CWH95" s="248" t="n"/>
      <c r="CWI95" s="248" t="n"/>
      <c r="CWJ95" s="240" t="n"/>
      <c r="CWK95" s="240" t="n"/>
      <c r="CWM95" s="15" t="n"/>
      <c r="CWN95" s="15" t="n"/>
      <c r="CWO95" s="248" t="n"/>
      <c r="CWP95" s="248" t="n"/>
      <c r="CWQ95" s="240" t="n"/>
      <c r="CWR95" s="240" t="n"/>
      <c r="CWT95" s="15" t="n"/>
      <c r="CWU95" s="15" t="n"/>
      <c r="CWV95" s="248" t="n"/>
      <c r="CWW95" s="248" t="n"/>
      <c r="CWX95" s="240" t="n"/>
      <c r="CWY95" s="240" t="n"/>
      <c r="CXA95" s="15" t="n"/>
      <c r="CXB95" s="15" t="n"/>
      <c r="CXC95" s="248" t="n"/>
      <c r="CXD95" s="248" t="n"/>
      <c r="CXE95" s="240" t="n"/>
      <c r="CXF95" s="240" t="n"/>
      <c r="CXH95" s="15" t="n"/>
      <c r="CXI95" s="15" t="n"/>
      <c r="CXJ95" s="248" t="n"/>
      <c r="CXK95" s="248" t="n"/>
      <c r="CXL95" s="240" t="n"/>
      <c r="CXM95" s="240" t="n"/>
      <c r="CXO95" s="15" t="n"/>
      <c r="CXP95" s="15" t="n"/>
      <c r="CXQ95" s="248" t="n"/>
      <c r="CXR95" s="248" t="n"/>
      <c r="CXS95" s="240" t="n"/>
      <c r="CXT95" s="240" t="n"/>
      <c r="CXV95" s="15" t="n"/>
      <c r="CXW95" s="15" t="n"/>
      <c r="CXX95" s="248" t="n"/>
      <c r="CXY95" s="248" t="n"/>
      <c r="CXZ95" s="240" t="n"/>
      <c r="CYA95" s="240" t="n"/>
      <c r="CYC95" s="15" t="n"/>
      <c r="CYD95" s="15" t="n"/>
      <c r="CYE95" s="248" t="n"/>
      <c r="CYF95" s="248" t="n"/>
      <c r="CYG95" s="240" t="n"/>
      <c r="CYH95" s="240" t="n"/>
      <c r="CYJ95" s="15" t="n"/>
      <c r="CYK95" s="15" t="n"/>
      <c r="CYL95" s="248" t="n"/>
      <c r="CYM95" s="248" t="n"/>
      <c r="CYN95" s="240" t="n"/>
      <c r="CYO95" s="240" t="n"/>
      <c r="CYQ95" s="15" t="n"/>
      <c r="CYR95" s="15" t="n"/>
      <c r="CYS95" s="248" t="n"/>
      <c r="CYT95" s="248" t="n"/>
      <c r="CYU95" s="240" t="n"/>
      <c r="CYV95" s="240" t="n"/>
      <c r="CYX95" s="15" t="n"/>
      <c r="CYY95" s="15" t="n"/>
      <c r="CYZ95" s="248" t="n"/>
      <c r="CZA95" s="248" t="n"/>
      <c r="CZB95" s="240" t="n"/>
      <c r="CZC95" s="240" t="n"/>
      <c r="CZE95" s="15" t="n"/>
      <c r="CZF95" s="15" t="n"/>
      <c r="CZG95" s="248" t="n"/>
      <c r="CZH95" s="248" t="n"/>
      <c r="CZI95" s="240" t="n"/>
      <c r="CZJ95" s="240" t="n"/>
      <c r="CZL95" s="15" t="n"/>
      <c r="CZM95" s="15" t="n"/>
      <c r="CZN95" s="248" t="n"/>
      <c r="CZO95" s="248" t="n"/>
      <c r="CZP95" s="240" t="n"/>
      <c r="CZQ95" s="240" t="n"/>
      <c r="CZS95" s="15" t="n"/>
      <c r="CZT95" s="15" t="n"/>
      <c r="CZU95" s="248" t="n"/>
      <c r="CZV95" s="248" t="n"/>
      <c r="CZW95" s="240" t="n"/>
      <c r="CZX95" s="240" t="n"/>
      <c r="CZZ95" s="15" t="n"/>
      <c r="DAA95" s="15" t="n"/>
      <c r="DAB95" s="248" t="n"/>
      <c r="DAC95" s="248" t="n"/>
      <c r="DAD95" s="240" t="n"/>
      <c r="DAE95" s="240" t="n"/>
      <c r="DAG95" s="15" t="n"/>
      <c r="DAH95" s="15" t="n"/>
      <c r="DAI95" s="248" t="n"/>
      <c r="DAJ95" s="248" t="n"/>
      <c r="DAK95" s="240" t="n"/>
      <c r="DAL95" s="240" t="n"/>
      <c r="DAN95" s="15" t="n"/>
      <c r="DAO95" s="15" t="n"/>
      <c r="DAP95" s="248" t="n"/>
      <c r="DAQ95" s="248" t="n"/>
      <c r="DAR95" s="240" t="n"/>
      <c r="DAS95" s="240" t="n"/>
      <c r="DAU95" s="15" t="n"/>
      <c r="DAV95" s="15" t="n"/>
      <c r="DAW95" s="248" t="n"/>
      <c r="DAX95" s="248" t="n"/>
      <c r="DAY95" s="240" t="n"/>
      <c r="DAZ95" s="240" t="n"/>
      <c r="DBB95" s="15" t="n"/>
      <c r="DBC95" s="15" t="n"/>
      <c r="DBD95" s="248" t="n"/>
      <c r="DBE95" s="248" t="n"/>
      <c r="DBF95" s="240" t="n"/>
      <c r="DBG95" s="240" t="n"/>
      <c r="DBI95" s="15" t="n"/>
      <c r="DBJ95" s="15" t="n"/>
      <c r="DBK95" s="248" t="n"/>
      <c r="DBL95" s="248" t="n"/>
      <c r="DBM95" s="240" t="n"/>
      <c r="DBN95" s="240" t="n"/>
      <c r="DBP95" s="15" t="n"/>
      <c r="DBQ95" s="15" t="n"/>
      <c r="DBR95" s="248" t="n"/>
      <c r="DBS95" s="248" t="n"/>
      <c r="DBT95" s="240" t="n"/>
      <c r="DBU95" s="240" t="n"/>
      <c r="DBW95" s="15" t="n"/>
      <c r="DBX95" s="15" t="n"/>
      <c r="DBY95" s="248" t="n"/>
      <c r="DBZ95" s="248" t="n"/>
      <c r="DCA95" s="240" t="n"/>
      <c r="DCB95" s="240" t="n"/>
      <c r="DCD95" s="15" t="n"/>
      <c r="DCE95" s="15" t="n"/>
      <c r="DCF95" s="248" t="n"/>
      <c r="DCG95" s="248" t="n"/>
      <c r="DCH95" s="240" t="n"/>
      <c r="DCI95" s="240" t="n"/>
      <c r="DCK95" s="15" t="n"/>
      <c r="DCL95" s="15" t="n"/>
      <c r="DCM95" s="248" t="n"/>
      <c r="DCN95" s="248" t="n"/>
      <c r="DCO95" s="240" t="n"/>
      <c r="DCP95" s="240" t="n"/>
      <c r="DCR95" s="15" t="n"/>
      <c r="DCS95" s="15" t="n"/>
      <c r="DCT95" s="248" t="n"/>
      <c r="DCU95" s="248" t="n"/>
      <c r="DCV95" s="240" t="n"/>
      <c r="DCW95" s="240" t="n"/>
      <c r="DCY95" s="15" t="n"/>
      <c r="DCZ95" s="15" t="n"/>
      <c r="DDA95" s="248" t="n"/>
      <c r="DDB95" s="248" t="n"/>
      <c r="DDC95" s="240" t="n"/>
      <c r="DDD95" s="240" t="n"/>
      <c r="DDF95" s="15" t="n"/>
      <c r="DDG95" s="15" t="n"/>
      <c r="DDH95" s="248" t="n"/>
      <c r="DDI95" s="248" t="n"/>
      <c r="DDJ95" s="240" t="n"/>
      <c r="DDK95" s="240" t="n"/>
      <c r="DDM95" s="15" t="n"/>
      <c r="DDN95" s="15" t="n"/>
      <c r="DDO95" s="248" t="n"/>
      <c r="DDP95" s="248" t="n"/>
      <c r="DDQ95" s="240" t="n"/>
      <c r="DDR95" s="240" t="n"/>
      <c r="DDT95" s="15" t="n"/>
      <c r="DDU95" s="15" t="n"/>
      <c r="DDV95" s="248" t="n"/>
      <c r="DDW95" s="248" t="n"/>
      <c r="DDX95" s="240" t="n"/>
      <c r="DDY95" s="240" t="n"/>
      <c r="DEA95" s="15" t="n"/>
      <c r="DEB95" s="15" t="n"/>
      <c r="DEC95" s="248" t="n"/>
      <c r="DED95" s="248" t="n"/>
      <c r="DEE95" s="240" t="n"/>
      <c r="DEF95" s="240" t="n"/>
      <c r="DEH95" s="15" t="n"/>
      <c r="DEI95" s="15" t="n"/>
      <c r="DEJ95" s="248" t="n"/>
      <c r="DEK95" s="248" t="n"/>
      <c r="DEL95" s="240" t="n"/>
      <c r="DEM95" s="240" t="n"/>
      <c r="DEO95" s="15" t="n"/>
      <c r="DEP95" s="15" t="n"/>
      <c r="DEQ95" s="248" t="n"/>
      <c r="DER95" s="248" t="n"/>
      <c r="DES95" s="240" t="n"/>
      <c r="DET95" s="240" t="n"/>
      <c r="DEV95" s="15" t="n"/>
      <c r="DEW95" s="15" t="n"/>
      <c r="DEX95" s="248" t="n"/>
      <c r="DEY95" s="248" t="n"/>
      <c r="DEZ95" s="240" t="n"/>
      <c r="DFA95" s="240" t="n"/>
      <c r="DFC95" s="15" t="n"/>
      <c r="DFD95" s="15" t="n"/>
      <c r="DFE95" s="248" t="n"/>
      <c r="DFF95" s="248" t="n"/>
      <c r="DFG95" s="240" t="n"/>
      <c r="DFH95" s="240" t="n"/>
      <c r="DFJ95" s="15" t="n"/>
      <c r="DFK95" s="15" t="n"/>
      <c r="DFL95" s="248" t="n"/>
      <c r="DFM95" s="248" t="n"/>
      <c r="DFN95" s="240" t="n"/>
      <c r="DFO95" s="240" t="n"/>
      <c r="DFQ95" s="15" t="n"/>
      <c r="DFR95" s="15" t="n"/>
      <c r="DFS95" s="248" t="n"/>
      <c r="DFT95" s="248" t="n"/>
      <c r="DFU95" s="240" t="n"/>
      <c r="DFV95" s="240" t="n"/>
      <c r="DFX95" s="15" t="n"/>
      <c r="DFY95" s="15" t="n"/>
      <c r="DFZ95" s="248" t="n"/>
      <c r="DGA95" s="248" t="n"/>
      <c r="DGB95" s="240" t="n"/>
      <c r="DGC95" s="240" t="n"/>
      <c r="DGE95" s="15" t="n"/>
      <c r="DGF95" s="15" t="n"/>
      <c r="DGG95" s="248" t="n"/>
      <c r="DGH95" s="248" t="n"/>
      <c r="DGI95" s="240" t="n"/>
      <c r="DGJ95" s="240" t="n"/>
      <c r="DGL95" s="15" t="n"/>
      <c r="DGM95" s="15" t="n"/>
      <c r="DGN95" s="248" t="n"/>
      <c r="DGO95" s="248" t="n"/>
      <c r="DGP95" s="240" t="n"/>
      <c r="DGQ95" s="240" t="n"/>
      <c r="DGS95" s="15" t="n"/>
      <c r="DGT95" s="15" t="n"/>
      <c r="DGU95" s="248" t="n"/>
      <c r="DGV95" s="248" t="n"/>
      <c r="DGW95" s="240" t="n"/>
      <c r="DGX95" s="240" t="n"/>
      <c r="DGZ95" s="15" t="n"/>
      <c r="DHA95" s="15" t="n"/>
      <c r="DHB95" s="248" t="n"/>
      <c r="DHC95" s="248" t="n"/>
      <c r="DHD95" s="240" t="n"/>
      <c r="DHE95" s="240" t="n"/>
      <c r="DHG95" s="15" t="n"/>
      <c r="DHH95" s="15" t="n"/>
      <c r="DHI95" s="248" t="n"/>
      <c r="DHJ95" s="248" t="n"/>
      <c r="DHK95" s="240" t="n"/>
      <c r="DHL95" s="240" t="n"/>
      <c r="DHN95" s="15" t="n"/>
      <c r="DHO95" s="15" t="n"/>
      <c r="DHP95" s="248" t="n"/>
      <c r="DHQ95" s="248" t="n"/>
      <c r="DHR95" s="240" t="n"/>
      <c r="DHS95" s="240" t="n"/>
      <c r="DHU95" s="15" t="n"/>
      <c r="DHV95" s="15" t="n"/>
      <c r="DHW95" s="248" t="n"/>
      <c r="DHX95" s="248" t="n"/>
      <c r="DHY95" s="240" t="n"/>
      <c r="DHZ95" s="240" t="n"/>
      <c r="DIB95" s="15" t="n"/>
      <c r="DIC95" s="15" t="n"/>
      <c r="DID95" s="248" t="n"/>
      <c r="DIE95" s="248" t="n"/>
      <c r="DIF95" s="240" t="n"/>
      <c r="DIG95" s="240" t="n"/>
      <c r="DII95" s="15" t="n"/>
      <c r="DIJ95" s="15" t="n"/>
      <c r="DIK95" s="248" t="n"/>
      <c r="DIL95" s="248" t="n"/>
      <c r="DIM95" s="240" t="n"/>
      <c r="DIN95" s="240" t="n"/>
      <c r="DIP95" s="15" t="n"/>
      <c r="DIQ95" s="15" t="n"/>
      <c r="DIR95" s="248" t="n"/>
      <c r="DIS95" s="248" t="n"/>
      <c r="DIT95" s="240" t="n"/>
      <c r="DIU95" s="240" t="n"/>
      <c r="DIW95" s="15" t="n"/>
      <c r="DIX95" s="15" t="n"/>
      <c r="DIY95" s="248" t="n"/>
      <c r="DIZ95" s="248" t="n"/>
      <c r="DJA95" s="240" t="n"/>
      <c r="DJB95" s="240" t="n"/>
      <c r="DJD95" s="15" t="n"/>
      <c r="DJE95" s="15" t="n"/>
      <c r="DJF95" s="248" t="n"/>
      <c r="DJG95" s="248" t="n"/>
      <c r="DJH95" s="240" t="n"/>
      <c r="DJI95" s="240" t="n"/>
      <c r="DJK95" s="15" t="n"/>
      <c r="DJL95" s="15" t="n"/>
      <c r="DJM95" s="248" t="n"/>
      <c r="DJN95" s="248" t="n"/>
      <c r="DJO95" s="240" t="n"/>
      <c r="DJP95" s="240" t="n"/>
      <c r="DJR95" s="15" t="n"/>
      <c r="DJS95" s="15" t="n"/>
      <c r="DJT95" s="248" t="n"/>
      <c r="DJU95" s="248" t="n"/>
      <c r="DJV95" s="240" t="n"/>
      <c r="DJW95" s="240" t="n"/>
      <c r="DJY95" s="15" t="n"/>
      <c r="DJZ95" s="15" t="n"/>
      <c r="DKA95" s="248" t="n"/>
      <c r="DKB95" s="248" t="n"/>
      <c r="DKC95" s="240" t="n"/>
      <c r="DKD95" s="240" t="n"/>
      <c r="DKF95" s="15" t="n"/>
      <c r="DKG95" s="15" t="n"/>
      <c r="DKH95" s="248" t="n"/>
      <c r="DKI95" s="248" t="n"/>
      <c r="DKJ95" s="240" t="n"/>
      <c r="DKK95" s="240" t="n"/>
      <c r="DKM95" s="15" t="n"/>
      <c r="DKN95" s="15" t="n"/>
      <c r="DKO95" s="248" t="n"/>
      <c r="DKP95" s="248" t="n"/>
      <c r="DKQ95" s="240" t="n"/>
      <c r="DKR95" s="240" t="n"/>
      <c r="DKT95" s="15" t="n"/>
      <c r="DKU95" s="15" t="n"/>
      <c r="DKV95" s="248" t="n"/>
      <c r="DKW95" s="248" t="n"/>
      <c r="DKX95" s="240" t="n"/>
      <c r="DKY95" s="240" t="n"/>
      <c r="DLA95" s="15" t="n"/>
      <c r="DLB95" s="15" t="n"/>
      <c r="DLC95" s="248" t="n"/>
      <c r="DLD95" s="248" t="n"/>
      <c r="DLE95" s="240" t="n"/>
      <c r="DLF95" s="240" t="n"/>
      <c r="DLH95" s="15" t="n"/>
      <c r="DLI95" s="15" t="n"/>
      <c r="DLJ95" s="248" t="n"/>
      <c r="DLK95" s="248" t="n"/>
      <c r="DLL95" s="240" t="n"/>
      <c r="DLM95" s="240" t="n"/>
      <c r="DLO95" s="15" t="n"/>
      <c r="DLP95" s="15" t="n"/>
      <c r="DLQ95" s="248" t="n"/>
      <c r="DLR95" s="248" t="n"/>
      <c r="DLS95" s="240" t="n"/>
      <c r="DLT95" s="240" t="n"/>
      <c r="DLV95" s="15" t="n"/>
      <c r="DLW95" s="15" t="n"/>
      <c r="DLX95" s="248" t="n"/>
      <c r="DLY95" s="248" t="n"/>
      <c r="DLZ95" s="240" t="n"/>
      <c r="DMA95" s="240" t="n"/>
      <c r="DMC95" s="15" t="n"/>
      <c r="DMD95" s="15" t="n"/>
      <c r="DME95" s="248" t="n"/>
      <c r="DMF95" s="248" t="n"/>
      <c r="DMG95" s="240" t="n"/>
      <c r="DMH95" s="240" t="n"/>
      <c r="DMJ95" s="15" t="n"/>
      <c r="DMK95" s="15" t="n"/>
      <c r="DML95" s="248" t="n"/>
      <c r="DMM95" s="248" t="n"/>
      <c r="DMN95" s="240" t="n"/>
      <c r="DMO95" s="240" t="n"/>
      <c r="DMQ95" s="15" t="n"/>
      <c r="DMR95" s="15" t="n"/>
      <c r="DMS95" s="248" t="n"/>
      <c r="DMT95" s="248" t="n"/>
      <c r="DMU95" s="240" t="n"/>
      <c r="DMV95" s="240" t="n"/>
      <c r="DMX95" s="15" t="n"/>
      <c r="DMY95" s="15" t="n"/>
      <c r="DMZ95" s="248" t="n"/>
      <c r="DNA95" s="248" t="n"/>
      <c r="DNB95" s="240" t="n"/>
      <c r="DNC95" s="240" t="n"/>
      <c r="DNE95" s="15" t="n"/>
      <c r="DNF95" s="15" t="n"/>
      <c r="DNG95" s="248" t="n"/>
      <c r="DNH95" s="248" t="n"/>
      <c r="DNI95" s="240" t="n"/>
      <c r="DNJ95" s="240" t="n"/>
      <c r="DNL95" s="15" t="n"/>
      <c r="DNM95" s="15" t="n"/>
      <c r="DNN95" s="248" t="n"/>
      <c r="DNO95" s="248" t="n"/>
      <c r="DNP95" s="240" t="n"/>
      <c r="DNQ95" s="240" t="n"/>
      <c r="DNS95" s="15" t="n"/>
      <c r="DNT95" s="15" t="n"/>
      <c r="DNU95" s="248" t="n"/>
      <c r="DNV95" s="248" t="n"/>
      <c r="DNW95" s="240" t="n"/>
      <c r="DNX95" s="240" t="n"/>
      <c r="DNZ95" s="15" t="n"/>
      <c r="DOA95" s="15" t="n"/>
      <c r="DOB95" s="248" t="n"/>
      <c r="DOC95" s="248" t="n"/>
      <c r="DOD95" s="240" t="n"/>
      <c r="DOE95" s="240" t="n"/>
      <c r="DOG95" s="15" t="n"/>
      <c r="DOH95" s="15" t="n"/>
      <c r="DOI95" s="248" t="n"/>
      <c r="DOJ95" s="248" t="n"/>
      <c r="DOK95" s="240" t="n"/>
      <c r="DOL95" s="240" t="n"/>
      <c r="DON95" s="15" t="n"/>
      <c r="DOO95" s="15" t="n"/>
      <c r="DOP95" s="248" t="n"/>
      <c r="DOQ95" s="248" t="n"/>
      <c r="DOR95" s="240" t="n"/>
      <c r="DOS95" s="240" t="n"/>
      <c r="DOU95" s="15" t="n"/>
      <c r="DOV95" s="15" t="n"/>
      <c r="DOW95" s="248" t="n"/>
      <c r="DOX95" s="248" t="n"/>
      <c r="DOY95" s="240" t="n"/>
      <c r="DOZ95" s="240" t="n"/>
      <c r="DPB95" s="15" t="n"/>
      <c r="DPC95" s="15" t="n"/>
      <c r="DPD95" s="248" t="n"/>
      <c r="DPE95" s="248" t="n"/>
      <c r="DPF95" s="240" t="n"/>
      <c r="DPG95" s="240" t="n"/>
      <c r="DPI95" s="15" t="n"/>
      <c r="DPJ95" s="15" t="n"/>
      <c r="DPK95" s="248" t="n"/>
      <c r="DPL95" s="248" t="n"/>
      <c r="DPM95" s="240" t="n"/>
      <c r="DPN95" s="240" t="n"/>
      <c r="DPP95" s="15" t="n"/>
      <c r="DPQ95" s="15" t="n"/>
      <c r="DPR95" s="248" t="n"/>
      <c r="DPS95" s="248" t="n"/>
      <c r="DPT95" s="240" t="n"/>
      <c r="DPU95" s="240" t="n"/>
      <c r="DPW95" s="15" t="n"/>
      <c r="DPX95" s="15" t="n"/>
      <c r="DPY95" s="248" t="n"/>
      <c r="DPZ95" s="248" t="n"/>
      <c r="DQA95" s="240" t="n"/>
      <c r="DQB95" s="240" t="n"/>
      <c r="DQD95" s="15" t="n"/>
      <c r="DQE95" s="15" t="n"/>
      <c r="DQF95" s="248" t="n"/>
      <c r="DQG95" s="248" t="n"/>
      <c r="DQH95" s="240" t="n"/>
      <c r="DQI95" s="240" t="n"/>
      <c r="DQK95" s="15" t="n"/>
      <c r="DQL95" s="15" t="n"/>
      <c r="DQM95" s="248" t="n"/>
      <c r="DQN95" s="248" t="n"/>
      <c r="DQO95" s="240" t="n"/>
      <c r="DQP95" s="240" t="n"/>
      <c r="DQR95" s="15" t="n"/>
      <c r="DQS95" s="15" t="n"/>
      <c r="DQT95" s="248" t="n"/>
      <c r="DQU95" s="248" t="n"/>
      <c r="DQV95" s="240" t="n"/>
      <c r="DQW95" s="240" t="n"/>
      <c r="DQY95" s="15" t="n"/>
      <c r="DQZ95" s="15" t="n"/>
      <c r="DRA95" s="248" t="n"/>
      <c r="DRB95" s="248" t="n"/>
      <c r="DRC95" s="240" t="n"/>
      <c r="DRD95" s="240" t="n"/>
      <c r="DRF95" s="15" t="n"/>
      <c r="DRG95" s="15" t="n"/>
      <c r="DRH95" s="248" t="n"/>
      <c r="DRI95" s="248" t="n"/>
      <c r="DRJ95" s="240" t="n"/>
      <c r="DRK95" s="240" t="n"/>
      <c r="DRM95" s="15" t="n"/>
      <c r="DRN95" s="15" t="n"/>
      <c r="DRO95" s="248" t="n"/>
      <c r="DRP95" s="248" t="n"/>
      <c r="DRQ95" s="240" t="n"/>
      <c r="DRR95" s="240" t="n"/>
      <c r="DRT95" s="15" t="n"/>
      <c r="DRU95" s="15" t="n"/>
      <c r="DRV95" s="248" t="n"/>
      <c r="DRW95" s="248" t="n"/>
      <c r="DRX95" s="240" t="n"/>
      <c r="DRY95" s="240" t="n"/>
      <c r="DSA95" s="15" t="n"/>
      <c r="DSB95" s="15" t="n"/>
      <c r="DSC95" s="248" t="n"/>
      <c r="DSD95" s="248" t="n"/>
      <c r="DSE95" s="240" t="n"/>
      <c r="DSF95" s="240" t="n"/>
      <c r="DSH95" s="15" t="n"/>
      <c r="DSI95" s="15" t="n"/>
      <c r="DSJ95" s="248" t="n"/>
      <c r="DSK95" s="248" t="n"/>
      <c r="DSL95" s="240" t="n"/>
      <c r="DSM95" s="240" t="n"/>
      <c r="DSO95" s="15" t="n"/>
      <c r="DSP95" s="15" t="n"/>
      <c r="DSQ95" s="248" t="n"/>
      <c r="DSR95" s="248" t="n"/>
      <c r="DSS95" s="240" t="n"/>
      <c r="DST95" s="240" t="n"/>
      <c r="DSV95" s="15" t="n"/>
      <c r="DSW95" s="15" t="n"/>
      <c r="DSX95" s="248" t="n"/>
      <c r="DSY95" s="248" t="n"/>
      <c r="DSZ95" s="240" t="n"/>
      <c r="DTA95" s="240" t="n"/>
      <c r="DTC95" s="15" t="n"/>
      <c r="DTD95" s="15" t="n"/>
      <c r="DTE95" s="248" t="n"/>
      <c r="DTF95" s="248" t="n"/>
      <c r="DTG95" s="240" t="n"/>
      <c r="DTH95" s="240" t="n"/>
      <c r="DTJ95" s="15" t="n"/>
      <c r="DTK95" s="15" t="n"/>
      <c r="DTL95" s="248" t="n"/>
      <c r="DTM95" s="248" t="n"/>
      <c r="DTN95" s="240" t="n"/>
      <c r="DTO95" s="240" t="n"/>
      <c r="DTQ95" s="15" t="n"/>
      <c r="DTR95" s="15" t="n"/>
      <c r="DTS95" s="248" t="n"/>
      <c r="DTT95" s="248" t="n"/>
      <c r="DTU95" s="240" t="n"/>
      <c r="DTV95" s="240" t="n"/>
      <c r="DTX95" s="15" t="n"/>
      <c r="DTY95" s="15" t="n"/>
      <c r="DTZ95" s="248" t="n"/>
      <c r="DUA95" s="248" t="n"/>
      <c r="DUB95" s="240" t="n"/>
      <c r="DUC95" s="240" t="n"/>
      <c r="DUE95" s="15" t="n"/>
      <c r="DUF95" s="15" t="n"/>
      <c r="DUG95" s="248" t="n"/>
      <c r="DUH95" s="248" t="n"/>
      <c r="DUI95" s="240" t="n"/>
      <c r="DUJ95" s="240" t="n"/>
      <c r="DUL95" s="15" t="n"/>
      <c r="DUM95" s="15" t="n"/>
      <c r="DUN95" s="248" t="n"/>
      <c r="DUO95" s="248" t="n"/>
      <c r="DUP95" s="240" t="n"/>
      <c r="DUQ95" s="240" t="n"/>
      <c r="DUS95" s="15" t="n"/>
      <c r="DUT95" s="15" t="n"/>
      <c r="DUU95" s="248" t="n"/>
      <c r="DUV95" s="248" t="n"/>
      <c r="DUW95" s="240" t="n"/>
      <c r="DUX95" s="240" t="n"/>
      <c r="DUZ95" s="15" t="n"/>
      <c r="DVA95" s="15" t="n"/>
      <c r="DVB95" s="248" t="n"/>
      <c r="DVC95" s="248" t="n"/>
      <c r="DVD95" s="240" t="n"/>
      <c r="DVE95" s="240" t="n"/>
      <c r="DVG95" s="15" t="n"/>
      <c r="DVH95" s="15" t="n"/>
      <c r="DVI95" s="248" t="n"/>
      <c r="DVJ95" s="248" t="n"/>
      <c r="DVK95" s="240" t="n"/>
      <c r="DVL95" s="240" t="n"/>
      <c r="DVN95" s="15" t="n"/>
      <c r="DVO95" s="15" t="n"/>
      <c r="DVP95" s="248" t="n"/>
      <c r="DVQ95" s="248" t="n"/>
      <c r="DVR95" s="240" t="n"/>
      <c r="DVS95" s="240" t="n"/>
      <c r="DVU95" s="15" t="n"/>
      <c r="DVV95" s="15" t="n"/>
      <c r="DVW95" s="248" t="n"/>
      <c r="DVX95" s="248" t="n"/>
      <c r="DVY95" s="240" t="n"/>
      <c r="DVZ95" s="240" t="n"/>
      <c r="DWB95" s="15" t="n"/>
      <c r="DWC95" s="15" t="n"/>
      <c r="DWD95" s="248" t="n"/>
      <c r="DWE95" s="248" t="n"/>
      <c r="DWF95" s="240" t="n"/>
      <c r="DWG95" s="240" t="n"/>
      <c r="DWI95" s="15" t="n"/>
      <c r="DWJ95" s="15" t="n"/>
      <c r="DWK95" s="248" t="n"/>
      <c r="DWL95" s="248" t="n"/>
      <c r="DWM95" s="240" t="n"/>
      <c r="DWN95" s="240" t="n"/>
      <c r="DWP95" s="15" t="n"/>
      <c r="DWQ95" s="15" t="n"/>
      <c r="DWR95" s="248" t="n"/>
      <c r="DWS95" s="248" t="n"/>
      <c r="DWT95" s="240" t="n"/>
      <c r="DWU95" s="240" t="n"/>
      <c r="DWW95" s="15" t="n"/>
      <c r="DWX95" s="15" t="n"/>
      <c r="DWY95" s="248" t="n"/>
      <c r="DWZ95" s="248" t="n"/>
      <c r="DXA95" s="240" t="n"/>
      <c r="DXB95" s="240" t="n"/>
      <c r="DXD95" s="15" t="n"/>
      <c r="DXE95" s="15" t="n"/>
      <c r="DXF95" s="248" t="n"/>
      <c r="DXG95" s="248" t="n"/>
      <c r="DXH95" s="240" t="n"/>
      <c r="DXI95" s="240" t="n"/>
      <c r="DXK95" s="15" t="n"/>
      <c r="DXL95" s="15" t="n"/>
      <c r="DXM95" s="248" t="n"/>
      <c r="DXN95" s="248" t="n"/>
      <c r="DXO95" s="240" t="n"/>
      <c r="DXP95" s="240" t="n"/>
      <c r="DXR95" s="15" t="n"/>
      <c r="DXS95" s="15" t="n"/>
      <c r="DXT95" s="248" t="n"/>
      <c r="DXU95" s="248" t="n"/>
      <c r="DXV95" s="240" t="n"/>
      <c r="DXW95" s="240" t="n"/>
      <c r="DXY95" s="15" t="n"/>
      <c r="DXZ95" s="15" t="n"/>
      <c r="DYA95" s="248" t="n"/>
      <c r="DYB95" s="248" t="n"/>
      <c r="DYC95" s="240" t="n"/>
      <c r="DYD95" s="240" t="n"/>
      <c r="DYF95" s="15" t="n"/>
      <c r="DYG95" s="15" t="n"/>
      <c r="DYH95" s="248" t="n"/>
      <c r="DYI95" s="248" t="n"/>
      <c r="DYJ95" s="240" t="n"/>
      <c r="DYK95" s="240" t="n"/>
      <c r="DYM95" s="15" t="n"/>
      <c r="DYN95" s="15" t="n"/>
      <c r="DYO95" s="248" t="n"/>
      <c r="DYP95" s="248" t="n"/>
      <c r="DYQ95" s="240" t="n"/>
      <c r="DYR95" s="240" t="n"/>
      <c r="DYT95" s="15" t="n"/>
      <c r="DYU95" s="15" t="n"/>
      <c r="DYV95" s="248" t="n"/>
      <c r="DYW95" s="248" t="n"/>
      <c r="DYX95" s="240" t="n"/>
      <c r="DYY95" s="240" t="n"/>
      <c r="DZA95" s="15" t="n"/>
      <c r="DZB95" s="15" t="n"/>
      <c r="DZC95" s="248" t="n"/>
      <c r="DZD95" s="248" t="n"/>
      <c r="DZE95" s="240" t="n"/>
      <c r="DZF95" s="240" t="n"/>
      <c r="DZH95" s="15" t="n"/>
      <c r="DZI95" s="15" t="n"/>
      <c r="DZJ95" s="248" t="n"/>
      <c r="DZK95" s="248" t="n"/>
      <c r="DZL95" s="240" t="n"/>
      <c r="DZM95" s="240" t="n"/>
      <c r="DZO95" s="15" t="n"/>
      <c r="DZP95" s="15" t="n"/>
      <c r="DZQ95" s="248" t="n"/>
      <c r="DZR95" s="248" t="n"/>
      <c r="DZS95" s="240" t="n"/>
      <c r="DZT95" s="240" t="n"/>
      <c r="DZV95" s="15" t="n"/>
      <c r="DZW95" s="15" t="n"/>
      <c r="DZX95" s="248" t="n"/>
      <c r="DZY95" s="248" t="n"/>
      <c r="DZZ95" s="240" t="n"/>
      <c r="EAA95" s="240" t="n"/>
      <c r="EAC95" s="15" t="n"/>
      <c r="EAD95" s="15" t="n"/>
      <c r="EAE95" s="248" t="n"/>
      <c r="EAF95" s="248" t="n"/>
      <c r="EAG95" s="240" t="n"/>
      <c r="EAH95" s="240" t="n"/>
      <c r="EAJ95" s="15" t="n"/>
      <c r="EAK95" s="15" t="n"/>
      <c r="EAL95" s="248" t="n"/>
      <c r="EAM95" s="248" t="n"/>
      <c r="EAN95" s="240" t="n"/>
      <c r="EAO95" s="240" t="n"/>
      <c r="EAQ95" s="15" t="n"/>
      <c r="EAR95" s="15" t="n"/>
      <c r="EAS95" s="248" t="n"/>
      <c r="EAT95" s="248" t="n"/>
      <c r="EAU95" s="240" t="n"/>
      <c r="EAV95" s="240" t="n"/>
      <c r="EAX95" s="15" t="n"/>
      <c r="EAY95" s="15" t="n"/>
      <c r="EAZ95" s="248" t="n"/>
      <c r="EBA95" s="248" t="n"/>
      <c r="EBB95" s="240" t="n"/>
      <c r="EBC95" s="240" t="n"/>
      <c r="EBE95" s="15" t="n"/>
      <c r="EBF95" s="15" t="n"/>
      <c r="EBG95" s="248" t="n"/>
      <c r="EBH95" s="248" t="n"/>
      <c r="EBI95" s="240" t="n"/>
      <c r="EBJ95" s="240" t="n"/>
      <c r="EBL95" s="15" t="n"/>
      <c r="EBM95" s="15" t="n"/>
      <c r="EBN95" s="248" t="n"/>
      <c r="EBO95" s="248" t="n"/>
      <c r="EBP95" s="240" t="n"/>
      <c r="EBQ95" s="240" t="n"/>
      <c r="EBS95" s="15" t="n"/>
      <c r="EBT95" s="15" t="n"/>
      <c r="EBU95" s="248" t="n"/>
      <c r="EBV95" s="248" t="n"/>
      <c r="EBW95" s="240" t="n"/>
      <c r="EBX95" s="240" t="n"/>
      <c r="EBZ95" s="15" t="n"/>
      <c r="ECA95" s="15" t="n"/>
      <c r="ECB95" s="248" t="n"/>
      <c r="ECC95" s="248" t="n"/>
      <c r="ECD95" s="240" t="n"/>
      <c r="ECE95" s="240" t="n"/>
      <c r="ECG95" s="15" t="n"/>
      <c r="ECH95" s="15" t="n"/>
      <c r="ECI95" s="248" t="n"/>
      <c r="ECJ95" s="248" t="n"/>
      <c r="ECK95" s="240" t="n"/>
      <c r="ECL95" s="240" t="n"/>
      <c r="ECN95" s="15" t="n"/>
      <c r="ECO95" s="15" t="n"/>
      <c r="ECP95" s="248" t="n"/>
      <c r="ECQ95" s="248" t="n"/>
      <c r="ECR95" s="240" t="n"/>
      <c r="ECS95" s="240" t="n"/>
      <c r="ECU95" s="15" t="n"/>
      <c r="ECV95" s="15" t="n"/>
      <c r="ECW95" s="248" t="n"/>
      <c r="ECX95" s="248" t="n"/>
      <c r="ECY95" s="240" t="n"/>
      <c r="ECZ95" s="240" t="n"/>
      <c r="EDB95" s="15" t="n"/>
      <c r="EDC95" s="15" t="n"/>
      <c r="EDD95" s="248" t="n"/>
      <c r="EDE95" s="248" t="n"/>
      <c r="EDF95" s="240" t="n"/>
      <c r="EDG95" s="240" t="n"/>
      <c r="EDI95" s="15" t="n"/>
      <c r="EDJ95" s="15" t="n"/>
      <c r="EDK95" s="248" t="n"/>
      <c r="EDL95" s="248" t="n"/>
      <c r="EDM95" s="240" t="n"/>
      <c r="EDN95" s="240" t="n"/>
      <c r="EDP95" s="15" t="n"/>
      <c r="EDQ95" s="15" t="n"/>
      <c r="EDR95" s="248" t="n"/>
      <c r="EDS95" s="248" t="n"/>
      <c r="EDT95" s="240" t="n"/>
      <c r="EDU95" s="240" t="n"/>
      <c r="EDW95" s="15" t="n"/>
      <c r="EDX95" s="15" t="n"/>
      <c r="EDY95" s="248" t="n"/>
      <c r="EDZ95" s="248" t="n"/>
      <c r="EEA95" s="240" t="n"/>
      <c r="EEB95" s="240" t="n"/>
      <c r="EED95" s="15" t="n"/>
      <c r="EEE95" s="15" t="n"/>
      <c r="EEF95" s="248" t="n"/>
      <c r="EEG95" s="248" t="n"/>
      <c r="EEH95" s="240" t="n"/>
      <c r="EEI95" s="240" t="n"/>
      <c r="EEK95" s="15" t="n"/>
      <c r="EEL95" s="15" t="n"/>
      <c r="EEM95" s="248" t="n"/>
      <c r="EEN95" s="248" t="n"/>
      <c r="EEO95" s="240" t="n"/>
      <c r="EEP95" s="240" t="n"/>
      <c r="EER95" s="15" t="n"/>
      <c r="EES95" s="15" t="n"/>
      <c r="EET95" s="248" t="n"/>
      <c r="EEU95" s="248" t="n"/>
      <c r="EEV95" s="240" t="n"/>
      <c r="EEW95" s="240" t="n"/>
      <c r="EEY95" s="15" t="n"/>
      <c r="EEZ95" s="15" t="n"/>
      <c r="EFA95" s="248" t="n"/>
      <c r="EFB95" s="248" t="n"/>
      <c r="EFC95" s="240" t="n"/>
      <c r="EFD95" s="240" t="n"/>
      <c r="EFF95" s="15" t="n"/>
      <c r="EFG95" s="15" t="n"/>
      <c r="EFH95" s="248" t="n"/>
      <c r="EFI95" s="248" t="n"/>
      <c r="EFJ95" s="240" t="n"/>
      <c r="EFK95" s="240" t="n"/>
      <c r="EFM95" s="15" t="n"/>
      <c r="EFN95" s="15" t="n"/>
      <c r="EFO95" s="248" t="n"/>
      <c r="EFP95" s="248" t="n"/>
      <c r="EFQ95" s="240" t="n"/>
      <c r="EFR95" s="240" t="n"/>
      <c r="EFT95" s="15" t="n"/>
      <c r="EFU95" s="15" t="n"/>
      <c r="EFV95" s="248" t="n"/>
      <c r="EFW95" s="248" t="n"/>
      <c r="EFX95" s="240" t="n"/>
      <c r="EFY95" s="240" t="n"/>
      <c r="EGA95" s="15" t="n"/>
      <c r="EGB95" s="15" t="n"/>
      <c r="EGC95" s="248" t="n"/>
      <c r="EGD95" s="248" t="n"/>
      <c r="EGE95" s="240" t="n"/>
      <c r="EGF95" s="240" t="n"/>
      <c r="EGH95" s="15" t="n"/>
      <c r="EGI95" s="15" t="n"/>
      <c r="EGJ95" s="248" t="n"/>
      <c r="EGK95" s="248" t="n"/>
      <c r="EGL95" s="240" t="n"/>
      <c r="EGM95" s="240" t="n"/>
      <c r="EGO95" s="15" t="n"/>
      <c r="EGP95" s="15" t="n"/>
      <c r="EGQ95" s="248" t="n"/>
      <c r="EGR95" s="248" t="n"/>
      <c r="EGS95" s="240" t="n"/>
      <c r="EGT95" s="240" t="n"/>
      <c r="EGV95" s="15" t="n"/>
      <c r="EGW95" s="15" t="n"/>
      <c r="EGX95" s="248" t="n"/>
      <c r="EGY95" s="248" t="n"/>
      <c r="EGZ95" s="240" t="n"/>
      <c r="EHA95" s="240" t="n"/>
      <c r="EHC95" s="15" t="n"/>
      <c r="EHD95" s="15" t="n"/>
      <c r="EHE95" s="248" t="n"/>
      <c r="EHF95" s="248" t="n"/>
      <c r="EHG95" s="240" t="n"/>
      <c r="EHH95" s="240" t="n"/>
      <c r="EHJ95" s="15" t="n"/>
      <c r="EHK95" s="15" t="n"/>
      <c r="EHL95" s="248" t="n"/>
      <c r="EHM95" s="248" t="n"/>
      <c r="EHN95" s="240" t="n"/>
      <c r="EHO95" s="240" t="n"/>
      <c r="EHQ95" s="15" t="n"/>
      <c r="EHR95" s="15" t="n"/>
      <c r="EHS95" s="248" t="n"/>
      <c r="EHT95" s="248" t="n"/>
      <c r="EHU95" s="240" t="n"/>
      <c r="EHV95" s="240" t="n"/>
      <c r="EHX95" s="15" t="n"/>
      <c r="EHY95" s="15" t="n"/>
      <c r="EHZ95" s="248" t="n"/>
      <c r="EIA95" s="248" t="n"/>
      <c r="EIB95" s="240" t="n"/>
      <c r="EIC95" s="240" t="n"/>
      <c r="EIE95" s="15" t="n"/>
      <c r="EIF95" s="15" t="n"/>
      <c r="EIG95" s="248" t="n"/>
      <c r="EIH95" s="248" t="n"/>
      <c r="EII95" s="240" t="n"/>
      <c r="EIJ95" s="240" t="n"/>
      <c r="EIL95" s="15" t="n"/>
      <c r="EIM95" s="15" t="n"/>
      <c r="EIN95" s="248" t="n"/>
      <c r="EIO95" s="248" t="n"/>
      <c r="EIP95" s="240" t="n"/>
      <c r="EIQ95" s="240" t="n"/>
      <c r="EIS95" s="15" t="n"/>
      <c r="EIT95" s="15" t="n"/>
      <c r="EIU95" s="248" t="n"/>
      <c r="EIV95" s="248" t="n"/>
      <c r="EIW95" s="240" t="n"/>
      <c r="EIX95" s="240" t="n"/>
      <c r="EIZ95" s="15" t="n"/>
      <c r="EJA95" s="15" t="n"/>
      <c r="EJB95" s="248" t="n"/>
      <c r="EJC95" s="248" t="n"/>
      <c r="EJD95" s="240" t="n"/>
      <c r="EJE95" s="240" t="n"/>
      <c r="EJG95" s="15" t="n"/>
      <c r="EJH95" s="15" t="n"/>
      <c r="EJI95" s="248" t="n"/>
      <c r="EJJ95" s="248" t="n"/>
      <c r="EJK95" s="240" t="n"/>
      <c r="EJL95" s="240" t="n"/>
      <c r="EJN95" s="15" t="n"/>
      <c r="EJO95" s="15" t="n"/>
      <c r="EJP95" s="248" t="n"/>
      <c r="EJQ95" s="248" t="n"/>
      <c r="EJR95" s="240" t="n"/>
      <c r="EJS95" s="240" t="n"/>
      <c r="EJU95" s="15" t="n"/>
      <c r="EJV95" s="15" t="n"/>
      <c r="EJW95" s="248" t="n"/>
      <c r="EJX95" s="248" t="n"/>
      <c r="EJY95" s="240" t="n"/>
      <c r="EJZ95" s="240" t="n"/>
      <c r="EKB95" s="15" t="n"/>
      <c r="EKC95" s="15" t="n"/>
      <c r="EKD95" s="248" t="n"/>
      <c r="EKE95" s="248" t="n"/>
      <c r="EKF95" s="240" t="n"/>
      <c r="EKG95" s="240" t="n"/>
      <c r="EKI95" s="15" t="n"/>
      <c r="EKJ95" s="15" t="n"/>
      <c r="EKK95" s="248" t="n"/>
      <c r="EKL95" s="248" t="n"/>
      <c r="EKM95" s="240" t="n"/>
      <c r="EKN95" s="240" t="n"/>
      <c r="EKP95" s="15" t="n"/>
      <c r="EKQ95" s="15" t="n"/>
      <c r="EKR95" s="248" t="n"/>
      <c r="EKS95" s="248" t="n"/>
      <c r="EKT95" s="240" t="n"/>
      <c r="EKU95" s="240" t="n"/>
      <c r="EKW95" s="15" t="n"/>
      <c r="EKX95" s="15" t="n"/>
      <c r="EKY95" s="248" t="n"/>
      <c r="EKZ95" s="248" t="n"/>
      <c r="ELA95" s="240" t="n"/>
      <c r="ELB95" s="240" t="n"/>
      <c r="ELD95" s="15" t="n"/>
      <c r="ELE95" s="15" t="n"/>
      <c r="ELF95" s="248" t="n"/>
      <c r="ELG95" s="248" t="n"/>
      <c r="ELH95" s="240" t="n"/>
      <c r="ELI95" s="240" t="n"/>
      <c r="ELK95" s="15" t="n"/>
      <c r="ELL95" s="15" t="n"/>
      <c r="ELM95" s="248" t="n"/>
      <c r="ELN95" s="248" t="n"/>
      <c r="ELO95" s="240" t="n"/>
      <c r="ELP95" s="240" t="n"/>
      <c r="ELR95" s="15" t="n"/>
      <c r="ELS95" s="15" t="n"/>
      <c r="ELT95" s="248" t="n"/>
      <c r="ELU95" s="248" t="n"/>
      <c r="ELV95" s="240" t="n"/>
      <c r="ELW95" s="240" t="n"/>
      <c r="ELY95" s="15" t="n"/>
      <c r="ELZ95" s="15" t="n"/>
      <c r="EMA95" s="248" t="n"/>
      <c r="EMB95" s="248" t="n"/>
      <c r="EMC95" s="240" t="n"/>
      <c r="EMD95" s="240" t="n"/>
      <c r="EMF95" s="15" t="n"/>
      <c r="EMG95" s="15" t="n"/>
      <c r="EMH95" s="248" t="n"/>
      <c r="EMI95" s="248" t="n"/>
      <c r="EMJ95" s="240" t="n"/>
      <c r="EMK95" s="240" t="n"/>
      <c r="EMM95" s="15" t="n"/>
      <c r="EMN95" s="15" t="n"/>
      <c r="EMO95" s="248" t="n"/>
      <c r="EMP95" s="248" t="n"/>
      <c r="EMQ95" s="240" t="n"/>
      <c r="EMR95" s="240" t="n"/>
      <c r="EMT95" s="15" t="n"/>
      <c r="EMU95" s="15" t="n"/>
      <c r="EMV95" s="248" t="n"/>
      <c r="EMW95" s="248" t="n"/>
      <c r="EMX95" s="240" t="n"/>
      <c r="EMY95" s="240" t="n"/>
      <c r="ENA95" s="15" t="n"/>
      <c r="ENB95" s="15" t="n"/>
      <c r="ENC95" s="248" t="n"/>
      <c r="END95" s="248" t="n"/>
      <c r="ENE95" s="240" t="n"/>
      <c r="ENF95" s="240" t="n"/>
      <c r="ENH95" s="15" t="n"/>
      <c r="ENI95" s="15" t="n"/>
      <c r="ENJ95" s="248" t="n"/>
      <c r="ENK95" s="248" t="n"/>
      <c r="ENL95" s="240" t="n"/>
      <c r="ENM95" s="240" t="n"/>
      <c r="ENO95" s="15" t="n"/>
      <c r="ENP95" s="15" t="n"/>
      <c r="ENQ95" s="248" t="n"/>
      <c r="ENR95" s="248" t="n"/>
      <c r="ENS95" s="240" t="n"/>
      <c r="ENT95" s="240" t="n"/>
      <c r="ENV95" s="15" t="n"/>
      <c r="ENW95" s="15" t="n"/>
      <c r="ENX95" s="248" t="n"/>
      <c r="ENY95" s="248" t="n"/>
      <c r="ENZ95" s="240" t="n"/>
      <c r="EOA95" s="240" t="n"/>
      <c r="EOC95" s="15" t="n"/>
      <c r="EOD95" s="15" t="n"/>
      <c r="EOE95" s="248" t="n"/>
      <c r="EOF95" s="248" t="n"/>
      <c r="EOG95" s="240" t="n"/>
      <c r="EOH95" s="240" t="n"/>
      <c r="EOJ95" s="15" t="n"/>
      <c r="EOK95" s="15" t="n"/>
      <c r="EOL95" s="248" t="n"/>
      <c r="EOM95" s="248" t="n"/>
      <c r="EON95" s="240" t="n"/>
      <c r="EOO95" s="240" t="n"/>
      <c r="EOQ95" s="15" t="n"/>
      <c r="EOR95" s="15" t="n"/>
      <c r="EOS95" s="248" t="n"/>
      <c r="EOT95" s="248" t="n"/>
      <c r="EOU95" s="240" t="n"/>
      <c r="EOV95" s="240" t="n"/>
      <c r="EOX95" s="15" t="n"/>
      <c r="EOY95" s="15" t="n"/>
      <c r="EOZ95" s="248" t="n"/>
      <c r="EPA95" s="248" t="n"/>
      <c r="EPB95" s="240" t="n"/>
      <c r="EPC95" s="240" t="n"/>
      <c r="EPE95" s="15" t="n"/>
      <c r="EPF95" s="15" t="n"/>
      <c r="EPG95" s="248" t="n"/>
      <c r="EPH95" s="248" t="n"/>
      <c r="EPI95" s="240" t="n"/>
      <c r="EPJ95" s="240" t="n"/>
      <c r="EPL95" s="15" t="n"/>
      <c r="EPM95" s="15" t="n"/>
      <c r="EPN95" s="248" t="n"/>
      <c r="EPO95" s="248" t="n"/>
      <c r="EPP95" s="240" t="n"/>
      <c r="EPQ95" s="240" t="n"/>
      <c r="EPS95" s="15" t="n"/>
      <c r="EPT95" s="15" t="n"/>
      <c r="EPU95" s="248" t="n"/>
      <c r="EPV95" s="248" t="n"/>
      <c r="EPW95" s="240" t="n"/>
      <c r="EPX95" s="240" t="n"/>
      <c r="EPZ95" s="15" t="n"/>
      <c r="EQA95" s="15" t="n"/>
      <c r="EQB95" s="248" t="n"/>
      <c r="EQC95" s="248" t="n"/>
      <c r="EQD95" s="240" t="n"/>
      <c r="EQE95" s="240" t="n"/>
      <c r="EQG95" s="15" t="n"/>
      <c r="EQH95" s="15" t="n"/>
      <c r="EQI95" s="248" t="n"/>
      <c r="EQJ95" s="248" t="n"/>
      <c r="EQK95" s="240" t="n"/>
      <c r="EQL95" s="240" t="n"/>
      <c r="EQN95" s="15" t="n"/>
      <c r="EQO95" s="15" t="n"/>
      <c r="EQP95" s="248" t="n"/>
      <c r="EQQ95" s="248" t="n"/>
      <c r="EQR95" s="240" t="n"/>
      <c r="EQS95" s="240" t="n"/>
      <c r="EQU95" s="15" t="n"/>
      <c r="EQV95" s="15" t="n"/>
      <c r="EQW95" s="248" t="n"/>
      <c r="EQX95" s="248" t="n"/>
      <c r="EQY95" s="240" t="n"/>
      <c r="EQZ95" s="240" t="n"/>
      <c r="ERB95" s="15" t="n"/>
      <c r="ERC95" s="15" t="n"/>
      <c r="ERD95" s="248" t="n"/>
      <c r="ERE95" s="248" t="n"/>
      <c r="ERF95" s="240" t="n"/>
      <c r="ERG95" s="240" t="n"/>
      <c r="ERI95" s="15" t="n"/>
      <c r="ERJ95" s="15" t="n"/>
      <c r="ERK95" s="248" t="n"/>
      <c r="ERL95" s="248" t="n"/>
      <c r="ERM95" s="240" t="n"/>
      <c r="ERN95" s="240" t="n"/>
      <c r="ERP95" s="15" t="n"/>
      <c r="ERQ95" s="15" t="n"/>
      <c r="ERR95" s="248" t="n"/>
      <c r="ERS95" s="248" t="n"/>
      <c r="ERT95" s="240" t="n"/>
      <c r="ERU95" s="240" t="n"/>
      <c r="ERW95" s="15" t="n"/>
      <c r="ERX95" s="15" t="n"/>
      <c r="ERY95" s="248" t="n"/>
      <c r="ERZ95" s="248" t="n"/>
      <c r="ESA95" s="240" t="n"/>
      <c r="ESB95" s="240" t="n"/>
      <c r="ESD95" s="15" t="n"/>
      <c r="ESE95" s="15" t="n"/>
      <c r="ESF95" s="248" t="n"/>
      <c r="ESG95" s="248" t="n"/>
      <c r="ESH95" s="240" t="n"/>
      <c r="ESI95" s="240" t="n"/>
      <c r="ESK95" s="15" t="n"/>
      <c r="ESL95" s="15" t="n"/>
      <c r="ESM95" s="248" t="n"/>
      <c r="ESN95" s="248" t="n"/>
      <c r="ESO95" s="240" t="n"/>
      <c r="ESP95" s="240" t="n"/>
      <c r="ESR95" s="15" t="n"/>
      <c r="ESS95" s="15" t="n"/>
      <c r="EST95" s="248" t="n"/>
      <c r="ESU95" s="248" t="n"/>
      <c r="ESV95" s="240" t="n"/>
      <c r="ESW95" s="240" t="n"/>
      <c r="ESY95" s="15" t="n"/>
      <c r="ESZ95" s="15" t="n"/>
      <c r="ETA95" s="248" t="n"/>
      <c r="ETB95" s="248" t="n"/>
      <c r="ETC95" s="240" t="n"/>
      <c r="ETD95" s="240" t="n"/>
      <c r="ETF95" s="15" t="n"/>
      <c r="ETG95" s="15" t="n"/>
      <c r="ETH95" s="248" t="n"/>
      <c r="ETI95" s="248" t="n"/>
      <c r="ETJ95" s="240" t="n"/>
      <c r="ETK95" s="240" t="n"/>
      <c r="ETM95" s="15" t="n"/>
      <c r="ETN95" s="15" t="n"/>
      <c r="ETO95" s="248" t="n"/>
      <c r="ETP95" s="248" t="n"/>
      <c r="ETQ95" s="240" t="n"/>
      <c r="ETR95" s="240" t="n"/>
      <c r="ETT95" s="15" t="n"/>
      <c r="ETU95" s="15" t="n"/>
      <c r="ETV95" s="248" t="n"/>
      <c r="ETW95" s="248" t="n"/>
      <c r="ETX95" s="240" t="n"/>
      <c r="ETY95" s="240" t="n"/>
      <c r="EUA95" s="15" t="n"/>
      <c r="EUB95" s="15" t="n"/>
      <c r="EUC95" s="248" t="n"/>
      <c r="EUD95" s="248" t="n"/>
      <c r="EUE95" s="240" t="n"/>
      <c r="EUF95" s="240" t="n"/>
      <c r="EUH95" s="15" t="n"/>
      <c r="EUI95" s="15" t="n"/>
      <c r="EUJ95" s="248" t="n"/>
      <c r="EUK95" s="248" t="n"/>
      <c r="EUL95" s="240" t="n"/>
      <c r="EUM95" s="240" t="n"/>
      <c r="EUO95" s="15" t="n"/>
      <c r="EUP95" s="15" t="n"/>
      <c r="EUQ95" s="248" t="n"/>
      <c r="EUR95" s="248" t="n"/>
      <c r="EUS95" s="240" t="n"/>
      <c r="EUT95" s="240" t="n"/>
      <c r="EUV95" s="15" t="n"/>
      <c r="EUW95" s="15" t="n"/>
      <c r="EUX95" s="248" t="n"/>
      <c r="EUY95" s="248" t="n"/>
      <c r="EUZ95" s="240" t="n"/>
      <c r="EVA95" s="240" t="n"/>
      <c r="EVC95" s="15" t="n"/>
      <c r="EVD95" s="15" t="n"/>
      <c r="EVE95" s="248" t="n"/>
      <c r="EVF95" s="248" t="n"/>
      <c r="EVG95" s="240" t="n"/>
      <c r="EVH95" s="240" t="n"/>
      <c r="EVJ95" s="15" t="n"/>
      <c r="EVK95" s="15" t="n"/>
      <c r="EVL95" s="248" t="n"/>
      <c r="EVM95" s="248" t="n"/>
      <c r="EVN95" s="240" t="n"/>
      <c r="EVO95" s="240" t="n"/>
      <c r="EVQ95" s="15" t="n"/>
      <c r="EVR95" s="15" t="n"/>
      <c r="EVS95" s="248" t="n"/>
      <c r="EVT95" s="248" t="n"/>
      <c r="EVU95" s="240" t="n"/>
      <c r="EVV95" s="240" t="n"/>
      <c r="EVX95" s="15" t="n"/>
      <c r="EVY95" s="15" t="n"/>
      <c r="EVZ95" s="248" t="n"/>
      <c r="EWA95" s="248" t="n"/>
      <c r="EWB95" s="240" t="n"/>
      <c r="EWC95" s="240" t="n"/>
      <c r="EWE95" s="15" t="n"/>
      <c r="EWF95" s="15" t="n"/>
      <c r="EWG95" s="248" t="n"/>
      <c r="EWH95" s="248" t="n"/>
      <c r="EWI95" s="240" t="n"/>
      <c r="EWJ95" s="240" t="n"/>
      <c r="EWL95" s="15" t="n"/>
      <c r="EWM95" s="15" t="n"/>
      <c r="EWN95" s="248" t="n"/>
      <c r="EWO95" s="248" t="n"/>
      <c r="EWP95" s="240" t="n"/>
      <c r="EWQ95" s="240" t="n"/>
      <c r="EWS95" s="15" t="n"/>
      <c r="EWT95" s="15" t="n"/>
      <c r="EWU95" s="248" t="n"/>
      <c r="EWV95" s="248" t="n"/>
      <c r="EWW95" s="240" t="n"/>
      <c r="EWX95" s="240" t="n"/>
      <c r="EWZ95" s="15" t="n"/>
      <c r="EXA95" s="15" t="n"/>
      <c r="EXB95" s="248" t="n"/>
      <c r="EXC95" s="248" t="n"/>
      <c r="EXD95" s="240" t="n"/>
      <c r="EXE95" s="240" t="n"/>
      <c r="EXG95" s="15" t="n"/>
      <c r="EXH95" s="15" t="n"/>
      <c r="EXI95" s="248" t="n"/>
      <c r="EXJ95" s="248" t="n"/>
      <c r="EXK95" s="240" t="n"/>
      <c r="EXL95" s="240" t="n"/>
      <c r="EXN95" s="15" t="n"/>
      <c r="EXO95" s="15" t="n"/>
      <c r="EXP95" s="248" t="n"/>
      <c r="EXQ95" s="248" t="n"/>
      <c r="EXR95" s="240" t="n"/>
      <c r="EXS95" s="240" t="n"/>
      <c r="EXU95" s="15" t="n"/>
      <c r="EXV95" s="15" t="n"/>
      <c r="EXW95" s="248" t="n"/>
      <c r="EXX95" s="248" t="n"/>
      <c r="EXY95" s="240" t="n"/>
      <c r="EXZ95" s="240" t="n"/>
      <c r="EYB95" s="15" t="n"/>
      <c r="EYC95" s="15" t="n"/>
      <c r="EYD95" s="248" t="n"/>
      <c r="EYE95" s="248" t="n"/>
      <c r="EYF95" s="240" t="n"/>
      <c r="EYG95" s="240" t="n"/>
      <c r="EYI95" s="15" t="n"/>
      <c r="EYJ95" s="15" t="n"/>
      <c r="EYK95" s="248" t="n"/>
      <c r="EYL95" s="248" t="n"/>
      <c r="EYM95" s="240" t="n"/>
      <c r="EYN95" s="240" t="n"/>
      <c r="EYP95" s="15" t="n"/>
      <c r="EYQ95" s="15" t="n"/>
      <c r="EYR95" s="248" t="n"/>
      <c r="EYS95" s="248" t="n"/>
      <c r="EYT95" s="240" t="n"/>
      <c r="EYU95" s="240" t="n"/>
      <c r="EYW95" s="15" t="n"/>
      <c r="EYX95" s="15" t="n"/>
      <c r="EYY95" s="248" t="n"/>
      <c r="EYZ95" s="248" t="n"/>
      <c r="EZA95" s="240" t="n"/>
      <c r="EZB95" s="240" t="n"/>
      <c r="EZD95" s="15" t="n"/>
      <c r="EZE95" s="15" t="n"/>
      <c r="EZF95" s="248" t="n"/>
      <c r="EZG95" s="248" t="n"/>
      <c r="EZH95" s="240" t="n"/>
      <c r="EZI95" s="240" t="n"/>
      <c r="EZK95" s="15" t="n"/>
      <c r="EZL95" s="15" t="n"/>
      <c r="EZM95" s="248" t="n"/>
      <c r="EZN95" s="248" t="n"/>
      <c r="EZO95" s="240" t="n"/>
      <c r="EZP95" s="240" t="n"/>
      <c r="EZR95" s="15" t="n"/>
      <c r="EZS95" s="15" t="n"/>
      <c r="EZT95" s="248" t="n"/>
      <c r="EZU95" s="248" t="n"/>
      <c r="EZV95" s="240" t="n"/>
      <c r="EZW95" s="240" t="n"/>
      <c r="EZY95" s="15" t="n"/>
      <c r="EZZ95" s="15" t="n"/>
      <c r="FAA95" s="248" t="n"/>
      <c r="FAB95" s="248" t="n"/>
      <c r="FAC95" s="240" t="n"/>
      <c r="FAD95" s="240" t="n"/>
      <c r="FAF95" s="15" t="n"/>
      <c r="FAG95" s="15" t="n"/>
      <c r="FAH95" s="248" t="n"/>
      <c r="FAI95" s="248" t="n"/>
      <c r="FAJ95" s="240" t="n"/>
      <c r="FAK95" s="240" t="n"/>
      <c r="FAM95" s="15" t="n"/>
      <c r="FAN95" s="15" t="n"/>
      <c r="FAO95" s="248" t="n"/>
      <c r="FAP95" s="248" t="n"/>
      <c r="FAQ95" s="240" t="n"/>
      <c r="FAR95" s="240" t="n"/>
      <c r="FAT95" s="15" t="n"/>
      <c r="FAU95" s="15" t="n"/>
      <c r="FAV95" s="248" t="n"/>
      <c r="FAW95" s="248" t="n"/>
      <c r="FAX95" s="240" t="n"/>
      <c r="FAY95" s="240" t="n"/>
      <c r="FBA95" s="15" t="n"/>
      <c r="FBB95" s="15" t="n"/>
      <c r="FBC95" s="248" t="n"/>
      <c r="FBD95" s="248" t="n"/>
      <c r="FBE95" s="240" t="n"/>
      <c r="FBF95" s="240" t="n"/>
      <c r="FBH95" s="15" t="n"/>
      <c r="FBI95" s="15" t="n"/>
      <c r="FBJ95" s="248" t="n"/>
      <c r="FBK95" s="248" t="n"/>
      <c r="FBL95" s="240" t="n"/>
      <c r="FBM95" s="240" t="n"/>
      <c r="FBO95" s="15" t="n"/>
      <c r="FBP95" s="15" t="n"/>
      <c r="FBQ95" s="248" t="n"/>
      <c r="FBR95" s="248" t="n"/>
      <c r="FBS95" s="240" t="n"/>
      <c r="FBT95" s="240" t="n"/>
      <c r="FBV95" s="15" t="n"/>
      <c r="FBW95" s="15" t="n"/>
      <c r="FBX95" s="248" t="n"/>
      <c r="FBY95" s="248" t="n"/>
      <c r="FBZ95" s="240" t="n"/>
      <c r="FCA95" s="240" t="n"/>
      <c r="FCC95" s="15" t="n"/>
      <c r="FCD95" s="15" t="n"/>
      <c r="FCE95" s="248" t="n"/>
      <c r="FCF95" s="248" t="n"/>
      <c r="FCG95" s="240" t="n"/>
      <c r="FCH95" s="240" t="n"/>
      <c r="FCJ95" s="15" t="n"/>
      <c r="FCK95" s="15" t="n"/>
      <c r="FCL95" s="248" t="n"/>
      <c r="FCM95" s="248" t="n"/>
      <c r="FCN95" s="240" t="n"/>
      <c r="FCO95" s="240" t="n"/>
      <c r="FCQ95" s="15" t="n"/>
      <c r="FCR95" s="15" t="n"/>
      <c r="FCS95" s="248" t="n"/>
      <c r="FCT95" s="248" t="n"/>
      <c r="FCU95" s="240" t="n"/>
      <c r="FCV95" s="240" t="n"/>
      <c r="FCX95" s="15" t="n"/>
      <c r="FCY95" s="15" t="n"/>
      <c r="FCZ95" s="248" t="n"/>
      <c r="FDA95" s="248" t="n"/>
      <c r="FDB95" s="240" t="n"/>
      <c r="FDC95" s="240" t="n"/>
      <c r="FDE95" s="15" t="n"/>
      <c r="FDF95" s="15" t="n"/>
      <c r="FDG95" s="248" t="n"/>
      <c r="FDH95" s="248" t="n"/>
      <c r="FDI95" s="240" t="n"/>
      <c r="FDJ95" s="240" t="n"/>
      <c r="FDL95" s="15" t="n"/>
      <c r="FDM95" s="15" t="n"/>
      <c r="FDN95" s="248" t="n"/>
      <c r="FDO95" s="248" t="n"/>
      <c r="FDP95" s="240" t="n"/>
      <c r="FDQ95" s="240" t="n"/>
      <c r="FDS95" s="15" t="n"/>
      <c r="FDT95" s="15" t="n"/>
      <c r="FDU95" s="248" t="n"/>
      <c r="FDV95" s="248" t="n"/>
      <c r="FDW95" s="240" t="n"/>
      <c r="FDX95" s="240" t="n"/>
      <c r="FDZ95" s="15" t="n"/>
      <c r="FEA95" s="15" t="n"/>
      <c r="FEB95" s="248" t="n"/>
      <c r="FEC95" s="248" t="n"/>
      <c r="FED95" s="240" t="n"/>
      <c r="FEE95" s="240" t="n"/>
      <c r="FEG95" s="15" t="n"/>
      <c r="FEH95" s="15" t="n"/>
      <c r="FEI95" s="248" t="n"/>
      <c r="FEJ95" s="248" t="n"/>
      <c r="FEK95" s="240" t="n"/>
      <c r="FEL95" s="240" t="n"/>
      <c r="FEN95" s="15" t="n"/>
      <c r="FEO95" s="15" t="n"/>
      <c r="FEP95" s="248" t="n"/>
      <c r="FEQ95" s="248" t="n"/>
      <c r="FER95" s="240" t="n"/>
      <c r="FES95" s="240" t="n"/>
      <c r="FEU95" s="15" t="n"/>
      <c r="FEV95" s="15" t="n"/>
      <c r="FEW95" s="248" t="n"/>
      <c r="FEX95" s="248" t="n"/>
      <c r="FEY95" s="240" t="n"/>
      <c r="FEZ95" s="240" t="n"/>
      <c r="FFB95" s="15" t="n"/>
      <c r="FFC95" s="15" t="n"/>
      <c r="FFD95" s="248" t="n"/>
      <c r="FFE95" s="248" t="n"/>
      <c r="FFF95" s="240" t="n"/>
      <c r="FFG95" s="240" t="n"/>
      <c r="FFI95" s="15" t="n"/>
      <c r="FFJ95" s="15" t="n"/>
      <c r="FFK95" s="248" t="n"/>
      <c r="FFL95" s="248" t="n"/>
      <c r="FFM95" s="240" t="n"/>
      <c r="FFN95" s="240" t="n"/>
      <c r="FFP95" s="15" t="n"/>
      <c r="FFQ95" s="15" t="n"/>
      <c r="FFR95" s="248" t="n"/>
      <c r="FFS95" s="248" t="n"/>
      <c r="FFT95" s="240" t="n"/>
      <c r="FFU95" s="240" t="n"/>
      <c r="FFW95" s="15" t="n"/>
      <c r="FFX95" s="15" t="n"/>
      <c r="FFY95" s="248" t="n"/>
      <c r="FFZ95" s="248" t="n"/>
      <c r="FGA95" s="240" t="n"/>
      <c r="FGB95" s="240" t="n"/>
      <c r="FGD95" s="15" t="n"/>
      <c r="FGE95" s="15" t="n"/>
      <c r="FGF95" s="248" t="n"/>
      <c r="FGG95" s="248" t="n"/>
      <c r="FGH95" s="240" t="n"/>
      <c r="FGI95" s="240" t="n"/>
      <c r="FGK95" s="15" t="n"/>
      <c r="FGL95" s="15" t="n"/>
      <c r="FGM95" s="248" t="n"/>
      <c r="FGN95" s="248" t="n"/>
      <c r="FGO95" s="240" t="n"/>
      <c r="FGP95" s="240" t="n"/>
      <c r="FGR95" s="15" t="n"/>
      <c r="FGS95" s="15" t="n"/>
      <c r="FGT95" s="248" t="n"/>
      <c r="FGU95" s="248" t="n"/>
      <c r="FGV95" s="240" t="n"/>
      <c r="FGW95" s="240" t="n"/>
      <c r="FGY95" s="15" t="n"/>
      <c r="FGZ95" s="15" t="n"/>
      <c r="FHA95" s="248" t="n"/>
      <c r="FHB95" s="248" t="n"/>
      <c r="FHC95" s="240" t="n"/>
      <c r="FHD95" s="240" t="n"/>
      <c r="FHF95" s="15" t="n"/>
      <c r="FHG95" s="15" t="n"/>
      <c r="FHH95" s="248" t="n"/>
      <c r="FHI95" s="248" t="n"/>
      <c r="FHJ95" s="240" t="n"/>
      <c r="FHK95" s="240" t="n"/>
      <c r="FHM95" s="15" t="n"/>
      <c r="FHN95" s="15" t="n"/>
      <c r="FHO95" s="248" t="n"/>
      <c r="FHP95" s="248" t="n"/>
      <c r="FHQ95" s="240" t="n"/>
      <c r="FHR95" s="240" t="n"/>
      <c r="FHT95" s="15" t="n"/>
      <c r="FHU95" s="15" t="n"/>
      <c r="FHV95" s="248" t="n"/>
      <c r="FHW95" s="248" t="n"/>
      <c r="FHX95" s="240" t="n"/>
      <c r="FHY95" s="240" t="n"/>
      <c r="FIA95" s="15" t="n"/>
      <c r="FIB95" s="15" t="n"/>
      <c r="FIC95" s="248" t="n"/>
      <c r="FID95" s="248" t="n"/>
      <c r="FIE95" s="240" t="n"/>
      <c r="FIF95" s="240" t="n"/>
      <c r="FIH95" s="15" t="n"/>
      <c r="FII95" s="15" t="n"/>
      <c r="FIJ95" s="248" t="n"/>
      <c r="FIK95" s="248" t="n"/>
      <c r="FIL95" s="240" t="n"/>
      <c r="FIM95" s="240" t="n"/>
      <c r="FIO95" s="15" t="n"/>
      <c r="FIP95" s="15" t="n"/>
      <c r="FIQ95" s="248" t="n"/>
      <c r="FIR95" s="248" t="n"/>
      <c r="FIS95" s="240" t="n"/>
      <c r="FIT95" s="240" t="n"/>
      <c r="FIV95" s="15" t="n"/>
      <c r="FIW95" s="15" t="n"/>
      <c r="FIX95" s="248" t="n"/>
      <c r="FIY95" s="248" t="n"/>
      <c r="FIZ95" s="240" t="n"/>
      <c r="FJA95" s="240" t="n"/>
      <c r="FJC95" s="15" t="n"/>
      <c r="FJD95" s="15" t="n"/>
      <c r="FJE95" s="248" t="n"/>
      <c r="FJF95" s="248" t="n"/>
      <c r="FJG95" s="240" t="n"/>
      <c r="FJH95" s="240" t="n"/>
      <c r="FJJ95" s="15" t="n"/>
      <c r="FJK95" s="15" t="n"/>
      <c r="FJL95" s="248" t="n"/>
      <c r="FJM95" s="248" t="n"/>
      <c r="FJN95" s="240" t="n"/>
      <c r="FJO95" s="240" t="n"/>
      <c r="FJQ95" s="15" t="n"/>
      <c r="FJR95" s="15" t="n"/>
      <c r="FJS95" s="248" t="n"/>
      <c r="FJT95" s="248" t="n"/>
      <c r="FJU95" s="240" t="n"/>
      <c r="FJV95" s="240" t="n"/>
      <c r="FJX95" s="15" t="n"/>
      <c r="FJY95" s="15" t="n"/>
      <c r="FJZ95" s="248" t="n"/>
      <c r="FKA95" s="248" t="n"/>
      <c r="FKB95" s="240" t="n"/>
      <c r="FKC95" s="240" t="n"/>
      <c r="FKE95" s="15" t="n"/>
      <c r="FKF95" s="15" t="n"/>
      <c r="FKG95" s="248" t="n"/>
      <c r="FKH95" s="248" t="n"/>
      <c r="FKI95" s="240" t="n"/>
      <c r="FKJ95" s="240" t="n"/>
      <c r="FKL95" s="15" t="n"/>
      <c r="FKM95" s="15" t="n"/>
      <c r="FKN95" s="248" t="n"/>
      <c r="FKO95" s="248" t="n"/>
      <c r="FKP95" s="240" t="n"/>
      <c r="FKQ95" s="240" t="n"/>
      <c r="FKS95" s="15" t="n"/>
      <c r="FKT95" s="15" t="n"/>
      <c r="FKU95" s="248" t="n"/>
      <c r="FKV95" s="248" t="n"/>
      <c r="FKW95" s="240" t="n"/>
      <c r="FKX95" s="240" t="n"/>
      <c r="FKZ95" s="15" t="n"/>
      <c r="FLA95" s="15" t="n"/>
      <c r="FLB95" s="248" t="n"/>
      <c r="FLC95" s="248" t="n"/>
      <c r="FLD95" s="240" t="n"/>
      <c r="FLE95" s="240" t="n"/>
      <c r="FLG95" s="15" t="n"/>
      <c r="FLH95" s="15" t="n"/>
      <c r="FLI95" s="248" t="n"/>
      <c r="FLJ95" s="248" t="n"/>
      <c r="FLK95" s="240" t="n"/>
      <c r="FLL95" s="240" t="n"/>
      <c r="FLN95" s="15" t="n"/>
      <c r="FLO95" s="15" t="n"/>
      <c r="FLP95" s="248" t="n"/>
      <c r="FLQ95" s="248" t="n"/>
      <c r="FLR95" s="240" t="n"/>
      <c r="FLS95" s="240" t="n"/>
      <c r="FLU95" s="15" t="n"/>
      <c r="FLV95" s="15" t="n"/>
      <c r="FLW95" s="248" t="n"/>
      <c r="FLX95" s="248" t="n"/>
      <c r="FLY95" s="240" t="n"/>
      <c r="FLZ95" s="240" t="n"/>
      <c r="FMB95" s="15" t="n"/>
      <c r="FMC95" s="15" t="n"/>
      <c r="FMD95" s="248" t="n"/>
      <c r="FME95" s="248" t="n"/>
      <c r="FMF95" s="240" t="n"/>
      <c r="FMG95" s="240" t="n"/>
      <c r="FMI95" s="15" t="n"/>
      <c r="FMJ95" s="15" t="n"/>
      <c r="FMK95" s="248" t="n"/>
      <c r="FML95" s="248" t="n"/>
      <c r="FMM95" s="240" t="n"/>
      <c r="FMN95" s="240" t="n"/>
      <c r="FMP95" s="15" t="n"/>
      <c r="FMQ95" s="15" t="n"/>
      <c r="FMR95" s="248" t="n"/>
      <c r="FMS95" s="248" t="n"/>
      <c r="FMT95" s="240" t="n"/>
      <c r="FMU95" s="240" t="n"/>
      <c r="FMW95" s="15" t="n"/>
      <c r="FMX95" s="15" t="n"/>
      <c r="FMY95" s="248" t="n"/>
      <c r="FMZ95" s="248" t="n"/>
      <c r="FNA95" s="240" t="n"/>
      <c r="FNB95" s="240" t="n"/>
      <c r="FND95" s="15" t="n"/>
      <c r="FNE95" s="15" t="n"/>
      <c r="FNF95" s="248" t="n"/>
      <c r="FNG95" s="248" t="n"/>
      <c r="FNH95" s="240" t="n"/>
      <c r="FNI95" s="240" t="n"/>
      <c r="FNK95" s="15" t="n"/>
      <c r="FNL95" s="15" t="n"/>
      <c r="FNM95" s="248" t="n"/>
      <c r="FNN95" s="248" t="n"/>
      <c r="FNO95" s="240" t="n"/>
      <c r="FNP95" s="240" t="n"/>
      <c r="FNR95" s="15" t="n"/>
      <c r="FNS95" s="15" t="n"/>
      <c r="FNT95" s="248" t="n"/>
      <c r="FNU95" s="248" t="n"/>
      <c r="FNV95" s="240" t="n"/>
      <c r="FNW95" s="240" t="n"/>
      <c r="FNY95" s="15" t="n"/>
      <c r="FNZ95" s="15" t="n"/>
      <c r="FOA95" s="248" t="n"/>
      <c r="FOB95" s="248" t="n"/>
      <c r="FOC95" s="240" t="n"/>
      <c r="FOD95" s="240" t="n"/>
      <c r="FOF95" s="15" t="n"/>
      <c r="FOG95" s="15" t="n"/>
      <c r="FOH95" s="248" t="n"/>
      <c r="FOI95" s="248" t="n"/>
      <c r="FOJ95" s="240" t="n"/>
      <c r="FOK95" s="240" t="n"/>
      <c r="FOM95" s="15" t="n"/>
      <c r="FON95" s="15" t="n"/>
      <c r="FOO95" s="248" t="n"/>
      <c r="FOP95" s="248" t="n"/>
      <c r="FOQ95" s="240" t="n"/>
      <c r="FOR95" s="240" t="n"/>
      <c r="FOT95" s="15" t="n"/>
      <c r="FOU95" s="15" t="n"/>
      <c r="FOV95" s="248" t="n"/>
      <c r="FOW95" s="248" t="n"/>
      <c r="FOX95" s="240" t="n"/>
      <c r="FOY95" s="240" t="n"/>
      <c r="FPA95" s="15" t="n"/>
      <c r="FPB95" s="15" t="n"/>
      <c r="FPC95" s="248" t="n"/>
      <c r="FPD95" s="248" t="n"/>
      <c r="FPE95" s="240" t="n"/>
      <c r="FPF95" s="240" t="n"/>
      <c r="FPH95" s="15" t="n"/>
      <c r="FPI95" s="15" t="n"/>
      <c r="FPJ95" s="248" t="n"/>
      <c r="FPK95" s="248" t="n"/>
      <c r="FPL95" s="240" t="n"/>
      <c r="FPM95" s="240" t="n"/>
      <c r="FPO95" s="15" t="n"/>
      <c r="FPP95" s="15" t="n"/>
      <c r="FPQ95" s="248" t="n"/>
      <c r="FPR95" s="248" t="n"/>
      <c r="FPS95" s="240" t="n"/>
      <c r="FPT95" s="240" t="n"/>
      <c r="FPV95" s="15" t="n"/>
      <c r="FPW95" s="15" t="n"/>
      <c r="FPX95" s="248" t="n"/>
      <c r="FPY95" s="248" t="n"/>
      <c r="FPZ95" s="240" t="n"/>
      <c r="FQA95" s="240" t="n"/>
      <c r="FQC95" s="15" t="n"/>
      <c r="FQD95" s="15" t="n"/>
      <c r="FQE95" s="248" t="n"/>
      <c r="FQF95" s="248" t="n"/>
      <c r="FQG95" s="240" t="n"/>
      <c r="FQH95" s="240" t="n"/>
      <c r="FQJ95" s="15" t="n"/>
      <c r="FQK95" s="15" t="n"/>
      <c r="FQL95" s="248" t="n"/>
      <c r="FQM95" s="248" t="n"/>
      <c r="FQN95" s="240" t="n"/>
      <c r="FQO95" s="240" t="n"/>
      <c r="FQQ95" s="15" t="n"/>
      <c r="FQR95" s="15" t="n"/>
      <c r="FQS95" s="248" t="n"/>
      <c r="FQT95" s="248" t="n"/>
      <c r="FQU95" s="240" t="n"/>
      <c r="FQV95" s="240" t="n"/>
      <c r="FQX95" s="15" t="n"/>
      <c r="FQY95" s="15" t="n"/>
      <c r="FQZ95" s="248" t="n"/>
      <c r="FRA95" s="248" t="n"/>
      <c r="FRB95" s="240" t="n"/>
      <c r="FRC95" s="240" t="n"/>
      <c r="FRE95" s="15" t="n"/>
      <c r="FRF95" s="15" t="n"/>
      <c r="FRG95" s="248" t="n"/>
      <c r="FRH95" s="248" t="n"/>
      <c r="FRI95" s="240" t="n"/>
      <c r="FRJ95" s="240" t="n"/>
      <c r="FRL95" s="15" t="n"/>
      <c r="FRM95" s="15" t="n"/>
      <c r="FRN95" s="248" t="n"/>
      <c r="FRO95" s="248" t="n"/>
      <c r="FRP95" s="240" t="n"/>
      <c r="FRQ95" s="240" t="n"/>
      <c r="FRS95" s="15" t="n"/>
      <c r="FRT95" s="15" t="n"/>
      <c r="FRU95" s="248" t="n"/>
      <c r="FRV95" s="248" t="n"/>
      <c r="FRW95" s="240" t="n"/>
      <c r="FRX95" s="240" t="n"/>
      <c r="FRZ95" s="15" t="n"/>
      <c r="FSA95" s="15" t="n"/>
      <c r="FSB95" s="248" t="n"/>
      <c r="FSC95" s="248" t="n"/>
      <c r="FSD95" s="240" t="n"/>
      <c r="FSE95" s="240" t="n"/>
      <c r="FSG95" s="15" t="n"/>
      <c r="FSH95" s="15" t="n"/>
      <c r="FSI95" s="248" t="n"/>
      <c r="FSJ95" s="248" t="n"/>
      <c r="FSK95" s="240" t="n"/>
      <c r="FSL95" s="240" t="n"/>
      <c r="FSN95" s="15" t="n"/>
      <c r="FSO95" s="15" t="n"/>
      <c r="FSP95" s="248" t="n"/>
      <c r="FSQ95" s="248" t="n"/>
      <c r="FSR95" s="240" t="n"/>
      <c r="FSS95" s="240" t="n"/>
      <c r="FSU95" s="15" t="n"/>
      <c r="FSV95" s="15" t="n"/>
      <c r="FSW95" s="248" t="n"/>
      <c r="FSX95" s="248" t="n"/>
      <c r="FSY95" s="240" t="n"/>
      <c r="FSZ95" s="240" t="n"/>
      <c r="FTB95" s="15" t="n"/>
      <c r="FTC95" s="15" t="n"/>
      <c r="FTD95" s="248" t="n"/>
      <c r="FTE95" s="248" t="n"/>
      <c r="FTF95" s="240" t="n"/>
      <c r="FTG95" s="240" t="n"/>
      <c r="FTI95" s="15" t="n"/>
      <c r="FTJ95" s="15" t="n"/>
      <c r="FTK95" s="248" t="n"/>
      <c r="FTL95" s="248" t="n"/>
      <c r="FTM95" s="240" t="n"/>
      <c r="FTN95" s="240" t="n"/>
      <c r="FTP95" s="15" t="n"/>
      <c r="FTQ95" s="15" t="n"/>
      <c r="FTR95" s="248" t="n"/>
      <c r="FTS95" s="248" t="n"/>
      <c r="FTT95" s="240" t="n"/>
      <c r="FTU95" s="240" t="n"/>
      <c r="FTW95" s="15" t="n"/>
      <c r="FTX95" s="15" t="n"/>
      <c r="FTY95" s="248" t="n"/>
      <c r="FTZ95" s="248" t="n"/>
      <c r="FUA95" s="240" t="n"/>
      <c r="FUB95" s="240" t="n"/>
      <c r="FUD95" s="15" t="n"/>
      <c r="FUE95" s="15" t="n"/>
      <c r="FUF95" s="248" t="n"/>
      <c r="FUG95" s="248" t="n"/>
      <c r="FUH95" s="240" t="n"/>
      <c r="FUI95" s="240" t="n"/>
      <c r="FUK95" s="15" t="n"/>
      <c r="FUL95" s="15" t="n"/>
      <c r="FUM95" s="248" t="n"/>
      <c r="FUN95" s="248" t="n"/>
      <c r="FUO95" s="240" t="n"/>
      <c r="FUP95" s="240" t="n"/>
      <c r="FUR95" s="15" t="n"/>
      <c r="FUS95" s="15" t="n"/>
      <c r="FUT95" s="248" t="n"/>
      <c r="FUU95" s="248" t="n"/>
      <c r="FUV95" s="240" t="n"/>
      <c r="FUW95" s="240" t="n"/>
      <c r="FUY95" s="15" t="n"/>
      <c r="FUZ95" s="15" t="n"/>
      <c r="FVA95" s="248" t="n"/>
      <c r="FVB95" s="248" t="n"/>
      <c r="FVC95" s="240" t="n"/>
      <c r="FVD95" s="240" t="n"/>
      <c r="FVF95" s="15" t="n"/>
      <c r="FVG95" s="15" t="n"/>
      <c r="FVH95" s="248" t="n"/>
      <c r="FVI95" s="248" t="n"/>
      <c r="FVJ95" s="240" t="n"/>
      <c r="FVK95" s="240" t="n"/>
      <c r="FVM95" s="15" t="n"/>
      <c r="FVN95" s="15" t="n"/>
      <c r="FVO95" s="248" t="n"/>
      <c r="FVP95" s="248" t="n"/>
      <c r="FVQ95" s="240" t="n"/>
      <c r="FVR95" s="240" t="n"/>
      <c r="FVT95" s="15" t="n"/>
      <c r="FVU95" s="15" t="n"/>
      <c r="FVV95" s="248" t="n"/>
      <c r="FVW95" s="248" t="n"/>
      <c r="FVX95" s="240" t="n"/>
      <c r="FVY95" s="240" t="n"/>
      <c r="FWA95" s="15" t="n"/>
      <c r="FWB95" s="15" t="n"/>
      <c r="FWC95" s="248" t="n"/>
      <c r="FWD95" s="248" t="n"/>
      <c r="FWE95" s="240" t="n"/>
      <c r="FWF95" s="240" t="n"/>
      <c r="FWH95" s="15" t="n"/>
      <c r="FWI95" s="15" t="n"/>
      <c r="FWJ95" s="248" t="n"/>
      <c r="FWK95" s="248" t="n"/>
      <c r="FWL95" s="240" t="n"/>
      <c r="FWM95" s="240" t="n"/>
      <c r="FWO95" s="15" t="n"/>
      <c r="FWP95" s="15" t="n"/>
      <c r="FWQ95" s="248" t="n"/>
      <c r="FWR95" s="248" t="n"/>
      <c r="FWS95" s="240" t="n"/>
      <c r="FWT95" s="240" t="n"/>
      <c r="FWV95" s="15" t="n"/>
      <c r="FWW95" s="15" t="n"/>
      <c r="FWX95" s="248" t="n"/>
      <c r="FWY95" s="248" t="n"/>
      <c r="FWZ95" s="240" t="n"/>
      <c r="FXA95" s="240" t="n"/>
      <c r="FXC95" s="15" t="n"/>
      <c r="FXD95" s="15" t="n"/>
      <c r="FXE95" s="248" t="n"/>
      <c r="FXF95" s="248" t="n"/>
      <c r="FXG95" s="240" t="n"/>
      <c r="FXH95" s="240" t="n"/>
      <c r="FXJ95" s="15" t="n"/>
      <c r="FXK95" s="15" t="n"/>
      <c r="FXL95" s="248" t="n"/>
      <c r="FXM95" s="248" t="n"/>
      <c r="FXN95" s="240" t="n"/>
      <c r="FXO95" s="240" t="n"/>
      <c r="FXQ95" s="15" t="n"/>
      <c r="FXR95" s="15" t="n"/>
      <c r="FXS95" s="248" t="n"/>
      <c r="FXT95" s="248" t="n"/>
      <c r="FXU95" s="240" t="n"/>
      <c r="FXV95" s="240" t="n"/>
      <c r="FXX95" s="15" t="n"/>
      <c r="FXY95" s="15" t="n"/>
      <c r="FXZ95" s="248" t="n"/>
      <c r="FYA95" s="248" t="n"/>
      <c r="FYB95" s="240" t="n"/>
      <c r="FYC95" s="240" t="n"/>
      <c r="FYE95" s="15" t="n"/>
      <c r="FYF95" s="15" t="n"/>
      <c r="FYG95" s="248" t="n"/>
      <c r="FYH95" s="248" t="n"/>
      <c r="FYI95" s="240" t="n"/>
      <c r="FYJ95" s="240" t="n"/>
      <c r="FYL95" s="15" t="n"/>
      <c r="FYM95" s="15" t="n"/>
      <c r="FYN95" s="248" t="n"/>
      <c r="FYO95" s="248" t="n"/>
      <c r="FYP95" s="240" t="n"/>
      <c r="FYQ95" s="240" t="n"/>
      <c r="FYS95" s="15" t="n"/>
      <c r="FYT95" s="15" t="n"/>
      <c r="FYU95" s="248" t="n"/>
      <c r="FYV95" s="248" t="n"/>
      <c r="FYW95" s="240" t="n"/>
      <c r="FYX95" s="240" t="n"/>
      <c r="FYZ95" s="15" t="n"/>
      <c r="FZA95" s="15" t="n"/>
      <c r="FZB95" s="248" t="n"/>
      <c r="FZC95" s="248" t="n"/>
      <c r="FZD95" s="240" t="n"/>
      <c r="FZE95" s="240" t="n"/>
      <c r="FZG95" s="15" t="n"/>
      <c r="FZH95" s="15" t="n"/>
      <c r="FZI95" s="248" t="n"/>
      <c r="FZJ95" s="248" t="n"/>
      <c r="FZK95" s="240" t="n"/>
      <c r="FZL95" s="240" t="n"/>
      <c r="FZN95" s="15" t="n"/>
      <c r="FZO95" s="15" t="n"/>
      <c r="FZP95" s="248" t="n"/>
      <c r="FZQ95" s="248" t="n"/>
      <c r="FZR95" s="240" t="n"/>
      <c r="FZS95" s="240" t="n"/>
      <c r="FZU95" s="15" t="n"/>
      <c r="FZV95" s="15" t="n"/>
      <c r="FZW95" s="248" t="n"/>
      <c r="FZX95" s="248" t="n"/>
      <c r="FZY95" s="240" t="n"/>
      <c r="FZZ95" s="240" t="n"/>
      <c r="GAB95" s="15" t="n"/>
      <c r="GAC95" s="15" t="n"/>
      <c r="GAD95" s="248" t="n"/>
      <c r="GAE95" s="248" t="n"/>
      <c r="GAF95" s="240" t="n"/>
      <c r="GAG95" s="240" t="n"/>
      <c r="GAI95" s="15" t="n"/>
      <c r="GAJ95" s="15" t="n"/>
      <c r="GAK95" s="248" t="n"/>
      <c r="GAL95" s="248" t="n"/>
      <c r="GAM95" s="240" t="n"/>
      <c r="GAN95" s="240" t="n"/>
      <c r="GAP95" s="15" t="n"/>
      <c r="GAQ95" s="15" t="n"/>
      <c r="GAR95" s="248" t="n"/>
      <c r="GAS95" s="248" t="n"/>
      <c r="GAT95" s="240" t="n"/>
      <c r="GAU95" s="240" t="n"/>
      <c r="GAW95" s="15" t="n"/>
      <c r="GAX95" s="15" t="n"/>
      <c r="GAY95" s="248" t="n"/>
      <c r="GAZ95" s="248" t="n"/>
      <c r="GBA95" s="240" t="n"/>
      <c r="GBB95" s="240" t="n"/>
      <c r="GBD95" s="15" t="n"/>
      <c r="GBE95" s="15" t="n"/>
      <c r="GBF95" s="248" t="n"/>
      <c r="GBG95" s="248" t="n"/>
      <c r="GBH95" s="240" t="n"/>
      <c r="GBI95" s="240" t="n"/>
      <c r="GBK95" s="15" t="n"/>
      <c r="GBL95" s="15" t="n"/>
      <c r="GBM95" s="248" t="n"/>
      <c r="GBN95" s="248" t="n"/>
      <c r="GBO95" s="240" t="n"/>
      <c r="GBP95" s="240" t="n"/>
      <c r="GBR95" s="15" t="n"/>
      <c r="GBS95" s="15" t="n"/>
      <c r="GBT95" s="248" t="n"/>
      <c r="GBU95" s="248" t="n"/>
      <c r="GBV95" s="240" t="n"/>
      <c r="GBW95" s="240" t="n"/>
      <c r="GBY95" s="15" t="n"/>
      <c r="GBZ95" s="15" t="n"/>
      <c r="GCA95" s="248" t="n"/>
      <c r="GCB95" s="248" t="n"/>
      <c r="GCC95" s="240" t="n"/>
      <c r="GCD95" s="240" t="n"/>
      <c r="GCF95" s="15" t="n"/>
      <c r="GCG95" s="15" t="n"/>
      <c r="GCH95" s="248" t="n"/>
      <c r="GCI95" s="248" t="n"/>
      <c r="GCJ95" s="240" t="n"/>
      <c r="GCK95" s="240" t="n"/>
      <c r="GCM95" s="15" t="n"/>
      <c r="GCN95" s="15" t="n"/>
      <c r="GCO95" s="248" t="n"/>
      <c r="GCP95" s="248" t="n"/>
      <c r="GCQ95" s="240" t="n"/>
      <c r="GCR95" s="240" t="n"/>
      <c r="GCT95" s="15" t="n"/>
      <c r="GCU95" s="15" t="n"/>
      <c r="GCV95" s="248" t="n"/>
      <c r="GCW95" s="248" t="n"/>
      <c r="GCX95" s="240" t="n"/>
      <c r="GCY95" s="240" t="n"/>
      <c r="GDA95" s="15" t="n"/>
      <c r="GDB95" s="15" t="n"/>
      <c r="GDC95" s="248" t="n"/>
      <c r="GDD95" s="248" t="n"/>
      <c r="GDE95" s="240" t="n"/>
      <c r="GDF95" s="240" t="n"/>
      <c r="GDH95" s="15" t="n"/>
      <c r="GDI95" s="15" t="n"/>
      <c r="GDJ95" s="248" t="n"/>
      <c r="GDK95" s="248" t="n"/>
      <c r="GDL95" s="240" t="n"/>
      <c r="GDM95" s="240" t="n"/>
      <c r="GDO95" s="15" t="n"/>
      <c r="GDP95" s="15" t="n"/>
      <c r="GDQ95" s="248" t="n"/>
      <c r="GDR95" s="248" t="n"/>
      <c r="GDS95" s="240" t="n"/>
      <c r="GDT95" s="240" t="n"/>
      <c r="GDV95" s="15" t="n"/>
      <c r="GDW95" s="15" t="n"/>
      <c r="GDX95" s="248" t="n"/>
      <c r="GDY95" s="248" t="n"/>
      <c r="GDZ95" s="240" t="n"/>
      <c r="GEA95" s="240" t="n"/>
      <c r="GEC95" s="15" t="n"/>
      <c r="GED95" s="15" t="n"/>
      <c r="GEE95" s="248" t="n"/>
      <c r="GEF95" s="248" t="n"/>
      <c r="GEG95" s="240" t="n"/>
      <c r="GEH95" s="240" t="n"/>
      <c r="GEJ95" s="15" t="n"/>
      <c r="GEK95" s="15" t="n"/>
      <c r="GEL95" s="248" t="n"/>
      <c r="GEM95" s="248" t="n"/>
      <c r="GEN95" s="240" t="n"/>
      <c r="GEO95" s="240" t="n"/>
      <c r="GEQ95" s="15" t="n"/>
      <c r="GER95" s="15" t="n"/>
      <c r="GES95" s="248" t="n"/>
      <c r="GET95" s="248" t="n"/>
      <c r="GEU95" s="240" t="n"/>
      <c r="GEV95" s="240" t="n"/>
      <c r="GEX95" s="15" t="n"/>
      <c r="GEY95" s="15" t="n"/>
      <c r="GEZ95" s="248" t="n"/>
      <c r="GFA95" s="248" t="n"/>
      <c r="GFB95" s="240" t="n"/>
      <c r="GFC95" s="240" t="n"/>
      <c r="GFE95" s="15" t="n"/>
      <c r="GFF95" s="15" t="n"/>
      <c r="GFG95" s="248" t="n"/>
      <c r="GFH95" s="248" t="n"/>
      <c r="GFI95" s="240" t="n"/>
      <c r="GFJ95" s="240" t="n"/>
      <c r="GFL95" s="15" t="n"/>
      <c r="GFM95" s="15" t="n"/>
      <c r="GFN95" s="248" t="n"/>
      <c r="GFO95" s="248" t="n"/>
      <c r="GFP95" s="240" t="n"/>
      <c r="GFQ95" s="240" t="n"/>
      <c r="GFS95" s="15" t="n"/>
      <c r="GFT95" s="15" t="n"/>
      <c r="GFU95" s="248" t="n"/>
      <c r="GFV95" s="248" t="n"/>
      <c r="GFW95" s="240" t="n"/>
      <c r="GFX95" s="240" t="n"/>
      <c r="GFZ95" s="15" t="n"/>
      <c r="GGA95" s="15" t="n"/>
      <c r="GGB95" s="248" t="n"/>
      <c r="GGC95" s="248" t="n"/>
      <c r="GGD95" s="240" t="n"/>
      <c r="GGE95" s="240" t="n"/>
      <c r="GGG95" s="15" t="n"/>
      <c r="GGH95" s="15" t="n"/>
      <c r="GGI95" s="248" t="n"/>
      <c r="GGJ95" s="248" t="n"/>
      <c r="GGK95" s="240" t="n"/>
      <c r="GGL95" s="240" t="n"/>
      <c r="GGN95" s="15" t="n"/>
      <c r="GGO95" s="15" t="n"/>
      <c r="GGP95" s="248" t="n"/>
      <c r="GGQ95" s="248" t="n"/>
      <c r="GGR95" s="240" t="n"/>
      <c r="GGS95" s="240" t="n"/>
      <c r="GGU95" s="15" t="n"/>
      <c r="GGV95" s="15" t="n"/>
      <c r="GGW95" s="248" t="n"/>
      <c r="GGX95" s="248" t="n"/>
      <c r="GGY95" s="240" t="n"/>
      <c r="GGZ95" s="240" t="n"/>
      <c r="GHB95" s="15" t="n"/>
      <c r="GHC95" s="15" t="n"/>
      <c r="GHD95" s="248" t="n"/>
      <c r="GHE95" s="248" t="n"/>
      <c r="GHF95" s="240" t="n"/>
      <c r="GHG95" s="240" t="n"/>
      <c r="GHI95" s="15" t="n"/>
      <c r="GHJ95" s="15" t="n"/>
      <c r="GHK95" s="248" t="n"/>
      <c r="GHL95" s="248" t="n"/>
      <c r="GHM95" s="240" t="n"/>
      <c r="GHN95" s="240" t="n"/>
      <c r="GHP95" s="15" t="n"/>
      <c r="GHQ95" s="15" t="n"/>
      <c r="GHR95" s="248" t="n"/>
      <c r="GHS95" s="248" t="n"/>
      <c r="GHT95" s="240" t="n"/>
      <c r="GHU95" s="240" t="n"/>
      <c r="GHW95" s="15" t="n"/>
      <c r="GHX95" s="15" t="n"/>
      <c r="GHY95" s="248" t="n"/>
      <c r="GHZ95" s="248" t="n"/>
      <c r="GIA95" s="240" t="n"/>
      <c r="GIB95" s="240" t="n"/>
      <c r="GID95" s="15" t="n"/>
      <c r="GIE95" s="15" t="n"/>
      <c r="GIF95" s="248" t="n"/>
      <c r="GIG95" s="248" t="n"/>
      <c r="GIH95" s="240" t="n"/>
      <c r="GII95" s="240" t="n"/>
      <c r="GIK95" s="15" t="n"/>
      <c r="GIL95" s="15" t="n"/>
      <c r="GIM95" s="248" t="n"/>
      <c r="GIN95" s="248" t="n"/>
      <c r="GIO95" s="240" t="n"/>
      <c r="GIP95" s="240" t="n"/>
      <c r="GIR95" s="15" t="n"/>
      <c r="GIS95" s="15" t="n"/>
      <c r="GIT95" s="248" t="n"/>
      <c r="GIU95" s="248" t="n"/>
      <c r="GIV95" s="240" t="n"/>
      <c r="GIW95" s="240" t="n"/>
      <c r="GIY95" s="15" t="n"/>
      <c r="GIZ95" s="15" t="n"/>
      <c r="GJA95" s="248" t="n"/>
      <c r="GJB95" s="248" t="n"/>
      <c r="GJC95" s="240" t="n"/>
      <c r="GJD95" s="240" t="n"/>
      <c r="GJF95" s="15" t="n"/>
      <c r="GJG95" s="15" t="n"/>
      <c r="GJH95" s="248" t="n"/>
      <c r="GJI95" s="248" t="n"/>
      <c r="GJJ95" s="240" t="n"/>
      <c r="GJK95" s="240" t="n"/>
      <c r="GJM95" s="15" t="n"/>
      <c r="GJN95" s="15" t="n"/>
      <c r="GJO95" s="248" t="n"/>
      <c r="GJP95" s="248" t="n"/>
      <c r="GJQ95" s="240" t="n"/>
      <c r="GJR95" s="240" t="n"/>
      <c r="GJT95" s="15" t="n"/>
      <c r="GJU95" s="15" t="n"/>
      <c r="GJV95" s="248" t="n"/>
      <c r="GJW95" s="248" t="n"/>
      <c r="GJX95" s="240" t="n"/>
      <c r="GJY95" s="240" t="n"/>
      <c r="GKA95" s="15" t="n"/>
      <c r="GKB95" s="15" t="n"/>
      <c r="GKC95" s="248" t="n"/>
      <c r="GKD95" s="248" t="n"/>
      <c r="GKE95" s="240" t="n"/>
      <c r="GKF95" s="240" t="n"/>
      <c r="GKH95" s="15" t="n"/>
      <c r="GKI95" s="15" t="n"/>
      <c r="GKJ95" s="248" t="n"/>
      <c r="GKK95" s="248" t="n"/>
      <c r="GKL95" s="240" t="n"/>
      <c r="GKM95" s="240" t="n"/>
      <c r="GKO95" s="15" t="n"/>
      <c r="GKP95" s="15" t="n"/>
      <c r="GKQ95" s="248" t="n"/>
      <c r="GKR95" s="248" t="n"/>
      <c r="GKS95" s="240" t="n"/>
      <c r="GKT95" s="240" t="n"/>
      <c r="GKV95" s="15" t="n"/>
      <c r="GKW95" s="15" t="n"/>
      <c r="GKX95" s="248" t="n"/>
      <c r="GKY95" s="248" t="n"/>
      <c r="GKZ95" s="240" t="n"/>
      <c r="GLA95" s="240" t="n"/>
      <c r="GLC95" s="15" t="n"/>
      <c r="GLD95" s="15" t="n"/>
      <c r="GLE95" s="248" t="n"/>
      <c r="GLF95" s="248" t="n"/>
      <c r="GLG95" s="240" t="n"/>
      <c r="GLH95" s="240" t="n"/>
      <c r="GLJ95" s="15" t="n"/>
      <c r="GLK95" s="15" t="n"/>
      <c r="GLL95" s="248" t="n"/>
      <c r="GLM95" s="248" t="n"/>
      <c r="GLN95" s="240" t="n"/>
      <c r="GLO95" s="240" t="n"/>
      <c r="GLQ95" s="15" t="n"/>
      <c r="GLR95" s="15" t="n"/>
      <c r="GLS95" s="248" t="n"/>
      <c r="GLT95" s="248" t="n"/>
      <c r="GLU95" s="240" t="n"/>
      <c r="GLV95" s="240" t="n"/>
      <c r="GLX95" s="15" t="n"/>
      <c r="GLY95" s="15" t="n"/>
      <c r="GLZ95" s="248" t="n"/>
      <c r="GMA95" s="248" t="n"/>
      <c r="GMB95" s="240" t="n"/>
      <c r="GMC95" s="240" t="n"/>
      <c r="GME95" s="15" t="n"/>
      <c r="GMF95" s="15" t="n"/>
      <c r="GMG95" s="248" t="n"/>
      <c r="GMH95" s="248" t="n"/>
      <c r="GMI95" s="240" t="n"/>
      <c r="GMJ95" s="240" t="n"/>
      <c r="GML95" s="15" t="n"/>
      <c r="GMM95" s="15" t="n"/>
      <c r="GMN95" s="248" t="n"/>
      <c r="GMO95" s="248" t="n"/>
      <c r="GMP95" s="240" t="n"/>
      <c r="GMQ95" s="240" t="n"/>
      <c r="GMS95" s="15" t="n"/>
      <c r="GMT95" s="15" t="n"/>
      <c r="GMU95" s="248" t="n"/>
      <c r="GMV95" s="248" t="n"/>
      <c r="GMW95" s="240" t="n"/>
      <c r="GMX95" s="240" t="n"/>
      <c r="GMZ95" s="15" t="n"/>
      <c r="GNA95" s="15" t="n"/>
      <c r="GNB95" s="248" t="n"/>
      <c r="GNC95" s="248" t="n"/>
      <c r="GND95" s="240" t="n"/>
      <c r="GNE95" s="240" t="n"/>
      <c r="GNG95" s="15" t="n"/>
      <c r="GNH95" s="15" t="n"/>
      <c r="GNI95" s="248" t="n"/>
      <c r="GNJ95" s="248" t="n"/>
      <c r="GNK95" s="240" t="n"/>
      <c r="GNL95" s="240" t="n"/>
      <c r="GNN95" s="15" t="n"/>
      <c r="GNO95" s="15" t="n"/>
      <c r="GNP95" s="248" t="n"/>
      <c r="GNQ95" s="248" t="n"/>
      <c r="GNR95" s="240" t="n"/>
      <c r="GNS95" s="240" t="n"/>
      <c r="GNU95" s="15" t="n"/>
      <c r="GNV95" s="15" t="n"/>
      <c r="GNW95" s="248" t="n"/>
      <c r="GNX95" s="248" t="n"/>
      <c r="GNY95" s="240" t="n"/>
      <c r="GNZ95" s="240" t="n"/>
      <c r="GOB95" s="15" t="n"/>
      <c r="GOC95" s="15" t="n"/>
      <c r="GOD95" s="248" t="n"/>
      <c r="GOE95" s="248" t="n"/>
      <c r="GOF95" s="240" t="n"/>
      <c r="GOG95" s="240" t="n"/>
      <c r="GOI95" s="15" t="n"/>
      <c r="GOJ95" s="15" t="n"/>
      <c r="GOK95" s="248" t="n"/>
      <c r="GOL95" s="248" t="n"/>
      <c r="GOM95" s="240" t="n"/>
      <c r="GON95" s="240" t="n"/>
      <c r="GOP95" s="15" t="n"/>
      <c r="GOQ95" s="15" t="n"/>
      <c r="GOR95" s="248" t="n"/>
      <c r="GOS95" s="248" t="n"/>
      <c r="GOT95" s="240" t="n"/>
      <c r="GOU95" s="240" t="n"/>
      <c r="GOW95" s="15" t="n"/>
      <c r="GOX95" s="15" t="n"/>
      <c r="GOY95" s="248" t="n"/>
      <c r="GOZ95" s="248" t="n"/>
      <c r="GPA95" s="240" t="n"/>
      <c r="GPB95" s="240" t="n"/>
      <c r="GPD95" s="15" t="n"/>
      <c r="GPE95" s="15" t="n"/>
      <c r="GPF95" s="248" t="n"/>
      <c r="GPG95" s="248" t="n"/>
      <c r="GPH95" s="240" t="n"/>
      <c r="GPI95" s="240" t="n"/>
      <c r="GPK95" s="15" t="n"/>
      <c r="GPL95" s="15" t="n"/>
      <c r="GPM95" s="248" t="n"/>
      <c r="GPN95" s="248" t="n"/>
      <c r="GPO95" s="240" t="n"/>
      <c r="GPP95" s="240" t="n"/>
      <c r="GPR95" s="15" t="n"/>
      <c r="GPS95" s="15" t="n"/>
      <c r="GPT95" s="248" t="n"/>
      <c r="GPU95" s="248" t="n"/>
      <c r="GPV95" s="240" t="n"/>
      <c r="GPW95" s="240" t="n"/>
      <c r="GPY95" s="15" t="n"/>
      <c r="GPZ95" s="15" t="n"/>
      <c r="GQA95" s="248" t="n"/>
      <c r="GQB95" s="248" t="n"/>
      <c r="GQC95" s="240" t="n"/>
      <c r="GQD95" s="240" t="n"/>
      <c r="GQF95" s="15" t="n"/>
      <c r="GQG95" s="15" t="n"/>
      <c r="GQH95" s="248" t="n"/>
      <c r="GQI95" s="248" t="n"/>
      <c r="GQJ95" s="240" t="n"/>
      <c r="GQK95" s="240" t="n"/>
      <c r="GQM95" s="15" t="n"/>
      <c r="GQN95" s="15" t="n"/>
      <c r="GQO95" s="248" t="n"/>
      <c r="GQP95" s="248" t="n"/>
      <c r="GQQ95" s="240" t="n"/>
      <c r="GQR95" s="240" t="n"/>
      <c r="GQT95" s="15" t="n"/>
      <c r="GQU95" s="15" t="n"/>
      <c r="GQV95" s="248" t="n"/>
      <c r="GQW95" s="248" t="n"/>
      <c r="GQX95" s="240" t="n"/>
      <c r="GQY95" s="240" t="n"/>
      <c r="GRA95" s="15" t="n"/>
      <c r="GRB95" s="15" t="n"/>
      <c r="GRC95" s="248" t="n"/>
      <c r="GRD95" s="248" t="n"/>
      <c r="GRE95" s="240" t="n"/>
      <c r="GRF95" s="240" t="n"/>
      <c r="GRH95" s="15" t="n"/>
      <c r="GRI95" s="15" t="n"/>
      <c r="GRJ95" s="248" t="n"/>
      <c r="GRK95" s="248" t="n"/>
      <c r="GRL95" s="240" t="n"/>
      <c r="GRM95" s="240" t="n"/>
      <c r="GRO95" s="15" t="n"/>
      <c r="GRP95" s="15" t="n"/>
      <c r="GRQ95" s="248" t="n"/>
      <c r="GRR95" s="248" t="n"/>
      <c r="GRS95" s="240" t="n"/>
      <c r="GRT95" s="240" t="n"/>
      <c r="GRV95" s="15" t="n"/>
      <c r="GRW95" s="15" t="n"/>
      <c r="GRX95" s="248" t="n"/>
      <c r="GRY95" s="248" t="n"/>
      <c r="GRZ95" s="240" t="n"/>
      <c r="GSA95" s="240" t="n"/>
      <c r="GSC95" s="15" t="n"/>
      <c r="GSD95" s="15" t="n"/>
      <c r="GSE95" s="248" t="n"/>
      <c r="GSF95" s="248" t="n"/>
      <c r="GSG95" s="240" t="n"/>
      <c r="GSH95" s="240" t="n"/>
      <c r="GSJ95" s="15" t="n"/>
      <c r="GSK95" s="15" t="n"/>
      <c r="GSL95" s="248" t="n"/>
      <c r="GSM95" s="248" t="n"/>
      <c r="GSN95" s="240" t="n"/>
      <c r="GSO95" s="240" t="n"/>
      <c r="GSQ95" s="15" t="n"/>
      <c r="GSR95" s="15" t="n"/>
      <c r="GSS95" s="248" t="n"/>
      <c r="GST95" s="248" t="n"/>
      <c r="GSU95" s="240" t="n"/>
      <c r="GSV95" s="240" t="n"/>
      <c r="GSX95" s="15" t="n"/>
      <c r="GSY95" s="15" t="n"/>
      <c r="GSZ95" s="248" t="n"/>
      <c r="GTA95" s="248" t="n"/>
      <c r="GTB95" s="240" t="n"/>
      <c r="GTC95" s="240" t="n"/>
      <c r="GTE95" s="15" t="n"/>
      <c r="GTF95" s="15" t="n"/>
      <c r="GTG95" s="248" t="n"/>
      <c r="GTH95" s="248" t="n"/>
      <c r="GTI95" s="240" t="n"/>
      <c r="GTJ95" s="240" t="n"/>
      <c r="GTL95" s="15" t="n"/>
      <c r="GTM95" s="15" t="n"/>
      <c r="GTN95" s="248" t="n"/>
      <c r="GTO95" s="248" t="n"/>
      <c r="GTP95" s="240" t="n"/>
      <c r="GTQ95" s="240" t="n"/>
      <c r="GTS95" s="15" t="n"/>
      <c r="GTT95" s="15" t="n"/>
      <c r="GTU95" s="248" t="n"/>
      <c r="GTV95" s="248" t="n"/>
      <c r="GTW95" s="240" t="n"/>
      <c r="GTX95" s="240" t="n"/>
      <c r="GTZ95" s="15" t="n"/>
      <c r="GUA95" s="15" t="n"/>
      <c r="GUB95" s="248" t="n"/>
      <c r="GUC95" s="248" t="n"/>
      <c r="GUD95" s="240" t="n"/>
      <c r="GUE95" s="240" t="n"/>
      <c r="GUG95" s="15" t="n"/>
      <c r="GUH95" s="15" t="n"/>
      <c r="GUI95" s="248" t="n"/>
      <c r="GUJ95" s="248" t="n"/>
      <c r="GUK95" s="240" t="n"/>
      <c r="GUL95" s="240" t="n"/>
      <c r="GUN95" s="15" t="n"/>
      <c r="GUO95" s="15" t="n"/>
      <c r="GUP95" s="248" t="n"/>
      <c r="GUQ95" s="248" t="n"/>
      <c r="GUR95" s="240" t="n"/>
      <c r="GUS95" s="240" t="n"/>
      <c r="GUU95" s="15" t="n"/>
      <c r="GUV95" s="15" t="n"/>
      <c r="GUW95" s="248" t="n"/>
      <c r="GUX95" s="248" t="n"/>
      <c r="GUY95" s="240" t="n"/>
      <c r="GUZ95" s="240" t="n"/>
      <c r="GVB95" s="15" t="n"/>
      <c r="GVC95" s="15" t="n"/>
      <c r="GVD95" s="248" t="n"/>
      <c r="GVE95" s="248" t="n"/>
      <c r="GVF95" s="240" t="n"/>
      <c r="GVG95" s="240" t="n"/>
      <c r="GVI95" s="15" t="n"/>
      <c r="GVJ95" s="15" t="n"/>
      <c r="GVK95" s="248" t="n"/>
      <c r="GVL95" s="248" t="n"/>
      <c r="GVM95" s="240" t="n"/>
      <c r="GVN95" s="240" t="n"/>
      <c r="GVP95" s="15" t="n"/>
      <c r="GVQ95" s="15" t="n"/>
      <c r="GVR95" s="248" t="n"/>
      <c r="GVS95" s="248" t="n"/>
      <c r="GVT95" s="240" t="n"/>
      <c r="GVU95" s="240" t="n"/>
      <c r="GVW95" s="15" t="n"/>
      <c r="GVX95" s="15" t="n"/>
      <c r="GVY95" s="248" t="n"/>
      <c r="GVZ95" s="248" t="n"/>
      <c r="GWA95" s="240" t="n"/>
      <c r="GWB95" s="240" t="n"/>
      <c r="GWD95" s="15" t="n"/>
      <c r="GWE95" s="15" t="n"/>
      <c r="GWF95" s="248" t="n"/>
      <c r="GWG95" s="248" t="n"/>
      <c r="GWH95" s="240" t="n"/>
      <c r="GWI95" s="240" t="n"/>
      <c r="GWK95" s="15" t="n"/>
      <c r="GWL95" s="15" t="n"/>
      <c r="GWM95" s="248" t="n"/>
      <c r="GWN95" s="248" t="n"/>
      <c r="GWO95" s="240" t="n"/>
      <c r="GWP95" s="240" t="n"/>
      <c r="GWR95" s="15" t="n"/>
      <c r="GWS95" s="15" t="n"/>
      <c r="GWT95" s="248" t="n"/>
      <c r="GWU95" s="248" t="n"/>
      <c r="GWV95" s="240" t="n"/>
      <c r="GWW95" s="240" t="n"/>
      <c r="GWY95" s="15" t="n"/>
      <c r="GWZ95" s="15" t="n"/>
      <c r="GXA95" s="248" t="n"/>
      <c r="GXB95" s="248" t="n"/>
      <c r="GXC95" s="240" t="n"/>
      <c r="GXD95" s="240" t="n"/>
      <c r="GXF95" s="15" t="n"/>
      <c r="GXG95" s="15" t="n"/>
      <c r="GXH95" s="248" t="n"/>
      <c r="GXI95" s="248" t="n"/>
      <c r="GXJ95" s="240" t="n"/>
      <c r="GXK95" s="240" t="n"/>
      <c r="GXM95" s="15" t="n"/>
      <c r="GXN95" s="15" t="n"/>
      <c r="GXO95" s="248" t="n"/>
      <c r="GXP95" s="248" t="n"/>
      <c r="GXQ95" s="240" t="n"/>
      <c r="GXR95" s="240" t="n"/>
      <c r="GXT95" s="15" t="n"/>
      <c r="GXU95" s="15" t="n"/>
      <c r="GXV95" s="248" t="n"/>
      <c r="GXW95" s="248" t="n"/>
      <c r="GXX95" s="240" t="n"/>
      <c r="GXY95" s="240" t="n"/>
      <c r="GYA95" s="15" t="n"/>
      <c r="GYB95" s="15" t="n"/>
      <c r="GYC95" s="248" t="n"/>
      <c r="GYD95" s="248" t="n"/>
      <c r="GYE95" s="240" t="n"/>
      <c r="GYF95" s="240" t="n"/>
      <c r="GYH95" s="15" t="n"/>
      <c r="GYI95" s="15" t="n"/>
      <c r="GYJ95" s="248" t="n"/>
      <c r="GYK95" s="248" t="n"/>
      <c r="GYL95" s="240" t="n"/>
      <c r="GYM95" s="240" t="n"/>
      <c r="GYO95" s="15" t="n"/>
      <c r="GYP95" s="15" t="n"/>
      <c r="GYQ95" s="248" t="n"/>
      <c r="GYR95" s="248" t="n"/>
      <c r="GYS95" s="240" t="n"/>
      <c r="GYT95" s="240" t="n"/>
      <c r="GYV95" s="15" t="n"/>
      <c r="GYW95" s="15" t="n"/>
      <c r="GYX95" s="248" t="n"/>
      <c r="GYY95" s="248" t="n"/>
      <c r="GYZ95" s="240" t="n"/>
      <c r="GZA95" s="240" t="n"/>
      <c r="GZC95" s="15" t="n"/>
      <c r="GZD95" s="15" t="n"/>
      <c r="GZE95" s="248" t="n"/>
      <c r="GZF95" s="248" t="n"/>
      <c r="GZG95" s="240" t="n"/>
      <c r="GZH95" s="240" t="n"/>
      <c r="GZJ95" s="15" t="n"/>
      <c r="GZK95" s="15" t="n"/>
      <c r="GZL95" s="248" t="n"/>
      <c r="GZM95" s="248" t="n"/>
      <c r="GZN95" s="240" t="n"/>
      <c r="GZO95" s="240" t="n"/>
      <c r="GZQ95" s="15" t="n"/>
      <c r="GZR95" s="15" t="n"/>
      <c r="GZS95" s="248" t="n"/>
      <c r="GZT95" s="248" t="n"/>
      <c r="GZU95" s="240" t="n"/>
      <c r="GZV95" s="240" t="n"/>
      <c r="GZX95" s="15" t="n"/>
      <c r="GZY95" s="15" t="n"/>
      <c r="GZZ95" s="248" t="n"/>
      <c r="HAA95" s="248" t="n"/>
      <c r="HAB95" s="240" t="n"/>
      <c r="HAC95" s="240" t="n"/>
      <c r="HAE95" s="15" t="n"/>
      <c r="HAF95" s="15" t="n"/>
      <c r="HAG95" s="248" t="n"/>
      <c r="HAH95" s="248" t="n"/>
      <c r="HAI95" s="240" t="n"/>
      <c r="HAJ95" s="240" t="n"/>
      <c r="HAL95" s="15" t="n"/>
      <c r="HAM95" s="15" t="n"/>
      <c r="HAN95" s="248" t="n"/>
      <c r="HAO95" s="248" t="n"/>
      <c r="HAP95" s="240" t="n"/>
      <c r="HAQ95" s="240" t="n"/>
      <c r="HAS95" s="15" t="n"/>
      <c r="HAT95" s="15" t="n"/>
      <c r="HAU95" s="248" t="n"/>
      <c r="HAV95" s="248" t="n"/>
      <c r="HAW95" s="240" t="n"/>
      <c r="HAX95" s="240" t="n"/>
      <c r="HAZ95" s="15" t="n"/>
      <c r="HBA95" s="15" t="n"/>
      <c r="HBB95" s="248" t="n"/>
      <c r="HBC95" s="248" t="n"/>
      <c r="HBD95" s="240" t="n"/>
      <c r="HBE95" s="240" t="n"/>
      <c r="HBG95" s="15" t="n"/>
      <c r="HBH95" s="15" t="n"/>
      <c r="HBI95" s="248" t="n"/>
      <c r="HBJ95" s="248" t="n"/>
      <c r="HBK95" s="240" t="n"/>
      <c r="HBL95" s="240" t="n"/>
      <c r="HBN95" s="15" t="n"/>
      <c r="HBO95" s="15" t="n"/>
      <c r="HBP95" s="248" t="n"/>
      <c r="HBQ95" s="248" t="n"/>
      <c r="HBR95" s="240" t="n"/>
      <c r="HBS95" s="240" t="n"/>
      <c r="HBU95" s="15" t="n"/>
      <c r="HBV95" s="15" t="n"/>
      <c r="HBW95" s="248" t="n"/>
      <c r="HBX95" s="248" t="n"/>
      <c r="HBY95" s="240" t="n"/>
      <c r="HBZ95" s="240" t="n"/>
      <c r="HCB95" s="15" t="n"/>
      <c r="HCC95" s="15" t="n"/>
      <c r="HCD95" s="248" t="n"/>
      <c r="HCE95" s="248" t="n"/>
      <c r="HCF95" s="240" t="n"/>
      <c r="HCG95" s="240" t="n"/>
      <c r="HCI95" s="15" t="n"/>
      <c r="HCJ95" s="15" t="n"/>
      <c r="HCK95" s="248" t="n"/>
      <c r="HCL95" s="248" t="n"/>
      <c r="HCM95" s="240" t="n"/>
      <c r="HCN95" s="240" t="n"/>
      <c r="HCP95" s="15" t="n"/>
      <c r="HCQ95" s="15" t="n"/>
      <c r="HCR95" s="248" t="n"/>
      <c r="HCS95" s="248" t="n"/>
      <c r="HCT95" s="240" t="n"/>
      <c r="HCU95" s="240" t="n"/>
      <c r="HCW95" s="15" t="n"/>
      <c r="HCX95" s="15" t="n"/>
      <c r="HCY95" s="248" t="n"/>
      <c r="HCZ95" s="248" t="n"/>
      <c r="HDA95" s="240" t="n"/>
      <c r="HDB95" s="240" t="n"/>
      <c r="HDD95" s="15" t="n"/>
      <c r="HDE95" s="15" t="n"/>
      <c r="HDF95" s="248" t="n"/>
      <c r="HDG95" s="248" t="n"/>
      <c r="HDH95" s="240" t="n"/>
      <c r="HDI95" s="240" t="n"/>
      <c r="HDK95" s="15" t="n"/>
      <c r="HDL95" s="15" t="n"/>
      <c r="HDM95" s="248" t="n"/>
      <c r="HDN95" s="248" t="n"/>
      <c r="HDO95" s="240" t="n"/>
      <c r="HDP95" s="240" t="n"/>
      <c r="HDR95" s="15" t="n"/>
      <c r="HDS95" s="15" t="n"/>
      <c r="HDT95" s="248" t="n"/>
      <c r="HDU95" s="248" t="n"/>
      <c r="HDV95" s="240" t="n"/>
      <c r="HDW95" s="240" t="n"/>
      <c r="HDY95" s="15" t="n"/>
      <c r="HDZ95" s="15" t="n"/>
      <c r="HEA95" s="248" t="n"/>
      <c r="HEB95" s="248" t="n"/>
      <c r="HEC95" s="240" t="n"/>
      <c r="HED95" s="240" t="n"/>
      <c r="HEF95" s="15" t="n"/>
      <c r="HEG95" s="15" t="n"/>
      <c r="HEH95" s="248" t="n"/>
      <c r="HEI95" s="248" t="n"/>
      <c r="HEJ95" s="240" t="n"/>
      <c r="HEK95" s="240" t="n"/>
      <c r="HEM95" s="15" t="n"/>
      <c r="HEN95" s="15" t="n"/>
      <c r="HEO95" s="248" t="n"/>
      <c r="HEP95" s="248" t="n"/>
      <c r="HEQ95" s="240" t="n"/>
      <c r="HER95" s="240" t="n"/>
      <c r="HET95" s="15" t="n"/>
      <c r="HEU95" s="15" t="n"/>
      <c r="HEV95" s="248" t="n"/>
      <c r="HEW95" s="248" t="n"/>
      <c r="HEX95" s="240" t="n"/>
      <c r="HEY95" s="240" t="n"/>
      <c r="HFA95" s="15" t="n"/>
      <c r="HFB95" s="15" t="n"/>
      <c r="HFC95" s="248" t="n"/>
      <c r="HFD95" s="248" t="n"/>
      <c r="HFE95" s="240" t="n"/>
      <c r="HFF95" s="240" t="n"/>
      <c r="HFH95" s="15" t="n"/>
      <c r="HFI95" s="15" t="n"/>
      <c r="HFJ95" s="248" t="n"/>
      <c r="HFK95" s="248" t="n"/>
      <c r="HFL95" s="240" t="n"/>
      <c r="HFM95" s="240" t="n"/>
      <c r="HFO95" s="15" t="n"/>
      <c r="HFP95" s="15" t="n"/>
      <c r="HFQ95" s="248" t="n"/>
      <c r="HFR95" s="248" t="n"/>
      <c r="HFS95" s="240" t="n"/>
      <c r="HFT95" s="240" t="n"/>
      <c r="HFV95" s="15" t="n"/>
      <c r="HFW95" s="15" t="n"/>
      <c r="HFX95" s="248" t="n"/>
      <c r="HFY95" s="248" t="n"/>
      <c r="HFZ95" s="240" t="n"/>
      <c r="HGA95" s="240" t="n"/>
      <c r="HGC95" s="15" t="n"/>
      <c r="HGD95" s="15" t="n"/>
      <c r="HGE95" s="248" t="n"/>
      <c r="HGF95" s="248" t="n"/>
      <c r="HGG95" s="240" t="n"/>
      <c r="HGH95" s="240" t="n"/>
      <c r="HGJ95" s="15" t="n"/>
      <c r="HGK95" s="15" t="n"/>
      <c r="HGL95" s="248" t="n"/>
      <c r="HGM95" s="248" t="n"/>
      <c r="HGN95" s="240" t="n"/>
      <c r="HGO95" s="240" t="n"/>
      <c r="HGQ95" s="15" t="n"/>
      <c r="HGR95" s="15" t="n"/>
      <c r="HGS95" s="248" t="n"/>
      <c r="HGT95" s="248" t="n"/>
      <c r="HGU95" s="240" t="n"/>
      <c r="HGV95" s="240" t="n"/>
      <c r="HGX95" s="15" t="n"/>
      <c r="HGY95" s="15" t="n"/>
      <c r="HGZ95" s="248" t="n"/>
      <c r="HHA95" s="248" t="n"/>
      <c r="HHB95" s="240" t="n"/>
      <c r="HHC95" s="240" t="n"/>
      <c r="HHE95" s="15" t="n"/>
      <c r="HHF95" s="15" t="n"/>
      <c r="HHG95" s="248" t="n"/>
      <c r="HHH95" s="248" t="n"/>
      <c r="HHI95" s="240" t="n"/>
      <c r="HHJ95" s="240" t="n"/>
      <c r="HHL95" s="15" t="n"/>
      <c r="HHM95" s="15" t="n"/>
      <c r="HHN95" s="248" t="n"/>
      <c r="HHO95" s="248" t="n"/>
      <c r="HHP95" s="240" t="n"/>
      <c r="HHQ95" s="240" t="n"/>
      <c r="HHS95" s="15" t="n"/>
      <c r="HHT95" s="15" t="n"/>
      <c r="HHU95" s="248" t="n"/>
      <c r="HHV95" s="248" t="n"/>
      <c r="HHW95" s="240" t="n"/>
      <c r="HHX95" s="240" t="n"/>
      <c r="HHZ95" s="15" t="n"/>
      <c r="HIA95" s="15" t="n"/>
      <c r="HIB95" s="248" t="n"/>
      <c r="HIC95" s="248" t="n"/>
      <c r="HID95" s="240" t="n"/>
      <c r="HIE95" s="240" t="n"/>
      <c r="HIG95" s="15" t="n"/>
      <c r="HIH95" s="15" t="n"/>
      <c r="HII95" s="248" t="n"/>
      <c r="HIJ95" s="248" t="n"/>
      <c r="HIK95" s="240" t="n"/>
      <c r="HIL95" s="240" t="n"/>
      <c r="HIN95" s="15" t="n"/>
      <c r="HIO95" s="15" t="n"/>
      <c r="HIP95" s="248" t="n"/>
      <c r="HIQ95" s="248" t="n"/>
      <c r="HIR95" s="240" t="n"/>
      <c r="HIS95" s="240" t="n"/>
      <c r="HIU95" s="15" t="n"/>
      <c r="HIV95" s="15" t="n"/>
      <c r="HIW95" s="248" t="n"/>
      <c r="HIX95" s="248" t="n"/>
      <c r="HIY95" s="240" t="n"/>
      <c r="HIZ95" s="240" t="n"/>
      <c r="HJB95" s="15" t="n"/>
      <c r="HJC95" s="15" t="n"/>
      <c r="HJD95" s="248" t="n"/>
      <c r="HJE95" s="248" t="n"/>
      <c r="HJF95" s="240" t="n"/>
      <c r="HJG95" s="240" t="n"/>
      <c r="HJI95" s="15" t="n"/>
      <c r="HJJ95" s="15" t="n"/>
      <c r="HJK95" s="248" t="n"/>
      <c r="HJL95" s="248" t="n"/>
      <c r="HJM95" s="240" t="n"/>
      <c r="HJN95" s="240" t="n"/>
      <c r="HJP95" s="15" t="n"/>
      <c r="HJQ95" s="15" t="n"/>
      <c r="HJR95" s="248" t="n"/>
      <c r="HJS95" s="248" t="n"/>
      <c r="HJT95" s="240" t="n"/>
      <c r="HJU95" s="240" t="n"/>
      <c r="HJW95" s="15" t="n"/>
      <c r="HJX95" s="15" t="n"/>
      <c r="HJY95" s="248" t="n"/>
      <c r="HJZ95" s="248" t="n"/>
      <c r="HKA95" s="240" t="n"/>
      <c r="HKB95" s="240" t="n"/>
      <c r="HKD95" s="15" t="n"/>
      <c r="HKE95" s="15" t="n"/>
      <c r="HKF95" s="248" t="n"/>
      <c r="HKG95" s="248" t="n"/>
      <c r="HKH95" s="240" t="n"/>
      <c r="HKI95" s="240" t="n"/>
      <c r="HKK95" s="15" t="n"/>
      <c r="HKL95" s="15" t="n"/>
      <c r="HKM95" s="248" t="n"/>
      <c r="HKN95" s="248" t="n"/>
      <c r="HKO95" s="240" t="n"/>
      <c r="HKP95" s="240" t="n"/>
      <c r="HKR95" s="15" t="n"/>
      <c r="HKS95" s="15" t="n"/>
      <c r="HKT95" s="248" t="n"/>
      <c r="HKU95" s="248" t="n"/>
      <c r="HKV95" s="240" t="n"/>
      <c r="HKW95" s="240" t="n"/>
      <c r="HKY95" s="15" t="n"/>
      <c r="HKZ95" s="15" t="n"/>
      <c r="HLA95" s="248" t="n"/>
      <c r="HLB95" s="248" t="n"/>
      <c r="HLC95" s="240" t="n"/>
      <c r="HLD95" s="240" t="n"/>
      <c r="HLF95" s="15" t="n"/>
      <c r="HLG95" s="15" t="n"/>
      <c r="HLH95" s="248" t="n"/>
      <c r="HLI95" s="248" t="n"/>
      <c r="HLJ95" s="240" t="n"/>
      <c r="HLK95" s="240" t="n"/>
      <c r="HLM95" s="15" t="n"/>
      <c r="HLN95" s="15" t="n"/>
      <c r="HLO95" s="248" t="n"/>
      <c r="HLP95" s="248" t="n"/>
      <c r="HLQ95" s="240" t="n"/>
      <c r="HLR95" s="240" t="n"/>
      <c r="HLT95" s="15" t="n"/>
      <c r="HLU95" s="15" t="n"/>
      <c r="HLV95" s="248" t="n"/>
      <c r="HLW95" s="248" t="n"/>
      <c r="HLX95" s="240" t="n"/>
      <c r="HLY95" s="240" t="n"/>
      <c r="HMA95" s="15" t="n"/>
      <c r="HMB95" s="15" t="n"/>
      <c r="HMC95" s="248" t="n"/>
      <c r="HMD95" s="248" t="n"/>
      <c r="HME95" s="240" t="n"/>
      <c r="HMF95" s="240" t="n"/>
      <c r="HMH95" s="15" t="n"/>
      <c r="HMI95" s="15" t="n"/>
      <c r="HMJ95" s="248" t="n"/>
      <c r="HMK95" s="248" t="n"/>
      <c r="HML95" s="240" t="n"/>
      <c r="HMM95" s="240" t="n"/>
      <c r="HMO95" s="15" t="n"/>
      <c r="HMP95" s="15" t="n"/>
      <c r="HMQ95" s="248" t="n"/>
      <c r="HMR95" s="248" t="n"/>
      <c r="HMS95" s="240" t="n"/>
      <c r="HMT95" s="240" t="n"/>
      <c r="HMV95" s="15" t="n"/>
      <c r="HMW95" s="15" t="n"/>
      <c r="HMX95" s="248" t="n"/>
      <c r="HMY95" s="248" t="n"/>
      <c r="HMZ95" s="240" t="n"/>
      <c r="HNA95" s="240" t="n"/>
      <c r="HNC95" s="15" t="n"/>
      <c r="HND95" s="15" t="n"/>
      <c r="HNE95" s="248" t="n"/>
      <c r="HNF95" s="248" t="n"/>
      <c r="HNG95" s="240" t="n"/>
      <c r="HNH95" s="240" t="n"/>
      <c r="HNJ95" s="15" t="n"/>
      <c r="HNK95" s="15" t="n"/>
      <c r="HNL95" s="248" t="n"/>
      <c r="HNM95" s="248" t="n"/>
      <c r="HNN95" s="240" t="n"/>
      <c r="HNO95" s="240" t="n"/>
      <c r="HNQ95" s="15" t="n"/>
      <c r="HNR95" s="15" t="n"/>
      <c r="HNS95" s="248" t="n"/>
      <c r="HNT95" s="248" t="n"/>
      <c r="HNU95" s="240" t="n"/>
      <c r="HNV95" s="240" t="n"/>
      <c r="HNX95" s="15" t="n"/>
      <c r="HNY95" s="15" t="n"/>
      <c r="HNZ95" s="248" t="n"/>
      <c r="HOA95" s="248" t="n"/>
      <c r="HOB95" s="240" t="n"/>
      <c r="HOC95" s="240" t="n"/>
      <c r="HOE95" s="15" t="n"/>
      <c r="HOF95" s="15" t="n"/>
      <c r="HOG95" s="248" t="n"/>
      <c r="HOH95" s="248" t="n"/>
      <c r="HOI95" s="240" t="n"/>
      <c r="HOJ95" s="240" t="n"/>
      <c r="HOL95" s="15" t="n"/>
      <c r="HOM95" s="15" t="n"/>
      <c r="HON95" s="248" t="n"/>
      <c r="HOO95" s="248" t="n"/>
      <c r="HOP95" s="240" t="n"/>
      <c r="HOQ95" s="240" t="n"/>
      <c r="HOS95" s="15" t="n"/>
      <c r="HOT95" s="15" t="n"/>
      <c r="HOU95" s="248" t="n"/>
      <c r="HOV95" s="248" t="n"/>
      <c r="HOW95" s="240" t="n"/>
      <c r="HOX95" s="240" t="n"/>
      <c r="HOZ95" s="15" t="n"/>
      <c r="HPA95" s="15" t="n"/>
      <c r="HPB95" s="248" t="n"/>
      <c r="HPC95" s="248" t="n"/>
      <c r="HPD95" s="240" t="n"/>
      <c r="HPE95" s="240" t="n"/>
      <c r="HPG95" s="15" t="n"/>
      <c r="HPH95" s="15" t="n"/>
      <c r="HPI95" s="248" t="n"/>
      <c r="HPJ95" s="248" t="n"/>
      <c r="HPK95" s="240" t="n"/>
      <c r="HPL95" s="240" t="n"/>
      <c r="HPN95" s="15" t="n"/>
      <c r="HPO95" s="15" t="n"/>
      <c r="HPP95" s="248" t="n"/>
      <c r="HPQ95" s="248" t="n"/>
      <c r="HPR95" s="240" t="n"/>
      <c r="HPS95" s="240" t="n"/>
      <c r="HPU95" s="15" t="n"/>
      <c r="HPV95" s="15" t="n"/>
      <c r="HPW95" s="248" t="n"/>
      <c r="HPX95" s="248" t="n"/>
      <c r="HPY95" s="240" t="n"/>
      <c r="HPZ95" s="240" t="n"/>
      <c r="HQB95" s="15" t="n"/>
      <c r="HQC95" s="15" t="n"/>
      <c r="HQD95" s="248" t="n"/>
      <c r="HQE95" s="248" t="n"/>
      <c r="HQF95" s="240" t="n"/>
      <c r="HQG95" s="240" t="n"/>
      <c r="HQI95" s="15" t="n"/>
      <c r="HQJ95" s="15" t="n"/>
      <c r="HQK95" s="248" t="n"/>
      <c r="HQL95" s="248" t="n"/>
      <c r="HQM95" s="240" t="n"/>
      <c r="HQN95" s="240" t="n"/>
      <c r="HQP95" s="15" t="n"/>
      <c r="HQQ95" s="15" t="n"/>
      <c r="HQR95" s="248" t="n"/>
      <c r="HQS95" s="248" t="n"/>
      <c r="HQT95" s="240" t="n"/>
      <c r="HQU95" s="240" t="n"/>
      <c r="HQW95" s="15" t="n"/>
      <c r="HQX95" s="15" t="n"/>
      <c r="HQY95" s="248" t="n"/>
      <c r="HQZ95" s="248" t="n"/>
      <c r="HRA95" s="240" t="n"/>
      <c r="HRB95" s="240" t="n"/>
      <c r="HRD95" s="15" t="n"/>
      <c r="HRE95" s="15" t="n"/>
      <c r="HRF95" s="248" t="n"/>
      <c r="HRG95" s="248" t="n"/>
      <c r="HRH95" s="240" t="n"/>
      <c r="HRI95" s="240" t="n"/>
      <c r="HRK95" s="15" t="n"/>
      <c r="HRL95" s="15" t="n"/>
      <c r="HRM95" s="248" t="n"/>
      <c r="HRN95" s="248" t="n"/>
      <c r="HRO95" s="240" t="n"/>
      <c r="HRP95" s="240" t="n"/>
      <c r="HRR95" s="15" t="n"/>
      <c r="HRS95" s="15" t="n"/>
      <c r="HRT95" s="248" t="n"/>
      <c r="HRU95" s="248" t="n"/>
      <c r="HRV95" s="240" t="n"/>
      <c r="HRW95" s="240" t="n"/>
      <c r="HRY95" s="15" t="n"/>
      <c r="HRZ95" s="15" t="n"/>
      <c r="HSA95" s="248" t="n"/>
      <c r="HSB95" s="248" t="n"/>
      <c r="HSC95" s="240" t="n"/>
      <c r="HSD95" s="240" t="n"/>
      <c r="HSF95" s="15" t="n"/>
      <c r="HSG95" s="15" t="n"/>
      <c r="HSH95" s="248" t="n"/>
      <c r="HSI95" s="248" t="n"/>
      <c r="HSJ95" s="240" t="n"/>
      <c r="HSK95" s="240" t="n"/>
      <c r="HSM95" s="15" t="n"/>
      <c r="HSN95" s="15" t="n"/>
      <c r="HSO95" s="248" t="n"/>
      <c r="HSP95" s="248" t="n"/>
      <c r="HSQ95" s="240" t="n"/>
      <c r="HSR95" s="240" t="n"/>
      <c r="HST95" s="15" t="n"/>
      <c r="HSU95" s="15" t="n"/>
      <c r="HSV95" s="248" t="n"/>
      <c r="HSW95" s="248" t="n"/>
      <c r="HSX95" s="240" t="n"/>
      <c r="HSY95" s="240" t="n"/>
      <c r="HTA95" s="15" t="n"/>
      <c r="HTB95" s="15" t="n"/>
      <c r="HTC95" s="248" t="n"/>
      <c r="HTD95" s="248" t="n"/>
      <c r="HTE95" s="240" t="n"/>
      <c r="HTF95" s="240" t="n"/>
      <c r="HTH95" s="15" t="n"/>
      <c r="HTI95" s="15" t="n"/>
      <c r="HTJ95" s="248" t="n"/>
      <c r="HTK95" s="248" t="n"/>
      <c r="HTL95" s="240" t="n"/>
      <c r="HTM95" s="240" t="n"/>
      <c r="HTO95" s="15" t="n"/>
      <c r="HTP95" s="15" t="n"/>
      <c r="HTQ95" s="248" t="n"/>
      <c r="HTR95" s="248" t="n"/>
      <c r="HTS95" s="240" t="n"/>
      <c r="HTT95" s="240" t="n"/>
      <c r="HTV95" s="15" t="n"/>
      <c r="HTW95" s="15" t="n"/>
      <c r="HTX95" s="248" t="n"/>
      <c r="HTY95" s="248" t="n"/>
      <c r="HTZ95" s="240" t="n"/>
      <c r="HUA95" s="240" t="n"/>
      <c r="HUC95" s="15" t="n"/>
      <c r="HUD95" s="15" t="n"/>
      <c r="HUE95" s="248" t="n"/>
      <c r="HUF95" s="248" t="n"/>
      <c r="HUG95" s="240" t="n"/>
      <c r="HUH95" s="240" t="n"/>
      <c r="HUJ95" s="15" t="n"/>
      <c r="HUK95" s="15" t="n"/>
      <c r="HUL95" s="248" t="n"/>
      <c r="HUM95" s="248" t="n"/>
      <c r="HUN95" s="240" t="n"/>
      <c r="HUO95" s="240" t="n"/>
      <c r="HUQ95" s="15" t="n"/>
      <c r="HUR95" s="15" t="n"/>
      <c r="HUS95" s="248" t="n"/>
      <c r="HUT95" s="248" t="n"/>
      <c r="HUU95" s="240" t="n"/>
      <c r="HUV95" s="240" t="n"/>
      <c r="HUX95" s="15" t="n"/>
      <c r="HUY95" s="15" t="n"/>
      <c r="HUZ95" s="248" t="n"/>
      <c r="HVA95" s="248" t="n"/>
      <c r="HVB95" s="240" t="n"/>
      <c r="HVC95" s="240" t="n"/>
      <c r="HVE95" s="15" t="n"/>
      <c r="HVF95" s="15" t="n"/>
      <c r="HVG95" s="248" t="n"/>
      <c r="HVH95" s="248" t="n"/>
      <c r="HVI95" s="240" t="n"/>
      <c r="HVJ95" s="240" t="n"/>
      <c r="HVL95" s="15" t="n"/>
      <c r="HVM95" s="15" t="n"/>
      <c r="HVN95" s="248" t="n"/>
      <c r="HVO95" s="248" t="n"/>
      <c r="HVP95" s="240" t="n"/>
      <c r="HVQ95" s="240" t="n"/>
      <c r="HVS95" s="15" t="n"/>
      <c r="HVT95" s="15" t="n"/>
      <c r="HVU95" s="248" t="n"/>
      <c r="HVV95" s="248" t="n"/>
      <c r="HVW95" s="240" t="n"/>
      <c r="HVX95" s="240" t="n"/>
      <c r="HVZ95" s="15" t="n"/>
      <c r="HWA95" s="15" t="n"/>
      <c r="HWB95" s="248" t="n"/>
      <c r="HWC95" s="248" t="n"/>
      <c r="HWD95" s="240" t="n"/>
      <c r="HWE95" s="240" t="n"/>
      <c r="HWG95" s="15" t="n"/>
      <c r="HWH95" s="15" t="n"/>
      <c r="HWI95" s="248" t="n"/>
      <c r="HWJ95" s="248" t="n"/>
      <c r="HWK95" s="240" t="n"/>
      <c r="HWL95" s="240" t="n"/>
      <c r="HWN95" s="15" t="n"/>
      <c r="HWO95" s="15" t="n"/>
      <c r="HWP95" s="248" t="n"/>
      <c r="HWQ95" s="248" t="n"/>
      <c r="HWR95" s="240" t="n"/>
      <c r="HWS95" s="240" t="n"/>
      <c r="HWU95" s="15" t="n"/>
      <c r="HWV95" s="15" t="n"/>
      <c r="HWW95" s="248" t="n"/>
      <c r="HWX95" s="248" t="n"/>
      <c r="HWY95" s="240" t="n"/>
      <c r="HWZ95" s="240" t="n"/>
      <c r="HXB95" s="15" t="n"/>
      <c r="HXC95" s="15" t="n"/>
      <c r="HXD95" s="248" t="n"/>
      <c r="HXE95" s="248" t="n"/>
      <c r="HXF95" s="240" t="n"/>
      <c r="HXG95" s="240" t="n"/>
      <c r="HXI95" s="15" t="n"/>
      <c r="HXJ95" s="15" t="n"/>
      <c r="HXK95" s="248" t="n"/>
      <c r="HXL95" s="248" t="n"/>
      <c r="HXM95" s="240" t="n"/>
      <c r="HXN95" s="240" t="n"/>
      <c r="HXP95" s="15" t="n"/>
      <c r="HXQ95" s="15" t="n"/>
      <c r="HXR95" s="248" t="n"/>
      <c r="HXS95" s="248" t="n"/>
      <c r="HXT95" s="240" t="n"/>
      <c r="HXU95" s="240" t="n"/>
      <c r="HXW95" s="15" t="n"/>
      <c r="HXX95" s="15" t="n"/>
      <c r="HXY95" s="248" t="n"/>
      <c r="HXZ95" s="248" t="n"/>
      <c r="HYA95" s="240" t="n"/>
      <c r="HYB95" s="240" t="n"/>
      <c r="HYD95" s="15" t="n"/>
      <c r="HYE95" s="15" t="n"/>
      <c r="HYF95" s="248" t="n"/>
      <c r="HYG95" s="248" t="n"/>
      <c r="HYH95" s="240" t="n"/>
      <c r="HYI95" s="240" t="n"/>
      <c r="HYK95" s="15" t="n"/>
      <c r="HYL95" s="15" t="n"/>
      <c r="HYM95" s="248" t="n"/>
      <c r="HYN95" s="248" t="n"/>
      <c r="HYO95" s="240" t="n"/>
      <c r="HYP95" s="240" t="n"/>
      <c r="HYR95" s="15" t="n"/>
      <c r="HYS95" s="15" t="n"/>
      <c r="HYT95" s="248" t="n"/>
      <c r="HYU95" s="248" t="n"/>
      <c r="HYV95" s="240" t="n"/>
      <c r="HYW95" s="240" t="n"/>
      <c r="HYY95" s="15" t="n"/>
      <c r="HYZ95" s="15" t="n"/>
      <c r="HZA95" s="248" t="n"/>
      <c r="HZB95" s="248" t="n"/>
      <c r="HZC95" s="240" t="n"/>
      <c r="HZD95" s="240" t="n"/>
      <c r="HZF95" s="15" t="n"/>
      <c r="HZG95" s="15" t="n"/>
      <c r="HZH95" s="248" t="n"/>
      <c r="HZI95" s="248" t="n"/>
      <c r="HZJ95" s="240" t="n"/>
      <c r="HZK95" s="240" t="n"/>
      <c r="HZM95" s="15" t="n"/>
      <c r="HZN95" s="15" t="n"/>
      <c r="HZO95" s="248" t="n"/>
      <c r="HZP95" s="248" t="n"/>
      <c r="HZQ95" s="240" t="n"/>
      <c r="HZR95" s="240" t="n"/>
      <c r="HZT95" s="15" t="n"/>
      <c r="HZU95" s="15" t="n"/>
      <c r="HZV95" s="248" t="n"/>
      <c r="HZW95" s="248" t="n"/>
      <c r="HZX95" s="240" t="n"/>
      <c r="HZY95" s="240" t="n"/>
      <c r="IAA95" s="15" t="n"/>
      <c r="IAB95" s="15" t="n"/>
      <c r="IAC95" s="248" t="n"/>
      <c r="IAD95" s="248" t="n"/>
      <c r="IAE95" s="240" t="n"/>
      <c r="IAF95" s="240" t="n"/>
      <c r="IAH95" s="15" t="n"/>
      <c r="IAI95" s="15" t="n"/>
      <c r="IAJ95" s="248" t="n"/>
      <c r="IAK95" s="248" t="n"/>
      <c r="IAL95" s="240" t="n"/>
      <c r="IAM95" s="240" t="n"/>
      <c r="IAO95" s="15" t="n"/>
      <c r="IAP95" s="15" t="n"/>
      <c r="IAQ95" s="248" t="n"/>
      <c r="IAR95" s="248" t="n"/>
      <c r="IAS95" s="240" t="n"/>
      <c r="IAT95" s="240" t="n"/>
      <c r="IAV95" s="15" t="n"/>
      <c r="IAW95" s="15" t="n"/>
      <c r="IAX95" s="248" t="n"/>
      <c r="IAY95" s="248" t="n"/>
      <c r="IAZ95" s="240" t="n"/>
      <c r="IBA95" s="240" t="n"/>
      <c r="IBC95" s="15" t="n"/>
      <c r="IBD95" s="15" t="n"/>
      <c r="IBE95" s="248" t="n"/>
      <c r="IBF95" s="248" t="n"/>
      <c r="IBG95" s="240" t="n"/>
      <c r="IBH95" s="240" t="n"/>
      <c r="IBJ95" s="15" t="n"/>
      <c r="IBK95" s="15" t="n"/>
      <c r="IBL95" s="248" t="n"/>
      <c r="IBM95" s="248" t="n"/>
      <c r="IBN95" s="240" t="n"/>
      <c r="IBO95" s="240" t="n"/>
      <c r="IBQ95" s="15" t="n"/>
      <c r="IBR95" s="15" t="n"/>
      <c r="IBS95" s="248" t="n"/>
      <c r="IBT95" s="248" t="n"/>
      <c r="IBU95" s="240" t="n"/>
      <c r="IBV95" s="240" t="n"/>
      <c r="IBX95" s="15" t="n"/>
      <c r="IBY95" s="15" t="n"/>
      <c r="IBZ95" s="248" t="n"/>
      <c r="ICA95" s="248" t="n"/>
      <c r="ICB95" s="240" t="n"/>
      <c r="ICC95" s="240" t="n"/>
      <c r="ICE95" s="15" t="n"/>
      <c r="ICF95" s="15" t="n"/>
      <c r="ICG95" s="248" t="n"/>
      <c r="ICH95" s="248" t="n"/>
      <c r="ICI95" s="240" t="n"/>
      <c r="ICJ95" s="240" t="n"/>
      <c r="ICL95" s="15" t="n"/>
      <c r="ICM95" s="15" t="n"/>
      <c r="ICN95" s="248" t="n"/>
      <c r="ICO95" s="248" t="n"/>
      <c r="ICP95" s="240" t="n"/>
      <c r="ICQ95" s="240" t="n"/>
      <c r="ICS95" s="15" t="n"/>
      <c r="ICT95" s="15" t="n"/>
      <c r="ICU95" s="248" t="n"/>
      <c r="ICV95" s="248" t="n"/>
      <c r="ICW95" s="240" t="n"/>
      <c r="ICX95" s="240" t="n"/>
      <c r="ICZ95" s="15" t="n"/>
      <c r="IDA95" s="15" t="n"/>
      <c r="IDB95" s="248" t="n"/>
      <c r="IDC95" s="248" t="n"/>
      <c r="IDD95" s="240" t="n"/>
      <c r="IDE95" s="240" t="n"/>
      <c r="IDG95" s="15" t="n"/>
      <c r="IDH95" s="15" t="n"/>
      <c r="IDI95" s="248" t="n"/>
      <c r="IDJ95" s="248" t="n"/>
      <c r="IDK95" s="240" t="n"/>
      <c r="IDL95" s="240" t="n"/>
      <c r="IDN95" s="15" t="n"/>
      <c r="IDO95" s="15" t="n"/>
      <c r="IDP95" s="248" t="n"/>
      <c r="IDQ95" s="248" t="n"/>
      <c r="IDR95" s="240" t="n"/>
      <c r="IDS95" s="240" t="n"/>
      <c r="IDU95" s="15" t="n"/>
      <c r="IDV95" s="15" t="n"/>
      <c r="IDW95" s="248" t="n"/>
      <c r="IDX95" s="248" t="n"/>
      <c r="IDY95" s="240" t="n"/>
      <c r="IDZ95" s="240" t="n"/>
      <c r="IEB95" s="15" t="n"/>
      <c r="IEC95" s="15" t="n"/>
      <c r="IED95" s="248" t="n"/>
      <c r="IEE95" s="248" t="n"/>
      <c r="IEF95" s="240" t="n"/>
      <c r="IEG95" s="240" t="n"/>
      <c r="IEI95" s="15" t="n"/>
      <c r="IEJ95" s="15" t="n"/>
      <c r="IEK95" s="248" t="n"/>
      <c r="IEL95" s="248" t="n"/>
      <c r="IEM95" s="240" t="n"/>
      <c r="IEN95" s="240" t="n"/>
      <c r="IEP95" s="15" t="n"/>
      <c r="IEQ95" s="15" t="n"/>
      <c r="IER95" s="248" t="n"/>
      <c r="IES95" s="248" t="n"/>
      <c r="IET95" s="240" t="n"/>
      <c r="IEU95" s="240" t="n"/>
      <c r="IEW95" s="15" t="n"/>
      <c r="IEX95" s="15" t="n"/>
      <c r="IEY95" s="248" t="n"/>
      <c r="IEZ95" s="248" t="n"/>
      <c r="IFA95" s="240" t="n"/>
      <c r="IFB95" s="240" t="n"/>
      <c r="IFD95" s="15" t="n"/>
      <c r="IFE95" s="15" t="n"/>
      <c r="IFF95" s="248" t="n"/>
      <c r="IFG95" s="248" t="n"/>
      <c r="IFH95" s="240" t="n"/>
      <c r="IFI95" s="240" t="n"/>
      <c r="IFK95" s="15" t="n"/>
      <c r="IFL95" s="15" t="n"/>
      <c r="IFM95" s="248" t="n"/>
      <c r="IFN95" s="248" t="n"/>
      <c r="IFO95" s="240" t="n"/>
      <c r="IFP95" s="240" t="n"/>
      <c r="IFR95" s="15" t="n"/>
      <c r="IFS95" s="15" t="n"/>
      <c r="IFT95" s="248" t="n"/>
      <c r="IFU95" s="248" t="n"/>
      <c r="IFV95" s="240" t="n"/>
      <c r="IFW95" s="240" t="n"/>
      <c r="IFY95" s="15" t="n"/>
      <c r="IFZ95" s="15" t="n"/>
      <c r="IGA95" s="248" t="n"/>
      <c r="IGB95" s="248" t="n"/>
      <c r="IGC95" s="240" t="n"/>
      <c r="IGD95" s="240" t="n"/>
      <c r="IGF95" s="15" t="n"/>
      <c r="IGG95" s="15" t="n"/>
      <c r="IGH95" s="248" t="n"/>
      <c r="IGI95" s="248" t="n"/>
      <c r="IGJ95" s="240" t="n"/>
      <c r="IGK95" s="240" t="n"/>
      <c r="IGM95" s="15" t="n"/>
      <c r="IGN95" s="15" t="n"/>
      <c r="IGO95" s="248" t="n"/>
      <c r="IGP95" s="248" t="n"/>
      <c r="IGQ95" s="240" t="n"/>
      <c r="IGR95" s="240" t="n"/>
      <c r="IGT95" s="15" t="n"/>
      <c r="IGU95" s="15" t="n"/>
      <c r="IGV95" s="248" t="n"/>
      <c r="IGW95" s="248" t="n"/>
      <c r="IGX95" s="240" t="n"/>
      <c r="IGY95" s="240" t="n"/>
      <c r="IHA95" s="15" t="n"/>
      <c r="IHB95" s="15" t="n"/>
      <c r="IHC95" s="248" t="n"/>
      <c r="IHD95" s="248" t="n"/>
      <c r="IHE95" s="240" t="n"/>
      <c r="IHF95" s="240" t="n"/>
      <c r="IHH95" s="15" t="n"/>
      <c r="IHI95" s="15" t="n"/>
      <c r="IHJ95" s="248" t="n"/>
      <c r="IHK95" s="248" t="n"/>
      <c r="IHL95" s="240" t="n"/>
      <c r="IHM95" s="240" t="n"/>
      <c r="IHO95" s="15" t="n"/>
      <c r="IHP95" s="15" t="n"/>
      <c r="IHQ95" s="248" t="n"/>
      <c r="IHR95" s="248" t="n"/>
      <c r="IHS95" s="240" t="n"/>
      <c r="IHT95" s="240" t="n"/>
      <c r="IHV95" s="15" t="n"/>
      <c r="IHW95" s="15" t="n"/>
      <c r="IHX95" s="248" t="n"/>
      <c r="IHY95" s="248" t="n"/>
      <c r="IHZ95" s="240" t="n"/>
      <c r="IIA95" s="240" t="n"/>
      <c r="IIC95" s="15" t="n"/>
      <c r="IID95" s="15" t="n"/>
      <c r="IIE95" s="248" t="n"/>
      <c r="IIF95" s="248" t="n"/>
      <c r="IIG95" s="240" t="n"/>
      <c r="IIH95" s="240" t="n"/>
      <c r="IIJ95" s="15" t="n"/>
      <c r="IIK95" s="15" t="n"/>
      <c r="IIL95" s="248" t="n"/>
      <c r="IIM95" s="248" t="n"/>
      <c r="IIN95" s="240" t="n"/>
      <c r="IIO95" s="240" t="n"/>
      <c r="IIQ95" s="15" t="n"/>
      <c r="IIR95" s="15" t="n"/>
      <c r="IIS95" s="248" t="n"/>
      <c r="IIT95" s="248" t="n"/>
      <c r="IIU95" s="240" t="n"/>
      <c r="IIV95" s="240" t="n"/>
      <c r="IIX95" s="15" t="n"/>
      <c r="IIY95" s="15" t="n"/>
      <c r="IIZ95" s="248" t="n"/>
      <c r="IJA95" s="248" t="n"/>
      <c r="IJB95" s="240" t="n"/>
      <c r="IJC95" s="240" t="n"/>
      <c r="IJE95" s="15" t="n"/>
      <c r="IJF95" s="15" t="n"/>
      <c r="IJG95" s="248" t="n"/>
      <c r="IJH95" s="248" t="n"/>
      <c r="IJI95" s="240" t="n"/>
      <c r="IJJ95" s="240" t="n"/>
      <c r="IJL95" s="15" t="n"/>
      <c r="IJM95" s="15" t="n"/>
      <c r="IJN95" s="248" t="n"/>
      <c r="IJO95" s="248" t="n"/>
      <c r="IJP95" s="240" t="n"/>
      <c r="IJQ95" s="240" t="n"/>
      <c r="IJS95" s="15" t="n"/>
      <c r="IJT95" s="15" t="n"/>
      <c r="IJU95" s="248" t="n"/>
      <c r="IJV95" s="248" t="n"/>
      <c r="IJW95" s="240" t="n"/>
      <c r="IJX95" s="240" t="n"/>
      <c r="IJZ95" s="15" t="n"/>
      <c r="IKA95" s="15" t="n"/>
      <c r="IKB95" s="248" t="n"/>
      <c r="IKC95" s="248" t="n"/>
      <c r="IKD95" s="240" t="n"/>
      <c r="IKE95" s="240" t="n"/>
      <c r="IKG95" s="15" t="n"/>
      <c r="IKH95" s="15" t="n"/>
      <c r="IKI95" s="248" t="n"/>
      <c r="IKJ95" s="248" t="n"/>
      <c r="IKK95" s="240" t="n"/>
      <c r="IKL95" s="240" t="n"/>
      <c r="IKN95" s="15" t="n"/>
      <c r="IKO95" s="15" t="n"/>
      <c r="IKP95" s="248" t="n"/>
      <c r="IKQ95" s="248" t="n"/>
      <c r="IKR95" s="240" t="n"/>
      <c r="IKS95" s="240" t="n"/>
      <c r="IKU95" s="15" t="n"/>
      <c r="IKV95" s="15" t="n"/>
      <c r="IKW95" s="248" t="n"/>
      <c r="IKX95" s="248" t="n"/>
      <c r="IKY95" s="240" t="n"/>
      <c r="IKZ95" s="240" t="n"/>
      <c r="ILB95" s="15" t="n"/>
      <c r="ILC95" s="15" t="n"/>
      <c r="ILD95" s="248" t="n"/>
      <c r="ILE95" s="248" t="n"/>
      <c r="ILF95" s="240" t="n"/>
      <c r="ILG95" s="240" t="n"/>
      <c r="ILI95" s="15" t="n"/>
      <c r="ILJ95" s="15" t="n"/>
      <c r="ILK95" s="248" t="n"/>
      <c r="ILL95" s="248" t="n"/>
      <c r="ILM95" s="240" t="n"/>
      <c r="ILN95" s="240" t="n"/>
      <c r="ILP95" s="15" t="n"/>
      <c r="ILQ95" s="15" t="n"/>
      <c r="ILR95" s="248" t="n"/>
      <c r="ILS95" s="248" t="n"/>
      <c r="ILT95" s="240" t="n"/>
      <c r="ILU95" s="240" t="n"/>
      <c r="ILW95" s="15" t="n"/>
      <c r="ILX95" s="15" t="n"/>
      <c r="ILY95" s="248" t="n"/>
      <c r="ILZ95" s="248" t="n"/>
      <c r="IMA95" s="240" t="n"/>
      <c r="IMB95" s="240" t="n"/>
      <c r="IMD95" s="15" t="n"/>
      <c r="IME95" s="15" t="n"/>
      <c r="IMF95" s="248" t="n"/>
      <c r="IMG95" s="248" t="n"/>
      <c r="IMH95" s="240" t="n"/>
      <c r="IMI95" s="240" t="n"/>
      <c r="IMK95" s="15" t="n"/>
      <c r="IML95" s="15" t="n"/>
      <c r="IMM95" s="248" t="n"/>
      <c r="IMN95" s="248" t="n"/>
      <c r="IMO95" s="240" t="n"/>
      <c r="IMP95" s="240" t="n"/>
      <c r="IMR95" s="15" t="n"/>
      <c r="IMS95" s="15" t="n"/>
      <c r="IMT95" s="248" t="n"/>
      <c r="IMU95" s="248" t="n"/>
      <c r="IMV95" s="240" t="n"/>
      <c r="IMW95" s="240" t="n"/>
      <c r="IMY95" s="15" t="n"/>
      <c r="IMZ95" s="15" t="n"/>
      <c r="INA95" s="248" t="n"/>
      <c r="INB95" s="248" t="n"/>
      <c r="INC95" s="240" t="n"/>
      <c r="IND95" s="240" t="n"/>
      <c r="INF95" s="15" t="n"/>
      <c r="ING95" s="15" t="n"/>
      <c r="INH95" s="248" t="n"/>
      <c r="INI95" s="248" t="n"/>
      <c r="INJ95" s="240" t="n"/>
      <c r="INK95" s="240" t="n"/>
      <c r="INM95" s="15" t="n"/>
      <c r="INN95" s="15" t="n"/>
      <c r="INO95" s="248" t="n"/>
      <c r="INP95" s="248" t="n"/>
      <c r="INQ95" s="240" t="n"/>
      <c r="INR95" s="240" t="n"/>
      <c r="INT95" s="15" t="n"/>
      <c r="INU95" s="15" t="n"/>
      <c r="INV95" s="248" t="n"/>
      <c r="INW95" s="248" t="n"/>
      <c r="INX95" s="240" t="n"/>
      <c r="INY95" s="240" t="n"/>
      <c r="IOA95" s="15" t="n"/>
      <c r="IOB95" s="15" t="n"/>
      <c r="IOC95" s="248" t="n"/>
      <c r="IOD95" s="248" t="n"/>
      <c r="IOE95" s="240" t="n"/>
      <c r="IOF95" s="240" t="n"/>
      <c r="IOH95" s="15" t="n"/>
      <c r="IOI95" s="15" t="n"/>
      <c r="IOJ95" s="248" t="n"/>
      <c r="IOK95" s="248" t="n"/>
      <c r="IOL95" s="240" t="n"/>
      <c r="IOM95" s="240" t="n"/>
      <c r="IOO95" s="15" t="n"/>
      <c r="IOP95" s="15" t="n"/>
      <c r="IOQ95" s="248" t="n"/>
      <c r="IOR95" s="248" t="n"/>
      <c r="IOS95" s="240" t="n"/>
      <c r="IOT95" s="240" t="n"/>
      <c r="IOV95" s="15" t="n"/>
      <c r="IOW95" s="15" t="n"/>
      <c r="IOX95" s="248" t="n"/>
      <c r="IOY95" s="248" t="n"/>
      <c r="IOZ95" s="240" t="n"/>
      <c r="IPA95" s="240" t="n"/>
      <c r="IPC95" s="15" t="n"/>
      <c r="IPD95" s="15" t="n"/>
      <c r="IPE95" s="248" t="n"/>
      <c r="IPF95" s="248" t="n"/>
      <c r="IPG95" s="240" t="n"/>
      <c r="IPH95" s="240" t="n"/>
      <c r="IPJ95" s="15" t="n"/>
      <c r="IPK95" s="15" t="n"/>
      <c r="IPL95" s="248" t="n"/>
      <c r="IPM95" s="248" t="n"/>
      <c r="IPN95" s="240" t="n"/>
      <c r="IPO95" s="240" t="n"/>
      <c r="IPQ95" s="15" t="n"/>
      <c r="IPR95" s="15" t="n"/>
      <c r="IPS95" s="248" t="n"/>
      <c r="IPT95" s="248" t="n"/>
      <c r="IPU95" s="240" t="n"/>
      <c r="IPV95" s="240" t="n"/>
      <c r="IPX95" s="15" t="n"/>
      <c r="IPY95" s="15" t="n"/>
      <c r="IPZ95" s="248" t="n"/>
      <c r="IQA95" s="248" t="n"/>
      <c r="IQB95" s="240" t="n"/>
      <c r="IQC95" s="240" t="n"/>
      <c r="IQE95" s="15" t="n"/>
      <c r="IQF95" s="15" t="n"/>
      <c r="IQG95" s="248" t="n"/>
      <c r="IQH95" s="248" t="n"/>
      <c r="IQI95" s="240" t="n"/>
      <c r="IQJ95" s="240" t="n"/>
      <c r="IQL95" s="15" t="n"/>
      <c r="IQM95" s="15" t="n"/>
      <c r="IQN95" s="248" t="n"/>
      <c r="IQO95" s="248" t="n"/>
      <c r="IQP95" s="240" t="n"/>
      <c r="IQQ95" s="240" t="n"/>
      <c r="IQS95" s="15" t="n"/>
      <c r="IQT95" s="15" t="n"/>
      <c r="IQU95" s="248" t="n"/>
      <c r="IQV95" s="248" t="n"/>
      <c r="IQW95" s="240" t="n"/>
      <c r="IQX95" s="240" t="n"/>
      <c r="IQZ95" s="15" t="n"/>
      <c r="IRA95" s="15" t="n"/>
      <c r="IRB95" s="248" t="n"/>
      <c r="IRC95" s="248" t="n"/>
      <c r="IRD95" s="240" t="n"/>
      <c r="IRE95" s="240" t="n"/>
      <c r="IRG95" s="15" t="n"/>
      <c r="IRH95" s="15" t="n"/>
      <c r="IRI95" s="248" t="n"/>
      <c r="IRJ95" s="248" t="n"/>
      <c r="IRK95" s="240" t="n"/>
      <c r="IRL95" s="240" t="n"/>
      <c r="IRN95" s="15" t="n"/>
      <c r="IRO95" s="15" t="n"/>
      <c r="IRP95" s="248" t="n"/>
      <c r="IRQ95" s="248" t="n"/>
      <c r="IRR95" s="240" t="n"/>
      <c r="IRS95" s="240" t="n"/>
      <c r="IRU95" s="15" t="n"/>
      <c r="IRV95" s="15" t="n"/>
      <c r="IRW95" s="248" t="n"/>
      <c r="IRX95" s="248" t="n"/>
      <c r="IRY95" s="240" t="n"/>
      <c r="IRZ95" s="240" t="n"/>
      <c r="ISB95" s="15" t="n"/>
      <c r="ISC95" s="15" t="n"/>
      <c r="ISD95" s="248" t="n"/>
      <c r="ISE95" s="248" t="n"/>
      <c r="ISF95" s="240" t="n"/>
      <c r="ISG95" s="240" t="n"/>
      <c r="ISI95" s="15" t="n"/>
      <c r="ISJ95" s="15" t="n"/>
      <c r="ISK95" s="248" t="n"/>
      <c r="ISL95" s="248" t="n"/>
      <c r="ISM95" s="240" t="n"/>
      <c r="ISN95" s="240" t="n"/>
      <c r="ISP95" s="15" t="n"/>
      <c r="ISQ95" s="15" t="n"/>
      <c r="ISR95" s="248" t="n"/>
      <c r="ISS95" s="248" t="n"/>
      <c r="IST95" s="240" t="n"/>
      <c r="ISU95" s="240" t="n"/>
      <c r="ISW95" s="15" t="n"/>
      <c r="ISX95" s="15" t="n"/>
      <c r="ISY95" s="248" t="n"/>
      <c r="ISZ95" s="248" t="n"/>
      <c r="ITA95" s="240" t="n"/>
      <c r="ITB95" s="240" t="n"/>
      <c r="ITD95" s="15" t="n"/>
      <c r="ITE95" s="15" t="n"/>
      <c r="ITF95" s="248" t="n"/>
      <c r="ITG95" s="248" t="n"/>
      <c r="ITH95" s="240" t="n"/>
      <c r="ITI95" s="240" t="n"/>
      <c r="ITK95" s="15" t="n"/>
      <c r="ITL95" s="15" t="n"/>
      <c r="ITM95" s="248" t="n"/>
      <c r="ITN95" s="248" t="n"/>
      <c r="ITO95" s="240" t="n"/>
      <c r="ITP95" s="240" t="n"/>
      <c r="ITR95" s="15" t="n"/>
      <c r="ITS95" s="15" t="n"/>
      <c r="ITT95" s="248" t="n"/>
      <c r="ITU95" s="248" t="n"/>
      <c r="ITV95" s="240" t="n"/>
      <c r="ITW95" s="240" t="n"/>
      <c r="ITY95" s="15" t="n"/>
      <c r="ITZ95" s="15" t="n"/>
      <c r="IUA95" s="248" t="n"/>
      <c r="IUB95" s="248" t="n"/>
      <c r="IUC95" s="240" t="n"/>
      <c r="IUD95" s="240" t="n"/>
      <c r="IUF95" s="15" t="n"/>
      <c r="IUG95" s="15" t="n"/>
      <c r="IUH95" s="248" t="n"/>
      <c r="IUI95" s="248" t="n"/>
      <c r="IUJ95" s="240" t="n"/>
      <c r="IUK95" s="240" t="n"/>
      <c r="IUM95" s="15" t="n"/>
      <c r="IUN95" s="15" t="n"/>
      <c r="IUO95" s="248" t="n"/>
      <c r="IUP95" s="248" t="n"/>
      <c r="IUQ95" s="240" t="n"/>
      <c r="IUR95" s="240" t="n"/>
      <c r="IUT95" s="15" t="n"/>
      <c r="IUU95" s="15" t="n"/>
      <c r="IUV95" s="248" t="n"/>
      <c r="IUW95" s="248" t="n"/>
      <c r="IUX95" s="240" t="n"/>
      <c r="IUY95" s="240" t="n"/>
      <c r="IVA95" s="15" t="n"/>
      <c r="IVB95" s="15" t="n"/>
      <c r="IVC95" s="248" t="n"/>
      <c r="IVD95" s="248" t="n"/>
      <c r="IVE95" s="240" t="n"/>
      <c r="IVF95" s="240" t="n"/>
      <c r="IVH95" s="15" t="n"/>
      <c r="IVI95" s="15" t="n"/>
      <c r="IVJ95" s="248" t="n"/>
      <c r="IVK95" s="248" t="n"/>
      <c r="IVL95" s="240" t="n"/>
      <c r="IVM95" s="240" t="n"/>
      <c r="IVO95" s="15" t="n"/>
      <c r="IVP95" s="15" t="n"/>
      <c r="IVQ95" s="248" t="n"/>
      <c r="IVR95" s="248" t="n"/>
      <c r="IVS95" s="240" t="n"/>
      <c r="IVT95" s="240" t="n"/>
      <c r="IVV95" s="15" t="n"/>
      <c r="IVW95" s="15" t="n"/>
      <c r="IVX95" s="248" t="n"/>
      <c r="IVY95" s="248" t="n"/>
      <c r="IVZ95" s="240" t="n"/>
      <c r="IWA95" s="240" t="n"/>
      <c r="IWC95" s="15" t="n"/>
      <c r="IWD95" s="15" t="n"/>
      <c r="IWE95" s="248" t="n"/>
      <c r="IWF95" s="248" t="n"/>
      <c r="IWG95" s="240" t="n"/>
      <c r="IWH95" s="240" t="n"/>
      <c r="IWJ95" s="15" t="n"/>
      <c r="IWK95" s="15" t="n"/>
      <c r="IWL95" s="248" t="n"/>
      <c r="IWM95" s="248" t="n"/>
      <c r="IWN95" s="240" t="n"/>
      <c r="IWO95" s="240" t="n"/>
      <c r="IWQ95" s="15" t="n"/>
      <c r="IWR95" s="15" t="n"/>
      <c r="IWS95" s="248" t="n"/>
      <c r="IWT95" s="248" t="n"/>
      <c r="IWU95" s="240" t="n"/>
      <c r="IWV95" s="240" t="n"/>
      <c r="IWX95" s="15" t="n"/>
      <c r="IWY95" s="15" t="n"/>
      <c r="IWZ95" s="248" t="n"/>
      <c r="IXA95" s="248" t="n"/>
      <c r="IXB95" s="240" t="n"/>
      <c r="IXC95" s="240" t="n"/>
      <c r="IXE95" s="15" t="n"/>
      <c r="IXF95" s="15" t="n"/>
      <c r="IXG95" s="248" t="n"/>
      <c r="IXH95" s="248" t="n"/>
      <c r="IXI95" s="240" t="n"/>
      <c r="IXJ95" s="240" t="n"/>
      <c r="IXL95" s="15" t="n"/>
      <c r="IXM95" s="15" t="n"/>
      <c r="IXN95" s="248" t="n"/>
      <c r="IXO95" s="248" t="n"/>
      <c r="IXP95" s="240" t="n"/>
      <c r="IXQ95" s="240" t="n"/>
      <c r="IXS95" s="15" t="n"/>
      <c r="IXT95" s="15" t="n"/>
      <c r="IXU95" s="248" t="n"/>
      <c r="IXV95" s="248" t="n"/>
      <c r="IXW95" s="240" t="n"/>
      <c r="IXX95" s="240" t="n"/>
      <c r="IXZ95" s="15" t="n"/>
      <c r="IYA95" s="15" t="n"/>
      <c r="IYB95" s="248" t="n"/>
      <c r="IYC95" s="248" t="n"/>
      <c r="IYD95" s="240" t="n"/>
      <c r="IYE95" s="240" t="n"/>
      <c r="IYG95" s="15" t="n"/>
      <c r="IYH95" s="15" t="n"/>
      <c r="IYI95" s="248" t="n"/>
      <c r="IYJ95" s="248" t="n"/>
      <c r="IYK95" s="240" t="n"/>
      <c r="IYL95" s="240" t="n"/>
      <c r="IYN95" s="15" t="n"/>
      <c r="IYO95" s="15" t="n"/>
      <c r="IYP95" s="248" t="n"/>
      <c r="IYQ95" s="248" t="n"/>
      <c r="IYR95" s="240" t="n"/>
      <c r="IYS95" s="240" t="n"/>
      <c r="IYU95" s="15" t="n"/>
      <c r="IYV95" s="15" t="n"/>
      <c r="IYW95" s="248" t="n"/>
      <c r="IYX95" s="248" t="n"/>
      <c r="IYY95" s="240" t="n"/>
      <c r="IYZ95" s="240" t="n"/>
      <c r="IZB95" s="15" t="n"/>
      <c r="IZC95" s="15" t="n"/>
      <c r="IZD95" s="248" t="n"/>
      <c r="IZE95" s="248" t="n"/>
      <c r="IZF95" s="240" t="n"/>
      <c r="IZG95" s="240" t="n"/>
      <c r="IZI95" s="15" t="n"/>
      <c r="IZJ95" s="15" t="n"/>
      <c r="IZK95" s="248" t="n"/>
      <c r="IZL95" s="248" t="n"/>
      <c r="IZM95" s="240" t="n"/>
      <c r="IZN95" s="240" t="n"/>
      <c r="IZP95" s="15" t="n"/>
      <c r="IZQ95" s="15" t="n"/>
      <c r="IZR95" s="248" t="n"/>
      <c r="IZS95" s="248" t="n"/>
      <c r="IZT95" s="240" t="n"/>
      <c r="IZU95" s="240" t="n"/>
      <c r="IZW95" s="15" t="n"/>
      <c r="IZX95" s="15" t="n"/>
      <c r="IZY95" s="248" t="n"/>
      <c r="IZZ95" s="248" t="n"/>
      <c r="JAA95" s="240" t="n"/>
      <c r="JAB95" s="240" t="n"/>
      <c r="JAD95" s="15" t="n"/>
      <c r="JAE95" s="15" t="n"/>
      <c r="JAF95" s="248" t="n"/>
      <c r="JAG95" s="248" t="n"/>
      <c r="JAH95" s="240" t="n"/>
      <c r="JAI95" s="240" t="n"/>
      <c r="JAK95" s="15" t="n"/>
      <c r="JAL95" s="15" t="n"/>
      <c r="JAM95" s="248" t="n"/>
      <c r="JAN95" s="248" t="n"/>
      <c r="JAO95" s="240" t="n"/>
      <c r="JAP95" s="240" t="n"/>
      <c r="JAR95" s="15" t="n"/>
      <c r="JAS95" s="15" t="n"/>
      <c r="JAT95" s="248" t="n"/>
      <c r="JAU95" s="248" t="n"/>
      <c r="JAV95" s="240" t="n"/>
      <c r="JAW95" s="240" t="n"/>
      <c r="JAY95" s="15" t="n"/>
      <c r="JAZ95" s="15" t="n"/>
      <c r="JBA95" s="248" t="n"/>
      <c r="JBB95" s="248" t="n"/>
      <c r="JBC95" s="240" t="n"/>
      <c r="JBD95" s="240" t="n"/>
      <c r="JBF95" s="15" t="n"/>
      <c r="JBG95" s="15" t="n"/>
      <c r="JBH95" s="248" t="n"/>
      <c r="JBI95" s="248" t="n"/>
      <c r="JBJ95" s="240" t="n"/>
      <c r="JBK95" s="240" t="n"/>
      <c r="JBM95" s="15" t="n"/>
      <c r="JBN95" s="15" t="n"/>
      <c r="JBO95" s="248" t="n"/>
      <c r="JBP95" s="248" t="n"/>
      <c r="JBQ95" s="240" t="n"/>
      <c r="JBR95" s="240" t="n"/>
      <c r="JBT95" s="15" t="n"/>
      <c r="JBU95" s="15" t="n"/>
      <c r="JBV95" s="248" t="n"/>
      <c r="JBW95" s="248" t="n"/>
      <c r="JBX95" s="240" t="n"/>
      <c r="JBY95" s="240" t="n"/>
      <c r="JCA95" s="15" t="n"/>
      <c r="JCB95" s="15" t="n"/>
      <c r="JCC95" s="248" t="n"/>
      <c r="JCD95" s="248" t="n"/>
      <c r="JCE95" s="240" t="n"/>
      <c r="JCF95" s="240" t="n"/>
      <c r="JCH95" s="15" t="n"/>
      <c r="JCI95" s="15" t="n"/>
      <c r="JCJ95" s="248" t="n"/>
      <c r="JCK95" s="248" t="n"/>
      <c r="JCL95" s="240" t="n"/>
      <c r="JCM95" s="240" t="n"/>
      <c r="JCO95" s="15" t="n"/>
      <c r="JCP95" s="15" t="n"/>
      <c r="JCQ95" s="248" t="n"/>
      <c r="JCR95" s="248" t="n"/>
      <c r="JCS95" s="240" t="n"/>
      <c r="JCT95" s="240" t="n"/>
      <c r="JCV95" s="15" t="n"/>
      <c r="JCW95" s="15" t="n"/>
      <c r="JCX95" s="248" t="n"/>
      <c r="JCY95" s="248" t="n"/>
      <c r="JCZ95" s="240" t="n"/>
      <c r="JDA95" s="240" t="n"/>
      <c r="JDC95" s="15" t="n"/>
      <c r="JDD95" s="15" t="n"/>
      <c r="JDE95" s="248" t="n"/>
      <c r="JDF95" s="248" t="n"/>
      <c r="JDG95" s="240" t="n"/>
      <c r="JDH95" s="240" t="n"/>
      <c r="JDJ95" s="15" t="n"/>
      <c r="JDK95" s="15" t="n"/>
      <c r="JDL95" s="248" t="n"/>
      <c r="JDM95" s="248" t="n"/>
      <c r="JDN95" s="240" t="n"/>
      <c r="JDO95" s="240" t="n"/>
      <c r="JDQ95" s="15" t="n"/>
      <c r="JDR95" s="15" t="n"/>
      <c r="JDS95" s="248" t="n"/>
      <c r="JDT95" s="248" t="n"/>
      <c r="JDU95" s="240" t="n"/>
      <c r="JDV95" s="240" t="n"/>
      <c r="JDX95" s="15" t="n"/>
      <c r="JDY95" s="15" t="n"/>
      <c r="JDZ95" s="248" t="n"/>
      <c r="JEA95" s="248" t="n"/>
      <c r="JEB95" s="240" t="n"/>
      <c r="JEC95" s="240" t="n"/>
      <c r="JEE95" s="15" t="n"/>
      <c r="JEF95" s="15" t="n"/>
      <c r="JEG95" s="248" t="n"/>
      <c r="JEH95" s="248" t="n"/>
      <c r="JEI95" s="240" t="n"/>
      <c r="JEJ95" s="240" t="n"/>
      <c r="JEL95" s="15" t="n"/>
      <c r="JEM95" s="15" t="n"/>
      <c r="JEN95" s="248" t="n"/>
      <c r="JEO95" s="248" t="n"/>
      <c r="JEP95" s="240" t="n"/>
      <c r="JEQ95" s="240" t="n"/>
      <c r="JES95" s="15" t="n"/>
      <c r="JET95" s="15" t="n"/>
      <c r="JEU95" s="248" t="n"/>
      <c r="JEV95" s="248" t="n"/>
      <c r="JEW95" s="240" t="n"/>
      <c r="JEX95" s="240" t="n"/>
      <c r="JEZ95" s="15" t="n"/>
      <c r="JFA95" s="15" t="n"/>
      <c r="JFB95" s="248" t="n"/>
      <c r="JFC95" s="248" t="n"/>
      <c r="JFD95" s="240" t="n"/>
      <c r="JFE95" s="240" t="n"/>
      <c r="JFG95" s="15" t="n"/>
      <c r="JFH95" s="15" t="n"/>
      <c r="JFI95" s="248" t="n"/>
      <c r="JFJ95" s="248" t="n"/>
      <c r="JFK95" s="240" t="n"/>
      <c r="JFL95" s="240" t="n"/>
      <c r="JFN95" s="15" t="n"/>
      <c r="JFO95" s="15" t="n"/>
      <c r="JFP95" s="248" t="n"/>
      <c r="JFQ95" s="248" t="n"/>
      <c r="JFR95" s="240" t="n"/>
      <c r="JFS95" s="240" t="n"/>
      <c r="JFU95" s="15" t="n"/>
      <c r="JFV95" s="15" t="n"/>
      <c r="JFW95" s="248" t="n"/>
      <c r="JFX95" s="248" t="n"/>
      <c r="JFY95" s="240" t="n"/>
      <c r="JFZ95" s="240" t="n"/>
      <c r="JGB95" s="15" t="n"/>
      <c r="JGC95" s="15" t="n"/>
      <c r="JGD95" s="248" t="n"/>
      <c r="JGE95" s="248" t="n"/>
      <c r="JGF95" s="240" t="n"/>
      <c r="JGG95" s="240" t="n"/>
      <c r="JGI95" s="15" t="n"/>
      <c r="JGJ95" s="15" t="n"/>
      <c r="JGK95" s="248" t="n"/>
      <c r="JGL95" s="248" t="n"/>
      <c r="JGM95" s="240" t="n"/>
      <c r="JGN95" s="240" t="n"/>
      <c r="JGP95" s="15" t="n"/>
      <c r="JGQ95" s="15" t="n"/>
      <c r="JGR95" s="248" t="n"/>
      <c r="JGS95" s="248" t="n"/>
      <c r="JGT95" s="240" t="n"/>
      <c r="JGU95" s="240" t="n"/>
      <c r="JGW95" s="15" t="n"/>
      <c r="JGX95" s="15" t="n"/>
      <c r="JGY95" s="248" t="n"/>
      <c r="JGZ95" s="248" t="n"/>
      <c r="JHA95" s="240" t="n"/>
      <c r="JHB95" s="240" t="n"/>
      <c r="JHD95" s="15" t="n"/>
      <c r="JHE95" s="15" t="n"/>
      <c r="JHF95" s="248" t="n"/>
      <c r="JHG95" s="248" t="n"/>
      <c r="JHH95" s="240" t="n"/>
      <c r="JHI95" s="240" t="n"/>
      <c r="JHK95" s="15" t="n"/>
      <c r="JHL95" s="15" t="n"/>
      <c r="JHM95" s="248" t="n"/>
      <c r="JHN95" s="248" t="n"/>
      <c r="JHO95" s="240" t="n"/>
      <c r="JHP95" s="240" t="n"/>
      <c r="JHR95" s="15" t="n"/>
      <c r="JHS95" s="15" t="n"/>
      <c r="JHT95" s="248" t="n"/>
      <c r="JHU95" s="248" t="n"/>
      <c r="JHV95" s="240" t="n"/>
      <c r="JHW95" s="240" t="n"/>
      <c r="JHY95" s="15" t="n"/>
      <c r="JHZ95" s="15" t="n"/>
      <c r="JIA95" s="248" t="n"/>
      <c r="JIB95" s="248" t="n"/>
      <c r="JIC95" s="240" t="n"/>
      <c r="JID95" s="240" t="n"/>
      <c r="JIF95" s="15" t="n"/>
      <c r="JIG95" s="15" t="n"/>
      <c r="JIH95" s="248" t="n"/>
      <c r="JII95" s="248" t="n"/>
      <c r="JIJ95" s="240" t="n"/>
      <c r="JIK95" s="240" t="n"/>
      <c r="JIM95" s="15" t="n"/>
      <c r="JIN95" s="15" t="n"/>
      <c r="JIO95" s="248" t="n"/>
      <c r="JIP95" s="248" t="n"/>
      <c r="JIQ95" s="240" t="n"/>
      <c r="JIR95" s="240" t="n"/>
      <c r="JIT95" s="15" t="n"/>
      <c r="JIU95" s="15" t="n"/>
      <c r="JIV95" s="248" t="n"/>
      <c r="JIW95" s="248" t="n"/>
      <c r="JIX95" s="240" t="n"/>
      <c r="JIY95" s="240" t="n"/>
      <c r="JJA95" s="15" t="n"/>
      <c r="JJB95" s="15" t="n"/>
      <c r="JJC95" s="248" t="n"/>
      <c r="JJD95" s="248" t="n"/>
      <c r="JJE95" s="240" t="n"/>
      <c r="JJF95" s="240" t="n"/>
      <c r="JJH95" s="15" t="n"/>
      <c r="JJI95" s="15" t="n"/>
      <c r="JJJ95" s="248" t="n"/>
      <c r="JJK95" s="248" t="n"/>
      <c r="JJL95" s="240" t="n"/>
      <c r="JJM95" s="240" t="n"/>
      <c r="JJO95" s="15" t="n"/>
      <c r="JJP95" s="15" t="n"/>
      <c r="JJQ95" s="248" t="n"/>
      <c r="JJR95" s="248" t="n"/>
      <c r="JJS95" s="240" t="n"/>
      <c r="JJT95" s="240" t="n"/>
      <c r="JJV95" s="15" t="n"/>
      <c r="JJW95" s="15" t="n"/>
      <c r="JJX95" s="248" t="n"/>
      <c r="JJY95" s="248" t="n"/>
      <c r="JJZ95" s="240" t="n"/>
      <c r="JKA95" s="240" t="n"/>
      <c r="JKC95" s="15" t="n"/>
      <c r="JKD95" s="15" t="n"/>
      <c r="JKE95" s="248" t="n"/>
      <c r="JKF95" s="248" t="n"/>
      <c r="JKG95" s="240" t="n"/>
      <c r="JKH95" s="240" t="n"/>
      <c r="JKJ95" s="15" t="n"/>
      <c r="JKK95" s="15" t="n"/>
      <c r="JKL95" s="248" t="n"/>
      <c r="JKM95" s="248" t="n"/>
      <c r="JKN95" s="240" t="n"/>
      <c r="JKO95" s="240" t="n"/>
      <c r="JKQ95" s="15" t="n"/>
      <c r="JKR95" s="15" t="n"/>
      <c r="JKS95" s="248" t="n"/>
      <c r="JKT95" s="248" t="n"/>
      <c r="JKU95" s="240" t="n"/>
      <c r="JKV95" s="240" t="n"/>
      <c r="JKX95" s="15" t="n"/>
      <c r="JKY95" s="15" t="n"/>
      <c r="JKZ95" s="248" t="n"/>
      <c r="JLA95" s="248" t="n"/>
      <c r="JLB95" s="240" t="n"/>
      <c r="JLC95" s="240" t="n"/>
      <c r="JLE95" s="15" t="n"/>
      <c r="JLF95" s="15" t="n"/>
      <c r="JLG95" s="248" t="n"/>
      <c r="JLH95" s="248" t="n"/>
      <c r="JLI95" s="240" t="n"/>
      <c r="JLJ95" s="240" t="n"/>
      <c r="JLL95" s="15" t="n"/>
      <c r="JLM95" s="15" t="n"/>
      <c r="JLN95" s="248" t="n"/>
      <c r="JLO95" s="248" t="n"/>
      <c r="JLP95" s="240" t="n"/>
      <c r="JLQ95" s="240" t="n"/>
      <c r="JLS95" s="15" t="n"/>
      <c r="JLT95" s="15" t="n"/>
      <c r="JLU95" s="248" t="n"/>
      <c r="JLV95" s="248" t="n"/>
      <c r="JLW95" s="240" t="n"/>
      <c r="JLX95" s="240" t="n"/>
      <c r="JLZ95" s="15" t="n"/>
      <c r="JMA95" s="15" t="n"/>
      <c r="JMB95" s="248" t="n"/>
      <c r="JMC95" s="248" t="n"/>
      <c r="JMD95" s="240" t="n"/>
      <c r="JME95" s="240" t="n"/>
      <c r="JMG95" s="15" t="n"/>
      <c r="JMH95" s="15" t="n"/>
      <c r="JMI95" s="248" t="n"/>
      <c r="JMJ95" s="248" t="n"/>
      <c r="JMK95" s="240" t="n"/>
      <c r="JML95" s="240" t="n"/>
      <c r="JMN95" s="15" t="n"/>
      <c r="JMO95" s="15" t="n"/>
      <c r="JMP95" s="248" t="n"/>
      <c r="JMQ95" s="248" t="n"/>
      <c r="JMR95" s="240" t="n"/>
      <c r="JMS95" s="240" t="n"/>
      <c r="JMU95" s="15" t="n"/>
      <c r="JMV95" s="15" t="n"/>
      <c r="JMW95" s="248" t="n"/>
      <c r="JMX95" s="248" t="n"/>
      <c r="JMY95" s="240" t="n"/>
      <c r="JMZ95" s="240" t="n"/>
      <c r="JNB95" s="15" t="n"/>
      <c r="JNC95" s="15" t="n"/>
      <c r="JND95" s="248" t="n"/>
      <c r="JNE95" s="248" t="n"/>
      <c r="JNF95" s="240" t="n"/>
      <c r="JNG95" s="240" t="n"/>
      <c r="JNI95" s="15" t="n"/>
      <c r="JNJ95" s="15" t="n"/>
      <c r="JNK95" s="248" t="n"/>
      <c r="JNL95" s="248" t="n"/>
      <c r="JNM95" s="240" t="n"/>
      <c r="JNN95" s="240" t="n"/>
      <c r="JNP95" s="15" t="n"/>
      <c r="JNQ95" s="15" t="n"/>
      <c r="JNR95" s="248" t="n"/>
      <c r="JNS95" s="248" t="n"/>
      <c r="JNT95" s="240" t="n"/>
      <c r="JNU95" s="240" t="n"/>
      <c r="JNW95" s="15" t="n"/>
      <c r="JNX95" s="15" t="n"/>
      <c r="JNY95" s="248" t="n"/>
      <c r="JNZ95" s="248" t="n"/>
      <c r="JOA95" s="240" t="n"/>
      <c r="JOB95" s="240" t="n"/>
      <c r="JOD95" s="15" t="n"/>
      <c r="JOE95" s="15" t="n"/>
      <c r="JOF95" s="248" t="n"/>
      <c r="JOG95" s="248" t="n"/>
      <c r="JOH95" s="240" t="n"/>
      <c r="JOI95" s="240" t="n"/>
      <c r="JOK95" s="15" t="n"/>
      <c r="JOL95" s="15" t="n"/>
      <c r="JOM95" s="248" t="n"/>
      <c r="JON95" s="248" t="n"/>
      <c r="JOO95" s="240" t="n"/>
      <c r="JOP95" s="240" t="n"/>
      <c r="JOR95" s="15" t="n"/>
      <c r="JOS95" s="15" t="n"/>
      <c r="JOT95" s="248" t="n"/>
      <c r="JOU95" s="248" t="n"/>
      <c r="JOV95" s="240" t="n"/>
      <c r="JOW95" s="240" t="n"/>
      <c r="JOY95" s="15" t="n"/>
      <c r="JOZ95" s="15" t="n"/>
      <c r="JPA95" s="248" t="n"/>
      <c r="JPB95" s="248" t="n"/>
      <c r="JPC95" s="240" t="n"/>
      <c r="JPD95" s="240" t="n"/>
      <c r="JPF95" s="15" t="n"/>
      <c r="JPG95" s="15" t="n"/>
      <c r="JPH95" s="248" t="n"/>
      <c r="JPI95" s="248" t="n"/>
      <c r="JPJ95" s="240" t="n"/>
      <c r="JPK95" s="240" t="n"/>
      <c r="JPM95" s="15" t="n"/>
      <c r="JPN95" s="15" t="n"/>
      <c r="JPO95" s="248" t="n"/>
      <c r="JPP95" s="248" t="n"/>
      <c r="JPQ95" s="240" t="n"/>
      <c r="JPR95" s="240" t="n"/>
      <c r="JPT95" s="15" t="n"/>
      <c r="JPU95" s="15" t="n"/>
      <c r="JPV95" s="248" t="n"/>
      <c r="JPW95" s="248" t="n"/>
      <c r="JPX95" s="240" t="n"/>
      <c r="JPY95" s="240" t="n"/>
      <c r="JQA95" s="15" t="n"/>
      <c r="JQB95" s="15" t="n"/>
      <c r="JQC95" s="248" t="n"/>
      <c r="JQD95" s="248" t="n"/>
      <c r="JQE95" s="240" t="n"/>
      <c r="JQF95" s="240" t="n"/>
      <c r="JQH95" s="15" t="n"/>
      <c r="JQI95" s="15" t="n"/>
      <c r="JQJ95" s="248" t="n"/>
      <c r="JQK95" s="248" t="n"/>
      <c r="JQL95" s="240" t="n"/>
      <c r="JQM95" s="240" t="n"/>
      <c r="JQO95" s="15" t="n"/>
      <c r="JQP95" s="15" t="n"/>
      <c r="JQQ95" s="248" t="n"/>
      <c r="JQR95" s="248" t="n"/>
      <c r="JQS95" s="240" t="n"/>
      <c r="JQT95" s="240" t="n"/>
      <c r="JQV95" s="15" t="n"/>
      <c r="JQW95" s="15" t="n"/>
      <c r="JQX95" s="248" t="n"/>
      <c r="JQY95" s="248" t="n"/>
      <c r="JQZ95" s="240" t="n"/>
      <c r="JRA95" s="240" t="n"/>
      <c r="JRC95" s="15" t="n"/>
      <c r="JRD95" s="15" t="n"/>
      <c r="JRE95" s="248" t="n"/>
      <c r="JRF95" s="248" t="n"/>
      <c r="JRG95" s="240" t="n"/>
      <c r="JRH95" s="240" t="n"/>
      <c r="JRJ95" s="15" t="n"/>
      <c r="JRK95" s="15" t="n"/>
      <c r="JRL95" s="248" t="n"/>
      <c r="JRM95" s="248" t="n"/>
      <c r="JRN95" s="240" t="n"/>
      <c r="JRO95" s="240" t="n"/>
      <c r="JRQ95" s="15" t="n"/>
      <c r="JRR95" s="15" t="n"/>
      <c r="JRS95" s="248" t="n"/>
      <c r="JRT95" s="248" t="n"/>
      <c r="JRU95" s="240" t="n"/>
      <c r="JRV95" s="240" t="n"/>
      <c r="JRX95" s="15" t="n"/>
      <c r="JRY95" s="15" t="n"/>
      <c r="JRZ95" s="248" t="n"/>
      <c r="JSA95" s="248" t="n"/>
      <c r="JSB95" s="240" t="n"/>
      <c r="JSC95" s="240" t="n"/>
      <c r="JSE95" s="15" t="n"/>
      <c r="JSF95" s="15" t="n"/>
      <c r="JSG95" s="248" t="n"/>
      <c r="JSH95" s="248" t="n"/>
      <c r="JSI95" s="240" t="n"/>
      <c r="JSJ95" s="240" t="n"/>
      <c r="JSL95" s="15" t="n"/>
      <c r="JSM95" s="15" t="n"/>
      <c r="JSN95" s="248" t="n"/>
      <c r="JSO95" s="248" t="n"/>
      <c r="JSP95" s="240" t="n"/>
      <c r="JSQ95" s="240" t="n"/>
      <c r="JSS95" s="15" t="n"/>
      <c r="JST95" s="15" t="n"/>
      <c r="JSU95" s="248" t="n"/>
      <c r="JSV95" s="248" t="n"/>
      <c r="JSW95" s="240" t="n"/>
      <c r="JSX95" s="240" t="n"/>
      <c r="JSZ95" s="15" t="n"/>
      <c r="JTA95" s="15" t="n"/>
      <c r="JTB95" s="248" t="n"/>
      <c r="JTC95" s="248" t="n"/>
      <c r="JTD95" s="240" t="n"/>
      <c r="JTE95" s="240" t="n"/>
      <c r="JTG95" s="15" t="n"/>
      <c r="JTH95" s="15" t="n"/>
      <c r="JTI95" s="248" t="n"/>
      <c r="JTJ95" s="248" t="n"/>
      <c r="JTK95" s="240" t="n"/>
      <c r="JTL95" s="240" t="n"/>
      <c r="JTN95" s="15" t="n"/>
      <c r="JTO95" s="15" t="n"/>
      <c r="JTP95" s="248" t="n"/>
      <c r="JTQ95" s="248" t="n"/>
      <c r="JTR95" s="240" t="n"/>
      <c r="JTS95" s="240" t="n"/>
      <c r="JTU95" s="15" t="n"/>
      <c r="JTV95" s="15" t="n"/>
      <c r="JTW95" s="248" t="n"/>
      <c r="JTX95" s="248" t="n"/>
      <c r="JTY95" s="240" t="n"/>
      <c r="JTZ95" s="240" t="n"/>
      <c r="JUB95" s="15" t="n"/>
      <c r="JUC95" s="15" t="n"/>
      <c r="JUD95" s="248" t="n"/>
      <c r="JUE95" s="248" t="n"/>
      <c r="JUF95" s="240" t="n"/>
      <c r="JUG95" s="240" t="n"/>
      <c r="JUI95" s="15" t="n"/>
      <c r="JUJ95" s="15" t="n"/>
      <c r="JUK95" s="248" t="n"/>
      <c r="JUL95" s="248" t="n"/>
      <c r="JUM95" s="240" t="n"/>
      <c r="JUN95" s="240" t="n"/>
      <c r="JUP95" s="15" t="n"/>
      <c r="JUQ95" s="15" t="n"/>
      <c r="JUR95" s="248" t="n"/>
      <c r="JUS95" s="248" t="n"/>
      <c r="JUT95" s="240" t="n"/>
      <c r="JUU95" s="240" t="n"/>
      <c r="JUW95" s="15" t="n"/>
      <c r="JUX95" s="15" t="n"/>
      <c r="JUY95" s="248" t="n"/>
      <c r="JUZ95" s="248" t="n"/>
      <c r="JVA95" s="240" t="n"/>
      <c r="JVB95" s="240" t="n"/>
      <c r="JVD95" s="15" t="n"/>
      <c r="JVE95" s="15" t="n"/>
      <c r="JVF95" s="248" t="n"/>
      <c r="JVG95" s="248" t="n"/>
      <c r="JVH95" s="240" t="n"/>
      <c r="JVI95" s="240" t="n"/>
      <c r="JVK95" s="15" t="n"/>
      <c r="JVL95" s="15" t="n"/>
      <c r="JVM95" s="248" t="n"/>
      <c r="JVN95" s="248" t="n"/>
      <c r="JVO95" s="240" t="n"/>
      <c r="JVP95" s="240" t="n"/>
      <c r="JVR95" s="15" t="n"/>
      <c r="JVS95" s="15" t="n"/>
      <c r="JVT95" s="248" t="n"/>
      <c r="JVU95" s="248" t="n"/>
      <c r="JVV95" s="240" t="n"/>
      <c r="JVW95" s="240" t="n"/>
      <c r="JVY95" s="15" t="n"/>
      <c r="JVZ95" s="15" t="n"/>
      <c r="JWA95" s="248" t="n"/>
      <c r="JWB95" s="248" t="n"/>
      <c r="JWC95" s="240" t="n"/>
      <c r="JWD95" s="240" t="n"/>
      <c r="JWF95" s="15" t="n"/>
      <c r="JWG95" s="15" t="n"/>
      <c r="JWH95" s="248" t="n"/>
      <c r="JWI95" s="248" t="n"/>
      <c r="JWJ95" s="240" t="n"/>
      <c r="JWK95" s="240" t="n"/>
      <c r="JWM95" s="15" t="n"/>
      <c r="JWN95" s="15" t="n"/>
      <c r="JWO95" s="248" t="n"/>
      <c r="JWP95" s="248" t="n"/>
      <c r="JWQ95" s="240" t="n"/>
      <c r="JWR95" s="240" t="n"/>
      <c r="JWT95" s="15" t="n"/>
      <c r="JWU95" s="15" t="n"/>
      <c r="JWV95" s="248" t="n"/>
      <c r="JWW95" s="248" t="n"/>
      <c r="JWX95" s="240" t="n"/>
      <c r="JWY95" s="240" t="n"/>
      <c r="JXA95" s="15" t="n"/>
      <c r="JXB95" s="15" t="n"/>
      <c r="JXC95" s="248" t="n"/>
      <c r="JXD95" s="248" t="n"/>
      <c r="JXE95" s="240" t="n"/>
      <c r="JXF95" s="240" t="n"/>
      <c r="JXH95" s="15" t="n"/>
      <c r="JXI95" s="15" t="n"/>
      <c r="JXJ95" s="248" t="n"/>
      <c r="JXK95" s="248" t="n"/>
      <c r="JXL95" s="240" t="n"/>
      <c r="JXM95" s="240" t="n"/>
      <c r="JXO95" s="15" t="n"/>
      <c r="JXP95" s="15" t="n"/>
      <c r="JXQ95" s="248" t="n"/>
      <c r="JXR95" s="248" t="n"/>
      <c r="JXS95" s="240" t="n"/>
      <c r="JXT95" s="240" t="n"/>
      <c r="JXV95" s="15" t="n"/>
      <c r="JXW95" s="15" t="n"/>
      <c r="JXX95" s="248" t="n"/>
      <c r="JXY95" s="248" t="n"/>
      <c r="JXZ95" s="240" t="n"/>
      <c r="JYA95" s="240" t="n"/>
      <c r="JYC95" s="15" t="n"/>
      <c r="JYD95" s="15" t="n"/>
      <c r="JYE95" s="248" t="n"/>
      <c r="JYF95" s="248" t="n"/>
      <c r="JYG95" s="240" t="n"/>
      <c r="JYH95" s="240" t="n"/>
      <c r="JYJ95" s="15" t="n"/>
      <c r="JYK95" s="15" t="n"/>
      <c r="JYL95" s="248" t="n"/>
      <c r="JYM95" s="248" t="n"/>
      <c r="JYN95" s="240" t="n"/>
      <c r="JYO95" s="240" t="n"/>
      <c r="JYQ95" s="15" t="n"/>
      <c r="JYR95" s="15" t="n"/>
      <c r="JYS95" s="248" t="n"/>
      <c r="JYT95" s="248" t="n"/>
      <c r="JYU95" s="240" t="n"/>
      <c r="JYV95" s="240" t="n"/>
      <c r="JYX95" s="15" t="n"/>
      <c r="JYY95" s="15" t="n"/>
      <c r="JYZ95" s="248" t="n"/>
      <c r="JZA95" s="248" t="n"/>
      <c r="JZB95" s="240" t="n"/>
      <c r="JZC95" s="240" t="n"/>
      <c r="JZE95" s="15" t="n"/>
      <c r="JZF95" s="15" t="n"/>
      <c r="JZG95" s="248" t="n"/>
      <c r="JZH95" s="248" t="n"/>
      <c r="JZI95" s="240" t="n"/>
      <c r="JZJ95" s="240" t="n"/>
      <c r="JZL95" s="15" t="n"/>
      <c r="JZM95" s="15" t="n"/>
      <c r="JZN95" s="248" t="n"/>
      <c r="JZO95" s="248" t="n"/>
      <c r="JZP95" s="240" t="n"/>
      <c r="JZQ95" s="240" t="n"/>
      <c r="JZS95" s="15" t="n"/>
      <c r="JZT95" s="15" t="n"/>
      <c r="JZU95" s="248" t="n"/>
      <c r="JZV95" s="248" t="n"/>
      <c r="JZW95" s="240" t="n"/>
      <c r="JZX95" s="240" t="n"/>
      <c r="JZZ95" s="15" t="n"/>
      <c r="KAA95" s="15" t="n"/>
      <c r="KAB95" s="248" t="n"/>
      <c r="KAC95" s="248" t="n"/>
      <c r="KAD95" s="240" t="n"/>
      <c r="KAE95" s="240" t="n"/>
      <c r="KAG95" s="15" t="n"/>
      <c r="KAH95" s="15" t="n"/>
      <c r="KAI95" s="248" t="n"/>
      <c r="KAJ95" s="248" t="n"/>
      <c r="KAK95" s="240" t="n"/>
      <c r="KAL95" s="240" t="n"/>
      <c r="KAN95" s="15" t="n"/>
      <c r="KAO95" s="15" t="n"/>
      <c r="KAP95" s="248" t="n"/>
      <c r="KAQ95" s="248" t="n"/>
      <c r="KAR95" s="240" t="n"/>
      <c r="KAS95" s="240" t="n"/>
      <c r="KAU95" s="15" t="n"/>
      <c r="KAV95" s="15" t="n"/>
      <c r="KAW95" s="248" t="n"/>
      <c r="KAX95" s="248" t="n"/>
      <c r="KAY95" s="240" t="n"/>
      <c r="KAZ95" s="240" t="n"/>
      <c r="KBB95" s="15" t="n"/>
      <c r="KBC95" s="15" t="n"/>
      <c r="KBD95" s="248" t="n"/>
      <c r="KBE95" s="248" t="n"/>
      <c r="KBF95" s="240" t="n"/>
      <c r="KBG95" s="240" t="n"/>
      <c r="KBI95" s="15" t="n"/>
      <c r="KBJ95" s="15" t="n"/>
      <c r="KBK95" s="248" t="n"/>
      <c r="KBL95" s="248" t="n"/>
      <c r="KBM95" s="240" t="n"/>
      <c r="KBN95" s="240" t="n"/>
      <c r="KBP95" s="15" t="n"/>
      <c r="KBQ95" s="15" t="n"/>
      <c r="KBR95" s="248" t="n"/>
      <c r="KBS95" s="248" t="n"/>
      <c r="KBT95" s="240" t="n"/>
      <c r="KBU95" s="240" t="n"/>
      <c r="KBW95" s="15" t="n"/>
      <c r="KBX95" s="15" t="n"/>
      <c r="KBY95" s="248" t="n"/>
      <c r="KBZ95" s="248" t="n"/>
      <c r="KCA95" s="240" t="n"/>
      <c r="KCB95" s="240" t="n"/>
      <c r="KCD95" s="15" t="n"/>
      <c r="KCE95" s="15" t="n"/>
      <c r="KCF95" s="248" t="n"/>
      <c r="KCG95" s="248" t="n"/>
      <c r="KCH95" s="240" t="n"/>
      <c r="KCI95" s="240" t="n"/>
      <c r="KCK95" s="15" t="n"/>
      <c r="KCL95" s="15" t="n"/>
      <c r="KCM95" s="248" t="n"/>
      <c r="KCN95" s="248" t="n"/>
      <c r="KCO95" s="240" t="n"/>
      <c r="KCP95" s="240" t="n"/>
      <c r="KCR95" s="15" t="n"/>
      <c r="KCS95" s="15" t="n"/>
      <c r="KCT95" s="248" t="n"/>
      <c r="KCU95" s="248" t="n"/>
      <c r="KCV95" s="240" t="n"/>
      <c r="KCW95" s="240" t="n"/>
      <c r="KCY95" s="15" t="n"/>
      <c r="KCZ95" s="15" t="n"/>
      <c r="KDA95" s="248" t="n"/>
      <c r="KDB95" s="248" t="n"/>
      <c r="KDC95" s="240" t="n"/>
      <c r="KDD95" s="240" t="n"/>
      <c r="KDF95" s="15" t="n"/>
      <c r="KDG95" s="15" t="n"/>
      <c r="KDH95" s="248" t="n"/>
      <c r="KDI95" s="248" t="n"/>
      <c r="KDJ95" s="240" t="n"/>
      <c r="KDK95" s="240" t="n"/>
      <c r="KDM95" s="15" t="n"/>
      <c r="KDN95" s="15" t="n"/>
      <c r="KDO95" s="248" t="n"/>
      <c r="KDP95" s="248" t="n"/>
      <c r="KDQ95" s="240" t="n"/>
      <c r="KDR95" s="240" t="n"/>
      <c r="KDT95" s="15" t="n"/>
      <c r="KDU95" s="15" t="n"/>
      <c r="KDV95" s="248" t="n"/>
      <c r="KDW95" s="248" t="n"/>
      <c r="KDX95" s="240" t="n"/>
      <c r="KDY95" s="240" t="n"/>
      <c r="KEA95" s="15" t="n"/>
      <c r="KEB95" s="15" t="n"/>
      <c r="KEC95" s="248" t="n"/>
      <c r="KED95" s="248" t="n"/>
      <c r="KEE95" s="240" t="n"/>
      <c r="KEF95" s="240" t="n"/>
      <c r="KEH95" s="15" t="n"/>
      <c r="KEI95" s="15" t="n"/>
      <c r="KEJ95" s="248" t="n"/>
      <c r="KEK95" s="248" t="n"/>
      <c r="KEL95" s="240" t="n"/>
      <c r="KEM95" s="240" t="n"/>
      <c r="KEO95" s="15" t="n"/>
      <c r="KEP95" s="15" t="n"/>
      <c r="KEQ95" s="248" t="n"/>
      <c r="KER95" s="248" t="n"/>
      <c r="KES95" s="240" t="n"/>
      <c r="KET95" s="240" t="n"/>
      <c r="KEV95" s="15" t="n"/>
      <c r="KEW95" s="15" t="n"/>
      <c r="KEX95" s="248" t="n"/>
      <c r="KEY95" s="248" t="n"/>
      <c r="KEZ95" s="240" t="n"/>
      <c r="KFA95" s="240" t="n"/>
      <c r="KFC95" s="15" t="n"/>
      <c r="KFD95" s="15" t="n"/>
      <c r="KFE95" s="248" t="n"/>
      <c r="KFF95" s="248" t="n"/>
      <c r="KFG95" s="240" t="n"/>
      <c r="KFH95" s="240" t="n"/>
      <c r="KFJ95" s="15" t="n"/>
      <c r="KFK95" s="15" t="n"/>
      <c r="KFL95" s="248" t="n"/>
      <c r="KFM95" s="248" t="n"/>
      <c r="KFN95" s="240" t="n"/>
      <c r="KFO95" s="240" t="n"/>
      <c r="KFQ95" s="15" t="n"/>
      <c r="KFR95" s="15" t="n"/>
      <c r="KFS95" s="248" t="n"/>
      <c r="KFT95" s="248" t="n"/>
      <c r="KFU95" s="240" t="n"/>
      <c r="KFV95" s="240" t="n"/>
      <c r="KFX95" s="15" t="n"/>
      <c r="KFY95" s="15" t="n"/>
      <c r="KFZ95" s="248" t="n"/>
      <c r="KGA95" s="248" t="n"/>
      <c r="KGB95" s="240" t="n"/>
      <c r="KGC95" s="240" t="n"/>
      <c r="KGE95" s="15" t="n"/>
      <c r="KGF95" s="15" t="n"/>
      <c r="KGG95" s="248" t="n"/>
      <c r="KGH95" s="248" t="n"/>
      <c r="KGI95" s="240" t="n"/>
      <c r="KGJ95" s="240" t="n"/>
      <c r="KGL95" s="15" t="n"/>
      <c r="KGM95" s="15" t="n"/>
      <c r="KGN95" s="248" t="n"/>
      <c r="KGO95" s="248" t="n"/>
      <c r="KGP95" s="240" t="n"/>
      <c r="KGQ95" s="240" t="n"/>
      <c r="KGS95" s="15" t="n"/>
      <c r="KGT95" s="15" t="n"/>
      <c r="KGU95" s="248" t="n"/>
      <c r="KGV95" s="248" t="n"/>
      <c r="KGW95" s="240" t="n"/>
      <c r="KGX95" s="240" t="n"/>
      <c r="KGZ95" s="15" t="n"/>
      <c r="KHA95" s="15" t="n"/>
      <c r="KHB95" s="248" t="n"/>
      <c r="KHC95" s="248" t="n"/>
      <c r="KHD95" s="240" t="n"/>
      <c r="KHE95" s="240" t="n"/>
      <c r="KHG95" s="15" t="n"/>
      <c r="KHH95" s="15" t="n"/>
      <c r="KHI95" s="248" t="n"/>
      <c r="KHJ95" s="248" t="n"/>
      <c r="KHK95" s="240" t="n"/>
      <c r="KHL95" s="240" t="n"/>
      <c r="KHN95" s="15" t="n"/>
      <c r="KHO95" s="15" t="n"/>
      <c r="KHP95" s="248" t="n"/>
      <c r="KHQ95" s="248" t="n"/>
      <c r="KHR95" s="240" t="n"/>
      <c r="KHS95" s="240" t="n"/>
      <c r="KHU95" s="15" t="n"/>
      <c r="KHV95" s="15" t="n"/>
      <c r="KHW95" s="248" t="n"/>
      <c r="KHX95" s="248" t="n"/>
      <c r="KHY95" s="240" t="n"/>
      <c r="KHZ95" s="240" t="n"/>
      <c r="KIB95" s="15" t="n"/>
      <c r="KIC95" s="15" t="n"/>
      <c r="KID95" s="248" t="n"/>
      <c r="KIE95" s="248" t="n"/>
      <c r="KIF95" s="240" t="n"/>
      <c r="KIG95" s="240" t="n"/>
      <c r="KII95" s="15" t="n"/>
      <c r="KIJ95" s="15" t="n"/>
      <c r="KIK95" s="248" t="n"/>
      <c r="KIL95" s="248" t="n"/>
      <c r="KIM95" s="240" t="n"/>
      <c r="KIN95" s="240" t="n"/>
      <c r="KIP95" s="15" t="n"/>
      <c r="KIQ95" s="15" t="n"/>
      <c r="KIR95" s="248" t="n"/>
      <c r="KIS95" s="248" t="n"/>
      <c r="KIT95" s="240" t="n"/>
      <c r="KIU95" s="240" t="n"/>
      <c r="KIW95" s="15" t="n"/>
      <c r="KIX95" s="15" t="n"/>
      <c r="KIY95" s="248" t="n"/>
      <c r="KIZ95" s="248" t="n"/>
      <c r="KJA95" s="240" t="n"/>
      <c r="KJB95" s="240" t="n"/>
      <c r="KJD95" s="15" t="n"/>
      <c r="KJE95" s="15" t="n"/>
      <c r="KJF95" s="248" t="n"/>
      <c r="KJG95" s="248" t="n"/>
      <c r="KJH95" s="240" t="n"/>
      <c r="KJI95" s="240" t="n"/>
      <c r="KJK95" s="15" t="n"/>
      <c r="KJL95" s="15" t="n"/>
      <c r="KJM95" s="248" t="n"/>
      <c r="KJN95" s="248" t="n"/>
      <c r="KJO95" s="240" t="n"/>
      <c r="KJP95" s="240" t="n"/>
      <c r="KJR95" s="15" t="n"/>
      <c r="KJS95" s="15" t="n"/>
      <c r="KJT95" s="248" t="n"/>
      <c r="KJU95" s="248" t="n"/>
      <c r="KJV95" s="240" t="n"/>
      <c r="KJW95" s="240" t="n"/>
      <c r="KJY95" s="15" t="n"/>
      <c r="KJZ95" s="15" t="n"/>
      <c r="KKA95" s="248" t="n"/>
      <c r="KKB95" s="248" t="n"/>
      <c r="KKC95" s="240" t="n"/>
      <c r="KKD95" s="240" t="n"/>
      <c r="KKF95" s="15" t="n"/>
      <c r="KKG95" s="15" t="n"/>
      <c r="KKH95" s="248" t="n"/>
      <c r="KKI95" s="248" t="n"/>
      <c r="KKJ95" s="240" t="n"/>
      <c r="KKK95" s="240" t="n"/>
      <c r="KKM95" s="15" t="n"/>
      <c r="KKN95" s="15" t="n"/>
      <c r="KKO95" s="248" t="n"/>
      <c r="KKP95" s="248" t="n"/>
      <c r="KKQ95" s="240" t="n"/>
      <c r="KKR95" s="240" t="n"/>
      <c r="KKT95" s="15" t="n"/>
      <c r="KKU95" s="15" t="n"/>
      <c r="KKV95" s="248" t="n"/>
      <c r="KKW95" s="248" t="n"/>
      <c r="KKX95" s="240" t="n"/>
      <c r="KKY95" s="240" t="n"/>
      <c r="KLA95" s="15" t="n"/>
      <c r="KLB95" s="15" t="n"/>
      <c r="KLC95" s="248" t="n"/>
      <c r="KLD95" s="248" t="n"/>
      <c r="KLE95" s="240" t="n"/>
      <c r="KLF95" s="240" t="n"/>
      <c r="KLH95" s="15" t="n"/>
      <c r="KLI95" s="15" t="n"/>
      <c r="KLJ95" s="248" t="n"/>
      <c r="KLK95" s="248" t="n"/>
      <c r="KLL95" s="240" t="n"/>
      <c r="KLM95" s="240" t="n"/>
      <c r="KLO95" s="15" t="n"/>
      <c r="KLP95" s="15" t="n"/>
      <c r="KLQ95" s="248" t="n"/>
      <c r="KLR95" s="248" t="n"/>
      <c r="KLS95" s="240" t="n"/>
      <c r="KLT95" s="240" t="n"/>
      <c r="KLV95" s="15" t="n"/>
      <c r="KLW95" s="15" t="n"/>
      <c r="KLX95" s="248" t="n"/>
      <c r="KLY95" s="248" t="n"/>
      <c r="KLZ95" s="240" t="n"/>
      <c r="KMA95" s="240" t="n"/>
      <c r="KMC95" s="15" t="n"/>
      <c r="KMD95" s="15" t="n"/>
      <c r="KME95" s="248" t="n"/>
      <c r="KMF95" s="248" t="n"/>
      <c r="KMG95" s="240" t="n"/>
      <c r="KMH95" s="240" t="n"/>
      <c r="KMJ95" s="15" t="n"/>
      <c r="KMK95" s="15" t="n"/>
      <c r="KML95" s="248" t="n"/>
      <c r="KMM95" s="248" t="n"/>
      <c r="KMN95" s="240" t="n"/>
      <c r="KMO95" s="240" t="n"/>
      <c r="KMQ95" s="15" t="n"/>
      <c r="KMR95" s="15" t="n"/>
      <c r="KMS95" s="248" t="n"/>
      <c r="KMT95" s="248" t="n"/>
      <c r="KMU95" s="240" t="n"/>
      <c r="KMV95" s="240" t="n"/>
      <c r="KMX95" s="15" t="n"/>
      <c r="KMY95" s="15" t="n"/>
      <c r="KMZ95" s="248" t="n"/>
      <c r="KNA95" s="248" t="n"/>
      <c r="KNB95" s="240" t="n"/>
      <c r="KNC95" s="240" t="n"/>
      <c r="KNE95" s="15" t="n"/>
      <c r="KNF95" s="15" t="n"/>
      <c r="KNG95" s="248" t="n"/>
      <c r="KNH95" s="248" t="n"/>
      <c r="KNI95" s="240" t="n"/>
      <c r="KNJ95" s="240" t="n"/>
      <c r="KNL95" s="15" t="n"/>
      <c r="KNM95" s="15" t="n"/>
      <c r="KNN95" s="248" t="n"/>
      <c r="KNO95" s="248" t="n"/>
      <c r="KNP95" s="240" t="n"/>
      <c r="KNQ95" s="240" t="n"/>
      <c r="KNS95" s="15" t="n"/>
      <c r="KNT95" s="15" t="n"/>
      <c r="KNU95" s="248" t="n"/>
      <c r="KNV95" s="248" t="n"/>
      <c r="KNW95" s="240" t="n"/>
      <c r="KNX95" s="240" t="n"/>
      <c r="KNZ95" s="15" t="n"/>
      <c r="KOA95" s="15" t="n"/>
      <c r="KOB95" s="248" t="n"/>
      <c r="KOC95" s="248" t="n"/>
      <c r="KOD95" s="240" t="n"/>
      <c r="KOE95" s="240" t="n"/>
      <c r="KOG95" s="15" t="n"/>
      <c r="KOH95" s="15" t="n"/>
      <c r="KOI95" s="248" t="n"/>
      <c r="KOJ95" s="248" t="n"/>
      <c r="KOK95" s="240" t="n"/>
      <c r="KOL95" s="240" t="n"/>
      <c r="KON95" s="15" t="n"/>
      <c r="KOO95" s="15" t="n"/>
      <c r="KOP95" s="248" t="n"/>
      <c r="KOQ95" s="248" t="n"/>
      <c r="KOR95" s="240" t="n"/>
      <c r="KOS95" s="240" t="n"/>
      <c r="KOU95" s="15" t="n"/>
      <c r="KOV95" s="15" t="n"/>
      <c r="KOW95" s="248" t="n"/>
      <c r="KOX95" s="248" t="n"/>
      <c r="KOY95" s="240" t="n"/>
      <c r="KOZ95" s="240" t="n"/>
      <c r="KPB95" s="15" t="n"/>
      <c r="KPC95" s="15" t="n"/>
      <c r="KPD95" s="248" t="n"/>
      <c r="KPE95" s="248" t="n"/>
      <c r="KPF95" s="240" t="n"/>
      <c r="KPG95" s="240" t="n"/>
      <c r="KPI95" s="15" t="n"/>
      <c r="KPJ95" s="15" t="n"/>
      <c r="KPK95" s="248" t="n"/>
      <c r="KPL95" s="248" t="n"/>
      <c r="KPM95" s="240" t="n"/>
      <c r="KPN95" s="240" t="n"/>
      <c r="KPP95" s="15" t="n"/>
      <c r="KPQ95" s="15" t="n"/>
      <c r="KPR95" s="248" t="n"/>
      <c r="KPS95" s="248" t="n"/>
      <c r="KPT95" s="240" t="n"/>
      <c r="KPU95" s="240" t="n"/>
      <c r="KPW95" s="15" t="n"/>
      <c r="KPX95" s="15" t="n"/>
      <c r="KPY95" s="248" t="n"/>
      <c r="KPZ95" s="248" t="n"/>
      <c r="KQA95" s="240" t="n"/>
      <c r="KQB95" s="240" t="n"/>
      <c r="KQD95" s="15" t="n"/>
      <c r="KQE95" s="15" t="n"/>
      <c r="KQF95" s="248" t="n"/>
      <c r="KQG95" s="248" t="n"/>
      <c r="KQH95" s="240" t="n"/>
      <c r="KQI95" s="240" t="n"/>
      <c r="KQK95" s="15" t="n"/>
      <c r="KQL95" s="15" t="n"/>
      <c r="KQM95" s="248" t="n"/>
      <c r="KQN95" s="248" t="n"/>
      <c r="KQO95" s="240" t="n"/>
      <c r="KQP95" s="240" t="n"/>
      <c r="KQR95" s="15" t="n"/>
      <c r="KQS95" s="15" t="n"/>
      <c r="KQT95" s="248" t="n"/>
      <c r="KQU95" s="248" t="n"/>
      <c r="KQV95" s="240" t="n"/>
      <c r="KQW95" s="240" t="n"/>
      <c r="KQY95" s="15" t="n"/>
      <c r="KQZ95" s="15" t="n"/>
      <c r="KRA95" s="248" t="n"/>
      <c r="KRB95" s="248" t="n"/>
      <c r="KRC95" s="240" t="n"/>
      <c r="KRD95" s="240" t="n"/>
      <c r="KRF95" s="15" t="n"/>
      <c r="KRG95" s="15" t="n"/>
      <c r="KRH95" s="248" t="n"/>
      <c r="KRI95" s="248" t="n"/>
      <c r="KRJ95" s="240" t="n"/>
      <c r="KRK95" s="240" t="n"/>
      <c r="KRM95" s="15" t="n"/>
      <c r="KRN95" s="15" t="n"/>
      <c r="KRO95" s="248" t="n"/>
      <c r="KRP95" s="248" t="n"/>
      <c r="KRQ95" s="240" t="n"/>
      <c r="KRR95" s="240" t="n"/>
      <c r="KRT95" s="15" t="n"/>
      <c r="KRU95" s="15" t="n"/>
      <c r="KRV95" s="248" t="n"/>
      <c r="KRW95" s="248" t="n"/>
      <c r="KRX95" s="240" t="n"/>
      <c r="KRY95" s="240" t="n"/>
      <c r="KSA95" s="15" t="n"/>
      <c r="KSB95" s="15" t="n"/>
      <c r="KSC95" s="248" t="n"/>
      <c r="KSD95" s="248" t="n"/>
      <c r="KSE95" s="240" t="n"/>
      <c r="KSF95" s="240" t="n"/>
      <c r="KSH95" s="15" t="n"/>
      <c r="KSI95" s="15" t="n"/>
      <c r="KSJ95" s="248" t="n"/>
      <c r="KSK95" s="248" t="n"/>
      <c r="KSL95" s="240" t="n"/>
      <c r="KSM95" s="240" t="n"/>
      <c r="KSO95" s="15" t="n"/>
      <c r="KSP95" s="15" t="n"/>
      <c r="KSQ95" s="248" t="n"/>
      <c r="KSR95" s="248" t="n"/>
      <c r="KSS95" s="240" t="n"/>
      <c r="KST95" s="240" t="n"/>
      <c r="KSV95" s="15" t="n"/>
      <c r="KSW95" s="15" t="n"/>
      <c r="KSX95" s="248" t="n"/>
      <c r="KSY95" s="248" t="n"/>
      <c r="KSZ95" s="240" t="n"/>
      <c r="KTA95" s="240" t="n"/>
      <c r="KTC95" s="15" t="n"/>
      <c r="KTD95" s="15" t="n"/>
      <c r="KTE95" s="248" t="n"/>
      <c r="KTF95" s="248" t="n"/>
      <c r="KTG95" s="240" t="n"/>
      <c r="KTH95" s="240" t="n"/>
      <c r="KTJ95" s="15" t="n"/>
      <c r="KTK95" s="15" t="n"/>
      <c r="KTL95" s="248" t="n"/>
      <c r="KTM95" s="248" t="n"/>
      <c r="KTN95" s="240" t="n"/>
      <c r="KTO95" s="240" t="n"/>
      <c r="KTQ95" s="15" t="n"/>
      <c r="KTR95" s="15" t="n"/>
      <c r="KTS95" s="248" t="n"/>
      <c r="KTT95" s="248" t="n"/>
      <c r="KTU95" s="240" t="n"/>
      <c r="KTV95" s="240" t="n"/>
      <c r="KTX95" s="15" t="n"/>
      <c r="KTY95" s="15" t="n"/>
      <c r="KTZ95" s="248" t="n"/>
      <c r="KUA95" s="248" t="n"/>
      <c r="KUB95" s="240" t="n"/>
      <c r="KUC95" s="240" t="n"/>
      <c r="KUE95" s="15" t="n"/>
      <c r="KUF95" s="15" t="n"/>
      <c r="KUG95" s="248" t="n"/>
      <c r="KUH95" s="248" t="n"/>
      <c r="KUI95" s="240" t="n"/>
      <c r="KUJ95" s="240" t="n"/>
      <c r="KUL95" s="15" t="n"/>
      <c r="KUM95" s="15" t="n"/>
      <c r="KUN95" s="248" t="n"/>
      <c r="KUO95" s="248" t="n"/>
      <c r="KUP95" s="240" t="n"/>
      <c r="KUQ95" s="240" t="n"/>
      <c r="KUS95" s="15" t="n"/>
      <c r="KUT95" s="15" t="n"/>
      <c r="KUU95" s="248" t="n"/>
      <c r="KUV95" s="248" t="n"/>
      <c r="KUW95" s="240" t="n"/>
      <c r="KUX95" s="240" t="n"/>
      <c r="KUZ95" s="15" t="n"/>
      <c r="KVA95" s="15" t="n"/>
      <c r="KVB95" s="248" t="n"/>
      <c r="KVC95" s="248" t="n"/>
      <c r="KVD95" s="240" t="n"/>
      <c r="KVE95" s="240" t="n"/>
      <c r="KVG95" s="15" t="n"/>
      <c r="KVH95" s="15" t="n"/>
      <c r="KVI95" s="248" t="n"/>
      <c r="KVJ95" s="248" t="n"/>
      <c r="KVK95" s="240" t="n"/>
      <c r="KVL95" s="240" t="n"/>
      <c r="KVN95" s="15" t="n"/>
      <c r="KVO95" s="15" t="n"/>
      <c r="KVP95" s="248" t="n"/>
      <c r="KVQ95" s="248" t="n"/>
      <c r="KVR95" s="240" t="n"/>
      <c r="KVS95" s="240" t="n"/>
      <c r="KVU95" s="15" t="n"/>
      <c r="KVV95" s="15" t="n"/>
      <c r="KVW95" s="248" t="n"/>
      <c r="KVX95" s="248" t="n"/>
      <c r="KVY95" s="240" t="n"/>
      <c r="KVZ95" s="240" t="n"/>
      <c r="KWB95" s="15" t="n"/>
      <c r="KWC95" s="15" t="n"/>
      <c r="KWD95" s="248" t="n"/>
      <c r="KWE95" s="248" t="n"/>
      <c r="KWF95" s="240" t="n"/>
      <c r="KWG95" s="240" t="n"/>
      <c r="KWI95" s="15" t="n"/>
      <c r="KWJ95" s="15" t="n"/>
      <c r="KWK95" s="248" t="n"/>
      <c r="KWL95" s="248" t="n"/>
      <c r="KWM95" s="240" t="n"/>
      <c r="KWN95" s="240" t="n"/>
      <c r="KWP95" s="15" t="n"/>
      <c r="KWQ95" s="15" t="n"/>
      <c r="KWR95" s="248" t="n"/>
      <c r="KWS95" s="248" t="n"/>
      <c r="KWT95" s="240" t="n"/>
      <c r="KWU95" s="240" t="n"/>
      <c r="KWW95" s="15" t="n"/>
      <c r="KWX95" s="15" t="n"/>
      <c r="KWY95" s="248" t="n"/>
      <c r="KWZ95" s="248" t="n"/>
      <c r="KXA95" s="240" t="n"/>
      <c r="KXB95" s="240" t="n"/>
      <c r="KXD95" s="15" t="n"/>
      <c r="KXE95" s="15" t="n"/>
      <c r="KXF95" s="248" t="n"/>
      <c r="KXG95" s="248" t="n"/>
      <c r="KXH95" s="240" t="n"/>
      <c r="KXI95" s="240" t="n"/>
      <c r="KXK95" s="15" t="n"/>
      <c r="KXL95" s="15" t="n"/>
      <c r="KXM95" s="248" t="n"/>
      <c r="KXN95" s="248" t="n"/>
      <c r="KXO95" s="240" t="n"/>
      <c r="KXP95" s="240" t="n"/>
      <c r="KXR95" s="15" t="n"/>
      <c r="KXS95" s="15" t="n"/>
      <c r="KXT95" s="248" t="n"/>
      <c r="KXU95" s="248" t="n"/>
      <c r="KXV95" s="240" t="n"/>
      <c r="KXW95" s="240" t="n"/>
      <c r="KXY95" s="15" t="n"/>
      <c r="KXZ95" s="15" t="n"/>
      <c r="KYA95" s="248" t="n"/>
      <c r="KYB95" s="248" t="n"/>
      <c r="KYC95" s="240" t="n"/>
      <c r="KYD95" s="240" t="n"/>
      <c r="KYF95" s="15" t="n"/>
      <c r="KYG95" s="15" t="n"/>
      <c r="KYH95" s="248" t="n"/>
      <c r="KYI95" s="248" t="n"/>
      <c r="KYJ95" s="240" t="n"/>
      <c r="KYK95" s="240" t="n"/>
      <c r="KYM95" s="15" t="n"/>
      <c r="KYN95" s="15" t="n"/>
      <c r="KYO95" s="248" t="n"/>
      <c r="KYP95" s="248" t="n"/>
      <c r="KYQ95" s="240" t="n"/>
      <c r="KYR95" s="240" t="n"/>
      <c r="KYT95" s="15" t="n"/>
      <c r="KYU95" s="15" t="n"/>
      <c r="KYV95" s="248" t="n"/>
      <c r="KYW95" s="248" t="n"/>
      <c r="KYX95" s="240" t="n"/>
      <c r="KYY95" s="240" t="n"/>
      <c r="KZA95" s="15" t="n"/>
      <c r="KZB95" s="15" t="n"/>
      <c r="KZC95" s="248" t="n"/>
      <c r="KZD95" s="248" t="n"/>
      <c r="KZE95" s="240" t="n"/>
      <c r="KZF95" s="240" t="n"/>
      <c r="KZH95" s="15" t="n"/>
      <c r="KZI95" s="15" t="n"/>
      <c r="KZJ95" s="248" t="n"/>
      <c r="KZK95" s="248" t="n"/>
      <c r="KZL95" s="240" t="n"/>
      <c r="KZM95" s="240" t="n"/>
      <c r="KZO95" s="15" t="n"/>
      <c r="KZP95" s="15" t="n"/>
      <c r="KZQ95" s="248" t="n"/>
      <c r="KZR95" s="248" t="n"/>
      <c r="KZS95" s="240" t="n"/>
      <c r="KZT95" s="240" t="n"/>
      <c r="KZV95" s="15" t="n"/>
      <c r="KZW95" s="15" t="n"/>
      <c r="KZX95" s="248" t="n"/>
      <c r="KZY95" s="248" t="n"/>
      <c r="KZZ95" s="240" t="n"/>
      <c r="LAA95" s="240" t="n"/>
      <c r="LAC95" s="15" t="n"/>
      <c r="LAD95" s="15" t="n"/>
      <c r="LAE95" s="248" t="n"/>
      <c r="LAF95" s="248" t="n"/>
      <c r="LAG95" s="240" t="n"/>
      <c r="LAH95" s="240" t="n"/>
      <c r="LAJ95" s="15" t="n"/>
      <c r="LAK95" s="15" t="n"/>
      <c r="LAL95" s="248" t="n"/>
      <c r="LAM95" s="248" t="n"/>
      <c r="LAN95" s="240" t="n"/>
      <c r="LAO95" s="240" t="n"/>
      <c r="LAQ95" s="15" t="n"/>
      <c r="LAR95" s="15" t="n"/>
      <c r="LAS95" s="248" t="n"/>
      <c r="LAT95" s="248" t="n"/>
      <c r="LAU95" s="240" t="n"/>
      <c r="LAV95" s="240" t="n"/>
      <c r="LAX95" s="15" t="n"/>
      <c r="LAY95" s="15" t="n"/>
      <c r="LAZ95" s="248" t="n"/>
      <c r="LBA95" s="248" t="n"/>
      <c r="LBB95" s="240" t="n"/>
      <c r="LBC95" s="240" t="n"/>
      <c r="LBE95" s="15" t="n"/>
      <c r="LBF95" s="15" t="n"/>
      <c r="LBG95" s="248" t="n"/>
      <c r="LBH95" s="248" t="n"/>
      <c r="LBI95" s="240" t="n"/>
      <c r="LBJ95" s="240" t="n"/>
      <c r="LBL95" s="15" t="n"/>
      <c r="LBM95" s="15" t="n"/>
      <c r="LBN95" s="248" t="n"/>
      <c r="LBO95" s="248" t="n"/>
      <c r="LBP95" s="240" t="n"/>
      <c r="LBQ95" s="240" t="n"/>
      <c r="LBS95" s="15" t="n"/>
      <c r="LBT95" s="15" t="n"/>
      <c r="LBU95" s="248" t="n"/>
      <c r="LBV95" s="248" t="n"/>
      <c r="LBW95" s="240" t="n"/>
      <c r="LBX95" s="240" t="n"/>
      <c r="LBZ95" s="15" t="n"/>
      <c r="LCA95" s="15" t="n"/>
      <c r="LCB95" s="248" t="n"/>
      <c r="LCC95" s="248" t="n"/>
      <c r="LCD95" s="240" t="n"/>
      <c r="LCE95" s="240" t="n"/>
      <c r="LCG95" s="15" t="n"/>
      <c r="LCH95" s="15" t="n"/>
      <c r="LCI95" s="248" t="n"/>
      <c r="LCJ95" s="248" t="n"/>
      <c r="LCK95" s="240" t="n"/>
      <c r="LCL95" s="240" t="n"/>
      <c r="LCN95" s="15" t="n"/>
      <c r="LCO95" s="15" t="n"/>
      <c r="LCP95" s="248" t="n"/>
      <c r="LCQ95" s="248" t="n"/>
      <c r="LCR95" s="240" t="n"/>
      <c r="LCS95" s="240" t="n"/>
      <c r="LCU95" s="15" t="n"/>
      <c r="LCV95" s="15" t="n"/>
      <c r="LCW95" s="248" t="n"/>
      <c r="LCX95" s="248" t="n"/>
      <c r="LCY95" s="240" t="n"/>
      <c r="LCZ95" s="240" t="n"/>
      <c r="LDB95" s="15" t="n"/>
      <c r="LDC95" s="15" t="n"/>
      <c r="LDD95" s="248" t="n"/>
      <c r="LDE95" s="248" t="n"/>
      <c r="LDF95" s="240" t="n"/>
      <c r="LDG95" s="240" t="n"/>
      <c r="LDI95" s="15" t="n"/>
      <c r="LDJ95" s="15" t="n"/>
      <c r="LDK95" s="248" t="n"/>
      <c r="LDL95" s="248" t="n"/>
      <c r="LDM95" s="240" t="n"/>
      <c r="LDN95" s="240" t="n"/>
      <c r="LDP95" s="15" t="n"/>
      <c r="LDQ95" s="15" t="n"/>
      <c r="LDR95" s="248" t="n"/>
      <c r="LDS95" s="248" t="n"/>
      <c r="LDT95" s="240" t="n"/>
      <c r="LDU95" s="240" t="n"/>
      <c r="LDW95" s="15" t="n"/>
      <c r="LDX95" s="15" t="n"/>
      <c r="LDY95" s="248" t="n"/>
      <c r="LDZ95" s="248" t="n"/>
      <c r="LEA95" s="240" t="n"/>
      <c r="LEB95" s="240" t="n"/>
      <c r="LED95" s="15" t="n"/>
      <c r="LEE95" s="15" t="n"/>
      <c r="LEF95" s="248" t="n"/>
      <c r="LEG95" s="248" t="n"/>
      <c r="LEH95" s="240" t="n"/>
      <c r="LEI95" s="240" t="n"/>
      <c r="LEK95" s="15" t="n"/>
      <c r="LEL95" s="15" t="n"/>
      <c r="LEM95" s="248" t="n"/>
      <c r="LEN95" s="248" t="n"/>
      <c r="LEO95" s="240" t="n"/>
      <c r="LEP95" s="240" t="n"/>
      <c r="LER95" s="15" t="n"/>
      <c r="LES95" s="15" t="n"/>
      <c r="LET95" s="248" t="n"/>
      <c r="LEU95" s="248" t="n"/>
      <c r="LEV95" s="240" t="n"/>
      <c r="LEW95" s="240" t="n"/>
      <c r="LEY95" s="15" t="n"/>
      <c r="LEZ95" s="15" t="n"/>
      <c r="LFA95" s="248" t="n"/>
      <c r="LFB95" s="248" t="n"/>
      <c r="LFC95" s="240" t="n"/>
      <c r="LFD95" s="240" t="n"/>
      <c r="LFF95" s="15" t="n"/>
      <c r="LFG95" s="15" t="n"/>
      <c r="LFH95" s="248" t="n"/>
      <c r="LFI95" s="248" t="n"/>
      <c r="LFJ95" s="240" t="n"/>
      <c r="LFK95" s="240" t="n"/>
      <c r="LFM95" s="15" t="n"/>
      <c r="LFN95" s="15" t="n"/>
      <c r="LFO95" s="248" t="n"/>
      <c r="LFP95" s="248" t="n"/>
      <c r="LFQ95" s="240" t="n"/>
      <c r="LFR95" s="240" t="n"/>
      <c r="LFT95" s="15" t="n"/>
      <c r="LFU95" s="15" t="n"/>
      <c r="LFV95" s="248" t="n"/>
      <c r="LFW95" s="248" t="n"/>
      <c r="LFX95" s="240" t="n"/>
      <c r="LFY95" s="240" t="n"/>
      <c r="LGA95" s="15" t="n"/>
      <c r="LGB95" s="15" t="n"/>
      <c r="LGC95" s="248" t="n"/>
      <c r="LGD95" s="248" t="n"/>
      <c r="LGE95" s="240" t="n"/>
      <c r="LGF95" s="240" t="n"/>
      <c r="LGH95" s="15" t="n"/>
      <c r="LGI95" s="15" t="n"/>
      <c r="LGJ95" s="248" t="n"/>
      <c r="LGK95" s="248" t="n"/>
      <c r="LGL95" s="240" t="n"/>
      <c r="LGM95" s="240" t="n"/>
      <c r="LGO95" s="15" t="n"/>
      <c r="LGP95" s="15" t="n"/>
      <c r="LGQ95" s="248" t="n"/>
      <c r="LGR95" s="248" t="n"/>
      <c r="LGS95" s="240" t="n"/>
      <c r="LGT95" s="240" t="n"/>
      <c r="LGV95" s="15" t="n"/>
      <c r="LGW95" s="15" t="n"/>
      <c r="LGX95" s="248" t="n"/>
      <c r="LGY95" s="248" t="n"/>
      <c r="LGZ95" s="240" t="n"/>
      <c r="LHA95" s="240" t="n"/>
      <c r="LHC95" s="15" t="n"/>
      <c r="LHD95" s="15" t="n"/>
      <c r="LHE95" s="248" t="n"/>
      <c r="LHF95" s="248" t="n"/>
      <c r="LHG95" s="240" t="n"/>
      <c r="LHH95" s="240" t="n"/>
      <c r="LHJ95" s="15" t="n"/>
      <c r="LHK95" s="15" t="n"/>
      <c r="LHL95" s="248" t="n"/>
      <c r="LHM95" s="248" t="n"/>
      <c r="LHN95" s="240" t="n"/>
      <c r="LHO95" s="240" t="n"/>
      <c r="LHQ95" s="15" t="n"/>
      <c r="LHR95" s="15" t="n"/>
      <c r="LHS95" s="248" t="n"/>
      <c r="LHT95" s="248" t="n"/>
      <c r="LHU95" s="240" t="n"/>
      <c r="LHV95" s="240" t="n"/>
      <c r="LHX95" s="15" t="n"/>
      <c r="LHY95" s="15" t="n"/>
      <c r="LHZ95" s="248" t="n"/>
      <c r="LIA95" s="248" t="n"/>
      <c r="LIB95" s="240" t="n"/>
      <c r="LIC95" s="240" t="n"/>
      <c r="LIE95" s="15" t="n"/>
      <c r="LIF95" s="15" t="n"/>
      <c r="LIG95" s="248" t="n"/>
      <c r="LIH95" s="248" t="n"/>
      <c r="LII95" s="240" t="n"/>
      <c r="LIJ95" s="240" t="n"/>
      <c r="LIL95" s="15" t="n"/>
      <c r="LIM95" s="15" t="n"/>
      <c r="LIN95" s="248" t="n"/>
      <c r="LIO95" s="248" t="n"/>
      <c r="LIP95" s="240" t="n"/>
      <c r="LIQ95" s="240" t="n"/>
      <c r="LIS95" s="15" t="n"/>
      <c r="LIT95" s="15" t="n"/>
      <c r="LIU95" s="248" t="n"/>
      <c r="LIV95" s="248" t="n"/>
      <c r="LIW95" s="240" t="n"/>
      <c r="LIX95" s="240" t="n"/>
      <c r="LIZ95" s="15" t="n"/>
      <c r="LJA95" s="15" t="n"/>
      <c r="LJB95" s="248" t="n"/>
      <c r="LJC95" s="248" t="n"/>
      <c r="LJD95" s="240" t="n"/>
      <c r="LJE95" s="240" t="n"/>
      <c r="LJG95" s="15" t="n"/>
      <c r="LJH95" s="15" t="n"/>
      <c r="LJI95" s="248" t="n"/>
      <c r="LJJ95" s="248" t="n"/>
      <c r="LJK95" s="240" t="n"/>
      <c r="LJL95" s="240" t="n"/>
      <c r="LJN95" s="15" t="n"/>
      <c r="LJO95" s="15" t="n"/>
      <c r="LJP95" s="248" t="n"/>
      <c r="LJQ95" s="248" t="n"/>
      <c r="LJR95" s="240" t="n"/>
      <c r="LJS95" s="240" t="n"/>
      <c r="LJU95" s="15" t="n"/>
      <c r="LJV95" s="15" t="n"/>
      <c r="LJW95" s="248" t="n"/>
      <c r="LJX95" s="248" t="n"/>
      <c r="LJY95" s="240" t="n"/>
      <c r="LJZ95" s="240" t="n"/>
      <c r="LKB95" s="15" t="n"/>
      <c r="LKC95" s="15" t="n"/>
      <c r="LKD95" s="248" t="n"/>
      <c r="LKE95" s="248" t="n"/>
      <c r="LKF95" s="240" t="n"/>
      <c r="LKG95" s="240" t="n"/>
      <c r="LKI95" s="15" t="n"/>
      <c r="LKJ95" s="15" t="n"/>
      <c r="LKK95" s="248" t="n"/>
      <c r="LKL95" s="248" t="n"/>
      <c r="LKM95" s="240" t="n"/>
      <c r="LKN95" s="240" t="n"/>
      <c r="LKP95" s="15" t="n"/>
      <c r="LKQ95" s="15" t="n"/>
      <c r="LKR95" s="248" t="n"/>
      <c r="LKS95" s="248" t="n"/>
      <c r="LKT95" s="240" t="n"/>
      <c r="LKU95" s="240" t="n"/>
      <c r="LKW95" s="15" t="n"/>
      <c r="LKX95" s="15" t="n"/>
      <c r="LKY95" s="248" t="n"/>
      <c r="LKZ95" s="248" t="n"/>
      <c r="LLA95" s="240" t="n"/>
      <c r="LLB95" s="240" t="n"/>
      <c r="LLD95" s="15" t="n"/>
      <c r="LLE95" s="15" t="n"/>
      <c r="LLF95" s="248" t="n"/>
      <c r="LLG95" s="248" t="n"/>
      <c r="LLH95" s="240" t="n"/>
      <c r="LLI95" s="240" t="n"/>
      <c r="LLK95" s="15" t="n"/>
      <c r="LLL95" s="15" t="n"/>
      <c r="LLM95" s="248" t="n"/>
      <c r="LLN95" s="248" t="n"/>
      <c r="LLO95" s="240" t="n"/>
      <c r="LLP95" s="240" t="n"/>
      <c r="LLR95" s="15" t="n"/>
      <c r="LLS95" s="15" t="n"/>
      <c r="LLT95" s="248" t="n"/>
      <c r="LLU95" s="248" t="n"/>
      <c r="LLV95" s="240" t="n"/>
      <c r="LLW95" s="240" t="n"/>
      <c r="LLY95" s="15" t="n"/>
      <c r="LLZ95" s="15" t="n"/>
      <c r="LMA95" s="248" t="n"/>
      <c r="LMB95" s="248" t="n"/>
      <c r="LMC95" s="240" t="n"/>
      <c r="LMD95" s="240" t="n"/>
      <c r="LMF95" s="15" t="n"/>
      <c r="LMG95" s="15" t="n"/>
      <c r="LMH95" s="248" t="n"/>
      <c r="LMI95" s="248" t="n"/>
      <c r="LMJ95" s="240" t="n"/>
      <c r="LMK95" s="240" t="n"/>
      <c r="LMM95" s="15" t="n"/>
      <c r="LMN95" s="15" t="n"/>
      <c r="LMO95" s="248" t="n"/>
      <c r="LMP95" s="248" t="n"/>
      <c r="LMQ95" s="240" t="n"/>
      <c r="LMR95" s="240" t="n"/>
      <c r="LMT95" s="15" t="n"/>
      <c r="LMU95" s="15" t="n"/>
      <c r="LMV95" s="248" t="n"/>
      <c r="LMW95" s="248" t="n"/>
      <c r="LMX95" s="240" t="n"/>
      <c r="LMY95" s="240" t="n"/>
      <c r="LNA95" s="15" t="n"/>
      <c r="LNB95" s="15" t="n"/>
      <c r="LNC95" s="248" t="n"/>
      <c r="LND95" s="248" t="n"/>
      <c r="LNE95" s="240" t="n"/>
      <c r="LNF95" s="240" t="n"/>
      <c r="LNH95" s="15" t="n"/>
      <c r="LNI95" s="15" t="n"/>
      <c r="LNJ95" s="248" t="n"/>
      <c r="LNK95" s="248" t="n"/>
      <c r="LNL95" s="240" t="n"/>
      <c r="LNM95" s="240" t="n"/>
      <c r="LNO95" s="15" t="n"/>
      <c r="LNP95" s="15" t="n"/>
      <c r="LNQ95" s="248" t="n"/>
      <c r="LNR95" s="248" t="n"/>
      <c r="LNS95" s="240" t="n"/>
      <c r="LNT95" s="240" t="n"/>
      <c r="LNV95" s="15" t="n"/>
      <c r="LNW95" s="15" t="n"/>
      <c r="LNX95" s="248" t="n"/>
      <c r="LNY95" s="248" t="n"/>
      <c r="LNZ95" s="240" t="n"/>
      <c r="LOA95" s="240" t="n"/>
      <c r="LOC95" s="15" t="n"/>
      <c r="LOD95" s="15" t="n"/>
      <c r="LOE95" s="248" t="n"/>
      <c r="LOF95" s="248" t="n"/>
      <c r="LOG95" s="240" t="n"/>
      <c r="LOH95" s="240" t="n"/>
      <c r="LOJ95" s="15" t="n"/>
      <c r="LOK95" s="15" t="n"/>
      <c r="LOL95" s="248" t="n"/>
      <c r="LOM95" s="248" t="n"/>
      <c r="LON95" s="240" t="n"/>
      <c r="LOO95" s="240" t="n"/>
      <c r="LOQ95" s="15" t="n"/>
      <c r="LOR95" s="15" t="n"/>
      <c r="LOS95" s="248" t="n"/>
      <c r="LOT95" s="248" t="n"/>
      <c r="LOU95" s="240" t="n"/>
      <c r="LOV95" s="240" t="n"/>
      <c r="LOX95" s="15" t="n"/>
      <c r="LOY95" s="15" t="n"/>
      <c r="LOZ95" s="248" t="n"/>
      <c r="LPA95" s="248" t="n"/>
      <c r="LPB95" s="240" t="n"/>
      <c r="LPC95" s="240" t="n"/>
      <c r="LPE95" s="15" t="n"/>
      <c r="LPF95" s="15" t="n"/>
      <c r="LPG95" s="248" t="n"/>
      <c r="LPH95" s="248" t="n"/>
      <c r="LPI95" s="240" t="n"/>
      <c r="LPJ95" s="240" t="n"/>
      <c r="LPL95" s="15" t="n"/>
      <c r="LPM95" s="15" t="n"/>
      <c r="LPN95" s="248" t="n"/>
      <c r="LPO95" s="248" t="n"/>
      <c r="LPP95" s="240" t="n"/>
      <c r="LPQ95" s="240" t="n"/>
      <c r="LPS95" s="15" t="n"/>
      <c r="LPT95" s="15" t="n"/>
      <c r="LPU95" s="248" t="n"/>
      <c r="LPV95" s="248" t="n"/>
      <c r="LPW95" s="240" t="n"/>
      <c r="LPX95" s="240" t="n"/>
      <c r="LPZ95" s="15" t="n"/>
      <c r="LQA95" s="15" t="n"/>
      <c r="LQB95" s="248" t="n"/>
      <c r="LQC95" s="248" t="n"/>
      <c r="LQD95" s="240" t="n"/>
      <c r="LQE95" s="240" t="n"/>
      <c r="LQG95" s="15" t="n"/>
      <c r="LQH95" s="15" t="n"/>
      <c r="LQI95" s="248" t="n"/>
      <c r="LQJ95" s="248" t="n"/>
      <c r="LQK95" s="240" t="n"/>
      <c r="LQL95" s="240" t="n"/>
      <c r="LQN95" s="15" t="n"/>
      <c r="LQO95" s="15" t="n"/>
      <c r="LQP95" s="248" t="n"/>
      <c r="LQQ95" s="248" t="n"/>
      <c r="LQR95" s="240" t="n"/>
      <c r="LQS95" s="240" t="n"/>
      <c r="LQU95" s="15" t="n"/>
      <c r="LQV95" s="15" t="n"/>
      <c r="LQW95" s="248" t="n"/>
      <c r="LQX95" s="248" t="n"/>
      <c r="LQY95" s="240" t="n"/>
      <c r="LQZ95" s="240" t="n"/>
      <c r="LRB95" s="15" t="n"/>
      <c r="LRC95" s="15" t="n"/>
      <c r="LRD95" s="248" t="n"/>
      <c r="LRE95" s="248" t="n"/>
      <c r="LRF95" s="240" t="n"/>
      <c r="LRG95" s="240" t="n"/>
      <c r="LRI95" s="15" t="n"/>
      <c r="LRJ95" s="15" t="n"/>
      <c r="LRK95" s="248" t="n"/>
      <c r="LRL95" s="248" t="n"/>
      <c r="LRM95" s="240" t="n"/>
      <c r="LRN95" s="240" t="n"/>
      <c r="LRP95" s="15" t="n"/>
      <c r="LRQ95" s="15" t="n"/>
      <c r="LRR95" s="248" t="n"/>
      <c r="LRS95" s="248" t="n"/>
      <c r="LRT95" s="240" t="n"/>
      <c r="LRU95" s="240" t="n"/>
      <c r="LRW95" s="15" t="n"/>
      <c r="LRX95" s="15" t="n"/>
      <c r="LRY95" s="248" t="n"/>
      <c r="LRZ95" s="248" t="n"/>
      <c r="LSA95" s="240" t="n"/>
      <c r="LSB95" s="240" t="n"/>
      <c r="LSD95" s="15" t="n"/>
      <c r="LSE95" s="15" t="n"/>
      <c r="LSF95" s="248" t="n"/>
      <c r="LSG95" s="248" t="n"/>
      <c r="LSH95" s="240" t="n"/>
      <c r="LSI95" s="240" t="n"/>
      <c r="LSK95" s="15" t="n"/>
      <c r="LSL95" s="15" t="n"/>
      <c r="LSM95" s="248" t="n"/>
      <c r="LSN95" s="248" t="n"/>
      <c r="LSO95" s="240" t="n"/>
      <c r="LSP95" s="240" t="n"/>
      <c r="LSR95" s="15" t="n"/>
      <c r="LSS95" s="15" t="n"/>
      <c r="LST95" s="248" t="n"/>
      <c r="LSU95" s="248" t="n"/>
      <c r="LSV95" s="240" t="n"/>
      <c r="LSW95" s="240" t="n"/>
      <c r="LSY95" s="15" t="n"/>
      <c r="LSZ95" s="15" t="n"/>
      <c r="LTA95" s="248" t="n"/>
      <c r="LTB95" s="248" t="n"/>
      <c r="LTC95" s="240" t="n"/>
      <c r="LTD95" s="240" t="n"/>
      <c r="LTF95" s="15" t="n"/>
      <c r="LTG95" s="15" t="n"/>
      <c r="LTH95" s="248" t="n"/>
      <c r="LTI95" s="248" t="n"/>
      <c r="LTJ95" s="240" t="n"/>
      <c r="LTK95" s="240" t="n"/>
      <c r="LTM95" s="15" t="n"/>
      <c r="LTN95" s="15" t="n"/>
      <c r="LTO95" s="248" t="n"/>
      <c r="LTP95" s="248" t="n"/>
      <c r="LTQ95" s="240" t="n"/>
      <c r="LTR95" s="240" t="n"/>
      <c r="LTT95" s="15" t="n"/>
      <c r="LTU95" s="15" t="n"/>
      <c r="LTV95" s="248" t="n"/>
      <c r="LTW95" s="248" t="n"/>
      <c r="LTX95" s="240" t="n"/>
      <c r="LTY95" s="240" t="n"/>
      <c r="LUA95" s="15" t="n"/>
      <c r="LUB95" s="15" t="n"/>
      <c r="LUC95" s="248" t="n"/>
      <c r="LUD95" s="248" t="n"/>
      <c r="LUE95" s="240" t="n"/>
      <c r="LUF95" s="240" t="n"/>
      <c r="LUH95" s="15" t="n"/>
      <c r="LUI95" s="15" t="n"/>
      <c r="LUJ95" s="248" t="n"/>
      <c r="LUK95" s="248" t="n"/>
      <c r="LUL95" s="240" t="n"/>
      <c r="LUM95" s="240" t="n"/>
      <c r="LUO95" s="15" t="n"/>
      <c r="LUP95" s="15" t="n"/>
      <c r="LUQ95" s="248" t="n"/>
      <c r="LUR95" s="248" t="n"/>
      <c r="LUS95" s="240" t="n"/>
      <c r="LUT95" s="240" t="n"/>
      <c r="LUV95" s="15" t="n"/>
      <c r="LUW95" s="15" t="n"/>
      <c r="LUX95" s="248" t="n"/>
      <c r="LUY95" s="248" t="n"/>
      <c r="LUZ95" s="240" t="n"/>
      <c r="LVA95" s="240" t="n"/>
      <c r="LVC95" s="15" t="n"/>
      <c r="LVD95" s="15" t="n"/>
      <c r="LVE95" s="248" t="n"/>
      <c r="LVF95" s="248" t="n"/>
      <c r="LVG95" s="240" t="n"/>
      <c r="LVH95" s="240" t="n"/>
      <c r="LVJ95" s="15" t="n"/>
      <c r="LVK95" s="15" t="n"/>
      <c r="LVL95" s="248" t="n"/>
      <c r="LVM95" s="248" t="n"/>
      <c r="LVN95" s="240" t="n"/>
      <c r="LVO95" s="240" t="n"/>
      <c r="LVQ95" s="15" t="n"/>
      <c r="LVR95" s="15" t="n"/>
      <c r="LVS95" s="248" t="n"/>
      <c r="LVT95" s="248" t="n"/>
      <c r="LVU95" s="240" t="n"/>
      <c r="LVV95" s="240" t="n"/>
      <c r="LVX95" s="15" t="n"/>
      <c r="LVY95" s="15" t="n"/>
      <c r="LVZ95" s="248" t="n"/>
      <c r="LWA95" s="248" t="n"/>
      <c r="LWB95" s="240" t="n"/>
      <c r="LWC95" s="240" t="n"/>
      <c r="LWE95" s="15" t="n"/>
      <c r="LWF95" s="15" t="n"/>
      <c r="LWG95" s="248" t="n"/>
      <c r="LWH95" s="248" t="n"/>
      <c r="LWI95" s="240" t="n"/>
      <c r="LWJ95" s="240" t="n"/>
      <c r="LWL95" s="15" t="n"/>
      <c r="LWM95" s="15" t="n"/>
      <c r="LWN95" s="248" t="n"/>
      <c r="LWO95" s="248" t="n"/>
      <c r="LWP95" s="240" t="n"/>
      <c r="LWQ95" s="240" t="n"/>
      <c r="LWS95" s="15" t="n"/>
      <c r="LWT95" s="15" t="n"/>
      <c r="LWU95" s="248" t="n"/>
      <c r="LWV95" s="248" t="n"/>
      <c r="LWW95" s="240" t="n"/>
      <c r="LWX95" s="240" t="n"/>
      <c r="LWZ95" s="15" t="n"/>
      <c r="LXA95" s="15" t="n"/>
      <c r="LXB95" s="248" t="n"/>
      <c r="LXC95" s="248" t="n"/>
      <c r="LXD95" s="240" t="n"/>
      <c r="LXE95" s="240" t="n"/>
      <c r="LXG95" s="15" t="n"/>
      <c r="LXH95" s="15" t="n"/>
      <c r="LXI95" s="248" t="n"/>
      <c r="LXJ95" s="248" t="n"/>
      <c r="LXK95" s="240" t="n"/>
      <c r="LXL95" s="240" t="n"/>
      <c r="LXN95" s="15" t="n"/>
      <c r="LXO95" s="15" t="n"/>
      <c r="LXP95" s="248" t="n"/>
      <c r="LXQ95" s="248" t="n"/>
      <c r="LXR95" s="240" t="n"/>
      <c r="LXS95" s="240" t="n"/>
      <c r="LXU95" s="15" t="n"/>
      <c r="LXV95" s="15" t="n"/>
      <c r="LXW95" s="248" t="n"/>
      <c r="LXX95" s="248" t="n"/>
      <c r="LXY95" s="240" t="n"/>
      <c r="LXZ95" s="240" t="n"/>
      <c r="LYB95" s="15" t="n"/>
      <c r="LYC95" s="15" t="n"/>
      <c r="LYD95" s="248" t="n"/>
      <c r="LYE95" s="248" t="n"/>
      <c r="LYF95" s="240" t="n"/>
      <c r="LYG95" s="240" t="n"/>
      <c r="LYI95" s="15" t="n"/>
      <c r="LYJ95" s="15" t="n"/>
      <c r="LYK95" s="248" t="n"/>
      <c r="LYL95" s="248" t="n"/>
      <c r="LYM95" s="240" t="n"/>
      <c r="LYN95" s="240" t="n"/>
      <c r="LYP95" s="15" t="n"/>
      <c r="LYQ95" s="15" t="n"/>
      <c r="LYR95" s="248" t="n"/>
      <c r="LYS95" s="248" t="n"/>
      <c r="LYT95" s="240" t="n"/>
      <c r="LYU95" s="240" t="n"/>
      <c r="LYW95" s="15" t="n"/>
      <c r="LYX95" s="15" t="n"/>
      <c r="LYY95" s="248" t="n"/>
      <c r="LYZ95" s="248" t="n"/>
      <c r="LZA95" s="240" t="n"/>
      <c r="LZB95" s="240" t="n"/>
      <c r="LZD95" s="15" t="n"/>
      <c r="LZE95" s="15" t="n"/>
      <c r="LZF95" s="248" t="n"/>
      <c r="LZG95" s="248" t="n"/>
      <c r="LZH95" s="240" t="n"/>
      <c r="LZI95" s="240" t="n"/>
      <c r="LZK95" s="15" t="n"/>
      <c r="LZL95" s="15" t="n"/>
      <c r="LZM95" s="248" t="n"/>
      <c r="LZN95" s="248" t="n"/>
      <c r="LZO95" s="240" t="n"/>
      <c r="LZP95" s="240" t="n"/>
      <c r="LZR95" s="15" t="n"/>
      <c r="LZS95" s="15" t="n"/>
      <c r="LZT95" s="248" t="n"/>
      <c r="LZU95" s="248" t="n"/>
      <c r="LZV95" s="240" t="n"/>
      <c r="LZW95" s="240" t="n"/>
      <c r="LZY95" s="15" t="n"/>
      <c r="LZZ95" s="15" t="n"/>
      <c r="MAA95" s="248" t="n"/>
      <c r="MAB95" s="248" t="n"/>
      <c r="MAC95" s="240" t="n"/>
      <c r="MAD95" s="240" t="n"/>
      <c r="MAF95" s="15" t="n"/>
      <c r="MAG95" s="15" t="n"/>
      <c r="MAH95" s="248" t="n"/>
      <c r="MAI95" s="248" t="n"/>
      <c r="MAJ95" s="240" t="n"/>
      <c r="MAK95" s="240" t="n"/>
      <c r="MAM95" s="15" t="n"/>
      <c r="MAN95" s="15" t="n"/>
      <c r="MAO95" s="248" t="n"/>
      <c r="MAP95" s="248" t="n"/>
      <c r="MAQ95" s="240" t="n"/>
      <c r="MAR95" s="240" t="n"/>
      <c r="MAT95" s="15" t="n"/>
      <c r="MAU95" s="15" t="n"/>
      <c r="MAV95" s="248" t="n"/>
      <c r="MAW95" s="248" t="n"/>
      <c r="MAX95" s="240" t="n"/>
      <c r="MAY95" s="240" t="n"/>
      <c r="MBA95" s="15" t="n"/>
      <c r="MBB95" s="15" t="n"/>
      <c r="MBC95" s="248" t="n"/>
      <c r="MBD95" s="248" t="n"/>
      <c r="MBE95" s="240" t="n"/>
      <c r="MBF95" s="240" t="n"/>
      <c r="MBH95" s="15" t="n"/>
      <c r="MBI95" s="15" t="n"/>
      <c r="MBJ95" s="248" t="n"/>
      <c r="MBK95" s="248" t="n"/>
      <c r="MBL95" s="240" t="n"/>
      <c r="MBM95" s="240" t="n"/>
      <c r="MBO95" s="15" t="n"/>
      <c r="MBP95" s="15" t="n"/>
      <c r="MBQ95" s="248" t="n"/>
      <c r="MBR95" s="248" t="n"/>
      <c r="MBS95" s="240" t="n"/>
      <c r="MBT95" s="240" t="n"/>
      <c r="MBV95" s="15" t="n"/>
      <c r="MBW95" s="15" t="n"/>
      <c r="MBX95" s="248" t="n"/>
      <c r="MBY95" s="248" t="n"/>
      <c r="MBZ95" s="240" t="n"/>
      <c r="MCA95" s="240" t="n"/>
      <c r="MCC95" s="15" t="n"/>
      <c r="MCD95" s="15" t="n"/>
      <c r="MCE95" s="248" t="n"/>
      <c r="MCF95" s="248" t="n"/>
      <c r="MCG95" s="240" t="n"/>
      <c r="MCH95" s="240" t="n"/>
      <c r="MCJ95" s="15" t="n"/>
      <c r="MCK95" s="15" t="n"/>
      <c r="MCL95" s="248" t="n"/>
      <c r="MCM95" s="248" t="n"/>
      <c r="MCN95" s="240" t="n"/>
      <c r="MCO95" s="240" t="n"/>
      <c r="MCQ95" s="15" t="n"/>
      <c r="MCR95" s="15" t="n"/>
      <c r="MCS95" s="248" t="n"/>
      <c r="MCT95" s="248" t="n"/>
      <c r="MCU95" s="240" t="n"/>
      <c r="MCV95" s="240" t="n"/>
      <c r="MCX95" s="15" t="n"/>
      <c r="MCY95" s="15" t="n"/>
      <c r="MCZ95" s="248" t="n"/>
      <c r="MDA95" s="248" t="n"/>
      <c r="MDB95" s="240" t="n"/>
      <c r="MDC95" s="240" t="n"/>
      <c r="MDE95" s="15" t="n"/>
      <c r="MDF95" s="15" t="n"/>
      <c r="MDG95" s="248" t="n"/>
      <c r="MDH95" s="248" t="n"/>
      <c r="MDI95" s="240" t="n"/>
      <c r="MDJ95" s="240" t="n"/>
      <c r="MDL95" s="15" t="n"/>
      <c r="MDM95" s="15" t="n"/>
      <c r="MDN95" s="248" t="n"/>
      <c r="MDO95" s="248" t="n"/>
      <c r="MDP95" s="240" t="n"/>
      <c r="MDQ95" s="240" t="n"/>
      <c r="MDS95" s="15" t="n"/>
      <c r="MDT95" s="15" t="n"/>
      <c r="MDU95" s="248" t="n"/>
      <c r="MDV95" s="248" t="n"/>
      <c r="MDW95" s="240" t="n"/>
      <c r="MDX95" s="240" t="n"/>
      <c r="MDZ95" s="15" t="n"/>
      <c r="MEA95" s="15" t="n"/>
      <c r="MEB95" s="248" t="n"/>
      <c r="MEC95" s="248" t="n"/>
      <c r="MED95" s="240" t="n"/>
      <c r="MEE95" s="240" t="n"/>
      <c r="MEG95" s="15" t="n"/>
      <c r="MEH95" s="15" t="n"/>
      <c r="MEI95" s="248" t="n"/>
      <c r="MEJ95" s="248" t="n"/>
      <c r="MEK95" s="240" t="n"/>
      <c r="MEL95" s="240" t="n"/>
      <c r="MEN95" s="15" t="n"/>
      <c r="MEO95" s="15" t="n"/>
      <c r="MEP95" s="248" t="n"/>
      <c r="MEQ95" s="248" t="n"/>
      <c r="MER95" s="240" t="n"/>
      <c r="MES95" s="240" t="n"/>
      <c r="MEU95" s="15" t="n"/>
      <c r="MEV95" s="15" t="n"/>
      <c r="MEW95" s="248" t="n"/>
      <c r="MEX95" s="248" t="n"/>
      <c r="MEY95" s="240" t="n"/>
      <c r="MEZ95" s="240" t="n"/>
      <c r="MFB95" s="15" t="n"/>
      <c r="MFC95" s="15" t="n"/>
      <c r="MFD95" s="248" t="n"/>
      <c r="MFE95" s="248" t="n"/>
      <c r="MFF95" s="240" t="n"/>
      <c r="MFG95" s="240" t="n"/>
      <c r="MFI95" s="15" t="n"/>
      <c r="MFJ95" s="15" t="n"/>
      <c r="MFK95" s="248" t="n"/>
      <c r="MFL95" s="248" t="n"/>
      <c r="MFM95" s="240" t="n"/>
      <c r="MFN95" s="240" t="n"/>
      <c r="MFP95" s="15" t="n"/>
      <c r="MFQ95" s="15" t="n"/>
      <c r="MFR95" s="248" t="n"/>
      <c r="MFS95" s="248" t="n"/>
      <c r="MFT95" s="240" t="n"/>
      <c r="MFU95" s="240" t="n"/>
      <c r="MFW95" s="15" t="n"/>
      <c r="MFX95" s="15" t="n"/>
      <c r="MFY95" s="248" t="n"/>
      <c r="MFZ95" s="248" t="n"/>
      <c r="MGA95" s="240" t="n"/>
      <c r="MGB95" s="240" t="n"/>
      <c r="MGD95" s="15" t="n"/>
      <c r="MGE95" s="15" t="n"/>
      <c r="MGF95" s="248" t="n"/>
      <c r="MGG95" s="248" t="n"/>
      <c r="MGH95" s="240" t="n"/>
      <c r="MGI95" s="240" t="n"/>
      <c r="MGK95" s="15" t="n"/>
      <c r="MGL95" s="15" t="n"/>
      <c r="MGM95" s="248" t="n"/>
      <c r="MGN95" s="248" t="n"/>
      <c r="MGO95" s="240" t="n"/>
      <c r="MGP95" s="240" t="n"/>
      <c r="MGR95" s="15" t="n"/>
      <c r="MGS95" s="15" t="n"/>
      <c r="MGT95" s="248" t="n"/>
      <c r="MGU95" s="248" t="n"/>
      <c r="MGV95" s="240" t="n"/>
      <c r="MGW95" s="240" t="n"/>
      <c r="MGY95" s="15" t="n"/>
      <c r="MGZ95" s="15" t="n"/>
      <c r="MHA95" s="248" t="n"/>
      <c r="MHB95" s="248" t="n"/>
      <c r="MHC95" s="240" t="n"/>
      <c r="MHD95" s="240" t="n"/>
      <c r="MHF95" s="15" t="n"/>
      <c r="MHG95" s="15" t="n"/>
      <c r="MHH95" s="248" t="n"/>
      <c r="MHI95" s="248" t="n"/>
      <c r="MHJ95" s="240" t="n"/>
      <c r="MHK95" s="240" t="n"/>
      <c r="MHM95" s="15" t="n"/>
      <c r="MHN95" s="15" t="n"/>
      <c r="MHO95" s="248" t="n"/>
      <c r="MHP95" s="248" t="n"/>
      <c r="MHQ95" s="240" t="n"/>
      <c r="MHR95" s="240" t="n"/>
      <c r="MHT95" s="15" t="n"/>
      <c r="MHU95" s="15" t="n"/>
      <c r="MHV95" s="248" t="n"/>
      <c r="MHW95" s="248" t="n"/>
      <c r="MHX95" s="240" t="n"/>
      <c r="MHY95" s="240" t="n"/>
      <c r="MIA95" s="15" t="n"/>
      <c r="MIB95" s="15" t="n"/>
      <c r="MIC95" s="248" t="n"/>
      <c r="MID95" s="248" t="n"/>
      <c r="MIE95" s="240" t="n"/>
      <c r="MIF95" s="240" t="n"/>
      <c r="MIH95" s="15" t="n"/>
      <c r="MII95" s="15" t="n"/>
      <c r="MIJ95" s="248" t="n"/>
      <c r="MIK95" s="248" t="n"/>
      <c r="MIL95" s="240" t="n"/>
      <c r="MIM95" s="240" t="n"/>
      <c r="MIO95" s="15" t="n"/>
      <c r="MIP95" s="15" t="n"/>
      <c r="MIQ95" s="248" t="n"/>
      <c r="MIR95" s="248" t="n"/>
      <c r="MIS95" s="240" t="n"/>
      <c r="MIT95" s="240" t="n"/>
      <c r="MIV95" s="15" t="n"/>
      <c r="MIW95" s="15" t="n"/>
      <c r="MIX95" s="248" t="n"/>
      <c r="MIY95" s="248" t="n"/>
      <c r="MIZ95" s="240" t="n"/>
      <c r="MJA95" s="240" t="n"/>
      <c r="MJC95" s="15" t="n"/>
      <c r="MJD95" s="15" t="n"/>
      <c r="MJE95" s="248" t="n"/>
      <c r="MJF95" s="248" t="n"/>
      <c r="MJG95" s="240" t="n"/>
      <c r="MJH95" s="240" t="n"/>
      <c r="MJJ95" s="15" t="n"/>
      <c r="MJK95" s="15" t="n"/>
      <c r="MJL95" s="248" t="n"/>
      <c r="MJM95" s="248" t="n"/>
      <c r="MJN95" s="240" t="n"/>
      <c r="MJO95" s="240" t="n"/>
      <c r="MJQ95" s="15" t="n"/>
      <c r="MJR95" s="15" t="n"/>
      <c r="MJS95" s="248" t="n"/>
      <c r="MJT95" s="248" t="n"/>
      <c r="MJU95" s="240" t="n"/>
      <c r="MJV95" s="240" t="n"/>
      <c r="MJX95" s="15" t="n"/>
      <c r="MJY95" s="15" t="n"/>
      <c r="MJZ95" s="248" t="n"/>
      <c r="MKA95" s="248" t="n"/>
      <c r="MKB95" s="240" t="n"/>
      <c r="MKC95" s="240" t="n"/>
      <c r="MKE95" s="15" t="n"/>
      <c r="MKF95" s="15" t="n"/>
      <c r="MKG95" s="248" t="n"/>
      <c r="MKH95" s="248" t="n"/>
      <c r="MKI95" s="240" t="n"/>
      <c r="MKJ95" s="240" t="n"/>
      <c r="MKL95" s="15" t="n"/>
      <c r="MKM95" s="15" t="n"/>
      <c r="MKN95" s="248" t="n"/>
      <c r="MKO95" s="248" t="n"/>
      <c r="MKP95" s="240" t="n"/>
      <c r="MKQ95" s="240" t="n"/>
      <c r="MKS95" s="15" t="n"/>
      <c r="MKT95" s="15" t="n"/>
      <c r="MKU95" s="248" t="n"/>
      <c r="MKV95" s="248" t="n"/>
      <c r="MKW95" s="240" t="n"/>
      <c r="MKX95" s="240" t="n"/>
      <c r="MKZ95" s="15" t="n"/>
      <c r="MLA95" s="15" t="n"/>
      <c r="MLB95" s="248" t="n"/>
      <c r="MLC95" s="248" t="n"/>
      <c r="MLD95" s="240" t="n"/>
      <c r="MLE95" s="240" t="n"/>
      <c r="MLG95" s="15" t="n"/>
      <c r="MLH95" s="15" t="n"/>
      <c r="MLI95" s="248" t="n"/>
      <c r="MLJ95" s="248" t="n"/>
      <c r="MLK95" s="240" t="n"/>
      <c r="MLL95" s="240" t="n"/>
      <c r="MLN95" s="15" t="n"/>
      <c r="MLO95" s="15" t="n"/>
      <c r="MLP95" s="248" t="n"/>
      <c r="MLQ95" s="248" t="n"/>
      <c r="MLR95" s="240" t="n"/>
      <c r="MLS95" s="240" t="n"/>
      <c r="MLU95" s="15" t="n"/>
      <c r="MLV95" s="15" t="n"/>
      <c r="MLW95" s="248" t="n"/>
      <c r="MLX95" s="248" t="n"/>
      <c r="MLY95" s="240" t="n"/>
      <c r="MLZ95" s="240" t="n"/>
      <c r="MMB95" s="15" t="n"/>
      <c r="MMC95" s="15" t="n"/>
      <c r="MMD95" s="248" t="n"/>
      <c r="MME95" s="248" t="n"/>
      <c r="MMF95" s="240" t="n"/>
      <c r="MMG95" s="240" t="n"/>
      <c r="MMI95" s="15" t="n"/>
      <c r="MMJ95" s="15" t="n"/>
      <c r="MMK95" s="248" t="n"/>
      <c r="MML95" s="248" t="n"/>
      <c r="MMM95" s="240" t="n"/>
      <c r="MMN95" s="240" t="n"/>
      <c r="MMP95" s="15" t="n"/>
      <c r="MMQ95" s="15" t="n"/>
      <c r="MMR95" s="248" t="n"/>
      <c r="MMS95" s="248" t="n"/>
      <c r="MMT95" s="240" t="n"/>
      <c r="MMU95" s="240" t="n"/>
      <c r="MMW95" s="15" t="n"/>
      <c r="MMX95" s="15" t="n"/>
      <c r="MMY95" s="248" t="n"/>
      <c r="MMZ95" s="248" t="n"/>
      <c r="MNA95" s="240" t="n"/>
      <c r="MNB95" s="240" t="n"/>
      <c r="MND95" s="15" t="n"/>
      <c r="MNE95" s="15" t="n"/>
      <c r="MNF95" s="248" t="n"/>
      <c r="MNG95" s="248" t="n"/>
      <c r="MNH95" s="240" t="n"/>
      <c r="MNI95" s="240" t="n"/>
      <c r="MNK95" s="15" t="n"/>
      <c r="MNL95" s="15" t="n"/>
      <c r="MNM95" s="248" t="n"/>
      <c r="MNN95" s="248" t="n"/>
      <c r="MNO95" s="240" t="n"/>
      <c r="MNP95" s="240" t="n"/>
      <c r="MNR95" s="15" t="n"/>
      <c r="MNS95" s="15" t="n"/>
      <c r="MNT95" s="248" t="n"/>
      <c r="MNU95" s="248" t="n"/>
      <c r="MNV95" s="240" t="n"/>
      <c r="MNW95" s="240" t="n"/>
      <c r="MNY95" s="15" t="n"/>
      <c r="MNZ95" s="15" t="n"/>
      <c r="MOA95" s="248" t="n"/>
      <c r="MOB95" s="248" t="n"/>
      <c r="MOC95" s="240" t="n"/>
      <c r="MOD95" s="240" t="n"/>
      <c r="MOF95" s="15" t="n"/>
      <c r="MOG95" s="15" t="n"/>
      <c r="MOH95" s="248" t="n"/>
      <c r="MOI95" s="248" t="n"/>
      <c r="MOJ95" s="240" t="n"/>
      <c r="MOK95" s="240" t="n"/>
      <c r="MOM95" s="15" t="n"/>
      <c r="MON95" s="15" t="n"/>
      <c r="MOO95" s="248" t="n"/>
      <c r="MOP95" s="248" t="n"/>
      <c r="MOQ95" s="240" t="n"/>
      <c r="MOR95" s="240" t="n"/>
      <c r="MOT95" s="15" t="n"/>
      <c r="MOU95" s="15" t="n"/>
      <c r="MOV95" s="248" t="n"/>
      <c r="MOW95" s="248" t="n"/>
      <c r="MOX95" s="240" t="n"/>
      <c r="MOY95" s="240" t="n"/>
      <c r="MPA95" s="15" t="n"/>
      <c r="MPB95" s="15" t="n"/>
      <c r="MPC95" s="248" t="n"/>
      <c r="MPD95" s="248" t="n"/>
      <c r="MPE95" s="240" t="n"/>
      <c r="MPF95" s="240" t="n"/>
      <c r="MPH95" s="15" t="n"/>
      <c r="MPI95" s="15" t="n"/>
      <c r="MPJ95" s="248" t="n"/>
      <c r="MPK95" s="248" t="n"/>
      <c r="MPL95" s="240" t="n"/>
      <c r="MPM95" s="240" t="n"/>
      <c r="MPO95" s="15" t="n"/>
      <c r="MPP95" s="15" t="n"/>
      <c r="MPQ95" s="248" t="n"/>
      <c r="MPR95" s="248" t="n"/>
      <c r="MPS95" s="240" t="n"/>
      <c r="MPT95" s="240" t="n"/>
      <c r="MPV95" s="15" t="n"/>
      <c r="MPW95" s="15" t="n"/>
      <c r="MPX95" s="248" t="n"/>
      <c r="MPY95" s="248" t="n"/>
      <c r="MPZ95" s="240" t="n"/>
      <c r="MQA95" s="240" t="n"/>
      <c r="MQC95" s="15" t="n"/>
      <c r="MQD95" s="15" t="n"/>
      <c r="MQE95" s="248" t="n"/>
      <c r="MQF95" s="248" t="n"/>
      <c r="MQG95" s="240" t="n"/>
      <c r="MQH95" s="240" t="n"/>
      <c r="MQJ95" s="15" t="n"/>
      <c r="MQK95" s="15" t="n"/>
      <c r="MQL95" s="248" t="n"/>
      <c r="MQM95" s="248" t="n"/>
      <c r="MQN95" s="240" t="n"/>
      <c r="MQO95" s="240" t="n"/>
      <c r="MQQ95" s="15" t="n"/>
      <c r="MQR95" s="15" t="n"/>
      <c r="MQS95" s="248" t="n"/>
      <c r="MQT95" s="248" t="n"/>
      <c r="MQU95" s="240" t="n"/>
      <c r="MQV95" s="240" t="n"/>
      <c r="MQX95" s="15" t="n"/>
      <c r="MQY95" s="15" t="n"/>
      <c r="MQZ95" s="248" t="n"/>
      <c r="MRA95" s="248" t="n"/>
      <c r="MRB95" s="240" t="n"/>
      <c r="MRC95" s="240" t="n"/>
      <c r="MRE95" s="15" t="n"/>
      <c r="MRF95" s="15" t="n"/>
      <c r="MRG95" s="248" t="n"/>
      <c r="MRH95" s="248" t="n"/>
      <c r="MRI95" s="240" t="n"/>
      <c r="MRJ95" s="240" t="n"/>
      <c r="MRL95" s="15" t="n"/>
      <c r="MRM95" s="15" t="n"/>
      <c r="MRN95" s="248" t="n"/>
      <c r="MRO95" s="248" t="n"/>
      <c r="MRP95" s="240" t="n"/>
      <c r="MRQ95" s="240" t="n"/>
      <c r="MRS95" s="15" t="n"/>
      <c r="MRT95" s="15" t="n"/>
      <c r="MRU95" s="248" t="n"/>
      <c r="MRV95" s="248" t="n"/>
      <c r="MRW95" s="240" t="n"/>
      <c r="MRX95" s="240" t="n"/>
      <c r="MRZ95" s="15" t="n"/>
      <c r="MSA95" s="15" t="n"/>
      <c r="MSB95" s="248" t="n"/>
      <c r="MSC95" s="248" t="n"/>
      <c r="MSD95" s="240" t="n"/>
      <c r="MSE95" s="240" t="n"/>
      <c r="MSG95" s="15" t="n"/>
      <c r="MSH95" s="15" t="n"/>
      <c r="MSI95" s="248" t="n"/>
      <c r="MSJ95" s="248" t="n"/>
      <c r="MSK95" s="240" t="n"/>
      <c r="MSL95" s="240" t="n"/>
      <c r="MSN95" s="15" t="n"/>
      <c r="MSO95" s="15" t="n"/>
      <c r="MSP95" s="248" t="n"/>
      <c r="MSQ95" s="248" t="n"/>
      <c r="MSR95" s="240" t="n"/>
      <c r="MSS95" s="240" t="n"/>
      <c r="MSU95" s="15" t="n"/>
      <c r="MSV95" s="15" t="n"/>
      <c r="MSW95" s="248" t="n"/>
      <c r="MSX95" s="248" t="n"/>
      <c r="MSY95" s="240" t="n"/>
      <c r="MSZ95" s="240" t="n"/>
      <c r="MTB95" s="15" t="n"/>
      <c r="MTC95" s="15" t="n"/>
      <c r="MTD95" s="248" t="n"/>
      <c r="MTE95" s="248" t="n"/>
      <c r="MTF95" s="240" t="n"/>
      <c r="MTG95" s="240" t="n"/>
      <c r="MTI95" s="15" t="n"/>
      <c r="MTJ95" s="15" t="n"/>
      <c r="MTK95" s="248" t="n"/>
      <c r="MTL95" s="248" t="n"/>
      <c r="MTM95" s="240" t="n"/>
      <c r="MTN95" s="240" t="n"/>
      <c r="MTP95" s="15" t="n"/>
      <c r="MTQ95" s="15" t="n"/>
      <c r="MTR95" s="248" t="n"/>
      <c r="MTS95" s="248" t="n"/>
      <c r="MTT95" s="240" t="n"/>
      <c r="MTU95" s="240" t="n"/>
      <c r="MTW95" s="15" t="n"/>
      <c r="MTX95" s="15" t="n"/>
      <c r="MTY95" s="248" t="n"/>
      <c r="MTZ95" s="248" t="n"/>
      <c r="MUA95" s="240" t="n"/>
      <c r="MUB95" s="240" t="n"/>
      <c r="MUD95" s="15" t="n"/>
      <c r="MUE95" s="15" t="n"/>
      <c r="MUF95" s="248" t="n"/>
      <c r="MUG95" s="248" t="n"/>
      <c r="MUH95" s="240" t="n"/>
      <c r="MUI95" s="240" t="n"/>
      <c r="MUK95" s="15" t="n"/>
      <c r="MUL95" s="15" t="n"/>
      <c r="MUM95" s="248" t="n"/>
      <c r="MUN95" s="248" t="n"/>
      <c r="MUO95" s="240" t="n"/>
      <c r="MUP95" s="240" t="n"/>
      <c r="MUR95" s="15" t="n"/>
      <c r="MUS95" s="15" t="n"/>
      <c r="MUT95" s="248" t="n"/>
      <c r="MUU95" s="248" t="n"/>
      <c r="MUV95" s="240" t="n"/>
      <c r="MUW95" s="240" t="n"/>
      <c r="MUY95" s="15" t="n"/>
      <c r="MUZ95" s="15" t="n"/>
      <c r="MVA95" s="248" t="n"/>
      <c r="MVB95" s="248" t="n"/>
      <c r="MVC95" s="240" t="n"/>
      <c r="MVD95" s="240" t="n"/>
      <c r="MVF95" s="15" t="n"/>
      <c r="MVG95" s="15" t="n"/>
      <c r="MVH95" s="248" t="n"/>
      <c r="MVI95" s="248" t="n"/>
      <c r="MVJ95" s="240" t="n"/>
      <c r="MVK95" s="240" t="n"/>
      <c r="MVM95" s="15" t="n"/>
      <c r="MVN95" s="15" t="n"/>
      <c r="MVO95" s="248" t="n"/>
      <c r="MVP95" s="248" t="n"/>
      <c r="MVQ95" s="240" t="n"/>
      <c r="MVR95" s="240" t="n"/>
      <c r="MVT95" s="15" t="n"/>
      <c r="MVU95" s="15" t="n"/>
      <c r="MVV95" s="248" t="n"/>
      <c r="MVW95" s="248" t="n"/>
      <c r="MVX95" s="240" t="n"/>
      <c r="MVY95" s="240" t="n"/>
      <c r="MWA95" s="15" t="n"/>
      <c r="MWB95" s="15" t="n"/>
      <c r="MWC95" s="248" t="n"/>
      <c r="MWD95" s="248" t="n"/>
      <c r="MWE95" s="240" t="n"/>
      <c r="MWF95" s="240" t="n"/>
      <c r="MWH95" s="15" t="n"/>
      <c r="MWI95" s="15" t="n"/>
      <c r="MWJ95" s="248" t="n"/>
      <c r="MWK95" s="248" t="n"/>
      <c r="MWL95" s="240" t="n"/>
      <c r="MWM95" s="240" t="n"/>
      <c r="MWO95" s="15" t="n"/>
      <c r="MWP95" s="15" t="n"/>
      <c r="MWQ95" s="248" t="n"/>
      <c r="MWR95" s="248" t="n"/>
      <c r="MWS95" s="240" t="n"/>
      <c r="MWT95" s="240" t="n"/>
      <c r="MWV95" s="15" t="n"/>
      <c r="MWW95" s="15" t="n"/>
      <c r="MWX95" s="248" t="n"/>
      <c r="MWY95" s="248" t="n"/>
      <c r="MWZ95" s="240" t="n"/>
      <c r="MXA95" s="240" t="n"/>
      <c r="MXC95" s="15" t="n"/>
      <c r="MXD95" s="15" t="n"/>
      <c r="MXE95" s="248" t="n"/>
      <c r="MXF95" s="248" t="n"/>
      <c r="MXG95" s="240" t="n"/>
      <c r="MXH95" s="240" t="n"/>
      <c r="MXJ95" s="15" t="n"/>
      <c r="MXK95" s="15" t="n"/>
      <c r="MXL95" s="248" t="n"/>
      <c r="MXM95" s="248" t="n"/>
      <c r="MXN95" s="240" t="n"/>
      <c r="MXO95" s="240" t="n"/>
      <c r="MXQ95" s="15" t="n"/>
      <c r="MXR95" s="15" t="n"/>
      <c r="MXS95" s="248" t="n"/>
      <c r="MXT95" s="248" t="n"/>
      <c r="MXU95" s="240" t="n"/>
      <c r="MXV95" s="240" t="n"/>
      <c r="MXX95" s="15" t="n"/>
      <c r="MXY95" s="15" t="n"/>
      <c r="MXZ95" s="248" t="n"/>
      <c r="MYA95" s="248" t="n"/>
      <c r="MYB95" s="240" t="n"/>
      <c r="MYC95" s="240" t="n"/>
      <c r="MYE95" s="15" t="n"/>
      <c r="MYF95" s="15" t="n"/>
      <c r="MYG95" s="248" t="n"/>
      <c r="MYH95" s="248" t="n"/>
      <c r="MYI95" s="240" t="n"/>
      <c r="MYJ95" s="240" t="n"/>
      <c r="MYL95" s="15" t="n"/>
      <c r="MYM95" s="15" t="n"/>
      <c r="MYN95" s="248" t="n"/>
      <c r="MYO95" s="248" t="n"/>
      <c r="MYP95" s="240" t="n"/>
      <c r="MYQ95" s="240" t="n"/>
      <c r="MYS95" s="15" t="n"/>
      <c r="MYT95" s="15" t="n"/>
      <c r="MYU95" s="248" t="n"/>
      <c r="MYV95" s="248" t="n"/>
      <c r="MYW95" s="240" t="n"/>
      <c r="MYX95" s="240" t="n"/>
      <c r="MYZ95" s="15" t="n"/>
      <c r="MZA95" s="15" t="n"/>
      <c r="MZB95" s="248" t="n"/>
      <c r="MZC95" s="248" t="n"/>
      <c r="MZD95" s="240" t="n"/>
      <c r="MZE95" s="240" t="n"/>
      <c r="MZG95" s="15" t="n"/>
      <c r="MZH95" s="15" t="n"/>
      <c r="MZI95" s="248" t="n"/>
      <c r="MZJ95" s="248" t="n"/>
      <c r="MZK95" s="240" t="n"/>
      <c r="MZL95" s="240" t="n"/>
      <c r="MZN95" s="15" t="n"/>
      <c r="MZO95" s="15" t="n"/>
      <c r="MZP95" s="248" t="n"/>
      <c r="MZQ95" s="248" t="n"/>
      <c r="MZR95" s="240" t="n"/>
      <c r="MZS95" s="240" t="n"/>
      <c r="MZU95" s="15" t="n"/>
      <c r="MZV95" s="15" t="n"/>
      <c r="MZW95" s="248" t="n"/>
      <c r="MZX95" s="248" t="n"/>
      <c r="MZY95" s="240" t="n"/>
      <c r="MZZ95" s="240" t="n"/>
      <c r="NAB95" s="15" t="n"/>
      <c r="NAC95" s="15" t="n"/>
      <c r="NAD95" s="248" t="n"/>
      <c r="NAE95" s="248" t="n"/>
      <c r="NAF95" s="240" t="n"/>
      <c r="NAG95" s="240" t="n"/>
      <c r="NAI95" s="15" t="n"/>
      <c r="NAJ95" s="15" t="n"/>
      <c r="NAK95" s="248" t="n"/>
      <c r="NAL95" s="248" t="n"/>
      <c r="NAM95" s="240" t="n"/>
      <c r="NAN95" s="240" t="n"/>
      <c r="NAP95" s="15" t="n"/>
      <c r="NAQ95" s="15" t="n"/>
      <c r="NAR95" s="248" t="n"/>
      <c r="NAS95" s="248" t="n"/>
      <c r="NAT95" s="240" t="n"/>
      <c r="NAU95" s="240" t="n"/>
      <c r="NAW95" s="15" t="n"/>
      <c r="NAX95" s="15" t="n"/>
      <c r="NAY95" s="248" t="n"/>
      <c r="NAZ95" s="248" t="n"/>
      <c r="NBA95" s="240" t="n"/>
      <c r="NBB95" s="240" t="n"/>
      <c r="NBD95" s="15" t="n"/>
      <c r="NBE95" s="15" t="n"/>
      <c r="NBF95" s="248" t="n"/>
      <c r="NBG95" s="248" t="n"/>
      <c r="NBH95" s="240" t="n"/>
      <c r="NBI95" s="240" t="n"/>
      <c r="NBK95" s="15" t="n"/>
      <c r="NBL95" s="15" t="n"/>
      <c r="NBM95" s="248" t="n"/>
      <c r="NBN95" s="248" t="n"/>
      <c r="NBO95" s="240" t="n"/>
      <c r="NBP95" s="240" t="n"/>
      <c r="NBR95" s="15" t="n"/>
      <c r="NBS95" s="15" t="n"/>
      <c r="NBT95" s="248" t="n"/>
      <c r="NBU95" s="248" t="n"/>
      <c r="NBV95" s="240" t="n"/>
      <c r="NBW95" s="240" t="n"/>
      <c r="NBY95" s="15" t="n"/>
      <c r="NBZ95" s="15" t="n"/>
      <c r="NCA95" s="248" t="n"/>
      <c r="NCB95" s="248" t="n"/>
      <c r="NCC95" s="240" t="n"/>
      <c r="NCD95" s="240" t="n"/>
      <c r="NCF95" s="15" t="n"/>
      <c r="NCG95" s="15" t="n"/>
      <c r="NCH95" s="248" t="n"/>
      <c r="NCI95" s="248" t="n"/>
      <c r="NCJ95" s="240" t="n"/>
      <c r="NCK95" s="240" t="n"/>
      <c r="NCM95" s="15" t="n"/>
      <c r="NCN95" s="15" t="n"/>
      <c r="NCO95" s="248" t="n"/>
      <c r="NCP95" s="248" t="n"/>
      <c r="NCQ95" s="240" t="n"/>
      <c r="NCR95" s="240" t="n"/>
      <c r="NCT95" s="15" t="n"/>
      <c r="NCU95" s="15" t="n"/>
      <c r="NCV95" s="248" t="n"/>
      <c r="NCW95" s="248" t="n"/>
      <c r="NCX95" s="240" t="n"/>
      <c r="NCY95" s="240" t="n"/>
      <c r="NDA95" s="15" t="n"/>
      <c r="NDB95" s="15" t="n"/>
      <c r="NDC95" s="248" t="n"/>
      <c r="NDD95" s="248" t="n"/>
      <c r="NDE95" s="240" t="n"/>
      <c r="NDF95" s="240" t="n"/>
      <c r="NDH95" s="15" t="n"/>
      <c r="NDI95" s="15" t="n"/>
      <c r="NDJ95" s="248" t="n"/>
      <c r="NDK95" s="248" t="n"/>
      <c r="NDL95" s="240" t="n"/>
      <c r="NDM95" s="240" t="n"/>
      <c r="NDO95" s="15" t="n"/>
      <c r="NDP95" s="15" t="n"/>
      <c r="NDQ95" s="248" t="n"/>
      <c r="NDR95" s="248" t="n"/>
      <c r="NDS95" s="240" t="n"/>
      <c r="NDT95" s="240" t="n"/>
      <c r="NDV95" s="15" t="n"/>
      <c r="NDW95" s="15" t="n"/>
      <c r="NDX95" s="248" t="n"/>
      <c r="NDY95" s="248" t="n"/>
      <c r="NDZ95" s="240" t="n"/>
      <c r="NEA95" s="240" t="n"/>
      <c r="NEC95" s="15" t="n"/>
      <c r="NED95" s="15" t="n"/>
      <c r="NEE95" s="248" t="n"/>
      <c r="NEF95" s="248" t="n"/>
      <c r="NEG95" s="240" t="n"/>
      <c r="NEH95" s="240" t="n"/>
      <c r="NEJ95" s="15" t="n"/>
      <c r="NEK95" s="15" t="n"/>
      <c r="NEL95" s="248" t="n"/>
      <c r="NEM95" s="248" t="n"/>
      <c r="NEN95" s="240" t="n"/>
      <c r="NEO95" s="240" t="n"/>
      <c r="NEQ95" s="15" t="n"/>
      <c r="NER95" s="15" t="n"/>
      <c r="NES95" s="248" t="n"/>
      <c r="NET95" s="248" t="n"/>
      <c r="NEU95" s="240" t="n"/>
      <c r="NEV95" s="240" t="n"/>
      <c r="NEX95" s="15" t="n"/>
      <c r="NEY95" s="15" t="n"/>
      <c r="NEZ95" s="248" t="n"/>
      <c r="NFA95" s="248" t="n"/>
      <c r="NFB95" s="240" t="n"/>
      <c r="NFC95" s="240" t="n"/>
      <c r="NFE95" s="15" t="n"/>
      <c r="NFF95" s="15" t="n"/>
      <c r="NFG95" s="248" t="n"/>
      <c r="NFH95" s="248" t="n"/>
      <c r="NFI95" s="240" t="n"/>
      <c r="NFJ95" s="240" t="n"/>
      <c r="NFL95" s="15" t="n"/>
      <c r="NFM95" s="15" t="n"/>
      <c r="NFN95" s="248" t="n"/>
      <c r="NFO95" s="248" t="n"/>
      <c r="NFP95" s="240" t="n"/>
      <c r="NFQ95" s="240" t="n"/>
      <c r="NFS95" s="15" t="n"/>
      <c r="NFT95" s="15" t="n"/>
      <c r="NFU95" s="248" t="n"/>
      <c r="NFV95" s="248" t="n"/>
      <c r="NFW95" s="240" t="n"/>
      <c r="NFX95" s="240" t="n"/>
      <c r="NFZ95" s="15" t="n"/>
      <c r="NGA95" s="15" t="n"/>
      <c r="NGB95" s="248" t="n"/>
      <c r="NGC95" s="248" t="n"/>
      <c r="NGD95" s="240" t="n"/>
      <c r="NGE95" s="240" t="n"/>
      <c r="NGG95" s="15" t="n"/>
      <c r="NGH95" s="15" t="n"/>
      <c r="NGI95" s="248" t="n"/>
      <c r="NGJ95" s="248" t="n"/>
      <c r="NGK95" s="240" t="n"/>
      <c r="NGL95" s="240" t="n"/>
      <c r="NGN95" s="15" t="n"/>
      <c r="NGO95" s="15" t="n"/>
      <c r="NGP95" s="248" t="n"/>
      <c r="NGQ95" s="248" t="n"/>
      <c r="NGR95" s="240" t="n"/>
      <c r="NGS95" s="240" t="n"/>
      <c r="NGU95" s="15" t="n"/>
      <c r="NGV95" s="15" t="n"/>
      <c r="NGW95" s="248" t="n"/>
      <c r="NGX95" s="248" t="n"/>
      <c r="NGY95" s="240" t="n"/>
      <c r="NGZ95" s="240" t="n"/>
      <c r="NHB95" s="15" t="n"/>
      <c r="NHC95" s="15" t="n"/>
      <c r="NHD95" s="248" t="n"/>
      <c r="NHE95" s="248" t="n"/>
      <c r="NHF95" s="240" t="n"/>
      <c r="NHG95" s="240" t="n"/>
      <c r="NHI95" s="15" t="n"/>
      <c r="NHJ95" s="15" t="n"/>
      <c r="NHK95" s="248" t="n"/>
      <c r="NHL95" s="248" t="n"/>
      <c r="NHM95" s="240" t="n"/>
      <c r="NHN95" s="240" t="n"/>
      <c r="NHP95" s="15" t="n"/>
      <c r="NHQ95" s="15" t="n"/>
      <c r="NHR95" s="248" t="n"/>
      <c r="NHS95" s="248" t="n"/>
      <c r="NHT95" s="240" t="n"/>
      <c r="NHU95" s="240" t="n"/>
      <c r="NHW95" s="15" t="n"/>
      <c r="NHX95" s="15" t="n"/>
      <c r="NHY95" s="248" t="n"/>
      <c r="NHZ95" s="248" t="n"/>
      <c r="NIA95" s="240" t="n"/>
      <c r="NIB95" s="240" t="n"/>
      <c r="NID95" s="15" t="n"/>
      <c r="NIE95" s="15" t="n"/>
      <c r="NIF95" s="248" t="n"/>
      <c r="NIG95" s="248" t="n"/>
      <c r="NIH95" s="240" t="n"/>
      <c r="NII95" s="240" t="n"/>
      <c r="NIK95" s="15" t="n"/>
      <c r="NIL95" s="15" t="n"/>
      <c r="NIM95" s="248" t="n"/>
      <c r="NIN95" s="248" t="n"/>
      <c r="NIO95" s="240" t="n"/>
      <c r="NIP95" s="240" t="n"/>
      <c r="NIR95" s="15" t="n"/>
      <c r="NIS95" s="15" t="n"/>
      <c r="NIT95" s="248" t="n"/>
      <c r="NIU95" s="248" t="n"/>
      <c r="NIV95" s="240" t="n"/>
      <c r="NIW95" s="240" t="n"/>
      <c r="NIY95" s="15" t="n"/>
      <c r="NIZ95" s="15" t="n"/>
      <c r="NJA95" s="248" t="n"/>
      <c r="NJB95" s="248" t="n"/>
      <c r="NJC95" s="240" t="n"/>
      <c r="NJD95" s="240" t="n"/>
      <c r="NJF95" s="15" t="n"/>
      <c r="NJG95" s="15" t="n"/>
      <c r="NJH95" s="248" t="n"/>
      <c r="NJI95" s="248" t="n"/>
      <c r="NJJ95" s="240" t="n"/>
      <c r="NJK95" s="240" t="n"/>
      <c r="NJM95" s="15" t="n"/>
      <c r="NJN95" s="15" t="n"/>
      <c r="NJO95" s="248" t="n"/>
      <c r="NJP95" s="248" t="n"/>
      <c r="NJQ95" s="240" t="n"/>
      <c r="NJR95" s="240" t="n"/>
      <c r="NJT95" s="15" t="n"/>
      <c r="NJU95" s="15" t="n"/>
      <c r="NJV95" s="248" t="n"/>
      <c r="NJW95" s="248" t="n"/>
      <c r="NJX95" s="240" t="n"/>
      <c r="NJY95" s="240" t="n"/>
      <c r="NKA95" s="15" t="n"/>
      <c r="NKB95" s="15" t="n"/>
      <c r="NKC95" s="248" t="n"/>
      <c r="NKD95" s="248" t="n"/>
      <c r="NKE95" s="240" t="n"/>
      <c r="NKF95" s="240" t="n"/>
      <c r="NKH95" s="15" t="n"/>
      <c r="NKI95" s="15" t="n"/>
      <c r="NKJ95" s="248" t="n"/>
      <c r="NKK95" s="248" t="n"/>
      <c r="NKL95" s="240" t="n"/>
      <c r="NKM95" s="240" t="n"/>
      <c r="NKO95" s="15" t="n"/>
      <c r="NKP95" s="15" t="n"/>
      <c r="NKQ95" s="248" t="n"/>
      <c r="NKR95" s="248" t="n"/>
      <c r="NKS95" s="240" t="n"/>
      <c r="NKT95" s="240" t="n"/>
      <c r="NKV95" s="15" t="n"/>
      <c r="NKW95" s="15" t="n"/>
      <c r="NKX95" s="248" t="n"/>
      <c r="NKY95" s="248" t="n"/>
      <c r="NKZ95" s="240" t="n"/>
      <c r="NLA95" s="240" t="n"/>
      <c r="NLC95" s="15" t="n"/>
      <c r="NLD95" s="15" t="n"/>
      <c r="NLE95" s="248" t="n"/>
      <c r="NLF95" s="248" t="n"/>
      <c r="NLG95" s="240" t="n"/>
      <c r="NLH95" s="240" t="n"/>
      <c r="NLJ95" s="15" t="n"/>
      <c r="NLK95" s="15" t="n"/>
      <c r="NLL95" s="248" t="n"/>
      <c r="NLM95" s="248" t="n"/>
      <c r="NLN95" s="240" t="n"/>
      <c r="NLO95" s="240" t="n"/>
      <c r="NLQ95" s="15" t="n"/>
      <c r="NLR95" s="15" t="n"/>
      <c r="NLS95" s="248" t="n"/>
      <c r="NLT95" s="248" t="n"/>
      <c r="NLU95" s="240" t="n"/>
      <c r="NLV95" s="240" t="n"/>
      <c r="NLX95" s="15" t="n"/>
      <c r="NLY95" s="15" t="n"/>
      <c r="NLZ95" s="248" t="n"/>
      <c r="NMA95" s="248" t="n"/>
      <c r="NMB95" s="240" t="n"/>
      <c r="NMC95" s="240" t="n"/>
      <c r="NME95" s="15" t="n"/>
      <c r="NMF95" s="15" t="n"/>
      <c r="NMG95" s="248" t="n"/>
      <c r="NMH95" s="248" t="n"/>
      <c r="NMI95" s="240" t="n"/>
      <c r="NMJ95" s="240" t="n"/>
      <c r="NML95" s="15" t="n"/>
      <c r="NMM95" s="15" t="n"/>
      <c r="NMN95" s="248" t="n"/>
      <c r="NMO95" s="248" t="n"/>
      <c r="NMP95" s="240" t="n"/>
      <c r="NMQ95" s="240" t="n"/>
      <c r="NMS95" s="15" t="n"/>
      <c r="NMT95" s="15" t="n"/>
      <c r="NMU95" s="248" t="n"/>
      <c r="NMV95" s="248" t="n"/>
      <c r="NMW95" s="240" t="n"/>
      <c r="NMX95" s="240" t="n"/>
      <c r="NMZ95" s="15" t="n"/>
      <c r="NNA95" s="15" t="n"/>
      <c r="NNB95" s="248" t="n"/>
      <c r="NNC95" s="248" t="n"/>
      <c r="NND95" s="240" t="n"/>
      <c r="NNE95" s="240" t="n"/>
      <c r="NNG95" s="15" t="n"/>
      <c r="NNH95" s="15" t="n"/>
      <c r="NNI95" s="248" t="n"/>
      <c r="NNJ95" s="248" t="n"/>
      <c r="NNK95" s="240" t="n"/>
      <c r="NNL95" s="240" t="n"/>
      <c r="NNN95" s="15" t="n"/>
      <c r="NNO95" s="15" t="n"/>
      <c r="NNP95" s="248" t="n"/>
      <c r="NNQ95" s="248" t="n"/>
      <c r="NNR95" s="240" t="n"/>
      <c r="NNS95" s="240" t="n"/>
      <c r="NNU95" s="15" t="n"/>
      <c r="NNV95" s="15" t="n"/>
      <c r="NNW95" s="248" t="n"/>
      <c r="NNX95" s="248" t="n"/>
      <c r="NNY95" s="240" t="n"/>
      <c r="NNZ95" s="240" t="n"/>
      <c r="NOB95" s="15" t="n"/>
      <c r="NOC95" s="15" t="n"/>
      <c r="NOD95" s="248" t="n"/>
      <c r="NOE95" s="248" t="n"/>
      <c r="NOF95" s="240" t="n"/>
      <c r="NOG95" s="240" t="n"/>
      <c r="NOI95" s="15" t="n"/>
      <c r="NOJ95" s="15" t="n"/>
      <c r="NOK95" s="248" t="n"/>
      <c r="NOL95" s="248" t="n"/>
      <c r="NOM95" s="240" t="n"/>
      <c r="NON95" s="240" t="n"/>
      <c r="NOP95" s="15" t="n"/>
      <c r="NOQ95" s="15" t="n"/>
      <c r="NOR95" s="248" t="n"/>
      <c r="NOS95" s="248" t="n"/>
      <c r="NOT95" s="240" t="n"/>
      <c r="NOU95" s="240" t="n"/>
      <c r="NOW95" s="15" t="n"/>
      <c r="NOX95" s="15" t="n"/>
      <c r="NOY95" s="248" t="n"/>
      <c r="NOZ95" s="248" t="n"/>
      <c r="NPA95" s="240" t="n"/>
      <c r="NPB95" s="240" t="n"/>
      <c r="NPD95" s="15" t="n"/>
      <c r="NPE95" s="15" t="n"/>
      <c r="NPF95" s="248" t="n"/>
      <c r="NPG95" s="248" t="n"/>
      <c r="NPH95" s="240" t="n"/>
      <c r="NPI95" s="240" t="n"/>
      <c r="NPK95" s="15" t="n"/>
      <c r="NPL95" s="15" t="n"/>
      <c r="NPM95" s="248" t="n"/>
      <c r="NPN95" s="248" t="n"/>
      <c r="NPO95" s="240" t="n"/>
      <c r="NPP95" s="240" t="n"/>
      <c r="NPR95" s="15" t="n"/>
      <c r="NPS95" s="15" t="n"/>
      <c r="NPT95" s="248" t="n"/>
      <c r="NPU95" s="248" t="n"/>
      <c r="NPV95" s="240" t="n"/>
      <c r="NPW95" s="240" t="n"/>
      <c r="NPY95" s="15" t="n"/>
      <c r="NPZ95" s="15" t="n"/>
      <c r="NQA95" s="248" t="n"/>
      <c r="NQB95" s="248" t="n"/>
      <c r="NQC95" s="240" t="n"/>
      <c r="NQD95" s="240" t="n"/>
      <c r="NQF95" s="15" t="n"/>
      <c r="NQG95" s="15" t="n"/>
      <c r="NQH95" s="248" t="n"/>
      <c r="NQI95" s="248" t="n"/>
      <c r="NQJ95" s="240" t="n"/>
      <c r="NQK95" s="240" t="n"/>
      <c r="NQM95" s="15" t="n"/>
      <c r="NQN95" s="15" t="n"/>
      <c r="NQO95" s="248" t="n"/>
      <c r="NQP95" s="248" t="n"/>
      <c r="NQQ95" s="240" t="n"/>
      <c r="NQR95" s="240" t="n"/>
      <c r="NQT95" s="15" t="n"/>
      <c r="NQU95" s="15" t="n"/>
      <c r="NQV95" s="248" t="n"/>
      <c r="NQW95" s="248" t="n"/>
      <c r="NQX95" s="240" t="n"/>
      <c r="NQY95" s="240" t="n"/>
      <c r="NRA95" s="15" t="n"/>
      <c r="NRB95" s="15" t="n"/>
      <c r="NRC95" s="248" t="n"/>
      <c r="NRD95" s="248" t="n"/>
      <c r="NRE95" s="240" t="n"/>
      <c r="NRF95" s="240" t="n"/>
      <c r="NRH95" s="15" t="n"/>
      <c r="NRI95" s="15" t="n"/>
      <c r="NRJ95" s="248" t="n"/>
      <c r="NRK95" s="248" t="n"/>
      <c r="NRL95" s="240" t="n"/>
      <c r="NRM95" s="240" t="n"/>
      <c r="NRO95" s="15" t="n"/>
      <c r="NRP95" s="15" t="n"/>
      <c r="NRQ95" s="248" t="n"/>
      <c r="NRR95" s="248" t="n"/>
      <c r="NRS95" s="240" t="n"/>
      <c r="NRT95" s="240" t="n"/>
      <c r="NRV95" s="15" t="n"/>
      <c r="NRW95" s="15" t="n"/>
      <c r="NRX95" s="248" t="n"/>
      <c r="NRY95" s="248" t="n"/>
      <c r="NRZ95" s="240" t="n"/>
      <c r="NSA95" s="240" t="n"/>
      <c r="NSC95" s="15" t="n"/>
      <c r="NSD95" s="15" t="n"/>
      <c r="NSE95" s="248" t="n"/>
      <c r="NSF95" s="248" t="n"/>
      <c r="NSG95" s="240" t="n"/>
      <c r="NSH95" s="240" t="n"/>
      <c r="NSJ95" s="15" t="n"/>
      <c r="NSK95" s="15" t="n"/>
      <c r="NSL95" s="248" t="n"/>
      <c r="NSM95" s="248" t="n"/>
      <c r="NSN95" s="240" t="n"/>
      <c r="NSO95" s="240" t="n"/>
      <c r="NSQ95" s="15" t="n"/>
      <c r="NSR95" s="15" t="n"/>
      <c r="NSS95" s="248" t="n"/>
      <c r="NST95" s="248" t="n"/>
      <c r="NSU95" s="240" t="n"/>
      <c r="NSV95" s="240" t="n"/>
      <c r="NSX95" s="15" t="n"/>
      <c r="NSY95" s="15" t="n"/>
      <c r="NSZ95" s="248" t="n"/>
      <c r="NTA95" s="248" t="n"/>
      <c r="NTB95" s="240" t="n"/>
      <c r="NTC95" s="240" t="n"/>
      <c r="NTE95" s="15" t="n"/>
      <c r="NTF95" s="15" t="n"/>
      <c r="NTG95" s="248" t="n"/>
      <c r="NTH95" s="248" t="n"/>
      <c r="NTI95" s="240" t="n"/>
      <c r="NTJ95" s="240" t="n"/>
      <c r="NTL95" s="15" t="n"/>
      <c r="NTM95" s="15" t="n"/>
      <c r="NTN95" s="248" t="n"/>
      <c r="NTO95" s="248" t="n"/>
      <c r="NTP95" s="240" t="n"/>
      <c r="NTQ95" s="240" t="n"/>
      <c r="NTS95" s="15" t="n"/>
      <c r="NTT95" s="15" t="n"/>
      <c r="NTU95" s="248" t="n"/>
      <c r="NTV95" s="248" t="n"/>
      <c r="NTW95" s="240" t="n"/>
      <c r="NTX95" s="240" t="n"/>
      <c r="NTZ95" s="15" t="n"/>
      <c r="NUA95" s="15" t="n"/>
      <c r="NUB95" s="248" t="n"/>
      <c r="NUC95" s="248" t="n"/>
      <c r="NUD95" s="240" t="n"/>
      <c r="NUE95" s="240" t="n"/>
      <c r="NUG95" s="15" t="n"/>
      <c r="NUH95" s="15" t="n"/>
      <c r="NUI95" s="248" t="n"/>
      <c r="NUJ95" s="248" t="n"/>
      <c r="NUK95" s="240" t="n"/>
      <c r="NUL95" s="240" t="n"/>
      <c r="NUN95" s="15" t="n"/>
      <c r="NUO95" s="15" t="n"/>
      <c r="NUP95" s="248" t="n"/>
      <c r="NUQ95" s="248" t="n"/>
      <c r="NUR95" s="240" t="n"/>
      <c r="NUS95" s="240" t="n"/>
      <c r="NUU95" s="15" t="n"/>
      <c r="NUV95" s="15" t="n"/>
      <c r="NUW95" s="248" t="n"/>
      <c r="NUX95" s="248" t="n"/>
      <c r="NUY95" s="240" t="n"/>
      <c r="NUZ95" s="240" t="n"/>
      <c r="NVB95" s="15" t="n"/>
      <c r="NVC95" s="15" t="n"/>
      <c r="NVD95" s="248" t="n"/>
      <c r="NVE95" s="248" t="n"/>
      <c r="NVF95" s="240" t="n"/>
      <c r="NVG95" s="240" t="n"/>
      <c r="NVI95" s="15" t="n"/>
      <c r="NVJ95" s="15" t="n"/>
      <c r="NVK95" s="248" t="n"/>
      <c r="NVL95" s="248" t="n"/>
      <c r="NVM95" s="240" t="n"/>
      <c r="NVN95" s="240" t="n"/>
      <c r="NVP95" s="15" t="n"/>
      <c r="NVQ95" s="15" t="n"/>
      <c r="NVR95" s="248" t="n"/>
      <c r="NVS95" s="248" t="n"/>
      <c r="NVT95" s="240" t="n"/>
      <c r="NVU95" s="240" t="n"/>
      <c r="NVW95" s="15" t="n"/>
      <c r="NVX95" s="15" t="n"/>
      <c r="NVY95" s="248" t="n"/>
      <c r="NVZ95" s="248" t="n"/>
      <c r="NWA95" s="240" t="n"/>
      <c r="NWB95" s="240" t="n"/>
      <c r="NWD95" s="15" t="n"/>
      <c r="NWE95" s="15" t="n"/>
      <c r="NWF95" s="248" t="n"/>
      <c r="NWG95" s="248" t="n"/>
      <c r="NWH95" s="240" t="n"/>
      <c r="NWI95" s="240" t="n"/>
      <c r="NWK95" s="15" t="n"/>
      <c r="NWL95" s="15" t="n"/>
      <c r="NWM95" s="248" t="n"/>
      <c r="NWN95" s="248" t="n"/>
      <c r="NWO95" s="240" t="n"/>
      <c r="NWP95" s="240" t="n"/>
      <c r="NWR95" s="15" t="n"/>
      <c r="NWS95" s="15" t="n"/>
      <c r="NWT95" s="248" t="n"/>
      <c r="NWU95" s="248" t="n"/>
      <c r="NWV95" s="240" t="n"/>
      <c r="NWW95" s="240" t="n"/>
      <c r="NWY95" s="15" t="n"/>
      <c r="NWZ95" s="15" t="n"/>
      <c r="NXA95" s="248" t="n"/>
      <c r="NXB95" s="248" t="n"/>
      <c r="NXC95" s="240" t="n"/>
      <c r="NXD95" s="240" t="n"/>
      <c r="NXF95" s="15" t="n"/>
      <c r="NXG95" s="15" t="n"/>
      <c r="NXH95" s="248" t="n"/>
      <c r="NXI95" s="248" t="n"/>
      <c r="NXJ95" s="240" t="n"/>
      <c r="NXK95" s="240" t="n"/>
      <c r="NXM95" s="15" t="n"/>
      <c r="NXN95" s="15" t="n"/>
      <c r="NXO95" s="248" t="n"/>
      <c r="NXP95" s="248" t="n"/>
      <c r="NXQ95" s="240" t="n"/>
      <c r="NXR95" s="240" t="n"/>
      <c r="NXT95" s="15" t="n"/>
      <c r="NXU95" s="15" t="n"/>
      <c r="NXV95" s="248" t="n"/>
      <c r="NXW95" s="248" t="n"/>
      <c r="NXX95" s="240" t="n"/>
      <c r="NXY95" s="240" t="n"/>
      <c r="NYA95" s="15" t="n"/>
      <c r="NYB95" s="15" t="n"/>
      <c r="NYC95" s="248" t="n"/>
      <c r="NYD95" s="248" t="n"/>
      <c r="NYE95" s="240" t="n"/>
      <c r="NYF95" s="240" t="n"/>
      <c r="NYH95" s="15" t="n"/>
      <c r="NYI95" s="15" t="n"/>
      <c r="NYJ95" s="248" t="n"/>
      <c r="NYK95" s="248" t="n"/>
      <c r="NYL95" s="240" t="n"/>
      <c r="NYM95" s="240" t="n"/>
      <c r="NYO95" s="15" t="n"/>
      <c r="NYP95" s="15" t="n"/>
      <c r="NYQ95" s="248" t="n"/>
      <c r="NYR95" s="248" t="n"/>
      <c r="NYS95" s="240" t="n"/>
      <c r="NYT95" s="240" t="n"/>
      <c r="NYV95" s="15" t="n"/>
      <c r="NYW95" s="15" t="n"/>
      <c r="NYX95" s="248" t="n"/>
      <c r="NYY95" s="248" t="n"/>
      <c r="NYZ95" s="240" t="n"/>
      <c r="NZA95" s="240" t="n"/>
      <c r="NZC95" s="15" t="n"/>
      <c r="NZD95" s="15" t="n"/>
      <c r="NZE95" s="248" t="n"/>
      <c r="NZF95" s="248" t="n"/>
      <c r="NZG95" s="240" t="n"/>
      <c r="NZH95" s="240" t="n"/>
      <c r="NZJ95" s="15" t="n"/>
      <c r="NZK95" s="15" t="n"/>
      <c r="NZL95" s="248" t="n"/>
      <c r="NZM95" s="248" t="n"/>
      <c r="NZN95" s="240" t="n"/>
      <c r="NZO95" s="240" t="n"/>
      <c r="NZQ95" s="15" t="n"/>
      <c r="NZR95" s="15" t="n"/>
      <c r="NZS95" s="248" t="n"/>
      <c r="NZT95" s="248" t="n"/>
      <c r="NZU95" s="240" t="n"/>
      <c r="NZV95" s="240" t="n"/>
      <c r="NZX95" s="15" t="n"/>
      <c r="NZY95" s="15" t="n"/>
      <c r="NZZ95" s="248" t="n"/>
      <c r="OAA95" s="248" t="n"/>
      <c r="OAB95" s="240" t="n"/>
      <c r="OAC95" s="240" t="n"/>
      <c r="OAE95" s="15" t="n"/>
      <c r="OAF95" s="15" t="n"/>
      <c r="OAG95" s="248" t="n"/>
      <c r="OAH95" s="248" t="n"/>
      <c r="OAI95" s="240" t="n"/>
      <c r="OAJ95" s="240" t="n"/>
      <c r="OAL95" s="15" t="n"/>
      <c r="OAM95" s="15" t="n"/>
      <c r="OAN95" s="248" t="n"/>
      <c r="OAO95" s="248" t="n"/>
      <c r="OAP95" s="240" t="n"/>
      <c r="OAQ95" s="240" t="n"/>
      <c r="OAS95" s="15" t="n"/>
      <c r="OAT95" s="15" t="n"/>
      <c r="OAU95" s="248" t="n"/>
      <c r="OAV95" s="248" t="n"/>
      <c r="OAW95" s="240" t="n"/>
      <c r="OAX95" s="240" t="n"/>
      <c r="OAZ95" s="15" t="n"/>
      <c r="OBA95" s="15" t="n"/>
      <c r="OBB95" s="248" t="n"/>
      <c r="OBC95" s="248" t="n"/>
      <c r="OBD95" s="240" t="n"/>
      <c r="OBE95" s="240" t="n"/>
      <c r="OBG95" s="15" t="n"/>
      <c r="OBH95" s="15" t="n"/>
      <c r="OBI95" s="248" t="n"/>
      <c r="OBJ95" s="248" t="n"/>
      <c r="OBK95" s="240" t="n"/>
      <c r="OBL95" s="240" t="n"/>
      <c r="OBN95" s="15" t="n"/>
      <c r="OBO95" s="15" t="n"/>
      <c r="OBP95" s="248" t="n"/>
      <c r="OBQ95" s="248" t="n"/>
      <c r="OBR95" s="240" t="n"/>
      <c r="OBS95" s="240" t="n"/>
      <c r="OBU95" s="15" t="n"/>
      <c r="OBV95" s="15" t="n"/>
      <c r="OBW95" s="248" t="n"/>
      <c r="OBX95" s="248" t="n"/>
      <c r="OBY95" s="240" t="n"/>
      <c r="OBZ95" s="240" t="n"/>
      <c r="OCB95" s="15" t="n"/>
      <c r="OCC95" s="15" t="n"/>
      <c r="OCD95" s="248" t="n"/>
      <c r="OCE95" s="248" t="n"/>
      <c r="OCF95" s="240" t="n"/>
      <c r="OCG95" s="240" t="n"/>
      <c r="OCI95" s="15" t="n"/>
      <c r="OCJ95" s="15" t="n"/>
      <c r="OCK95" s="248" t="n"/>
      <c r="OCL95" s="248" t="n"/>
      <c r="OCM95" s="240" t="n"/>
      <c r="OCN95" s="240" t="n"/>
      <c r="OCP95" s="15" t="n"/>
      <c r="OCQ95" s="15" t="n"/>
      <c r="OCR95" s="248" t="n"/>
      <c r="OCS95" s="248" t="n"/>
      <c r="OCT95" s="240" t="n"/>
      <c r="OCU95" s="240" t="n"/>
      <c r="OCW95" s="15" t="n"/>
      <c r="OCX95" s="15" t="n"/>
      <c r="OCY95" s="248" t="n"/>
      <c r="OCZ95" s="248" t="n"/>
      <c r="ODA95" s="240" t="n"/>
      <c r="ODB95" s="240" t="n"/>
      <c r="ODD95" s="15" t="n"/>
      <c r="ODE95" s="15" t="n"/>
      <c r="ODF95" s="248" t="n"/>
      <c r="ODG95" s="248" t="n"/>
      <c r="ODH95" s="240" t="n"/>
      <c r="ODI95" s="240" t="n"/>
      <c r="ODK95" s="15" t="n"/>
      <c r="ODL95" s="15" t="n"/>
      <c r="ODM95" s="248" t="n"/>
      <c r="ODN95" s="248" t="n"/>
      <c r="ODO95" s="240" t="n"/>
      <c r="ODP95" s="240" t="n"/>
      <c r="ODR95" s="15" t="n"/>
      <c r="ODS95" s="15" t="n"/>
      <c r="ODT95" s="248" t="n"/>
      <c r="ODU95" s="248" t="n"/>
      <c r="ODV95" s="240" t="n"/>
      <c r="ODW95" s="240" t="n"/>
      <c r="ODY95" s="15" t="n"/>
      <c r="ODZ95" s="15" t="n"/>
      <c r="OEA95" s="248" t="n"/>
      <c r="OEB95" s="248" t="n"/>
      <c r="OEC95" s="240" t="n"/>
      <c r="OED95" s="240" t="n"/>
      <c r="OEF95" s="15" t="n"/>
      <c r="OEG95" s="15" t="n"/>
      <c r="OEH95" s="248" t="n"/>
      <c r="OEI95" s="248" t="n"/>
      <c r="OEJ95" s="240" t="n"/>
      <c r="OEK95" s="240" t="n"/>
      <c r="OEM95" s="15" t="n"/>
      <c r="OEN95" s="15" t="n"/>
      <c r="OEO95" s="248" t="n"/>
      <c r="OEP95" s="248" t="n"/>
      <c r="OEQ95" s="240" t="n"/>
      <c r="OER95" s="240" t="n"/>
      <c r="OET95" s="15" t="n"/>
      <c r="OEU95" s="15" t="n"/>
      <c r="OEV95" s="248" t="n"/>
      <c r="OEW95" s="248" t="n"/>
      <c r="OEX95" s="240" t="n"/>
      <c r="OEY95" s="240" t="n"/>
      <c r="OFA95" s="15" t="n"/>
      <c r="OFB95" s="15" t="n"/>
      <c r="OFC95" s="248" t="n"/>
      <c r="OFD95" s="248" t="n"/>
      <c r="OFE95" s="240" t="n"/>
      <c r="OFF95" s="240" t="n"/>
      <c r="OFH95" s="15" t="n"/>
      <c r="OFI95" s="15" t="n"/>
      <c r="OFJ95" s="248" t="n"/>
      <c r="OFK95" s="248" t="n"/>
      <c r="OFL95" s="240" t="n"/>
      <c r="OFM95" s="240" t="n"/>
      <c r="OFO95" s="15" t="n"/>
      <c r="OFP95" s="15" t="n"/>
      <c r="OFQ95" s="248" t="n"/>
      <c r="OFR95" s="248" t="n"/>
      <c r="OFS95" s="240" t="n"/>
      <c r="OFT95" s="240" t="n"/>
      <c r="OFV95" s="15" t="n"/>
      <c r="OFW95" s="15" t="n"/>
      <c r="OFX95" s="248" t="n"/>
      <c r="OFY95" s="248" t="n"/>
      <c r="OFZ95" s="240" t="n"/>
      <c r="OGA95" s="240" t="n"/>
      <c r="OGC95" s="15" t="n"/>
      <c r="OGD95" s="15" t="n"/>
      <c r="OGE95" s="248" t="n"/>
      <c r="OGF95" s="248" t="n"/>
      <c r="OGG95" s="240" t="n"/>
      <c r="OGH95" s="240" t="n"/>
      <c r="OGJ95" s="15" t="n"/>
      <c r="OGK95" s="15" t="n"/>
      <c r="OGL95" s="248" t="n"/>
      <c r="OGM95" s="248" t="n"/>
      <c r="OGN95" s="240" t="n"/>
      <c r="OGO95" s="240" t="n"/>
      <c r="OGQ95" s="15" t="n"/>
      <c r="OGR95" s="15" t="n"/>
      <c r="OGS95" s="248" t="n"/>
      <c r="OGT95" s="248" t="n"/>
      <c r="OGU95" s="240" t="n"/>
      <c r="OGV95" s="240" t="n"/>
      <c r="OGX95" s="15" t="n"/>
      <c r="OGY95" s="15" t="n"/>
      <c r="OGZ95" s="248" t="n"/>
      <c r="OHA95" s="248" t="n"/>
      <c r="OHB95" s="240" t="n"/>
      <c r="OHC95" s="240" t="n"/>
      <c r="OHE95" s="15" t="n"/>
      <c r="OHF95" s="15" t="n"/>
      <c r="OHG95" s="248" t="n"/>
      <c r="OHH95" s="248" t="n"/>
      <c r="OHI95" s="240" t="n"/>
      <c r="OHJ95" s="240" t="n"/>
      <c r="OHL95" s="15" t="n"/>
      <c r="OHM95" s="15" t="n"/>
      <c r="OHN95" s="248" t="n"/>
      <c r="OHO95" s="248" t="n"/>
      <c r="OHP95" s="240" t="n"/>
      <c r="OHQ95" s="240" t="n"/>
      <c r="OHS95" s="15" t="n"/>
      <c r="OHT95" s="15" t="n"/>
      <c r="OHU95" s="248" t="n"/>
      <c r="OHV95" s="248" t="n"/>
      <c r="OHW95" s="240" t="n"/>
      <c r="OHX95" s="240" t="n"/>
      <c r="OHZ95" s="15" t="n"/>
      <c r="OIA95" s="15" t="n"/>
      <c r="OIB95" s="248" t="n"/>
      <c r="OIC95" s="248" t="n"/>
      <c r="OID95" s="240" t="n"/>
      <c r="OIE95" s="240" t="n"/>
      <c r="OIG95" s="15" t="n"/>
      <c r="OIH95" s="15" t="n"/>
      <c r="OII95" s="248" t="n"/>
      <c r="OIJ95" s="248" t="n"/>
      <c r="OIK95" s="240" t="n"/>
      <c r="OIL95" s="240" t="n"/>
      <c r="OIN95" s="15" t="n"/>
      <c r="OIO95" s="15" t="n"/>
      <c r="OIP95" s="248" t="n"/>
      <c r="OIQ95" s="248" t="n"/>
      <c r="OIR95" s="240" t="n"/>
      <c r="OIS95" s="240" t="n"/>
      <c r="OIU95" s="15" t="n"/>
      <c r="OIV95" s="15" t="n"/>
      <c r="OIW95" s="248" t="n"/>
      <c r="OIX95" s="248" t="n"/>
      <c r="OIY95" s="240" t="n"/>
      <c r="OIZ95" s="240" t="n"/>
      <c r="OJB95" s="15" t="n"/>
      <c r="OJC95" s="15" t="n"/>
      <c r="OJD95" s="248" t="n"/>
      <c r="OJE95" s="248" t="n"/>
      <c r="OJF95" s="240" t="n"/>
      <c r="OJG95" s="240" t="n"/>
      <c r="OJI95" s="15" t="n"/>
      <c r="OJJ95" s="15" t="n"/>
      <c r="OJK95" s="248" t="n"/>
      <c r="OJL95" s="248" t="n"/>
      <c r="OJM95" s="240" t="n"/>
      <c r="OJN95" s="240" t="n"/>
      <c r="OJP95" s="15" t="n"/>
      <c r="OJQ95" s="15" t="n"/>
      <c r="OJR95" s="248" t="n"/>
      <c r="OJS95" s="248" t="n"/>
      <c r="OJT95" s="240" t="n"/>
      <c r="OJU95" s="240" t="n"/>
      <c r="OJW95" s="15" t="n"/>
      <c r="OJX95" s="15" t="n"/>
      <c r="OJY95" s="248" t="n"/>
      <c r="OJZ95" s="248" t="n"/>
      <c r="OKA95" s="240" t="n"/>
      <c r="OKB95" s="240" t="n"/>
      <c r="OKD95" s="15" t="n"/>
      <c r="OKE95" s="15" t="n"/>
      <c r="OKF95" s="248" t="n"/>
      <c r="OKG95" s="248" t="n"/>
      <c r="OKH95" s="240" t="n"/>
      <c r="OKI95" s="240" t="n"/>
      <c r="OKK95" s="15" t="n"/>
      <c r="OKL95" s="15" t="n"/>
      <c r="OKM95" s="248" t="n"/>
      <c r="OKN95" s="248" t="n"/>
      <c r="OKO95" s="240" t="n"/>
      <c r="OKP95" s="240" t="n"/>
      <c r="OKR95" s="15" t="n"/>
      <c r="OKS95" s="15" t="n"/>
      <c r="OKT95" s="248" t="n"/>
      <c r="OKU95" s="248" t="n"/>
      <c r="OKV95" s="240" t="n"/>
      <c r="OKW95" s="240" t="n"/>
      <c r="OKY95" s="15" t="n"/>
      <c r="OKZ95" s="15" t="n"/>
      <c r="OLA95" s="248" t="n"/>
      <c r="OLB95" s="248" t="n"/>
      <c r="OLC95" s="240" t="n"/>
      <c r="OLD95" s="240" t="n"/>
      <c r="OLF95" s="15" t="n"/>
      <c r="OLG95" s="15" t="n"/>
      <c r="OLH95" s="248" t="n"/>
      <c r="OLI95" s="248" t="n"/>
      <c r="OLJ95" s="240" t="n"/>
      <c r="OLK95" s="240" t="n"/>
      <c r="OLM95" s="15" t="n"/>
      <c r="OLN95" s="15" t="n"/>
      <c r="OLO95" s="248" t="n"/>
      <c r="OLP95" s="248" t="n"/>
      <c r="OLQ95" s="240" t="n"/>
      <c r="OLR95" s="240" t="n"/>
      <c r="OLT95" s="15" t="n"/>
      <c r="OLU95" s="15" t="n"/>
      <c r="OLV95" s="248" t="n"/>
      <c r="OLW95" s="248" t="n"/>
      <c r="OLX95" s="240" t="n"/>
      <c r="OLY95" s="240" t="n"/>
      <c r="OMA95" s="15" t="n"/>
      <c r="OMB95" s="15" t="n"/>
      <c r="OMC95" s="248" t="n"/>
      <c r="OMD95" s="248" t="n"/>
      <c r="OME95" s="240" t="n"/>
      <c r="OMF95" s="240" t="n"/>
      <c r="OMH95" s="15" t="n"/>
      <c r="OMI95" s="15" t="n"/>
      <c r="OMJ95" s="248" t="n"/>
      <c r="OMK95" s="248" t="n"/>
      <c r="OML95" s="240" t="n"/>
      <c r="OMM95" s="240" t="n"/>
      <c r="OMO95" s="15" t="n"/>
      <c r="OMP95" s="15" t="n"/>
      <c r="OMQ95" s="248" t="n"/>
      <c r="OMR95" s="248" t="n"/>
      <c r="OMS95" s="240" t="n"/>
      <c r="OMT95" s="240" t="n"/>
      <c r="OMV95" s="15" t="n"/>
      <c r="OMW95" s="15" t="n"/>
      <c r="OMX95" s="248" t="n"/>
      <c r="OMY95" s="248" t="n"/>
      <c r="OMZ95" s="240" t="n"/>
      <c r="ONA95" s="240" t="n"/>
      <c r="ONC95" s="15" t="n"/>
      <c r="OND95" s="15" t="n"/>
      <c r="ONE95" s="248" t="n"/>
      <c r="ONF95" s="248" t="n"/>
      <c r="ONG95" s="240" t="n"/>
      <c r="ONH95" s="240" t="n"/>
      <c r="ONJ95" s="15" t="n"/>
      <c r="ONK95" s="15" t="n"/>
      <c r="ONL95" s="248" t="n"/>
      <c r="ONM95" s="248" t="n"/>
      <c r="ONN95" s="240" t="n"/>
      <c r="ONO95" s="240" t="n"/>
      <c r="ONQ95" s="15" t="n"/>
      <c r="ONR95" s="15" t="n"/>
      <c r="ONS95" s="248" t="n"/>
      <c r="ONT95" s="248" t="n"/>
      <c r="ONU95" s="240" t="n"/>
      <c r="ONV95" s="240" t="n"/>
      <c r="ONX95" s="15" t="n"/>
      <c r="ONY95" s="15" t="n"/>
      <c r="ONZ95" s="248" t="n"/>
      <c r="OOA95" s="248" t="n"/>
      <c r="OOB95" s="240" t="n"/>
      <c r="OOC95" s="240" t="n"/>
      <c r="OOE95" s="15" t="n"/>
      <c r="OOF95" s="15" t="n"/>
      <c r="OOG95" s="248" t="n"/>
      <c r="OOH95" s="248" t="n"/>
      <c r="OOI95" s="240" t="n"/>
      <c r="OOJ95" s="240" t="n"/>
      <c r="OOL95" s="15" t="n"/>
      <c r="OOM95" s="15" t="n"/>
      <c r="OON95" s="248" t="n"/>
      <c r="OOO95" s="248" t="n"/>
      <c r="OOP95" s="240" t="n"/>
      <c r="OOQ95" s="240" t="n"/>
      <c r="OOS95" s="15" t="n"/>
      <c r="OOT95" s="15" t="n"/>
      <c r="OOU95" s="248" t="n"/>
      <c r="OOV95" s="248" t="n"/>
      <c r="OOW95" s="240" t="n"/>
      <c r="OOX95" s="240" t="n"/>
      <c r="OOZ95" s="15" t="n"/>
      <c r="OPA95" s="15" t="n"/>
      <c r="OPB95" s="248" t="n"/>
      <c r="OPC95" s="248" t="n"/>
      <c r="OPD95" s="240" t="n"/>
      <c r="OPE95" s="240" t="n"/>
      <c r="OPG95" s="15" t="n"/>
      <c r="OPH95" s="15" t="n"/>
      <c r="OPI95" s="248" t="n"/>
      <c r="OPJ95" s="248" t="n"/>
      <c r="OPK95" s="240" t="n"/>
      <c r="OPL95" s="240" t="n"/>
      <c r="OPN95" s="15" t="n"/>
      <c r="OPO95" s="15" t="n"/>
      <c r="OPP95" s="248" t="n"/>
      <c r="OPQ95" s="248" t="n"/>
      <c r="OPR95" s="240" t="n"/>
      <c r="OPS95" s="240" t="n"/>
      <c r="OPU95" s="15" t="n"/>
      <c r="OPV95" s="15" t="n"/>
      <c r="OPW95" s="248" t="n"/>
      <c r="OPX95" s="248" t="n"/>
      <c r="OPY95" s="240" t="n"/>
      <c r="OPZ95" s="240" t="n"/>
      <c r="OQB95" s="15" t="n"/>
      <c r="OQC95" s="15" t="n"/>
      <c r="OQD95" s="248" t="n"/>
      <c r="OQE95" s="248" t="n"/>
      <c r="OQF95" s="240" t="n"/>
      <c r="OQG95" s="240" t="n"/>
      <c r="OQI95" s="15" t="n"/>
      <c r="OQJ95" s="15" t="n"/>
      <c r="OQK95" s="248" t="n"/>
      <c r="OQL95" s="248" t="n"/>
      <c r="OQM95" s="240" t="n"/>
      <c r="OQN95" s="240" t="n"/>
      <c r="OQP95" s="15" t="n"/>
      <c r="OQQ95" s="15" t="n"/>
      <c r="OQR95" s="248" t="n"/>
      <c r="OQS95" s="248" t="n"/>
      <c r="OQT95" s="240" t="n"/>
      <c r="OQU95" s="240" t="n"/>
      <c r="OQW95" s="15" t="n"/>
      <c r="OQX95" s="15" t="n"/>
      <c r="OQY95" s="248" t="n"/>
      <c r="OQZ95" s="248" t="n"/>
      <c r="ORA95" s="240" t="n"/>
      <c r="ORB95" s="240" t="n"/>
      <c r="ORD95" s="15" t="n"/>
      <c r="ORE95" s="15" t="n"/>
      <c r="ORF95" s="248" t="n"/>
      <c r="ORG95" s="248" t="n"/>
      <c r="ORH95" s="240" t="n"/>
      <c r="ORI95" s="240" t="n"/>
      <c r="ORK95" s="15" t="n"/>
      <c r="ORL95" s="15" t="n"/>
      <c r="ORM95" s="248" t="n"/>
      <c r="ORN95" s="248" t="n"/>
      <c r="ORO95" s="240" t="n"/>
      <c r="ORP95" s="240" t="n"/>
      <c r="ORR95" s="15" t="n"/>
      <c r="ORS95" s="15" t="n"/>
      <c r="ORT95" s="248" t="n"/>
      <c r="ORU95" s="248" t="n"/>
      <c r="ORV95" s="240" t="n"/>
      <c r="ORW95" s="240" t="n"/>
      <c r="ORY95" s="15" t="n"/>
      <c r="ORZ95" s="15" t="n"/>
      <c r="OSA95" s="248" t="n"/>
      <c r="OSB95" s="248" t="n"/>
      <c r="OSC95" s="240" t="n"/>
      <c r="OSD95" s="240" t="n"/>
      <c r="OSF95" s="15" t="n"/>
      <c r="OSG95" s="15" t="n"/>
      <c r="OSH95" s="248" t="n"/>
      <c r="OSI95" s="248" t="n"/>
      <c r="OSJ95" s="240" t="n"/>
      <c r="OSK95" s="240" t="n"/>
      <c r="OSM95" s="15" t="n"/>
      <c r="OSN95" s="15" t="n"/>
      <c r="OSO95" s="248" t="n"/>
      <c r="OSP95" s="248" t="n"/>
      <c r="OSQ95" s="240" t="n"/>
      <c r="OSR95" s="240" t="n"/>
      <c r="OST95" s="15" t="n"/>
      <c r="OSU95" s="15" t="n"/>
      <c r="OSV95" s="248" t="n"/>
      <c r="OSW95" s="248" t="n"/>
      <c r="OSX95" s="240" t="n"/>
      <c r="OSY95" s="240" t="n"/>
      <c r="OTA95" s="15" t="n"/>
      <c r="OTB95" s="15" t="n"/>
      <c r="OTC95" s="248" t="n"/>
      <c r="OTD95" s="248" t="n"/>
      <c r="OTE95" s="240" t="n"/>
      <c r="OTF95" s="240" t="n"/>
      <c r="OTH95" s="15" t="n"/>
      <c r="OTI95" s="15" t="n"/>
      <c r="OTJ95" s="248" t="n"/>
      <c r="OTK95" s="248" t="n"/>
      <c r="OTL95" s="240" t="n"/>
      <c r="OTM95" s="240" t="n"/>
      <c r="OTO95" s="15" t="n"/>
      <c r="OTP95" s="15" t="n"/>
      <c r="OTQ95" s="248" t="n"/>
      <c r="OTR95" s="248" t="n"/>
      <c r="OTS95" s="240" t="n"/>
      <c r="OTT95" s="240" t="n"/>
      <c r="OTV95" s="15" t="n"/>
      <c r="OTW95" s="15" t="n"/>
      <c r="OTX95" s="248" t="n"/>
      <c r="OTY95" s="248" t="n"/>
      <c r="OTZ95" s="240" t="n"/>
      <c r="OUA95" s="240" t="n"/>
      <c r="OUC95" s="15" t="n"/>
      <c r="OUD95" s="15" t="n"/>
      <c r="OUE95" s="248" t="n"/>
      <c r="OUF95" s="248" t="n"/>
      <c r="OUG95" s="240" t="n"/>
      <c r="OUH95" s="240" t="n"/>
      <c r="OUJ95" s="15" t="n"/>
      <c r="OUK95" s="15" t="n"/>
      <c r="OUL95" s="248" t="n"/>
      <c r="OUM95" s="248" t="n"/>
      <c r="OUN95" s="240" t="n"/>
      <c r="OUO95" s="240" t="n"/>
      <c r="OUQ95" s="15" t="n"/>
      <c r="OUR95" s="15" t="n"/>
      <c r="OUS95" s="248" t="n"/>
      <c r="OUT95" s="248" t="n"/>
      <c r="OUU95" s="240" t="n"/>
      <c r="OUV95" s="240" t="n"/>
      <c r="OUX95" s="15" t="n"/>
      <c r="OUY95" s="15" t="n"/>
      <c r="OUZ95" s="248" t="n"/>
      <c r="OVA95" s="248" t="n"/>
      <c r="OVB95" s="240" t="n"/>
      <c r="OVC95" s="240" t="n"/>
      <c r="OVE95" s="15" t="n"/>
      <c r="OVF95" s="15" t="n"/>
      <c r="OVG95" s="248" t="n"/>
      <c r="OVH95" s="248" t="n"/>
      <c r="OVI95" s="240" t="n"/>
      <c r="OVJ95" s="240" t="n"/>
      <c r="OVL95" s="15" t="n"/>
      <c r="OVM95" s="15" t="n"/>
      <c r="OVN95" s="248" t="n"/>
      <c r="OVO95" s="248" t="n"/>
      <c r="OVP95" s="240" t="n"/>
      <c r="OVQ95" s="240" t="n"/>
      <c r="OVS95" s="15" t="n"/>
      <c r="OVT95" s="15" t="n"/>
      <c r="OVU95" s="248" t="n"/>
      <c r="OVV95" s="248" t="n"/>
      <c r="OVW95" s="240" t="n"/>
      <c r="OVX95" s="240" t="n"/>
      <c r="OVZ95" s="15" t="n"/>
      <c r="OWA95" s="15" t="n"/>
      <c r="OWB95" s="248" t="n"/>
      <c r="OWC95" s="248" t="n"/>
      <c r="OWD95" s="240" t="n"/>
      <c r="OWE95" s="240" t="n"/>
      <c r="OWG95" s="15" t="n"/>
      <c r="OWH95" s="15" t="n"/>
      <c r="OWI95" s="248" t="n"/>
      <c r="OWJ95" s="248" t="n"/>
      <c r="OWK95" s="240" t="n"/>
      <c r="OWL95" s="240" t="n"/>
      <c r="OWN95" s="15" t="n"/>
      <c r="OWO95" s="15" t="n"/>
      <c r="OWP95" s="248" t="n"/>
      <c r="OWQ95" s="248" t="n"/>
      <c r="OWR95" s="240" t="n"/>
      <c r="OWS95" s="240" t="n"/>
      <c r="OWU95" s="15" t="n"/>
      <c r="OWV95" s="15" t="n"/>
      <c r="OWW95" s="248" t="n"/>
      <c r="OWX95" s="248" t="n"/>
      <c r="OWY95" s="240" t="n"/>
      <c r="OWZ95" s="240" t="n"/>
      <c r="OXB95" s="15" t="n"/>
      <c r="OXC95" s="15" t="n"/>
      <c r="OXD95" s="248" t="n"/>
      <c r="OXE95" s="248" t="n"/>
      <c r="OXF95" s="240" t="n"/>
      <c r="OXG95" s="240" t="n"/>
      <c r="OXI95" s="15" t="n"/>
      <c r="OXJ95" s="15" t="n"/>
      <c r="OXK95" s="248" t="n"/>
      <c r="OXL95" s="248" t="n"/>
      <c r="OXM95" s="240" t="n"/>
      <c r="OXN95" s="240" t="n"/>
      <c r="OXP95" s="15" t="n"/>
      <c r="OXQ95" s="15" t="n"/>
      <c r="OXR95" s="248" t="n"/>
      <c r="OXS95" s="248" t="n"/>
      <c r="OXT95" s="240" t="n"/>
      <c r="OXU95" s="240" t="n"/>
      <c r="OXW95" s="15" t="n"/>
      <c r="OXX95" s="15" t="n"/>
      <c r="OXY95" s="248" t="n"/>
      <c r="OXZ95" s="248" t="n"/>
      <c r="OYA95" s="240" t="n"/>
      <c r="OYB95" s="240" t="n"/>
      <c r="OYD95" s="15" t="n"/>
      <c r="OYE95" s="15" t="n"/>
      <c r="OYF95" s="248" t="n"/>
      <c r="OYG95" s="248" t="n"/>
      <c r="OYH95" s="240" t="n"/>
      <c r="OYI95" s="240" t="n"/>
      <c r="OYK95" s="15" t="n"/>
      <c r="OYL95" s="15" t="n"/>
      <c r="OYM95" s="248" t="n"/>
      <c r="OYN95" s="248" t="n"/>
      <c r="OYO95" s="240" t="n"/>
      <c r="OYP95" s="240" t="n"/>
      <c r="OYR95" s="15" t="n"/>
      <c r="OYS95" s="15" t="n"/>
      <c r="OYT95" s="248" t="n"/>
      <c r="OYU95" s="248" t="n"/>
      <c r="OYV95" s="240" t="n"/>
      <c r="OYW95" s="240" t="n"/>
      <c r="OYY95" s="15" t="n"/>
      <c r="OYZ95" s="15" t="n"/>
      <c r="OZA95" s="248" t="n"/>
      <c r="OZB95" s="248" t="n"/>
      <c r="OZC95" s="240" t="n"/>
      <c r="OZD95" s="240" t="n"/>
      <c r="OZF95" s="15" t="n"/>
      <c r="OZG95" s="15" t="n"/>
      <c r="OZH95" s="248" t="n"/>
      <c r="OZI95" s="248" t="n"/>
      <c r="OZJ95" s="240" t="n"/>
      <c r="OZK95" s="240" t="n"/>
      <c r="OZM95" s="15" t="n"/>
      <c r="OZN95" s="15" t="n"/>
      <c r="OZO95" s="248" t="n"/>
      <c r="OZP95" s="248" t="n"/>
      <c r="OZQ95" s="240" t="n"/>
      <c r="OZR95" s="240" t="n"/>
      <c r="OZT95" s="15" t="n"/>
      <c r="OZU95" s="15" t="n"/>
      <c r="OZV95" s="248" t="n"/>
      <c r="OZW95" s="248" t="n"/>
      <c r="OZX95" s="240" t="n"/>
      <c r="OZY95" s="240" t="n"/>
      <c r="PAA95" s="15" t="n"/>
      <c r="PAB95" s="15" t="n"/>
      <c r="PAC95" s="248" t="n"/>
      <c r="PAD95" s="248" t="n"/>
      <c r="PAE95" s="240" t="n"/>
      <c r="PAF95" s="240" t="n"/>
      <c r="PAH95" s="15" t="n"/>
      <c r="PAI95" s="15" t="n"/>
      <c r="PAJ95" s="248" t="n"/>
      <c r="PAK95" s="248" t="n"/>
      <c r="PAL95" s="240" t="n"/>
      <c r="PAM95" s="240" t="n"/>
      <c r="PAO95" s="15" t="n"/>
      <c r="PAP95" s="15" t="n"/>
      <c r="PAQ95" s="248" t="n"/>
      <c r="PAR95" s="248" t="n"/>
      <c r="PAS95" s="240" t="n"/>
      <c r="PAT95" s="240" t="n"/>
      <c r="PAV95" s="15" t="n"/>
      <c r="PAW95" s="15" t="n"/>
      <c r="PAX95" s="248" t="n"/>
      <c r="PAY95" s="248" t="n"/>
      <c r="PAZ95" s="240" t="n"/>
      <c r="PBA95" s="240" t="n"/>
      <c r="PBC95" s="15" t="n"/>
      <c r="PBD95" s="15" t="n"/>
      <c r="PBE95" s="248" t="n"/>
      <c r="PBF95" s="248" t="n"/>
      <c r="PBG95" s="240" t="n"/>
      <c r="PBH95" s="240" t="n"/>
      <c r="PBJ95" s="15" t="n"/>
      <c r="PBK95" s="15" t="n"/>
      <c r="PBL95" s="248" t="n"/>
      <c r="PBM95" s="248" t="n"/>
      <c r="PBN95" s="240" t="n"/>
      <c r="PBO95" s="240" t="n"/>
      <c r="PBQ95" s="15" t="n"/>
      <c r="PBR95" s="15" t="n"/>
      <c r="PBS95" s="248" t="n"/>
      <c r="PBT95" s="248" t="n"/>
      <c r="PBU95" s="240" t="n"/>
      <c r="PBV95" s="240" t="n"/>
      <c r="PBX95" s="15" t="n"/>
      <c r="PBY95" s="15" t="n"/>
      <c r="PBZ95" s="248" t="n"/>
      <c r="PCA95" s="248" t="n"/>
      <c r="PCB95" s="240" t="n"/>
      <c r="PCC95" s="240" t="n"/>
      <c r="PCE95" s="15" t="n"/>
      <c r="PCF95" s="15" t="n"/>
      <c r="PCG95" s="248" t="n"/>
      <c r="PCH95" s="248" t="n"/>
      <c r="PCI95" s="240" t="n"/>
      <c r="PCJ95" s="240" t="n"/>
      <c r="PCL95" s="15" t="n"/>
      <c r="PCM95" s="15" t="n"/>
      <c r="PCN95" s="248" t="n"/>
      <c r="PCO95" s="248" t="n"/>
      <c r="PCP95" s="240" t="n"/>
      <c r="PCQ95" s="240" t="n"/>
      <c r="PCS95" s="15" t="n"/>
      <c r="PCT95" s="15" t="n"/>
      <c r="PCU95" s="248" t="n"/>
      <c r="PCV95" s="248" t="n"/>
      <c r="PCW95" s="240" t="n"/>
      <c r="PCX95" s="240" t="n"/>
      <c r="PCZ95" s="15" t="n"/>
      <c r="PDA95" s="15" t="n"/>
      <c r="PDB95" s="248" t="n"/>
      <c r="PDC95" s="248" t="n"/>
      <c r="PDD95" s="240" t="n"/>
      <c r="PDE95" s="240" t="n"/>
      <c r="PDG95" s="15" t="n"/>
      <c r="PDH95" s="15" t="n"/>
      <c r="PDI95" s="248" t="n"/>
      <c r="PDJ95" s="248" t="n"/>
      <c r="PDK95" s="240" t="n"/>
      <c r="PDL95" s="240" t="n"/>
      <c r="PDN95" s="15" t="n"/>
      <c r="PDO95" s="15" t="n"/>
      <c r="PDP95" s="248" t="n"/>
      <c r="PDQ95" s="248" t="n"/>
      <c r="PDR95" s="240" t="n"/>
      <c r="PDS95" s="240" t="n"/>
      <c r="PDU95" s="15" t="n"/>
      <c r="PDV95" s="15" t="n"/>
      <c r="PDW95" s="248" t="n"/>
      <c r="PDX95" s="248" t="n"/>
      <c r="PDY95" s="240" t="n"/>
      <c r="PDZ95" s="240" t="n"/>
      <c r="PEB95" s="15" t="n"/>
      <c r="PEC95" s="15" t="n"/>
      <c r="PED95" s="248" t="n"/>
      <c r="PEE95" s="248" t="n"/>
      <c r="PEF95" s="240" t="n"/>
      <c r="PEG95" s="240" t="n"/>
      <c r="PEI95" s="15" t="n"/>
      <c r="PEJ95" s="15" t="n"/>
      <c r="PEK95" s="248" t="n"/>
      <c r="PEL95" s="248" t="n"/>
      <c r="PEM95" s="240" t="n"/>
      <c r="PEN95" s="240" t="n"/>
      <c r="PEP95" s="15" t="n"/>
      <c r="PEQ95" s="15" t="n"/>
      <c r="PER95" s="248" t="n"/>
      <c r="PES95" s="248" t="n"/>
      <c r="PET95" s="240" t="n"/>
      <c r="PEU95" s="240" t="n"/>
      <c r="PEW95" s="15" t="n"/>
      <c r="PEX95" s="15" t="n"/>
      <c r="PEY95" s="248" t="n"/>
      <c r="PEZ95" s="248" t="n"/>
      <c r="PFA95" s="240" t="n"/>
      <c r="PFB95" s="240" t="n"/>
      <c r="PFD95" s="15" t="n"/>
      <c r="PFE95" s="15" t="n"/>
      <c r="PFF95" s="248" t="n"/>
      <c r="PFG95" s="248" t="n"/>
      <c r="PFH95" s="240" t="n"/>
      <c r="PFI95" s="240" t="n"/>
      <c r="PFK95" s="15" t="n"/>
      <c r="PFL95" s="15" t="n"/>
      <c r="PFM95" s="248" t="n"/>
      <c r="PFN95" s="248" t="n"/>
      <c r="PFO95" s="240" t="n"/>
      <c r="PFP95" s="240" t="n"/>
      <c r="PFR95" s="15" t="n"/>
      <c r="PFS95" s="15" t="n"/>
      <c r="PFT95" s="248" t="n"/>
      <c r="PFU95" s="248" t="n"/>
      <c r="PFV95" s="240" t="n"/>
      <c r="PFW95" s="240" t="n"/>
      <c r="PFY95" s="15" t="n"/>
      <c r="PFZ95" s="15" t="n"/>
      <c r="PGA95" s="248" t="n"/>
      <c r="PGB95" s="248" t="n"/>
      <c r="PGC95" s="240" t="n"/>
      <c r="PGD95" s="240" t="n"/>
      <c r="PGF95" s="15" t="n"/>
      <c r="PGG95" s="15" t="n"/>
      <c r="PGH95" s="248" t="n"/>
      <c r="PGI95" s="248" t="n"/>
      <c r="PGJ95" s="240" t="n"/>
      <c r="PGK95" s="240" t="n"/>
      <c r="PGM95" s="15" t="n"/>
      <c r="PGN95" s="15" t="n"/>
      <c r="PGO95" s="248" t="n"/>
      <c r="PGP95" s="248" t="n"/>
      <c r="PGQ95" s="240" t="n"/>
      <c r="PGR95" s="240" t="n"/>
      <c r="PGT95" s="15" t="n"/>
      <c r="PGU95" s="15" t="n"/>
      <c r="PGV95" s="248" t="n"/>
      <c r="PGW95" s="248" t="n"/>
      <c r="PGX95" s="240" t="n"/>
      <c r="PGY95" s="240" t="n"/>
      <c r="PHA95" s="15" t="n"/>
      <c r="PHB95" s="15" t="n"/>
      <c r="PHC95" s="248" t="n"/>
      <c r="PHD95" s="248" t="n"/>
      <c r="PHE95" s="240" t="n"/>
      <c r="PHF95" s="240" t="n"/>
      <c r="PHH95" s="15" t="n"/>
      <c r="PHI95" s="15" t="n"/>
      <c r="PHJ95" s="248" t="n"/>
      <c r="PHK95" s="248" t="n"/>
      <c r="PHL95" s="240" t="n"/>
      <c r="PHM95" s="240" t="n"/>
      <c r="PHO95" s="15" t="n"/>
      <c r="PHP95" s="15" t="n"/>
      <c r="PHQ95" s="248" t="n"/>
      <c r="PHR95" s="248" t="n"/>
      <c r="PHS95" s="240" t="n"/>
      <c r="PHT95" s="240" t="n"/>
      <c r="PHV95" s="15" t="n"/>
      <c r="PHW95" s="15" t="n"/>
      <c r="PHX95" s="248" t="n"/>
      <c r="PHY95" s="248" t="n"/>
      <c r="PHZ95" s="240" t="n"/>
      <c r="PIA95" s="240" t="n"/>
      <c r="PIC95" s="15" t="n"/>
      <c r="PID95" s="15" t="n"/>
      <c r="PIE95" s="248" t="n"/>
      <c r="PIF95" s="248" t="n"/>
      <c r="PIG95" s="240" t="n"/>
      <c r="PIH95" s="240" t="n"/>
      <c r="PIJ95" s="15" t="n"/>
      <c r="PIK95" s="15" t="n"/>
      <c r="PIL95" s="248" t="n"/>
      <c r="PIM95" s="248" t="n"/>
      <c r="PIN95" s="240" t="n"/>
      <c r="PIO95" s="240" t="n"/>
      <c r="PIQ95" s="15" t="n"/>
      <c r="PIR95" s="15" t="n"/>
      <c r="PIS95" s="248" t="n"/>
      <c r="PIT95" s="248" t="n"/>
      <c r="PIU95" s="240" t="n"/>
      <c r="PIV95" s="240" t="n"/>
      <c r="PIX95" s="15" t="n"/>
      <c r="PIY95" s="15" t="n"/>
      <c r="PIZ95" s="248" t="n"/>
      <c r="PJA95" s="248" t="n"/>
      <c r="PJB95" s="240" t="n"/>
      <c r="PJC95" s="240" t="n"/>
      <c r="PJE95" s="15" t="n"/>
      <c r="PJF95" s="15" t="n"/>
      <c r="PJG95" s="248" t="n"/>
      <c r="PJH95" s="248" t="n"/>
      <c r="PJI95" s="240" t="n"/>
      <c r="PJJ95" s="240" t="n"/>
      <c r="PJL95" s="15" t="n"/>
      <c r="PJM95" s="15" t="n"/>
      <c r="PJN95" s="248" t="n"/>
      <c r="PJO95" s="248" t="n"/>
      <c r="PJP95" s="240" t="n"/>
      <c r="PJQ95" s="240" t="n"/>
      <c r="PJS95" s="15" t="n"/>
      <c r="PJT95" s="15" t="n"/>
      <c r="PJU95" s="248" t="n"/>
      <c r="PJV95" s="248" t="n"/>
      <c r="PJW95" s="240" t="n"/>
      <c r="PJX95" s="240" t="n"/>
      <c r="PJZ95" s="15" t="n"/>
      <c r="PKA95" s="15" t="n"/>
      <c r="PKB95" s="248" t="n"/>
      <c r="PKC95" s="248" t="n"/>
      <c r="PKD95" s="240" t="n"/>
      <c r="PKE95" s="240" t="n"/>
      <c r="PKG95" s="15" t="n"/>
      <c r="PKH95" s="15" t="n"/>
      <c r="PKI95" s="248" t="n"/>
      <c r="PKJ95" s="248" t="n"/>
      <c r="PKK95" s="240" t="n"/>
      <c r="PKL95" s="240" t="n"/>
      <c r="PKN95" s="15" t="n"/>
      <c r="PKO95" s="15" t="n"/>
      <c r="PKP95" s="248" t="n"/>
      <c r="PKQ95" s="248" t="n"/>
      <c r="PKR95" s="240" t="n"/>
      <c r="PKS95" s="240" t="n"/>
      <c r="PKU95" s="15" t="n"/>
      <c r="PKV95" s="15" t="n"/>
      <c r="PKW95" s="248" t="n"/>
      <c r="PKX95" s="248" t="n"/>
      <c r="PKY95" s="240" t="n"/>
      <c r="PKZ95" s="240" t="n"/>
      <c r="PLB95" s="15" t="n"/>
      <c r="PLC95" s="15" t="n"/>
      <c r="PLD95" s="248" t="n"/>
      <c r="PLE95" s="248" t="n"/>
      <c r="PLF95" s="240" t="n"/>
      <c r="PLG95" s="240" t="n"/>
      <c r="PLI95" s="15" t="n"/>
      <c r="PLJ95" s="15" t="n"/>
      <c r="PLK95" s="248" t="n"/>
      <c r="PLL95" s="248" t="n"/>
      <c r="PLM95" s="240" t="n"/>
      <c r="PLN95" s="240" t="n"/>
      <c r="PLP95" s="15" t="n"/>
      <c r="PLQ95" s="15" t="n"/>
      <c r="PLR95" s="248" t="n"/>
      <c r="PLS95" s="248" t="n"/>
      <c r="PLT95" s="240" t="n"/>
      <c r="PLU95" s="240" t="n"/>
      <c r="PLW95" s="15" t="n"/>
      <c r="PLX95" s="15" t="n"/>
      <c r="PLY95" s="248" t="n"/>
      <c r="PLZ95" s="248" t="n"/>
      <c r="PMA95" s="240" t="n"/>
      <c r="PMB95" s="240" t="n"/>
      <c r="PMD95" s="15" t="n"/>
      <c r="PME95" s="15" t="n"/>
      <c r="PMF95" s="248" t="n"/>
      <c r="PMG95" s="248" t="n"/>
      <c r="PMH95" s="240" t="n"/>
      <c r="PMI95" s="240" t="n"/>
      <c r="PMK95" s="15" t="n"/>
      <c r="PML95" s="15" t="n"/>
      <c r="PMM95" s="248" t="n"/>
      <c r="PMN95" s="248" t="n"/>
      <c r="PMO95" s="240" t="n"/>
      <c r="PMP95" s="240" t="n"/>
      <c r="PMR95" s="15" t="n"/>
      <c r="PMS95" s="15" t="n"/>
      <c r="PMT95" s="248" t="n"/>
      <c r="PMU95" s="248" t="n"/>
      <c r="PMV95" s="240" t="n"/>
      <c r="PMW95" s="240" t="n"/>
      <c r="PMY95" s="15" t="n"/>
      <c r="PMZ95" s="15" t="n"/>
      <c r="PNA95" s="248" t="n"/>
      <c r="PNB95" s="248" t="n"/>
      <c r="PNC95" s="240" t="n"/>
      <c r="PND95" s="240" t="n"/>
      <c r="PNF95" s="15" t="n"/>
      <c r="PNG95" s="15" t="n"/>
      <c r="PNH95" s="248" t="n"/>
      <c r="PNI95" s="248" t="n"/>
      <c r="PNJ95" s="240" t="n"/>
      <c r="PNK95" s="240" t="n"/>
      <c r="PNM95" s="15" t="n"/>
      <c r="PNN95" s="15" t="n"/>
      <c r="PNO95" s="248" t="n"/>
      <c r="PNP95" s="248" t="n"/>
      <c r="PNQ95" s="240" t="n"/>
      <c r="PNR95" s="240" t="n"/>
      <c r="PNT95" s="15" t="n"/>
      <c r="PNU95" s="15" t="n"/>
      <c r="PNV95" s="248" t="n"/>
      <c r="PNW95" s="248" t="n"/>
      <c r="PNX95" s="240" t="n"/>
      <c r="PNY95" s="240" t="n"/>
      <c r="POA95" s="15" t="n"/>
      <c r="POB95" s="15" t="n"/>
      <c r="POC95" s="248" t="n"/>
      <c r="POD95" s="248" t="n"/>
      <c r="POE95" s="240" t="n"/>
      <c r="POF95" s="240" t="n"/>
      <c r="POH95" s="15" t="n"/>
      <c r="POI95" s="15" t="n"/>
      <c r="POJ95" s="248" t="n"/>
      <c r="POK95" s="248" t="n"/>
      <c r="POL95" s="240" t="n"/>
      <c r="POM95" s="240" t="n"/>
      <c r="POO95" s="15" t="n"/>
      <c r="POP95" s="15" t="n"/>
      <c r="POQ95" s="248" t="n"/>
      <c r="POR95" s="248" t="n"/>
      <c r="POS95" s="240" t="n"/>
      <c r="POT95" s="240" t="n"/>
      <c r="POV95" s="15" t="n"/>
      <c r="POW95" s="15" t="n"/>
      <c r="POX95" s="248" t="n"/>
      <c r="POY95" s="248" t="n"/>
      <c r="POZ95" s="240" t="n"/>
      <c r="PPA95" s="240" t="n"/>
      <c r="PPC95" s="15" t="n"/>
      <c r="PPD95" s="15" t="n"/>
      <c r="PPE95" s="248" t="n"/>
      <c r="PPF95" s="248" t="n"/>
      <c r="PPG95" s="240" t="n"/>
      <c r="PPH95" s="240" t="n"/>
      <c r="PPJ95" s="15" t="n"/>
      <c r="PPK95" s="15" t="n"/>
      <c r="PPL95" s="248" t="n"/>
      <c r="PPM95" s="248" t="n"/>
      <c r="PPN95" s="240" t="n"/>
      <c r="PPO95" s="240" t="n"/>
      <c r="PPQ95" s="15" t="n"/>
      <c r="PPR95" s="15" t="n"/>
      <c r="PPS95" s="248" t="n"/>
      <c r="PPT95" s="248" t="n"/>
      <c r="PPU95" s="240" t="n"/>
      <c r="PPV95" s="240" t="n"/>
      <c r="PPX95" s="15" t="n"/>
      <c r="PPY95" s="15" t="n"/>
      <c r="PPZ95" s="248" t="n"/>
      <c r="PQA95" s="248" t="n"/>
      <c r="PQB95" s="240" t="n"/>
      <c r="PQC95" s="240" t="n"/>
      <c r="PQE95" s="15" t="n"/>
      <c r="PQF95" s="15" t="n"/>
      <c r="PQG95" s="248" t="n"/>
      <c r="PQH95" s="248" t="n"/>
      <c r="PQI95" s="240" t="n"/>
      <c r="PQJ95" s="240" t="n"/>
      <c r="PQL95" s="15" t="n"/>
      <c r="PQM95" s="15" t="n"/>
      <c r="PQN95" s="248" t="n"/>
      <c r="PQO95" s="248" t="n"/>
      <c r="PQP95" s="240" t="n"/>
      <c r="PQQ95" s="240" t="n"/>
      <c r="PQS95" s="15" t="n"/>
      <c r="PQT95" s="15" t="n"/>
      <c r="PQU95" s="248" t="n"/>
      <c r="PQV95" s="248" t="n"/>
      <c r="PQW95" s="240" t="n"/>
      <c r="PQX95" s="240" t="n"/>
      <c r="PQZ95" s="15" t="n"/>
      <c r="PRA95" s="15" t="n"/>
      <c r="PRB95" s="248" t="n"/>
      <c r="PRC95" s="248" t="n"/>
      <c r="PRD95" s="240" t="n"/>
      <c r="PRE95" s="240" t="n"/>
      <c r="PRG95" s="15" t="n"/>
      <c r="PRH95" s="15" t="n"/>
      <c r="PRI95" s="248" t="n"/>
      <c r="PRJ95" s="248" t="n"/>
      <c r="PRK95" s="240" t="n"/>
      <c r="PRL95" s="240" t="n"/>
      <c r="PRN95" s="15" t="n"/>
      <c r="PRO95" s="15" t="n"/>
      <c r="PRP95" s="248" t="n"/>
      <c r="PRQ95" s="248" t="n"/>
      <c r="PRR95" s="240" t="n"/>
      <c r="PRS95" s="240" t="n"/>
      <c r="PRU95" s="15" t="n"/>
      <c r="PRV95" s="15" t="n"/>
      <c r="PRW95" s="248" t="n"/>
      <c r="PRX95" s="248" t="n"/>
      <c r="PRY95" s="240" t="n"/>
      <c r="PRZ95" s="240" t="n"/>
      <c r="PSB95" s="15" t="n"/>
      <c r="PSC95" s="15" t="n"/>
      <c r="PSD95" s="248" t="n"/>
      <c r="PSE95" s="248" t="n"/>
      <c r="PSF95" s="240" t="n"/>
      <c r="PSG95" s="240" t="n"/>
      <c r="PSI95" s="15" t="n"/>
      <c r="PSJ95" s="15" t="n"/>
      <c r="PSK95" s="248" t="n"/>
      <c r="PSL95" s="248" t="n"/>
      <c r="PSM95" s="240" t="n"/>
      <c r="PSN95" s="240" t="n"/>
      <c r="PSP95" s="15" t="n"/>
      <c r="PSQ95" s="15" t="n"/>
      <c r="PSR95" s="248" t="n"/>
      <c r="PSS95" s="248" t="n"/>
      <c r="PST95" s="240" t="n"/>
      <c r="PSU95" s="240" t="n"/>
      <c r="PSW95" s="15" t="n"/>
      <c r="PSX95" s="15" t="n"/>
      <c r="PSY95" s="248" t="n"/>
      <c r="PSZ95" s="248" t="n"/>
      <c r="PTA95" s="240" t="n"/>
      <c r="PTB95" s="240" t="n"/>
      <c r="PTD95" s="15" t="n"/>
      <c r="PTE95" s="15" t="n"/>
      <c r="PTF95" s="248" t="n"/>
      <c r="PTG95" s="248" t="n"/>
      <c r="PTH95" s="240" t="n"/>
      <c r="PTI95" s="240" t="n"/>
      <c r="PTK95" s="15" t="n"/>
      <c r="PTL95" s="15" t="n"/>
      <c r="PTM95" s="248" t="n"/>
      <c r="PTN95" s="248" t="n"/>
      <c r="PTO95" s="240" t="n"/>
      <c r="PTP95" s="240" t="n"/>
      <c r="PTR95" s="15" t="n"/>
      <c r="PTS95" s="15" t="n"/>
      <c r="PTT95" s="248" t="n"/>
      <c r="PTU95" s="248" t="n"/>
      <c r="PTV95" s="240" t="n"/>
      <c r="PTW95" s="240" t="n"/>
      <c r="PTY95" s="15" t="n"/>
      <c r="PTZ95" s="15" t="n"/>
      <c r="PUA95" s="248" t="n"/>
      <c r="PUB95" s="248" t="n"/>
      <c r="PUC95" s="240" t="n"/>
      <c r="PUD95" s="240" t="n"/>
      <c r="PUF95" s="15" t="n"/>
      <c r="PUG95" s="15" t="n"/>
      <c r="PUH95" s="248" t="n"/>
      <c r="PUI95" s="248" t="n"/>
      <c r="PUJ95" s="240" t="n"/>
      <c r="PUK95" s="240" t="n"/>
      <c r="PUM95" s="15" t="n"/>
      <c r="PUN95" s="15" t="n"/>
      <c r="PUO95" s="248" t="n"/>
      <c r="PUP95" s="248" t="n"/>
      <c r="PUQ95" s="240" t="n"/>
      <c r="PUR95" s="240" t="n"/>
      <c r="PUT95" s="15" t="n"/>
      <c r="PUU95" s="15" t="n"/>
      <c r="PUV95" s="248" t="n"/>
      <c r="PUW95" s="248" t="n"/>
      <c r="PUX95" s="240" t="n"/>
      <c r="PUY95" s="240" t="n"/>
      <c r="PVA95" s="15" t="n"/>
      <c r="PVB95" s="15" t="n"/>
      <c r="PVC95" s="248" t="n"/>
      <c r="PVD95" s="248" t="n"/>
      <c r="PVE95" s="240" t="n"/>
      <c r="PVF95" s="240" t="n"/>
      <c r="PVH95" s="15" t="n"/>
      <c r="PVI95" s="15" t="n"/>
      <c r="PVJ95" s="248" t="n"/>
      <c r="PVK95" s="248" t="n"/>
      <c r="PVL95" s="240" t="n"/>
      <c r="PVM95" s="240" t="n"/>
      <c r="PVO95" s="15" t="n"/>
      <c r="PVP95" s="15" t="n"/>
      <c r="PVQ95" s="248" t="n"/>
      <c r="PVR95" s="248" t="n"/>
      <c r="PVS95" s="240" t="n"/>
      <c r="PVT95" s="240" t="n"/>
      <c r="PVV95" s="15" t="n"/>
      <c r="PVW95" s="15" t="n"/>
      <c r="PVX95" s="248" t="n"/>
      <c r="PVY95" s="248" t="n"/>
      <c r="PVZ95" s="240" t="n"/>
      <c r="PWA95" s="240" t="n"/>
      <c r="PWC95" s="15" t="n"/>
      <c r="PWD95" s="15" t="n"/>
      <c r="PWE95" s="248" t="n"/>
      <c r="PWF95" s="248" t="n"/>
      <c r="PWG95" s="240" t="n"/>
      <c r="PWH95" s="240" t="n"/>
      <c r="PWJ95" s="15" t="n"/>
      <c r="PWK95" s="15" t="n"/>
      <c r="PWL95" s="248" t="n"/>
      <c r="PWM95" s="248" t="n"/>
      <c r="PWN95" s="240" t="n"/>
      <c r="PWO95" s="240" t="n"/>
      <c r="PWQ95" s="15" t="n"/>
      <c r="PWR95" s="15" t="n"/>
      <c r="PWS95" s="248" t="n"/>
      <c r="PWT95" s="248" t="n"/>
      <c r="PWU95" s="240" t="n"/>
      <c r="PWV95" s="240" t="n"/>
      <c r="PWX95" s="15" t="n"/>
      <c r="PWY95" s="15" t="n"/>
      <c r="PWZ95" s="248" t="n"/>
      <c r="PXA95" s="248" t="n"/>
      <c r="PXB95" s="240" t="n"/>
      <c r="PXC95" s="240" t="n"/>
      <c r="PXE95" s="15" t="n"/>
      <c r="PXF95" s="15" t="n"/>
      <c r="PXG95" s="248" t="n"/>
      <c r="PXH95" s="248" t="n"/>
      <c r="PXI95" s="240" t="n"/>
      <c r="PXJ95" s="240" t="n"/>
      <c r="PXL95" s="15" t="n"/>
      <c r="PXM95" s="15" t="n"/>
      <c r="PXN95" s="248" t="n"/>
      <c r="PXO95" s="248" t="n"/>
      <c r="PXP95" s="240" t="n"/>
      <c r="PXQ95" s="240" t="n"/>
      <c r="PXS95" s="15" t="n"/>
      <c r="PXT95" s="15" t="n"/>
      <c r="PXU95" s="248" t="n"/>
      <c r="PXV95" s="248" t="n"/>
      <c r="PXW95" s="240" t="n"/>
      <c r="PXX95" s="240" t="n"/>
      <c r="PXZ95" s="15" t="n"/>
      <c r="PYA95" s="15" t="n"/>
      <c r="PYB95" s="248" t="n"/>
      <c r="PYC95" s="248" t="n"/>
      <c r="PYD95" s="240" t="n"/>
      <c r="PYE95" s="240" t="n"/>
      <c r="PYG95" s="15" t="n"/>
      <c r="PYH95" s="15" t="n"/>
      <c r="PYI95" s="248" t="n"/>
      <c r="PYJ95" s="248" t="n"/>
      <c r="PYK95" s="240" t="n"/>
      <c r="PYL95" s="240" t="n"/>
      <c r="PYN95" s="15" t="n"/>
      <c r="PYO95" s="15" t="n"/>
      <c r="PYP95" s="248" t="n"/>
      <c r="PYQ95" s="248" t="n"/>
      <c r="PYR95" s="240" t="n"/>
      <c r="PYS95" s="240" t="n"/>
      <c r="PYU95" s="15" t="n"/>
      <c r="PYV95" s="15" t="n"/>
      <c r="PYW95" s="248" t="n"/>
      <c r="PYX95" s="248" t="n"/>
      <c r="PYY95" s="240" t="n"/>
      <c r="PYZ95" s="240" t="n"/>
      <c r="PZB95" s="15" t="n"/>
      <c r="PZC95" s="15" t="n"/>
      <c r="PZD95" s="248" t="n"/>
      <c r="PZE95" s="248" t="n"/>
      <c r="PZF95" s="240" t="n"/>
      <c r="PZG95" s="240" t="n"/>
      <c r="PZI95" s="15" t="n"/>
      <c r="PZJ95" s="15" t="n"/>
      <c r="PZK95" s="248" t="n"/>
      <c r="PZL95" s="248" t="n"/>
      <c r="PZM95" s="240" t="n"/>
      <c r="PZN95" s="240" t="n"/>
      <c r="PZP95" s="15" t="n"/>
      <c r="PZQ95" s="15" t="n"/>
      <c r="PZR95" s="248" t="n"/>
      <c r="PZS95" s="248" t="n"/>
      <c r="PZT95" s="240" t="n"/>
      <c r="PZU95" s="240" t="n"/>
      <c r="PZW95" s="15" t="n"/>
      <c r="PZX95" s="15" t="n"/>
      <c r="PZY95" s="248" t="n"/>
      <c r="PZZ95" s="248" t="n"/>
      <c r="QAA95" s="240" t="n"/>
      <c r="QAB95" s="240" t="n"/>
      <c r="QAD95" s="15" t="n"/>
      <c r="QAE95" s="15" t="n"/>
      <c r="QAF95" s="248" t="n"/>
      <c r="QAG95" s="248" t="n"/>
      <c r="QAH95" s="240" t="n"/>
      <c r="QAI95" s="240" t="n"/>
      <c r="QAK95" s="15" t="n"/>
      <c r="QAL95" s="15" t="n"/>
      <c r="QAM95" s="248" t="n"/>
      <c r="QAN95" s="248" t="n"/>
      <c r="QAO95" s="240" t="n"/>
      <c r="QAP95" s="240" t="n"/>
      <c r="QAR95" s="15" t="n"/>
      <c r="QAS95" s="15" t="n"/>
      <c r="QAT95" s="248" t="n"/>
      <c r="QAU95" s="248" t="n"/>
      <c r="QAV95" s="240" t="n"/>
      <c r="QAW95" s="240" t="n"/>
      <c r="QAY95" s="15" t="n"/>
      <c r="QAZ95" s="15" t="n"/>
      <c r="QBA95" s="248" t="n"/>
      <c r="QBB95" s="248" t="n"/>
      <c r="QBC95" s="240" t="n"/>
      <c r="QBD95" s="240" t="n"/>
      <c r="QBF95" s="15" t="n"/>
      <c r="QBG95" s="15" t="n"/>
      <c r="QBH95" s="248" t="n"/>
      <c r="QBI95" s="248" t="n"/>
      <c r="QBJ95" s="240" t="n"/>
      <c r="QBK95" s="240" t="n"/>
      <c r="QBM95" s="15" t="n"/>
      <c r="QBN95" s="15" t="n"/>
      <c r="QBO95" s="248" t="n"/>
      <c r="QBP95" s="248" t="n"/>
      <c r="QBQ95" s="240" t="n"/>
      <c r="QBR95" s="240" t="n"/>
      <c r="QBT95" s="15" t="n"/>
      <c r="QBU95" s="15" t="n"/>
      <c r="QBV95" s="248" t="n"/>
      <c r="QBW95" s="248" t="n"/>
      <c r="QBX95" s="240" t="n"/>
      <c r="QBY95" s="240" t="n"/>
      <c r="QCA95" s="15" t="n"/>
      <c r="QCB95" s="15" t="n"/>
      <c r="QCC95" s="248" t="n"/>
      <c r="QCD95" s="248" t="n"/>
      <c r="QCE95" s="240" t="n"/>
      <c r="QCF95" s="240" t="n"/>
      <c r="QCH95" s="15" t="n"/>
      <c r="QCI95" s="15" t="n"/>
      <c r="QCJ95" s="248" t="n"/>
      <c r="QCK95" s="248" t="n"/>
      <c r="QCL95" s="240" t="n"/>
      <c r="QCM95" s="240" t="n"/>
      <c r="QCO95" s="15" t="n"/>
      <c r="QCP95" s="15" t="n"/>
      <c r="QCQ95" s="248" t="n"/>
      <c r="QCR95" s="248" t="n"/>
      <c r="QCS95" s="240" t="n"/>
      <c r="QCT95" s="240" t="n"/>
      <c r="QCV95" s="15" t="n"/>
      <c r="QCW95" s="15" t="n"/>
      <c r="QCX95" s="248" t="n"/>
      <c r="QCY95" s="248" t="n"/>
      <c r="QCZ95" s="240" t="n"/>
      <c r="QDA95" s="240" t="n"/>
      <c r="QDC95" s="15" t="n"/>
      <c r="QDD95" s="15" t="n"/>
      <c r="QDE95" s="248" t="n"/>
      <c r="QDF95" s="248" t="n"/>
      <c r="QDG95" s="240" t="n"/>
      <c r="QDH95" s="240" t="n"/>
      <c r="QDJ95" s="15" t="n"/>
      <c r="QDK95" s="15" t="n"/>
      <c r="QDL95" s="248" t="n"/>
      <c r="QDM95" s="248" t="n"/>
      <c r="QDN95" s="240" t="n"/>
      <c r="QDO95" s="240" t="n"/>
      <c r="QDQ95" s="15" t="n"/>
      <c r="QDR95" s="15" t="n"/>
      <c r="QDS95" s="248" t="n"/>
      <c r="QDT95" s="248" t="n"/>
      <c r="QDU95" s="240" t="n"/>
      <c r="QDV95" s="240" t="n"/>
      <c r="QDX95" s="15" t="n"/>
      <c r="QDY95" s="15" t="n"/>
      <c r="QDZ95" s="248" t="n"/>
      <c r="QEA95" s="248" t="n"/>
      <c r="QEB95" s="240" t="n"/>
      <c r="QEC95" s="240" t="n"/>
      <c r="QEE95" s="15" t="n"/>
      <c r="QEF95" s="15" t="n"/>
      <c r="QEG95" s="248" t="n"/>
      <c r="QEH95" s="248" t="n"/>
      <c r="QEI95" s="240" t="n"/>
      <c r="QEJ95" s="240" t="n"/>
      <c r="QEL95" s="15" t="n"/>
      <c r="QEM95" s="15" t="n"/>
      <c r="QEN95" s="248" t="n"/>
      <c r="QEO95" s="248" t="n"/>
      <c r="QEP95" s="240" t="n"/>
      <c r="QEQ95" s="240" t="n"/>
      <c r="QES95" s="15" t="n"/>
      <c r="QET95" s="15" t="n"/>
      <c r="QEU95" s="248" t="n"/>
      <c r="QEV95" s="248" t="n"/>
      <c r="QEW95" s="240" t="n"/>
      <c r="QEX95" s="240" t="n"/>
      <c r="QEZ95" s="15" t="n"/>
      <c r="QFA95" s="15" t="n"/>
      <c r="QFB95" s="248" t="n"/>
      <c r="QFC95" s="248" t="n"/>
      <c r="QFD95" s="240" t="n"/>
      <c r="QFE95" s="240" t="n"/>
      <c r="QFG95" s="15" t="n"/>
      <c r="QFH95" s="15" t="n"/>
      <c r="QFI95" s="248" t="n"/>
      <c r="QFJ95" s="248" t="n"/>
      <c r="QFK95" s="240" t="n"/>
      <c r="QFL95" s="240" t="n"/>
      <c r="QFN95" s="15" t="n"/>
      <c r="QFO95" s="15" t="n"/>
      <c r="QFP95" s="248" t="n"/>
      <c r="QFQ95" s="248" t="n"/>
      <c r="QFR95" s="240" t="n"/>
      <c r="QFS95" s="240" t="n"/>
      <c r="QFU95" s="15" t="n"/>
      <c r="QFV95" s="15" t="n"/>
      <c r="QFW95" s="248" t="n"/>
      <c r="QFX95" s="248" t="n"/>
      <c r="QFY95" s="240" t="n"/>
      <c r="QFZ95" s="240" t="n"/>
      <c r="QGB95" s="15" t="n"/>
      <c r="QGC95" s="15" t="n"/>
      <c r="QGD95" s="248" t="n"/>
      <c r="QGE95" s="248" t="n"/>
      <c r="QGF95" s="240" t="n"/>
      <c r="QGG95" s="240" t="n"/>
      <c r="QGI95" s="15" t="n"/>
      <c r="QGJ95" s="15" t="n"/>
      <c r="QGK95" s="248" t="n"/>
      <c r="QGL95" s="248" t="n"/>
      <c r="QGM95" s="240" t="n"/>
      <c r="QGN95" s="240" t="n"/>
      <c r="QGP95" s="15" t="n"/>
      <c r="QGQ95" s="15" t="n"/>
      <c r="QGR95" s="248" t="n"/>
      <c r="QGS95" s="248" t="n"/>
      <c r="QGT95" s="240" t="n"/>
      <c r="QGU95" s="240" t="n"/>
      <c r="QGW95" s="15" t="n"/>
      <c r="QGX95" s="15" t="n"/>
      <c r="QGY95" s="248" t="n"/>
      <c r="QGZ95" s="248" t="n"/>
      <c r="QHA95" s="240" t="n"/>
      <c r="QHB95" s="240" t="n"/>
      <c r="QHD95" s="15" t="n"/>
      <c r="QHE95" s="15" t="n"/>
      <c r="QHF95" s="248" t="n"/>
      <c r="QHG95" s="248" t="n"/>
      <c r="QHH95" s="240" t="n"/>
      <c r="QHI95" s="240" t="n"/>
      <c r="QHK95" s="15" t="n"/>
      <c r="QHL95" s="15" t="n"/>
      <c r="QHM95" s="248" t="n"/>
      <c r="QHN95" s="248" t="n"/>
      <c r="QHO95" s="240" t="n"/>
      <c r="QHP95" s="240" t="n"/>
      <c r="QHR95" s="15" t="n"/>
      <c r="QHS95" s="15" t="n"/>
      <c r="QHT95" s="248" t="n"/>
      <c r="QHU95" s="248" t="n"/>
      <c r="QHV95" s="240" t="n"/>
      <c r="QHW95" s="240" t="n"/>
      <c r="QHY95" s="15" t="n"/>
      <c r="QHZ95" s="15" t="n"/>
      <c r="QIA95" s="248" t="n"/>
      <c r="QIB95" s="248" t="n"/>
      <c r="QIC95" s="240" t="n"/>
      <c r="QID95" s="240" t="n"/>
      <c r="QIF95" s="15" t="n"/>
      <c r="QIG95" s="15" t="n"/>
      <c r="QIH95" s="248" t="n"/>
      <c r="QII95" s="248" t="n"/>
      <c r="QIJ95" s="240" t="n"/>
      <c r="QIK95" s="240" t="n"/>
      <c r="QIM95" s="15" t="n"/>
      <c r="QIN95" s="15" t="n"/>
      <c r="QIO95" s="248" t="n"/>
      <c r="QIP95" s="248" t="n"/>
      <c r="QIQ95" s="240" t="n"/>
      <c r="QIR95" s="240" t="n"/>
      <c r="QIT95" s="15" t="n"/>
      <c r="QIU95" s="15" t="n"/>
      <c r="QIV95" s="248" t="n"/>
      <c r="QIW95" s="248" t="n"/>
      <c r="QIX95" s="240" t="n"/>
      <c r="QIY95" s="240" t="n"/>
      <c r="QJA95" s="15" t="n"/>
      <c r="QJB95" s="15" t="n"/>
      <c r="QJC95" s="248" t="n"/>
      <c r="QJD95" s="248" t="n"/>
      <c r="QJE95" s="240" t="n"/>
      <c r="QJF95" s="240" t="n"/>
      <c r="QJH95" s="15" t="n"/>
      <c r="QJI95" s="15" t="n"/>
      <c r="QJJ95" s="248" t="n"/>
      <c r="QJK95" s="248" t="n"/>
      <c r="QJL95" s="240" t="n"/>
      <c r="QJM95" s="240" t="n"/>
      <c r="QJO95" s="15" t="n"/>
      <c r="QJP95" s="15" t="n"/>
      <c r="QJQ95" s="248" t="n"/>
      <c r="QJR95" s="248" t="n"/>
      <c r="QJS95" s="240" t="n"/>
      <c r="QJT95" s="240" t="n"/>
      <c r="QJV95" s="15" t="n"/>
      <c r="QJW95" s="15" t="n"/>
      <c r="QJX95" s="248" t="n"/>
      <c r="QJY95" s="248" t="n"/>
      <c r="QJZ95" s="240" t="n"/>
      <c r="QKA95" s="240" t="n"/>
      <c r="QKC95" s="15" t="n"/>
      <c r="QKD95" s="15" t="n"/>
      <c r="QKE95" s="248" t="n"/>
      <c r="QKF95" s="248" t="n"/>
      <c r="QKG95" s="240" t="n"/>
      <c r="QKH95" s="240" t="n"/>
      <c r="QKJ95" s="15" t="n"/>
      <c r="QKK95" s="15" t="n"/>
      <c r="QKL95" s="248" t="n"/>
      <c r="QKM95" s="248" t="n"/>
      <c r="QKN95" s="240" t="n"/>
      <c r="QKO95" s="240" t="n"/>
      <c r="QKQ95" s="15" t="n"/>
      <c r="QKR95" s="15" t="n"/>
      <c r="QKS95" s="248" t="n"/>
      <c r="QKT95" s="248" t="n"/>
      <c r="QKU95" s="240" t="n"/>
      <c r="QKV95" s="240" t="n"/>
      <c r="QKX95" s="15" t="n"/>
      <c r="QKY95" s="15" t="n"/>
      <c r="QKZ95" s="248" t="n"/>
      <c r="QLA95" s="248" t="n"/>
      <c r="QLB95" s="240" t="n"/>
      <c r="QLC95" s="240" t="n"/>
      <c r="QLE95" s="15" t="n"/>
      <c r="QLF95" s="15" t="n"/>
      <c r="QLG95" s="248" t="n"/>
      <c r="QLH95" s="248" t="n"/>
      <c r="QLI95" s="240" t="n"/>
      <c r="QLJ95" s="240" t="n"/>
      <c r="QLL95" s="15" t="n"/>
      <c r="QLM95" s="15" t="n"/>
      <c r="QLN95" s="248" t="n"/>
      <c r="QLO95" s="248" t="n"/>
      <c r="QLP95" s="240" t="n"/>
      <c r="QLQ95" s="240" t="n"/>
      <c r="QLS95" s="15" t="n"/>
      <c r="QLT95" s="15" t="n"/>
      <c r="QLU95" s="248" t="n"/>
      <c r="QLV95" s="248" t="n"/>
      <c r="QLW95" s="240" t="n"/>
      <c r="QLX95" s="240" t="n"/>
      <c r="QLZ95" s="15" t="n"/>
      <c r="QMA95" s="15" t="n"/>
      <c r="QMB95" s="248" t="n"/>
      <c r="QMC95" s="248" t="n"/>
      <c r="QMD95" s="240" t="n"/>
      <c r="QME95" s="240" t="n"/>
      <c r="QMG95" s="15" t="n"/>
      <c r="QMH95" s="15" t="n"/>
      <c r="QMI95" s="248" t="n"/>
      <c r="QMJ95" s="248" t="n"/>
      <c r="QMK95" s="240" t="n"/>
      <c r="QML95" s="240" t="n"/>
      <c r="QMN95" s="15" t="n"/>
      <c r="QMO95" s="15" t="n"/>
      <c r="QMP95" s="248" t="n"/>
      <c r="QMQ95" s="248" t="n"/>
      <c r="QMR95" s="240" t="n"/>
      <c r="QMS95" s="240" t="n"/>
      <c r="QMU95" s="15" t="n"/>
      <c r="QMV95" s="15" t="n"/>
      <c r="QMW95" s="248" t="n"/>
      <c r="QMX95" s="248" t="n"/>
      <c r="QMY95" s="240" t="n"/>
      <c r="QMZ95" s="240" t="n"/>
      <c r="QNB95" s="15" t="n"/>
      <c r="QNC95" s="15" t="n"/>
      <c r="QND95" s="248" t="n"/>
      <c r="QNE95" s="248" t="n"/>
      <c r="QNF95" s="240" t="n"/>
      <c r="QNG95" s="240" t="n"/>
      <c r="QNI95" s="15" t="n"/>
      <c r="QNJ95" s="15" t="n"/>
      <c r="QNK95" s="248" t="n"/>
      <c r="QNL95" s="248" t="n"/>
      <c r="QNM95" s="240" t="n"/>
      <c r="QNN95" s="240" t="n"/>
      <c r="QNP95" s="15" t="n"/>
      <c r="QNQ95" s="15" t="n"/>
      <c r="QNR95" s="248" t="n"/>
      <c r="QNS95" s="248" t="n"/>
      <c r="QNT95" s="240" t="n"/>
      <c r="QNU95" s="240" t="n"/>
      <c r="QNW95" s="15" t="n"/>
      <c r="QNX95" s="15" t="n"/>
      <c r="QNY95" s="248" t="n"/>
      <c r="QNZ95" s="248" t="n"/>
      <c r="QOA95" s="240" t="n"/>
      <c r="QOB95" s="240" t="n"/>
      <c r="QOD95" s="15" t="n"/>
      <c r="QOE95" s="15" t="n"/>
      <c r="QOF95" s="248" t="n"/>
      <c r="QOG95" s="248" t="n"/>
      <c r="QOH95" s="240" t="n"/>
      <c r="QOI95" s="240" t="n"/>
      <c r="QOK95" s="15" t="n"/>
      <c r="QOL95" s="15" t="n"/>
      <c r="QOM95" s="248" t="n"/>
      <c r="QON95" s="248" t="n"/>
      <c r="QOO95" s="240" t="n"/>
      <c r="QOP95" s="240" t="n"/>
      <c r="QOR95" s="15" t="n"/>
      <c r="QOS95" s="15" t="n"/>
      <c r="QOT95" s="248" t="n"/>
      <c r="QOU95" s="248" t="n"/>
      <c r="QOV95" s="240" t="n"/>
      <c r="QOW95" s="240" t="n"/>
      <c r="QOY95" s="15" t="n"/>
      <c r="QOZ95" s="15" t="n"/>
      <c r="QPA95" s="248" t="n"/>
      <c r="QPB95" s="248" t="n"/>
      <c r="QPC95" s="240" t="n"/>
      <c r="QPD95" s="240" t="n"/>
      <c r="QPF95" s="15" t="n"/>
      <c r="QPG95" s="15" t="n"/>
      <c r="QPH95" s="248" t="n"/>
      <c r="QPI95" s="248" t="n"/>
      <c r="QPJ95" s="240" t="n"/>
      <c r="QPK95" s="240" t="n"/>
      <c r="QPM95" s="15" t="n"/>
      <c r="QPN95" s="15" t="n"/>
      <c r="QPO95" s="248" t="n"/>
      <c r="QPP95" s="248" t="n"/>
      <c r="QPQ95" s="240" t="n"/>
      <c r="QPR95" s="240" t="n"/>
      <c r="QPT95" s="15" t="n"/>
      <c r="QPU95" s="15" t="n"/>
      <c r="QPV95" s="248" t="n"/>
      <c r="QPW95" s="248" t="n"/>
      <c r="QPX95" s="240" t="n"/>
      <c r="QPY95" s="240" t="n"/>
      <c r="QQA95" s="15" t="n"/>
      <c r="QQB95" s="15" t="n"/>
      <c r="QQC95" s="248" t="n"/>
      <c r="QQD95" s="248" t="n"/>
      <c r="QQE95" s="240" t="n"/>
      <c r="QQF95" s="240" t="n"/>
      <c r="QQH95" s="15" t="n"/>
      <c r="QQI95" s="15" t="n"/>
      <c r="QQJ95" s="248" t="n"/>
      <c r="QQK95" s="248" t="n"/>
      <c r="QQL95" s="240" t="n"/>
      <c r="QQM95" s="240" t="n"/>
      <c r="QQO95" s="15" t="n"/>
      <c r="QQP95" s="15" t="n"/>
      <c r="QQQ95" s="248" t="n"/>
      <c r="QQR95" s="248" t="n"/>
      <c r="QQS95" s="240" t="n"/>
      <c r="QQT95" s="240" t="n"/>
      <c r="QQV95" s="15" t="n"/>
      <c r="QQW95" s="15" t="n"/>
      <c r="QQX95" s="248" t="n"/>
      <c r="QQY95" s="248" t="n"/>
      <c r="QQZ95" s="240" t="n"/>
      <c r="QRA95" s="240" t="n"/>
      <c r="QRC95" s="15" t="n"/>
      <c r="QRD95" s="15" t="n"/>
      <c r="QRE95" s="248" t="n"/>
      <c r="QRF95" s="248" t="n"/>
      <c r="QRG95" s="240" t="n"/>
      <c r="QRH95" s="240" t="n"/>
      <c r="QRJ95" s="15" t="n"/>
      <c r="QRK95" s="15" t="n"/>
      <c r="QRL95" s="248" t="n"/>
      <c r="QRM95" s="248" t="n"/>
      <c r="QRN95" s="240" t="n"/>
      <c r="QRO95" s="240" t="n"/>
      <c r="QRQ95" s="15" t="n"/>
      <c r="QRR95" s="15" t="n"/>
      <c r="QRS95" s="248" t="n"/>
      <c r="QRT95" s="248" t="n"/>
      <c r="QRU95" s="240" t="n"/>
      <c r="QRV95" s="240" t="n"/>
      <c r="QRX95" s="15" t="n"/>
      <c r="QRY95" s="15" t="n"/>
      <c r="QRZ95" s="248" t="n"/>
      <c r="QSA95" s="248" t="n"/>
      <c r="QSB95" s="240" t="n"/>
      <c r="QSC95" s="240" t="n"/>
      <c r="QSE95" s="15" t="n"/>
      <c r="QSF95" s="15" t="n"/>
      <c r="QSG95" s="248" t="n"/>
      <c r="QSH95" s="248" t="n"/>
      <c r="QSI95" s="240" t="n"/>
      <c r="QSJ95" s="240" t="n"/>
      <c r="QSL95" s="15" t="n"/>
      <c r="QSM95" s="15" t="n"/>
      <c r="QSN95" s="248" t="n"/>
      <c r="QSO95" s="248" t="n"/>
      <c r="QSP95" s="240" t="n"/>
      <c r="QSQ95" s="240" t="n"/>
      <c r="QSS95" s="15" t="n"/>
      <c r="QST95" s="15" t="n"/>
      <c r="QSU95" s="248" t="n"/>
      <c r="QSV95" s="248" t="n"/>
      <c r="QSW95" s="240" t="n"/>
      <c r="QSX95" s="240" t="n"/>
      <c r="QSZ95" s="15" t="n"/>
      <c r="QTA95" s="15" t="n"/>
      <c r="QTB95" s="248" t="n"/>
      <c r="QTC95" s="248" t="n"/>
      <c r="QTD95" s="240" t="n"/>
      <c r="QTE95" s="240" t="n"/>
      <c r="QTG95" s="15" t="n"/>
      <c r="QTH95" s="15" t="n"/>
      <c r="QTI95" s="248" t="n"/>
      <c r="QTJ95" s="248" t="n"/>
      <c r="QTK95" s="240" t="n"/>
      <c r="QTL95" s="240" t="n"/>
      <c r="QTN95" s="15" t="n"/>
      <c r="QTO95" s="15" t="n"/>
      <c r="QTP95" s="248" t="n"/>
      <c r="QTQ95" s="248" t="n"/>
      <c r="QTR95" s="240" t="n"/>
      <c r="QTS95" s="240" t="n"/>
      <c r="QTU95" s="15" t="n"/>
      <c r="QTV95" s="15" t="n"/>
      <c r="QTW95" s="248" t="n"/>
      <c r="QTX95" s="248" t="n"/>
      <c r="QTY95" s="240" t="n"/>
      <c r="QTZ95" s="240" t="n"/>
      <c r="QUB95" s="15" t="n"/>
      <c r="QUC95" s="15" t="n"/>
      <c r="QUD95" s="248" t="n"/>
      <c r="QUE95" s="248" t="n"/>
      <c r="QUF95" s="240" t="n"/>
      <c r="QUG95" s="240" t="n"/>
      <c r="QUI95" s="15" t="n"/>
      <c r="QUJ95" s="15" t="n"/>
      <c r="QUK95" s="248" t="n"/>
      <c r="QUL95" s="248" t="n"/>
      <c r="QUM95" s="240" t="n"/>
      <c r="QUN95" s="240" t="n"/>
      <c r="QUP95" s="15" t="n"/>
      <c r="QUQ95" s="15" t="n"/>
      <c r="QUR95" s="248" t="n"/>
      <c r="QUS95" s="248" t="n"/>
      <c r="QUT95" s="240" t="n"/>
      <c r="QUU95" s="240" t="n"/>
      <c r="QUW95" s="15" t="n"/>
      <c r="QUX95" s="15" t="n"/>
      <c r="QUY95" s="248" t="n"/>
      <c r="QUZ95" s="248" t="n"/>
      <c r="QVA95" s="240" t="n"/>
      <c r="QVB95" s="240" t="n"/>
      <c r="QVD95" s="15" t="n"/>
      <c r="QVE95" s="15" t="n"/>
      <c r="QVF95" s="248" t="n"/>
      <c r="QVG95" s="248" t="n"/>
      <c r="QVH95" s="240" t="n"/>
      <c r="QVI95" s="240" t="n"/>
      <c r="QVK95" s="15" t="n"/>
      <c r="QVL95" s="15" t="n"/>
      <c r="QVM95" s="248" t="n"/>
      <c r="QVN95" s="248" t="n"/>
      <c r="QVO95" s="240" t="n"/>
      <c r="QVP95" s="240" t="n"/>
      <c r="QVR95" s="15" t="n"/>
      <c r="QVS95" s="15" t="n"/>
      <c r="QVT95" s="248" t="n"/>
      <c r="QVU95" s="248" t="n"/>
      <c r="QVV95" s="240" t="n"/>
      <c r="QVW95" s="240" t="n"/>
      <c r="QVY95" s="15" t="n"/>
      <c r="QVZ95" s="15" t="n"/>
      <c r="QWA95" s="248" t="n"/>
      <c r="QWB95" s="248" t="n"/>
      <c r="QWC95" s="240" t="n"/>
      <c r="QWD95" s="240" t="n"/>
      <c r="QWF95" s="15" t="n"/>
      <c r="QWG95" s="15" t="n"/>
      <c r="QWH95" s="248" t="n"/>
      <c r="QWI95" s="248" t="n"/>
      <c r="QWJ95" s="240" t="n"/>
      <c r="QWK95" s="240" t="n"/>
      <c r="QWM95" s="15" t="n"/>
      <c r="QWN95" s="15" t="n"/>
      <c r="QWO95" s="248" t="n"/>
      <c r="QWP95" s="248" t="n"/>
      <c r="QWQ95" s="240" t="n"/>
      <c r="QWR95" s="240" t="n"/>
      <c r="QWT95" s="15" t="n"/>
      <c r="QWU95" s="15" t="n"/>
      <c r="QWV95" s="248" t="n"/>
      <c r="QWW95" s="248" t="n"/>
      <c r="QWX95" s="240" t="n"/>
      <c r="QWY95" s="240" t="n"/>
      <c r="QXA95" s="15" t="n"/>
      <c r="QXB95" s="15" t="n"/>
      <c r="QXC95" s="248" t="n"/>
      <c r="QXD95" s="248" t="n"/>
      <c r="QXE95" s="240" t="n"/>
      <c r="QXF95" s="240" t="n"/>
      <c r="QXH95" s="15" t="n"/>
      <c r="QXI95" s="15" t="n"/>
      <c r="QXJ95" s="248" t="n"/>
      <c r="QXK95" s="248" t="n"/>
      <c r="QXL95" s="240" t="n"/>
      <c r="QXM95" s="240" t="n"/>
      <c r="QXO95" s="15" t="n"/>
      <c r="QXP95" s="15" t="n"/>
      <c r="QXQ95" s="248" t="n"/>
      <c r="QXR95" s="248" t="n"/>
      <c r="QXS95" s="240" t="n"/>
      <c r="QXT95" s="240" t="n"/>
      <c r="QXV95" s="15" t="n"/>
      <c r="QXW95" s="15" t="n"/>
      <c r="QXX95" s="248" t="n"/>
      <c r="QXY95" s="248" t="n"/>
      <c r="QXZ95" s="240" t="n"/>
      <c r="QYA95" s="240" t="n"/>
      <c r="QYC95" s="15" t="n"/>
      <c r="QYD95" s="15" t="n"/>
      <c r="QYE95" s="248" t="n"/>
      <c r="QYF95" s="248" t="n"/>
      <c r="QYG95" s="240" t="n"/>
      <c r="QYH95" s="240" t="n"/>
      <c r="QYJ95" s="15" t="n"/>
      <c r="QYK95" s="15" t="n"/>
      <c r="QYL95" s="248" t="n"/>
      <c r="QYM95" s="248" t="n"/>
      <c r="QYN95" s="240" t="n"/>
      <c r="QYO95" s="240" t="n"/>
      <c r="QYQ95" s="15" t="n"/>
      <c r="QYR95" s="15" t="n"/>
      <c r="QYS95" s="248" t="n"/>
      <c r="QYT95" s="248" t="n"/>
      <c r="QYU95" s="240" t="n"/>
      <c r="QYV95" s="240" t="n"/>
      <c r="QYX95" s="15" t="n"/>
      <c r="QYY95" s="15" t="n"/>
      <c r="QYZ95" s="248" t="n"/>
      <c r="QZA95" s="248" t="n"/>
      <c r="QZB95" s="240" t="n"/>
      <c r="QZC95" s="240" t="n"/>
      <c r="QZE95" s="15" t="n"/>
      <c r="QZF95" s="15" t="n"/>
      <c r="QZG95" s="248" t="n"/>
      <c r="QZH95" s="248" t="n"/>
      <c r="QZI95" s="240" t="n"/>
      <c r="QZJ95" s="240" t="n"/>
      <c r="QZL95" s="15" t="n"/>
      <c r="QZM95" s="15" t="n"/>
      <c r="QZN95" s="248" t="n"/>
      <c r="QZO95" s="248" t="n"/>
      <c r="QZP95" s="240" t="n"/>
      <c r="QZQ95" s="240" t="n"/>
      <c r="QZS95" s="15" t="n"/>
      <c r="QZT95" s="15" t="n"/>
      <c r="QZU95" s="248" t="n"/>
      <c r="QZV95" s="248" t="n"/>
      <c r="QZW95" s="240" t="n"/>
      <c r="QZX95" s="240" t="n"/>
      <c r="QZZ95" s="15" t="n"/>
      <c r="RAA95" s="15" t="n"/>
      <c r="RAB95" s="248" t="n"/>
      <c r="RAC95" s="248" t="n"/>
      <c r="RAD95" s="240" t="n"/>
      <c r="RAE95" s="240" t="n"/>
      <c r="RAG95" s="15" t="n"/>
      <c r="RAH95" s="15" t="n"/>
      <c r="RAI95" s="248" t="n"/>
      <c r="RAJ95" s="248" t="n"/>
      <c r="RAK95" s="240" t="n"/>
      <c r="RAL95" s="240" t="n"/>
      <c r="RAN95" s="15" t="n"/>
      <c r="RAO95" s="15" t="n"/>
      <c r="RAP95" s="248" t="n"/>
      <c r="RAQ95" s="248" t="n"/>
      <c r="RAR95" s="240" t="n"/>
      <c r="RAS95" s="240" t="n"/>
      <c r="RAU95" s="15" t="n"/>
      <c r="RAV95" s="15" t="n"/>
      <c r="RAW95" s="248" t="n"/>
      <c r="RAX95" s="248" t="n"/>
      <c r="RAY95" s="240" t="n"/>
      <c r="RAZ95" s="240" t="n"/>
      <c r="RBB95" s="15" t="n"/>
      <c r="RBC95" s="15" t="n"/>
      <c r="RBD95" s="248" t="n"/>
      <c r="RBE95" s="248" t="n"/>
      <c r="RBF95" s="240" t="n"/>
      <c r="RBG95" s="240" t="n"/>
      <c r="RBI95" s="15" t="n"/>
      <c r="RBJ95" s="15" t="n"/>
      <c r="RBK95" s="248" t="n"/>
      <c r="RBL95" s="248" t="n"/>
      <c r="RBM95" s="240" t="n"/>
      <c r="RBN95" s="240" t="n"/>
      <c r="RBP95" s="15" t="n"/>
      <c r="RBQ95" s="15" t="n"/>
      <c r="RBR95" s="248" t="n"/>
      <c r="RBS95" s="248" t="n"/>
      <c r="RBT95" s="240" t="n"/>
      <c r="RBU95" s="240" t="n"/>
      <c r="RBW95" s="15" t="n"/>
      <c r="RBX95" s="15" t="n"/>
      <c r="RBY95" s="248" t="n"/>
      <c r="RBZ95" s="248" t="n"/>
      <c r="RCA95" s="240" t="n"/>
      <c r="RCB95" s="240" t="n"/>
      <c r="RCD95" s="15" t="n"/>
      <c r="RCE95" s="15" t="n"/>
      <c r="RCF95" s="248" t="n"/>
      <c r="RCG95" s="248" t="n"/>
      <c r="RCH95" s="240" t="n"/>
      <c r="RCI95" s="240" t="n"/>
      <c r="RCK95" s="15" t="n"/>
      <c r="RCL95" s="15" t="n"/>
      <c r="RCM95" s="248" t="n"/>
      <c r="RCN95" s="248" t="n"/>
      <c r="RCO95" s="240" t="n"/>
      <c r="RCP95" s="240" t="n"/>
      <c r="RCR95" s="15" t="n"/>
      <c r="RCS95" s="15" t="n"/>
      <c r="RCT95" s="248" t="n"/>
      <c r="RCU95" s="248" t="n"/>
      <c r="RCV95" s="240" t="n"/>
      <c r="RCW95" s="240" t="n"/>
      <c r="RCY95" s="15" t="n"/>
      <c r="RCZ95" s="15" t="n"/>
      <c r="RDA95" s="248" t="n"/>
      <c r="RDB95" s="248" t="n"/>
      <c r="RDC95" s="240" t="n"/>
      <c r="RDD95" s="240" t="n"/>
      <c r="RDF95" s="15" t="n"/>
      <c r="RDG95" s="15" t="n"/>
      <c r="RDH95" s="248" t="n"/>
      <c r="RDI95" s="248" t="n"/>
      <c r="RDJ95" s="240" t="n"/>
      <c r="RDK95" s="240" t="n"/>
      <c r="RDM95" s="15" t="n"/>
      <c r="RDN95" s="15" t="n"/>
      <c r="RDO95" s="248" t="n"/>
      <c r="RDP95" s="248" t="n"/>
      <c r="RDQ95" s="240" t="n"/>
      <c r="RDR95" s="240" t="n"/>
      <c r="RDT95" s="15" t="n"/>
      <c r="RDU95" s="15" t="n"/>
      <c r="RDV95" s="248" t="n"/>
      <c r="RDW95" s="248" t="n"/>
      <c r="RDX95" s="240" t="n"/>
      <c r="RDY95" s="240" t="n"/>
      <c r="REA95" s="15" t="n"/>
      <c r="REB95" s="15" t="n"/>
      <c r="REC95" s="248" t="n"/>
      <c r="RED95" s="248" t="n"/>
      <c r="REE95" s="240" t="n"/>
      <c r="REF95" s="240" t="n"/>
      <c r="REH95" s="15" t="n"/>
      <c r="REI95" s="15" t="n"/>
      <c r="REJ95" s="248" t="n"/>
      <c r="REK95" s="248" t="n"/>
      <c r="REL95" s="240" t="n"/>
      <c r="REM95" s="240" t="n"/>
      <c r="REO95" s="15" t="n"/>
      <c r="REP95" s="15" t="n"/>
      <c r="REQ95" s="248" t="n"/>
      <c r="RER95" s="248" t="n"/>
      <c r="RES95" s="240" t="n"/>
      <c r="RET95" s="240" t="n"/>
      <c r="REV95" s="15" t="n"/>
      <c r="REW95" s="15" t="n"/>
      <c r="REX95" s="248" t="n"/>
      <c r="REY95" s="248" t="n"/>
      <c r="REZ95" s="240" t="n"/>
      <c r="RFA95" s="240" t="n"/>
      <c r="RFC95" s="15" t="n"/>
      <c r="RFD95" s="15" t="n"/>
      <c r="RFE95" s="248" t="n"/>
      <c r="RFF95" s="248" t="n"/>
      <c r="RFG95" s="240" t="n"/>
      <c r="RFH95" s="240" t="n"/>
      <c r="RFJ95" s="15" t="n"/>
      <c r="RFK95" s="15" t="n"/>
      <c r="RFL95" s="248" t="n"/>
      <c r="RFM95" s="248" t="n"/>
      <c r="RFN95" s="240" t="n"/>
      <c r="RFO95" s="240" t="n"/>
      <c r="RFQ95" s="15" t="n"/>
      <c r="RFR95" s="15" t="n"/>
      <c r="RFS95" s="248" t="n"/>
      <c r="RFT95" s="248" t="n"/>
      <c r="RFU95" s="240" t="n"/>
      <c r="RFV95" s="240" t="n"/>
      <c r="RFX95" s="15" t="n"/>
      <c r="RFY95" s="15" t="n"/>
      <c r="RFZ95" s="248" t="n"/>
      <c r="RGA95" s="248" t="n"/>
      <c r="RGB95" s="240" t="n"/>
      <c r="RGC95" s="240" t="n"/>
      <c r="RGE95" s="15" t="n"/>
      <c r="RGF95" s="15" t="n"/>
      <c r="RGG95" s="248" t="n"/>
      <c r="RGH95" s="248" t="n"/>
      <c r="RGI95" s="240" t="n"/>
      <c r="RGJ95" s="240" t="n"/>
      <c r="RGL95" s="15" t="n"/>
      <c r="RGM95" s="15" t="n"/>
      <c r="RGN95" s="248" t="n"/>
      <c r="RGO95" s="248" t="n"/>
      <c r="RGP95" s="240" t="n"/>
      <c r="RGQ95" s="240" t="n"/>
      <c r="RGS95" s="15" t="n"/>
      <c r="RGT95" s="15" t="n"/>
      <c r="RGU95" s="248" t="n"/>
      <c r="RGV95" s="248" t="n"/>
      <c r="RGW95" s="240" t="n"/>
      <c r="RGX95" s="240" t="n"/>
      <c r="RGZ95" s="15" t="n"/>
      <c r="RHA95" s="15" t="n"/>
      <c r="RHB95" s="248" t="n"/>
      <c r="RHC95" s="248" t="n"/>
      <c r="RHD95" s="240" t="n"/>
      <c r="RHE95" s="240" t="n"/>
      <c r="RHG95" s="15" t="n"/>
      <c r="RHH95" s="15" t="n"/>
      <c r="RHI95" s="248" t="n"/>
      <c r="RHJ95" s="248" t="n"/>
      <c r="RHK95" s="240" t="n"/>
      <c r="RHL95" s="240" t="n"/>
      <c r="RHN95" s="15" t="n"/>
      <c r="RHO95" s="15" t="n"/>
      <c r="RHP95" s="248" t="n"/>
      <c r="RHQ95" s="248" t="n"/>
      <c r="RHR95" s="240" t="n"/>
      <c r="RHS95" s="240" t="n"/>
      <c r="RHU95" s="15" t="n"/>
      <c r="RHV95" s="15" t="n"/>
      <c r="RHW95" s="248" t="n"/>
      <c r="RHX95" s="248" t="n"/>
      <c r="RHY95" s="240" t="n"/>
      <c r="RHZ95" s="240" t="n"/>
      <c r="RIB95" s="15" t="n"/>
      <c r="RIC95" s="15" t="n"/>
      <c r="RID95" s="248" t="n"/>
      <c r="RIE95" s="248" t="n"/>
      <c r="RIF95" s="240" t="n"/>
      <c r="RIG95" s="240" t="n"/>
      <c r="RII95" s="15" t="n"/>
      <c r="RIJ95" s="15" t="n"/>
      <c r="RIK95" s="248" t="n"/>
      <c r="RIL95" s="248" t="n"/>
      <c r="RIM95" s="240" t="n"/>
      <c r="RIN95" s="240" t="n"/>
      <c r="RIP95" s="15" t="n"/>
      <c r="RIQ95" s="15" t="n"/>
      <c r="RIR95" s="248" t="n"/>
      <c r="RIS95" s="248" t="n"/>
      <c r="RIT95" s="240" t="n"/>
      <c r="RIU95" s="240" t="n"/>
      <c r="RIW95" s="15" t="n"/>
      <c r="RIX95" s="15" t="n"/>
      <c r="RIY95" s="248" t="n"/>
      <c r="RIZ95" s="248" t="n"/>
      <c r="RJA95" s="240" t="n"/>
      <c r="RJB95" s="240" t="n"/>
      <c r="RJD95" s="15" t="n"/>
      <c r="RJE95" s="15" t="n"/>
      <c r="RJF95" s="248" t="n"/>
      <c r="RJG95" s="248" t="n"/>
      <c r="RJH95" s="240" t="n"/>
      <c r="RJI95" s="240" t="n"/>
      <c r="RJK95" s="15" t="n"/>
      <c r="RJL95" s="15" t="n"/>
      <c r="RJM95" s="248" t="n"/>
      <c r="RJN95" s="248" t="n"/>
      <c r="RJO95" s="240" t="n"/>
      <c r="RJP95" s="240" t="n"/>
      <c r="RJR95" s="15" t="n"/>
      <c r="RJS95" s="15" t="n"/>
      <c r="RJT95" s="248" t="n"/>
      <c r="RJU95" s="248" t="n"/>
      <c r="RJV95" s="240" t="n"/>
      <c r="RJW95" s="240" t="n"/>
      <c r="RJY95" s="15" t="n"/>
      <c r="RJZ95" s="15" t="n"/>
      <c r="RKA95" s="248" t="n"/>
      <c r="RKB95" s="248" t="n"/>
      <c r="RKC95" s="240" t="n"/>
      <c r="RKD95" s="240" t="n"/>
      <c r="RKF95" s="15" t="n"/>
      <c r="RKG95" s="15" t="n"/>
      <c r="RKH95" s="248" t="n"/>
      <c r="RKI95" s="248" t="n"/>
      <c r="RKJ95" s="240" t="n"/>
      <c r="RKK95" s="240" t="n"/>
      <c r="RKM95" s="15" t="n"/>
      <c r="RKN95" s="15" t="n"/>
      <c r="RKO95" s="248" t="n"/>
      <c r="RKP95" s="248" t="n"/>
      <c r="RKQ95" s="240" t="n"/>
      <c r="RKR95" s="240" t="n"/>
      <c r="RKT95" s="15" t="n"/>
      <c r="RKU95" s="15" t="n"/>
      <c r="RKV95" s="248" t="n"/>
      <c r="RKW95" s="248" t="n"/>
      <c r="RKX95" s="240" t="n"/>
      <c r="RKY95" s="240" t="n"/>
      <c r="RLA95" s="15" t="n"/>
      <c r="RLB95" s="15" t="n"/>
      <c r="RLC95" s="248" t="n"/>
      <c r="RLD95" s="248" t="n"/>
      <c r="RLE95" s="240" t="n"/>
      <c r="RLF95" s="240" t="n"/>
      <c r="RLH95" s="15" t="n"/>
      <c r="RLI95" s="15" t="n"/>
      <c r="RLJ95" s="248" t="n"/>
      <c r="RLK95" s="248" t="n"/>
      <c r="RLL95" s="240" t="n"/>
      <c r="RLM95" s="240" t="n"/>
      <c r="RLO95" s="15" t="n"/>
      <c r="RLP95" s="15" t="n"/>
      <c r="RLQ95" s="248" t="n"/>
      <c r="RLR95" s="248" t="n"/>
      <c r="RLS95" s="240" t="n"/>
      <c r="RLT95" s="240" t="n"/>
      <c r="RLV95" s="15" t="n"/>
      <c r="RLW95" s="15" t="n"/>
      <c r="RLX95" s="248" t="n"/>
      <c r="RLY95" s="248" t="n"/>
      <c r="RLZ95" s="240" t="n"/>
      <c r="RMA95" s="240" t="n"/>
      <c r="RMC95" s="15" t="n"/>
      <c r="RMD95" s="15" t="n"/>
      <c r="RME95" s="248" t="n"/>
      <c r="RMF95" s="248" t="n"/>
      <c r="RMG95" s="240" t="n"/>
      <c r="RMH95" s="240" t="n"/>
      <c r="RMJ95" s="15" t="n"/>
      <c r="RMK95" s="15" t="n"/>
      <c r="RML95" s="248" t="n"/>
      <c r="RMM95" s="248" t="n"/>
      <c r="RMN95" s="240" t="n"/>
      <c r="RMO95" s="240" t="n"/>
      <c r="RMQ95" s="15" t="n"/>
      <c r="RMR95" s="15" t="n"/>
      <c r="RMS95" s="248" t="n"/>
      <c r="RMT95" s="248" t="n"/>
      <c r="RMU95" s="240" t="n"/>
      <c r="RMV95" s="240" t="n"/>
      <c r="RMX95" s="15" t="n"/>
      <c r="RMY95" s="15" t="n"/>
      <c r="RMZ95" s="248" t="n"/>
      <c r="RNA95" s="248" t="n"/>
      <c r="RNB95" s="240" t="n"/>
      <c r="RNC95" s="240" t="n"/>
      <c r="RNE95" s="15" t="n"/>
      <c r="RNF95" s="15" t="n"/>
      <c r="RNG95" s="248" t="n"/>
      <c r="RNH95" s="248" t="n"/>
      <c r="RNI95" s="240" t="n"/>
      <c r="RNJ95" s="240" t="n"/>
      <c r="RNL95" s="15" t="n"/>
      <c r="RNM95" s="15" t="n"/>
      <c r="RNN95" s="248" t="n"/>
      <c r="RNO95" s="248" t="n"/>
      <c r="RNP95" s="240" t="n"/>
      <c r="RNQ95" s="240" t="n"/>
      <c r="RNS95" s="15" t="n"/>
      <c r="RNT95" s="15" t="n"/>
      <c r="RNU95" s="248" t="n"/>
      <c r="RNV95" s="248" t="n"/>
      <c r="RNW95" s="240" t="n"/>
      <c r="RNX95" s="240" t="n"/>
      <c r="RNZ95" s="15" t="n"/>
      <c r="ROA95" s="15" t="n"/>
      <c r="ROB95" s="248" t="n"/>
      <c r="ROC95" s="248" t="n"/>
      <c r="ROD95" s="240" t="n"/>
      <c r="ROE95" s="240" t="n"/>
      <c r="ROG95" s="15" t="n"/>
      <c r="ROH95" s="15" t="n"/>
      <c r="ROI95" s="248" t="n"/>
      <c r="ROJ95" s="248" t="n"/>
      <c r="ROK95" s="240" t="n"/>
      <c r="ROL95" s="240" t="n"/>
      <c r="RON95" s="15" t="n"/>
      <c r="ROO95" s="15" t="n"/>
      <c r="ROP95" s="248" t="n"/>
      <c r="ROQ95" s="248" t="n"/>
      <c r="ROR95" s="240" t="n"/>
      <c r="ROS95" s="240" t="n"/>
      <c r="ROU95" s="15" t="n"/>
      <c r="ROV95" s="15" t="n"/>
      <c r="ROW95" s="248" t="n"/>
      <c r="ROX95" s="248" t="n"/>
      <c r="ROY95" s="240" t="n"/>
      <c r="ROZ95" s="240" t="n"/>
      <c r="RPB95" s="15" t="n"/>
      <c r="RPC95" s="15" t="n"/>
      <c r="RPD95" s="248" t="n"/>
      <c r="RPE95" s="248" t="n"/>
      <c r="RPF95" s="240" t="n"/>
      <c r="RPG95" s="240" t="n"/>
      <c r="RPI95" s="15" t="n"/>
      <c r="RPJ95" s="15" t="n"/>
      <c r="RPK95" s="248" t="n"/>
      <c r="RPL95" s="248" t="n"/>
      <c r="RPM95" s="240" t="n"/>
      <c r="RPN95" s="240" t="n"/>
      <c r="RPP95" s="15" t="n"/>
      <c r="RPQ95" s="15" t="n"/>
      <c r="RPR95" s="248" t="n"/>
      <c r="RPS95" s="248" t="n"/>
      <c r="RPT95" s="240" t="n"/>
      <c r="RPU95" s="240" t="n"/>
      <c r="RPW95" s="15" t="n"/>
      <c r="RPX95" s="15" t="n"/>
      <c r="RPY95" s="248" t="n"/>
      <c r="RPZ95" s="248" t="n"/>
      <c r="RQA95" s="240" t="n"/>
      <c r="RQB95" s="240" t="n"/>
      <c r="RQD95" s="15" t="n"/>
      <c r="RQE95" s="15" t="n"/>
      <c r="RQF95" s="248" t="n"/>
      <c r="RQG95" s="248" t="n"/>
      <c r="RQH95" s="240" t="n"/>
      <c r="RQI95" s="240" t="n"/>
      <c r="RQK95" s="15" t="n"/>
      <c r="RQL95" s="15" t="n"/>
      <c r="RQM95" s="248" t="n"/>
      <c r="RQN95" s="248" t="n"/>
      <c r="RQO95" s="240" t="n"/>
      <c r="RQP95" s="240" t="n"/>
      <c r="RQR95" s="15" t="n"/>
      <c r="RQS95" s="15" t="n"/>
      <c r="RQT95" s="248" t="n"/>
      <c r="RQU95" s="248" t="n"/>
      <c r="RQV95" s="240" t="n"/>
      <c r="RQW95" s="240" t="n"/>
      <c r="RQY95" s="15" t="n"/>
      <c r="RQZ95" s="15" t="n"/>
      <c r="RRA95" s="248" t="n"/>
      <c r="RRB95" s="248" t="n"/>
      <c r="RRC95" s="240" t="n"/>
      <c r="RRD95" s="240" t="n"/>
      <c r="RRF95" s="15" t="n"/>
      <c r="RRG95" s="15" t="n"/>
      <c r="RRH95" s="248" t="n"/>
      <c r="RRI95" s="248" t="n"/>
      <c r="RRJ95" s="240" t="n"/>
      <c r="RRK95" s="240" t="n"/>
      <c r="RRM95" s="15" t="n"/>
      <c r="RRN95" s="15" t="n"/>
      <c r="RRO95" s="248" t="n"/>
      <c r="RRP95" s="248" t="n"/>
      <c r="RRQ95" s="240" t="n"/>
      <c r="RRR95" s="240" t="n"/>
      <c r="RRT95" s="15" t="n"/>
      <c r="RRU95" s="15" t="n"/>
      <c r="RRV95" s="248" t="n"/>
      <c r="RRW95" s="248" t="n"/>
      <c r="RRX95" s="240" t="n"/>
      <c r="RRY95" s="240" t="n"/>
      <c r="RSA95" s="15" t="n"/>
      <c r="RSB95" s="15" t="n"/>
      <c r="RSC95" s="248" t="n"/>
      <c r="RSD95" s="248" t="n"/>
      <c r="RSE95" s="240" t="n"/>
      <c r="RSF95" s="240" t="n"/>
      <c r="RSH95" s="15" t="n"/>
      <c r="RSI95" s="15" t="n"/>
      <c r="RSJ95" s="248" t="n"/>
      <c r="RSK95" s="248" t="n"/>
      <c r="RSL95" s="240" t="n"/>
      <c r="RSM95" s="240" t="n"/>
      <c r="RSO95" s="15" t="n"/>
      <c r="RSP95" s="15" t="n"/>
      <c r="RSQ95" s="248" t="n"/>
      <c r="RSR95" s="248" t="n"/>
      <c r="RSS95" s="240" t="n"/>
      <c r="RST95" s="240" t="n"/>
      <c r="RSV95" s="15" t="n"/>
      <c r="RSW95" s="15" t="n"/>
      <c r="RSX95" s="248" t="n"/>
      <c r="RSY95" s="248" t="n"/>
      <c r="RSZ95" s="240" t="n"/>
      <c r="RTA95" s="240" t="n"/>
      <c r="RTC95" s="15" t="n"/>
      <c r="RTD95" s="15" t="n"/>
      <c r="RTE95" s="248" t="n"/>
      <c r="RTF95" s="248" t="n"/>
      <c r="RTG95" s="240" t="n"/>
      <c r="RTH95" s="240" t="n"/>
      <c r="RTJ95" s="15" t="n"/>
      <c r="RTK95" s="15" t="n"/>
      <c r="RTL95" s="248" t="n"/>
      <c r="RTM95" s="248" t="n"/>
      <c r="RTN95" s="240" t="n"/>
      <c r="RTO95" s="240" t="n"/>
      <c r="RTQ95" s="15" t="n"/>
      <c r="RTR95" s="15" t="n"/>
      <c r="RTS95" s="248" t="n"/>
      <c r="RTT95" s="248" t="n"/>
      <c r="RTU95" s="240" t="n"/>
      <c r="RTV95" s="240" t="n"/>
      <c r="RTX95" s="15" t="n"/>
      <c r="RTY95" s="15" t="n"/>
      <c r="RTZ95" s="248" t="n"/>
      <c r="RUA95" s="248" t="n"/>
      <c r="RUB95" s="240" t="n"/>
      <c r="RUC95" s="240" t="n"/>
      <c r="RUE95" s="15" t="n"/>
      <c r="RUF95" s="15" t="n"/>
      <c r="RUG95" s="248" t="n"/>
      <c r="RUH95" s="248" t="n"/>
      <c r="RUI95" s="240" t="n"/>
      <c r="RUJ95" s="240" t="n"/>
      <c r="RUL95" s="15" t="n"/>
      <c r="RUM95" s="15" t="n"/>
      <c r="RUN95" s="248" t="n"/>
      <c r="RUO95" s="248" t="n"/>
      <c r="RUP95" s="240" t="n"/>
      <c r="RUQ95" s="240" t="n"/>
      <c r="RUS95" s="15" t="n"/>
      <c r="RUT95" s="15" t="n"/>
      <c r="RUU95" s="248" t="n"/>
      <c r="RUV95" s="248" t="n"/>
      <c r="RUW95" s="240" t="n"/>
      <c r="RUX95" s="240" t="n"/>
      <c r="RUZ95" s="15" t="n"/>
      <c r="RVA95" s="15" t="n"/>
      <c r="RVB95" s="248" t="n"/>
      <c r="RVC95" s="248" t="n"/>
      <c r="RVD95" s="240" t="n"/>
      <c r="RVE95" s="240" t="n"/>
      <c r="RVG95" s="15" t="n"/>
      <c r="RVH95" s="15" t="n"/>
      <c r="RVI95" s="248" t="n"/>
      <c r="RVJ95" s="248" t="n"/>
      <c r="RVK95" s="240" t="n"/>
      <c r="RVL95" s="240" t="n"/>
      <c r="RVN95" s="15" t="n"/>
      <c r="RVO95" s="15" t="n"/>
      <c r="RVP95" s="248" t="n"/>
      <c r="RVQ95" s="248" t="n"/>
      <c r="RVR95" s="240" t="n"/>
      <c r="RVS95" s="240" t="n"/>
      <c r="RVU95" s="15" t="n"/>
      <c r="RVV95" s="15" t="n"/>
      <c r="RVW95" s="248" t="n"/>
      <c r="RVX95" s="248" t="n"/>
      <c r="RVY95" s="240" t="n"/>
      <c r="RVZ95" s="240" t="n"/>
      <c r="RWB95" s="15" t="n"/>
      <c r="RWC95" s="15" t="n"/>
      <c r="RWD95" s="248" t="n"/>
      <c r="RWE95" s="248" t="n"/>
      <c r="RWF95" s="240" t="n"/>
      <c r="RWG95" s="240" t="n"/>
      <c r="RWI95" s="15" t="n"/>
      <c r="RWJ95" s="15" t="n"/>
      <c r="RWK95" s="248" t="n"/>
      <c r="RWL95" s="248" t="n"/>
      <c r="RWM95" s="240" t="n"/>
      <c r="RWN95" s="240" t="n"/>
      <c r="RWP95" s="15" t="n"/>
      <c r="RWQ95" s="15" t="n"/>
      <c r="RWR95" s="248" t="n"/>
      <c r="RWS95" s="248" t="n"/>
      <c r="RWT95" s="240" t="n"/>
      <c r="RWU95" s="240" t="n"/>
      <c r="RWW95" s="15" t="n"/>
      <c r="RWX95" s="15" t="n"/>
      <c r="RWY95" s="248" t="n"/>
      <c r="RWZ95" s="248" t="n"/>
      <c r="RXA95" s="240" t="n"/>
      <c r="RXB95" s="240" t="n"/>
      <c r="RXD95" s="15" t="n"/>
      <c r="RXE95" s="15" t="n"/>
      <c r="RXF95" s="248" t="n"/>
      <c r="RXG95" s="248" t="n"/>
      <c r="RXH95" s="240" t="n"/>
      <c r="RXI95" s="240" t="n"/>
      <c r="RXK95" s="15" t="n"/>
      <c r="RXL95" s="15" t="n"/>
      <c r="RXM95" s="248" t="n"/>
      <c r="RXN95" s="248" t="n"/>
      <c r="RXO95" s="240" t="n"/>
      <c r="RXP95" s="240" t="n"/>
      <c r="RXR95" s="15" t="n"/>
      <c r="RXS95" s="15" t="n"/>
      <c r="RXT95" s="248" t="n"/>
      <c r="RXU95" s="248" t="n"/>
      <c r="RXV95" s="240" t="n"/>
      <c r="RXW95" s="240" t="n"/>
      <c r="RXY95" s="15" t="n"/>
      <c r="RXZ95" s="15" t="n"/>
      <c r="RYA95" s="248" t="n"/>
      <c r="RYB95" s="248" t="n"/>
      <c r="RYC95" s="240" t="n"/>
      <c r="RYD95" s="240" t="n"/>
      <c r="RYF95" s="15" t="n"/>
      <c r="RYG95" s="15" t="n"/>
      <c r="RYH95" s="248" t="n"/>
      <c r="RYI95" s="248" t="n"/>
      <c r="RYJ95" s="240" t="n"/>
      <c r="RYK95" s="240" t="n"/>
      <c r="RYM95" s="15" t="n"/>
      <c r="RYN95" s="15" t="n"/>
      <c r="RYO95" s="248" t="n"/>
      <c r="RYP95" s="248" t="n"/>
      <c r="RYQ95" s="240" t="n"/>
      <c r="RYR95" s="240" t="n"/>
      <c r="RYT95" s="15" t="n"/>
      <c r="RYU95" s="15" t="n"/>
      <c r="RYV95" s="248" t="n"/>
      <c r="RYW95" s="248" t="n"/>
      <c r="RYX95" s="240" t="n"/>
      <c r="RYY95" s="240" t="n"/>
      <c r="RZA95" s="15" t="n"/>
      <c r="RZB95" s="15" t="n"/>
      <c r="RZC95" s="248" t="n"/>
      <c r="RZD95" s="248" t="n"/>
      <c r="RZE95" s="240" t="n"/>
      <c r="RZF95" s="240" t="n"/>
      <c r="RZH95" s="15" t="n"/>
      <c r="RZI95" s="15" t="n"/>
      <c r="RZJ95" s="248" t="n"/>
      <c r="RZK95" s="248" t="n"/>
      <c r="RZL95" s="240" t="n"/>
      <c r="RZM95" s="240" t="n"/>
      <c r="RZO95" s="15" t="n"/>
      <c r="RZP95" s="15" t="n"/>
      <c r="RZQ95" s="248" t="n"/>
      <c r="RZR95" s="248" t="n"/>
      <c r="RZS95" s="240" t="n"/>
      <c r="RZT95" s="240" t="n"/>
      <c r="RZV95" s="15" t="n"/>
      <c r="RZW95" s="15" t="n"/>
      <c r="RZX95" s="248" t="n"/>
      <c r="RZY95" s="248" t="n"/>
      <c r="RZZ95" s="240" t="n"/>
      <c r="SAA95" s="240" t="n"/>
      <c r="SAC95" s="15" t="n"/>
      <c r="SAD95" s="15" t="n"/>
      <c r="SAE95" s="248" t="n"/>
      <c r="SAF95" s="248" t="n"/>
      <c r="SAG95" s="240" t="n"/>
      <c r="SAH95" s="240" t="n"/>
      <c r="SAJ95" s="15" t="n"/>
      <c r="SAK95" s="15" t="n"/>
      <c r="SAL95" s="248" t="n"/>
      <c r="SAM95" s="248" t="n"/>
      <c r="SAN95" s="240" t="n"/>
      <c r="SAO95" s="240" t="n"/>
      <c r="SAQ95" s="15" t="n"/>
      <c r="SAR95" s="15" t="n"/>
      <c r="SAS95" s="248" t="n"/>
      <c r="SAT95" s="248" t="n"/>
      <c r="SAU95" s="240" t="n"/>
      <c r="SAV95" s="240" t="n"/>
      <c r="SAX95" s="15" t="n"/>
      <c r="SAY95" s="15" t="n"/>
      <c r="SAZ95" s="248" t="n"/>
      <c r="SBA95" s="248" t="n"/>
      <c r="SBB95" s="240" t="n"/>
      <c r="SBC95" s="240" t="n"/>
      <c r="SBE95" s="15" t="n"/>
      <c r="SBF95" s="15" t="n"/>
      <c r="SBG95" s="248" t="n"/>
      <c r="SBH95" s="248" t="n"/>
      <c r="SBI95" s="240" t="n"/>
      <c r="SBJ95" s="240" t="n"/>
      <c r="SBL95" s="15" t="n"/>
      <c r="SBM95" s="15" t="n"/>
      <c r="SBN95" s="248" t="n"/>
      <c r="SBO95" s="248" t="n"/>
      <c r="SBP95" s="240" t="n"/>
      <c r="SBQ95" s="240" t="n"/>
      <c r="SBS95" s="15" t="n"/>
      <c r="SBT95" s="15" t="n"/>
      <c r="SBU95" s="248" t="n"/>
      <c r="SBV95" s="248" t="n"/>
      <c r="SBW95" s="240" t="n"/>
      <c r="SBX95" s="240" t="n"/>
      <c r="SBZ95" s="15" t="n"/>
      <c r="SCA95" s="15" t="n"/>
      <c r="SCB95" s="248" t="n"/>
      <c r="SCC95" s="248" t="n"/>
      <c r="SCD95" s="240" t="n"/>
      <c r="SCE95" s="240" t="n"/>
      <c r="SCG95" s="15" t="n"/>
      <c r="SCH95" s="15" t="n"/>
      <c r="SCI95" s="248" t="n"/>
      <c r="SCJ95" s="248" t="n"/>
      <c r="SCK95" s="240" t="n"/>
      <c r="SCL95" s="240" t="n"/>
      <c r="SCN95" s="15" t="n"/>
      <c r="SCO95" s="15" t="n"/>
      <c r="SCP95" s="248" t="n"/>
      <c r="SCQ95" s="248" t="n"/>
      <c r="SCR95" s="240" t="n"/>
      <c r="SCS95" s="240" t="n"/>
      <c r="SCU95" s="15" t="n"/>
      <c r="SCV95" s="15" t="n"/>
      <c r="SCW95" s="248" t="n"/>
      <c r="SCX95" s="248" t="n"/>
      <c r="SCY95" s="240" t="n"/>
      <c r="SCZ95" s="240" t="n"/>
      <c r="SDB95" s="15" t="n"/>
      <c r="SDC95" s="15" t="n"/>
      <c r="SDD95" s="248" t="n"/>
      <c r="SDE95" s="248" t="n"/>
      <c r="SDF95" s="240" t="n"/>
      <c r="SDG95" s="240" t="n"/>
      <c r="SDI95" s="15" t="n"/>
      <c r="SDJ95" s="15" t="n"/>
      <c r="SDK95" s="248" t="n"/>
      <c r="SDL95" s="248" t="n"/>
      <c r="SDM95" s="240" t="n"/>
      <c r="SDN95" s="240" t="n"/>
      <c r="SDP95" s="15" t="n"/>
      <c r="SDQ95" s="15" t="n"/>
      <c r="SDR95" s="248" t="n"/>
      <c r="SDS95" s="248" t="n"/>
      <c r="SDT95" s="240" t="n"/>
      <c r="SDU95" s="240" t="n"/>
      <c r="SDW95" s="15" t="n"/>
      <c r="SDX95" s="15" t="n"/>
      <c r="SDY95" s="248" t="n"/>
      <c r="SDZ95" s="248" t="n"/>
      <c r="SEA95" s="240" t="n"/>
      <c r="SEB95" s="240" t="n"/>
      <c r="SED95" s="15" t="n"/>
      <c r="SEE95" s="15" t="n"/>
      <c r="SEF95" s="248" t="n"/>
      <c r="SEG95" s="248" t="n"/>
      <c r="SEH95" s="240" t="n"/>
      <c r="SEI95" s="240" t="n"/>
      <c r="SEK95" s="15" t="n"/>
      <c r="SEL95" s="15" t="n"/>
      <c r="SEM95" s="248" t="n"/>
      <c r="SEN95" s="248" t="n"/>
      <c r="SEO95" s="240" t="n"/>
      <c r="SEP95" s="240" t="n"/>
      <c r="SER95" s="15" t="n"/>
      <c r="SES95" s="15" t="n"/>
      <c r="SET95" s="248" t="n"/>
      <c r="SEU95" s="248" t="n"/>
      <c r="SEV95" s="240" t="n"/>
      <c r="SEW95" s="240" t="n"/>
      <c r="SEY95" s="15" t="n"/>
      <c r="SEZ95" s="15" t="n"/>
      <c r="SFA95" s="248" t="n"/>
      <c r="SFB95" s="248" t="n"/>
      <c r="SFC95" s="240" t="n"/>
      <c r="SFD95" s="240" t="n"/>
      <c r="SFF95" s="15" t="n"/>
      <c r="SFG95" s="15" t="n"/>
      <c r="SFH95" s="248" t="n"/>
      <c r="SFI95" s="248" t="n"/>
      <c r="SFJ95" s="240" t="n"/>
      <c r="SFK95" s="240" t="n"/>
      <c r="SFM95" s="15" t="n"/>
      <c r="SFN95" s="15" t="n"/>
      <c r="SFO95" s="248" t="n"/>
      <c r="SFP95" s="248" t="n"/>
      <c r="SFQ95" s="240" t="n"/>
      <c r="SFR95" s="240" t="n"/>
      <c r="SFT95" s="15" t="n"/>
      <c r="SFU95" s="15" t="n"/>
      <c r="SFV95" s="248" t="n"/>
      <c r="SFW95" s="248" t="n"/>
      <c r="SFX95" s="240" t="n"/>
      <c r="SFY95" s="240" t="n"/>
      <c r="SGA95" s="15" t="n"/>
      <c r="SGB95" s="15" t="n"/>
      <c r="SGC95" s="248" t="n"/>
      <c r="SGD95" s="248" t="n"/>
      <c r="SGE95" s="240" t="n"/>
      <c r="SGF95" s="240" t="n"/>
      <c r="SGH95" s="15" t="n"/>
      <c r="SGI95" s="15" t="n"/>
      <c r="SGJ95" s="248" t="n"/>
      <c r="SGK95" s="248" t="n"/>
      <c r="SGL95" s="240" t="n"/>
      <c r="SGM95" s="240" t="n"/>
      <c r="SGO95" s="15" t="n"/>
      <c r="SGP95" s="15" t="n"/>
      <c r="SGQ95" s="248" t="n"/>
      <c r="SGR95" s="248" t="n"/>
      <c r="SGS95" s="240" t="n"/>
      <c r="SGT95" s="240" t="n"/>
      <c r="SGV95" s="15" t="n"/>
      <c r="SGW95" s="15" t="n"/>
      <c r="SGX95" s="248" t="n"/>
      <c r="SGY95" s="248" t="n"/>
      <c r="SGZ95" s="240" t="n"/>
      <c r="SHA95" s="240" t="n"/>
      <c r="SHC95" s="15" t="n"/>
      <c r="SHD95" s="15" t="n"/>
      <c r="SHE95" s="248" t="n"/>
      <c r="SHF95" s="248" t="n"/>
      <c r="SHG95" s="240" t="n"/>
      <c r="SHH95" s="240" t="n"/>
      <c r="SHJ95" s="15" t="n"/>
      <c r="SHK95" s="15" t="n"/>
      <c r="SHL95" s="248" t="n"/>
      <c r="SHM95" s="248" t="n"/>
      <c r="SHN95" s="240" t="n"/>
      <c r="SHO95" s="240" t="n"/>
      <c r="SHQ95" s="15" t="n"/>
      <c r="SHR95" s="15" t="n"/>
      <c r="SHS95" s="248" t="n"/>
      <c r="SHT95" s="248" t="n"/>
      <c r="SHU95" s="240" t="n"/>
      <c r="SHV95" s="240" t="n"/>
      <c r="SHX95" s="15" t="n"/>
      <c r="SHY95" s="15" t="n"/>
      <c r="SHZ95" s="248" t="n"/>
      <c r="SIA95" s="248" t="n"/>
      <c r="SIB95" s="240" t="n"/>
      <c r="SIC95" s="240" t="n"/>
      <c r="SIE95" s="15" t="n"/>
      <c r="SIF95" s="15" t="n"/>
      <c r="SIG95" s="248" t="n"/>
      <c r="SIH95" s="248" t="n"/>
      <c r="SII95" s="240" t="n"/>
      <c r="SIJ95" s="240" t="n"/>
      <c r="SIL95" s="15" t="n"/>
      <c r="SIM95" s="15" t="n"/>
      <c r="SIN95" s="248" t="n"/>
      <c r="SIO95" s="248" t="n"/>
      <c r="SIP95" s="240" t="n"/>
      <c r="SIQ95" s="240" t="n"/>
      <c r="SIS95" s="15" t="n"/>
      <c r="SIT95" s="15" t="n"/>
      <c r="SIU95" s="248" t="n"/>
      <c r="SIV95" s="248" t="n"/>
      <c r="SIW95" s="240" t="n"/>
      <c r="SIX95" s="240" t="n"/>
      <c r="SIZ95" s="15" t="n"/>
      <c r="SJA95" s="15" t="n"/>
      <c r="SJB95" s="248" t="n"/>
      <c r="SJC95" s="248" t="n"/>
      <c r="SJD95" s="240" t="n"/>
      <c r="SJE95" s="240" t="n"/>
      <c r="SJG95" s="15" t="n"/>
      <c r="SJH95" s="15" t="n"/>
      <c r="SJI95" s="248" t="n"/>
      <c r="SJJ95" s="248" t="n"/>
      <c r="SJK95" s="240" t="n"/>
      <c r="SJL95" s="240" t="n"/>
      <c r="SJN95" s="15" t="n"/>
      <c r="SJO95" s="15" t="n"/>
      <c r="SJP95" s="248" t="n"/>
      <c r="SJQ95" s="248" t="n"/>
      <c r="SJR95" s="240" t="n"/>
      <c r="SJS95" s="240" t="n"/>
      <c r="SJU95" s="15" t="n"/>
      <c r="SJV95" s="15" t="n"/>
      <c r="SJW95" s="248" t="n"/>
      <c r="SJX95" s="248" t="n"/>
      <c r="SJY95" s="240" t="n"/>
      <c r="SJZ95" s="240" t="n"/>
      <c r="SKB95" s="15" t="n"/>
      <c r="SKC95" s="15" t="n"/>
      <c r="SKD95" s="248" t="n"/>
      <c r="SKE95" s="248" t="n"/>
      <c r="SKF95" s="240" t="n"/>
      <c r="SKG95" s="240" t="n"/>
      <c r="SKI95" s="15" t="n"/>
      <c r="SKJ95" s="15" t="n"/>
      <c r="SKK95" s="248" t="n"/>
      <c r="SKL95" s="248" t="n"/>
      <c r="SKM95" s="240" t="n"/>
      <c r="SKN95" s="240" t="n"/>
      <c r="SKP95" s="15" t="n"/>
      <c r="SKQ95" s="15" t="n"/>
      <c r="SKR95" s="248" t="n"/>
      <c r="SKS95" s="248" t="n"/>
      <c r="SKT95" s="240" t="n"/>
      <c r="SKU95" s="240" t="n"/>
      <c r="SKW95" s="15" t="n"/>
      <c r="SKX95" s="15" t="n"/>
      <c r="SKY95" s="248" t="n"/>
      <c r="SKZ95" s="248" t="n"/>
      <c r="SLA95" s="240" t="n"/>
      <c r="SLB95" s="240" t="n"/>
      <c r="SLD95" s="15" t="n"/>
      <c r="SLE95" s="15" t="n"/>
      <c r="SLF95" s="248" t="n"/>
      <c r="SLG95" s="248" t="n"/>
      <c r="SLH95" s="240" t="n"/>
      <c r="SLI95" s="240" t="n"/>
      <c r="SLK95" s="15" t="n"/>
      <c r="SLL95" s="15" t="n"/>
      <c r="SLM95" s="248" t="n"/>
      <c r="SLN95" s="248" t="n"/>
      <c r="SLO95" s="240" t="n"/>
      <c r="SLP95" s="240" t="n"/>
      <c r="SLR95" s="15" t="n"/>
      <c r="SLS95" s="15" t="n"/>
      <c r="SLT95" s="248" t="n"/>
      <c r="SLU95" s="248" t="n"/>
      <c r="SLV95" s="240" t="n"/>
      <c r="SLW95" s="240" t="n"/>
      <c r="SLY95" s="15" t="n"/>
      <c r="SLZ95" s="15" t="n"/>
      <c r="SMA95" s="248" t="n"/>
      <c r="SMB95" s="248" t="n"/>
      <c r="SMC95" s="240" t="n"/>
      <c r="SMD95" s="240" t="n"/>
      <c r="SMF95" s="15" t="n"/>
      <c r="SMG95" s="15" t="n"/>
      <c r="SMH95" s="248" t="n"/>
      <c r="SMI95" s="248" t="n"/>
      <c r="SMJ95" s="240" t="n"/>
      <c r="SMK95" s="240" t="n"/>
      <c r="SMM95" s="15" t="n"/>
      <c r="SMN95" s="15" t="n"/>
      <c r="SMO95" s="248" t="n"/>
      <c r="SMP95" s="248" t="n"/>
      <c r="SMQ95" s="240" t="n"/>
      <c r="SMR95" s="240" t="n"/>
      <c r="SMT95" s="15" t="n"/>
      <c r="SMU95" s="15" t="n"/>
      <c r="SMV95" s="248" t="n"/>
      <c r="SMW95" s="248" t="n"/>
      <c r="SMX95" s="240" t="n"/>
      <c r="SMY95" s="240" t="n"/>
      <c r="SNA95" s="15" t="n"/>
      <c r="SNB95" s="15" t="n"/>
      <c r="SNC95" s="248" t="n"/>
      <c r="SND95" s="248" t="n"/>
      <c r="SNE95" s="240" t="n"/>
      <c r="SNF95" s="240" t="n"/>
      <c r="SNH95" s="15" t="n"/>
      <c r="SNI95" s="15" t="n"/>
      <c r="SNJ95" s="248" t="n"/>
      <c r="SNK95" s="248" t="n"/>
      <c r="SNL95" s="240" t="n"/>
      <c r="SNM95" s="240" t="n"/>
      <c r="SNO95" s="15" t="n"/>
      <c r="SNP95" s="15" t="n"/>
      <c r="SNQ95" s="248" t="n"/>
      <c r="SNR95" s="248" t="n"/>
      <c r="SNS95" s="240" t="n"/>
      <c r="SNT95" s="240" t="n"/>
      <c r="SNV95" s="15" t="n"/>
      <c r="SNW95" s="15" t="n"/>
      <c r="SNX95" s="248" t="n"/>
      <c r="SNY95" s="248" t="n"/>
      <c r="SNZ95" s="240" t="n"/>
      <c r="SOA95" s="240" t="n"/>
      <c r="SOC95" s="15" t="n"/>
      <c r="SOD95" s="15" t="n"/>
      <c r="SOE95" s="248" t="n"/>
      <c r="SOF95" s="248" t="n"/>
      <c r="SOG95" s="240" t="n"/>
      <c r="SOH95" s="240" t="n"/>
      <c r="SOJ95" s="15" t="n"/>
      <c r="SOK95" s="15" t="n"/>
      <c r="SOL95" s="248" t="n"/>
      <c r="SOM95" s="248" t="n"/>
      <c r="SON95" s="240" t="n"/>
      <c r="SOO95" s="240" t="n"/>
      <c r="SOQ95" s="15" t="n"/>
      <c r="SOR95" s="15" t="n"/>
      <c r="SOS95" s="248" t="n"/>
      <c r="SOT95" s="248" t="n"/>
      <c r="SOU95" s="240" t="n"/>
      <c r="SOV95" s="240" t="n"/>
      <c r="SOX95" s="15" t="n"/>
      <c r="SOY95" s="15" t="n"/>
      <c r="SOZ95" s="248" t="n"/>
      <c r="SPA95" s="248" t="n"/>
      <c r="SPB95" s="240" t="n"/>
      <c r="SPC95" s="240" t="n"/>
      <c r="SPE95" s="15" t="n"/>
      <c r="SPF95" s="15" t="n"/>
      <c r="SPG95" s="248" t="n"/>
      <c r="SPH95" s="248" t="n"/>
      <c r="SPI95" s="240" t="n"/>
      <c r="SPJ95" s="240" t="n"/>
      <c r="SPL95" s="15" t="n"/>
      <c r="SPM95" s="15" t="n"/>
      <c r="SPN95" s="248" t="n"/>
      <c r="SPO95" s="248" t="n"/>
      <c r="SPP95" s="240" t="n"/>
      <c r="SPQ95" s="240" t="n"/>
      <c r="SPS95" s="15" t="n"/>
      <c r="SPT95" s="15" t="n"/>
      <c r="SPU95" s="248" t="n"/>
      <c r="SPV95" s="248" t="n"/>
      <c r="SPW95" s="240" t="n"/>
      <c r="SPX95" s="240" t="n"/>
      <c r="SPZ95" s="15" t="n"/>
      <c r="SQA95" s="15" t="n"/>
      <c r="SQB95" s="248" t="n"/>
      <c r="SQC95" s="248" t="n"/>
      <c r="SQD95" s="240" t="n"/>
      <c r="SQE95" s="240" t="n"/>
      <c r="SQG95" s="15" t="n"/>
      <c r="SQH95" s="15" t="n"/>
      <c r="SQI95" s="248" t="n"/>
      <c r="SQJ95" s="248" t="n"/>
      <c r="SQK95" s="240" t="n"/>
      <c r="SQL95" s="240" t="n"/>
      <c r="SQN95" s="15" t="n"/>
      <c r="SQO95" s="15" t="n"/>
      <c r="SQP95" s="248" t="n"/>
      <c r="SQQ95" s="248" t="n"/>
      <c r="SQR95" s="240" t="n"/>
      <c r="SQS95" s="240" t="n"/>
      <c r="SQU95" s="15" t="n"/>
      <c r="SQV95" s="15" t="n"/>
      <c r="SQW95" s="248" t="n"/>
      <c r="SQX95" s="248" t="n"/>
      <c r="SQY95" s="240" t="n"/>
      <c r="SQZ95" s="240" t="n"/>
      <c r="SRB95" s="15" t="n"/>
      <c r="SRC95" s="15" t="n"/>
      <c r="SRD95" s="248" t="n"/>
      <c r="SRE95" s="248" t="n"/>
      <c r="SRF95" s="240" t="n"/>
      <c r="SRG95" s="240" t="n"/>
      <c r="SRI95" s="15" t="n"/>
      <c r="SRJ95" s="15" t="n"/>
      <c r="SRK95" s="248" t="n"/>
      <c r="SRL95" s="248" t="n"/>
      <c r="SRM95" s="240" t="n"/>
      <c r="SRN95" s="240" t="n"/>
      <c r="SRP95" s="15" t="n"/>
      <c r="SRQ95" s="15" t="n"/>
      <c r="SRR95" s="248" t="n"/>
      <c r="SRS95" s="248" t="n"/>
      <c r="SRT95" s="240" t="n"/>
      <c r="SRU95" s="240" t="n"/>
      <c r="SRW95" s="15" t="n"/>
      <c r="SRX95" s="15" t="n"/>
      <c r="SRY95" s="248" t="n"/>
      <c r="SRZ95" s="248" t="n"/>
      <c r="SSA95" s="240" t="n"/>
      <c r="SSB95" s="240" t="n"/>
      <c r="SSD95" s="15" t="n"/>
      <c r="SSE95" s="15" t="n"/>
      <c r="SSF95" s="248" t="n"/>
      <c r="SSG95" s="248" t="n"/>
      <c r="SSH95" s="240" t="n"/>
      <c r="SSI95" s="240" t="n"/>
      <c r="SSK95" s="15" t="n"/>
      <c r="SSL95" s="15" t="n"/>
      <c r="SSM95" s="248" t="n"/>
      <c r="SSN95" s="248" t="n"/>
      <c r="SSO95" s="240" t="n"/>
      <c r="SSP95" s="240" t="n"/>
      <c r="SSR95" s="15" t="n"/>
      <c r="SSS95" s="15" t="n"/>
      <c r="SST95" s="248" t="n"/>
      <c r="SSU95" s="248" t="n"/>
      <c r="SSV95" s="240" t="n"/>
      <c r="SSW95" s="240" t="n"/>
      <c r="SSY95" s="15" t="n"/>
      <c r="SSZ95" s="15" t="n"/>
      <c r="STA95" s="248" t="n"/>
      <c r="STB95" s="248" t="n"/>
      <c r="STC95" s="240" t="n"/>
      <c r="STD95" s="240" t="n"/>
      <c r="STF95" s="15" t="n"/>
      <c r="STG95" s="15" t="n"/>
      <c r="STH95" s="248" t="n"/>
      <c r="STI95" s="248" t="n"/>
      <c r="STJ95" s="240" t="n"/>
      <c r="STK95" s="240" t="n"/>
      <c r="STM95" s="15" t="n"/>
      <c r="STN95" s="15" t="n"/>
      <c r="STO95" s="248" t="n"/>
      <c r="STP95" s="248" t="n"/>
      <c r="STQ95" s="240" t="n"/>
      <c r="STR95" s="240" t="n"/>
      <c r="STT95" s="15" t="n"/>
      <c r="STU95" s="15" t="n"/>
      <c r="STV95" s="248" t="n"/>
      <c r="STW95" s="248" t="n"/>
      <c r="STX95" s="240" t="n"/>
      <c r="STY95" s="240" t="n"/>
      <c r="SUA95" s="15" t="n"/>
      <c r="SUB95" s="15" t="n"/>
      <c r="SUC95" s="248" t="n"/>
      <c r="SUD95" s="248" t="n"/>
      <c r="SUE95" s="240" t="n"/>
      <c r="SUF95" s="240" t="n"/>
      <c r="SUH95" s="15" t="n"/>
      <c r="SUI95" s="15" t="n"/>
      <c r="SUJ95" s="248" t="n"/>
      <c r="SUK95" s="248" t="n"/>
      <c r="SUL95" s="240" t="n"/>
      <c r="SUM95" s="240" t="n"/>
      <c r="SUO95" s="15" t="n"/>
      <c r="SUP95" s="15" t="n"/>
      <c r="SUQ95" s="248" t="n"/>
      <c r="SUR95" s="248" t="n"/>
      <c r="SUS95" s="240" t="n"/>
      <c r="SUT95" s="240" t="n"/>
      <c r="SUV95" s="15" t="n"/>
      <c r="SUW95" s="15" t="n"/>
      <c r="SUX95" s="248" t="n"/>
      <c r="SUY95" s="248" t="n"/>
      <c r="SUZ95" s="240" t="n"/>
      <c r="SVA95" s="240" t="n"/>
      <c r="SVC95" s="15" t="n"/>
      <c r="SVD95" s="15" t="n"/>
      <c r="SVE95" s="248" t="n"/>
      <c r="SVF95" s="248" t="n"/>
      <c r="SVG95" s="240" t="n"/>
      <c r="SVH95" s="240" t="n"/>
      <c r="SVJ95" s="15" t="n"/>
      <c r="SVK95" s="15" t="n"/>
      <c r="SVL95" s="248" t="n"/>
      <c r="SVM95" s="248" t="n"/>
      <c r="SVN95" s="240" t="n"/>
      <c r="SVO95" s="240" t="n"/>
      <c r="SVQ95" s="15" t="n"/>
      <c r="SVR95" s="15" t="n"/>
      <c r="SVS95" s="248" t="n"/>
      <c r="SVT95" s="248" t="n"/>
      <c r="SVU95" s="240" t="n"/>
      <c r="SVV95" s="240" t="n"/>
      <c r="SVX95" s="15" t="n"/>
      <c r="SVY95" s="15" t="n"/>
      <c r="SVZ95" s="248" t="n"/>
      <c r="SWA95" s="248" t="n"/>
      <c r="SWB95" s="240" t="n"/>
      <c r="SWC95" s="240" t="n"/>
      <c r="SWE95" s="15" t="n"/>
      <c r="SWF95" s="15" t="n"/>
      <c r="SWG95" s="248" t="n"/>
      <c r="SWH95" s="248" t="n"/>
      <c r="SWI95" s="240" t="n"/>
      <c r="SWJ95" s="240" t="n"/>
      <c r="SWL95" s="15" t="n"/>
      <c r="SWM95" s="15" t="n"/>
      <c r="SWN95" s="248" t="n"/>
      <c r="SWO95" s="248" t="n"/>
      <c r="SWP95" s="240" t="n"/>
      <c r="SWQ95" s="240" t="n"/>
      <c r="SWS95" s="15" t="n"/>
      <c r="SWT95" s="15" t="n"/>
      <c r="SWU95" s="248" t="n"/>
      <c r="SWV95" s="248" t="n"/>
      <c r="SWW95" s="240" t="n"/>
      <c r="SWX95" s="240" t="n"/>
      <c r="SWZ95" s="15" t="n"/>
      <c r="SXA95" s="15" t="n"/>
      <c r="SXB95" s="248" t="n"/>
      <c r="SXC95" s="248" t="n"/>
      <c r="SXD95" s="240" t="n"/>
      <c r="SXE95" s="240" t="n"/>
      <c r="SXG95" s="15" t="n"/>
      <c r="SXH95" s="15" t="n"/>
      <c r="SXI95" s="248" t="n"/>
      <c r="SXJ95" s="248" t="n"/>
      <c r="SXK95" s="240" t="n"/>
      <c r="SXL95" s="240" t="n"/>
      <c r="SXN95" s="15" t="n"/>
      <c r="SXO95" s="15" t="n"/>
      <c r="SXP95" s="248" t="n"/>
      <c r="SXQ95" s="248" t="n"/>
      <c r="SXR95" s="240" t="n"/>
      <c r="SXS95" s="240" t="n"/>
      <c r="SXU95" s="15" t="n"/>
      <c r="SXV95" s="15" t="n"/>
      <c r="SXW95" s="248" t="n"/>
      <c r="SXX95" s="248" t="n"/>
      <c r="SXY95" s="240" t="n"/>
      <c r="SXZ95" s="240" t="n"/>
      <c r="SYB95" s="15" t="n"/>
      <c r="SYC95" s="15" t="n"/>
      <c r="SYD95" s="248" t="n"/>
      <c r="SYE95" s="248" t="n"/>
      <c r="SYF95" s="240" t="n"/>
      <c r="SYG95" s="240" t="n"/>
      <c r="SYI95" s="15" t="n"/>
      <c r="SYJ95" s="15" t="n"/>
      <c r="SYK95" s="248" t="n"/>
      <c r="SYL95" s="248" t="n"/>
      <c r="SYM95" s="240" t="n"/>
      <c r="SYN95" s="240" t="n"/>
      <c r="SYP95" s="15" t="n"/>
      <c r="SYQ95" s="15" t="n"/>
      <c r="SYR95" s="248" t="n"/>
      <c r="SYS95" s="248" t="n"/>
      <c r="SYT95" s="240" t="n"/>
      <c r="SYU95" s="240" t="n"/>
      <c r="SYW95" s="15" t="n"/>
      <c r="SYX95" s="15" t="n"/>
      <c r="SYY95" s="248" t="n"/>
      <c r="SYZ95" s="248" t="n"/>
      <c r="SZA95" s="240" t="n"/>
      <c r="SZB95" s="240" t="n"/>
      <c r="SZD95" s="15" t="n"/>
      <c r="SZE95" s="15" t="n"/>
      <c r="SZF95" s="248" t="n"/>
      <c r="SZG95" s="248" t="n"/>
      <c r="SZH95" s="240" t="n"/>
      <c r="SZI95" s="240" t="n"/>
      <c r="SZK95" s="15" t="n"/>
      <c r="SZL95" s="15" t="n"/>
      <c r="SZM95" s="248" t="n"/>
      <c r="SZN95" s="248" t="n"/>
      <c r="SZO95" s="240" t="n"/>
      <c r="SZP95" s="240" t="n"/>
      <c r="SZR95" s="15" t="n"/>
      <c r="SZS95" s="15" t="n"/>
      <c r="SZT95" s="248" t="n"/>
      <c r="SZU95" s="248" t="n"/>
      <c r="SZV95" s="240" t="n"/>
      <c r="SZW95" s="240" t="n"/>
      <c r="SZY95" s="15" t="n"/>
      <c r="SZZ95" s="15" t="n"/>
      <c r="TAA95" s="248" t="n"/>
      <c r="TAB95" s="248" t="n"/>
      <c r="TAC95" s="240" t="n"/>
      <c r="TAD95" s="240" t="n"/>
      <c r="TAF95" s="15" t="n"/>
      <c r="TAG95" s="15" t="n"/>
      <c r="TAH95" s="248" t="n"/>
      <c r="TAI95" s="248" t="n"/>
      <c r="TAJ95" s="240" t="n"/>
      <c r="TAK95" s="240" t="n"/>
      <c r="TAM95" s="15" t="n"/>
      <c r="TAN95" s="15" t="n"/>
      <c r="TAO95" s="248" t="n"/>
      <c r="TAP95" s="248" t="n"/>
      <c r="TAQ95" s="240" t="n"/>
      <c r="TAR95" s="240" t="n"/>
      <c r="TAT95" s="15" t="n"/>
      <c r="TAU95" s="15" t="n"/>
      <c r="TAV95" s="248" t="n"/>
      <c r="TAW95" s="248" t="n"/>
      <c r="TAX95" s="240" t="n"/>
      <c r="TAY95" s="240" t="n"/>
      <c r="TBA95" s="15" t="n"/>
      <c r="TBB95" s="15" t="n"/>
      <c r="TBC95" s="248" t="n"/>
      <c r="TBD95" s="248" t="n"/>
      <c r="TBE95" s="240" t="n"/>
      <c r="TBF95" s="240" t="n"/>
      <c r="TBH95" s="15" t="n"/>
      <c r="TBI95" s="15" t="n"/>
      <c r="TBJ95" s="248" t="n"/>
      <c r="TBK95" s="248" t="n"/>
      <c r="TBL95" s="240" t="n"/>
      <c r="TBM95" s="240" t="n"/>
      <c r="TBO95" s="15" t="n"/>
      <c r="TBP95" s="15" t="n"/>
      <c r="TBQ95" s="248" t="n"/>
      <c r="TBR95" s="248" t="n"/>
      <c r="TBS95" s="240" t="n"/>
      <c r="TBT95" s="240" t="n"/>
      <c r="TBV95" s="15" t="n"/>
      <c r="TBW95" s="15" t="n"/>
      <c r="TBX95" s="248" t="n"/>
      <c r="TBY95" s="248" t="n"/>
      <c r="TBZ95" s="240" t="n"/>
      <c r="TCA95" s="240" t="n"/>
      <c r="TCC95" s="15" t="n"/>
      <c r="TCD95" s="15" t="n"/>
      <c r="TCE95" s="248" t="n"/>
      <c r="TCF95" s="248" t="n"/>
      <c r="TCG95" s="240" t="n"/>
      <c r="TCH95" s="240" t="n"/>
      <c r="TCJ95" s="15" t="n"/>
      <c r="TCK95" s="15" t="n"/>
      <c r="TCL95" s="248" t="n"/>
      <c r="TCM95" s="248" t="n"/>
      <c r="TCN95" s="240" t="n"/>
      <c r="TCO95" s="240" t="n"/>
      <c r="TCQ95" s="15" t="n"/>
      <c r="TCR95" s="15" t="n"/>
      <c r="TCS95" s="248" t="n"/>
      <c r="TCT95" s="248" t="n"/>
      <c r="TCU95" s="240" t="n"/>
      <c r="TCV95" s="240" t="n"/>
      <c r="TCX95" s="15" t="n"/>
      <c r="TCY95" s="15" t="n"/>
      <c r="TCZ95" s="248" t="n"/>
      <c r="TDA95" s="248" t="n"/>
      <c r="TDB95" s="240" t="n"/>
      <c r="TDC95" s="240" t="n"/>
      <c r="TDE95" s="15" t="n"/>
      <c r="TDF95" s="15" t="n"/>
      <c r="TDG95" s="248" t="n"/>
      <c r="TDH95" s="248" t="n"/>
      <c r="TDI95" s="240" t="n"/>
      <c r="TDJ95" s="240" t="n"/>
      <c r="TDL95" s="15" t="n"/>
      <c r="TDM95" s="15" t="n"/>
      <c r="TDN95" s="248" t="n"/>
      <c r="TDO95" s="248" t="n"/>
      <c r="TDP95" s="240" t="n"/>
      <c r="TDQ95" s="240" t="n"/>
      <c r="TDS95" s="15" t="n"/>
      <c r="TDT95" s="15" t="n"/>
      <c r="TDU95" s="248" t="n"/>
      <c r="TDV95" s="248" t="n"/>
      <c r="TDW95" s="240" t="n"/>
      <c r="TDX95" s="240" t="n"/>
      <c r="TDZ95" s="15" t="n"/>
      <c r="TEA95" s="15" t="n"/>
      <c r="TEB95" s="248" t="n"/>
      <c r="TEC95" s="248" t="n"/>
      <c r="TED95" s="240" t="n"/>
      <c r="TEE95" s="240" t="n"/>
      <c r="TEG95" s="15" t="n"/>
      <c r="TEH95" s="15" t="n"/>
      <c r="TEI95" s="248" t="n"/>
      <c r="TEJ95" s="248" t="n"/>
      <c r="TEK95" s="240" t="n"/>
      <c r="TEL95" s="240" t="n"/>
      <c r="TEN95" s="15" t="n"/>
      <c r="TEO95" s="15" t="n"/>
      <c r="TEP95" s="248" t="n"/>
      <c r="TEQ95" s="248" t="n"/>
      <c r="TER95" s="240" t="n"/>
      <c r="TES95" s="240" t="n"/>
      <c r="TEU95" s="15" t="n"/>
      <c r="TEV95" s="15" t="n"/>
      <c r="TEW95" s="248" t="n"/>
      <c r="TEX95" s="248" t="n"/>
      <c r="TEY95" s="240" t="n"/>
      <c r="TEZ95" s="240" t="n"/>
      <c r="TFB95" s="15" t="n"/>
      <c r="TFC95" s="15" t="n"/>
      <c r="TFD95" s="248" t="n"/>
      <c r="TFE95" s="248" t="n"/>
      <c r="TFF95" s="240" t="n"/>
      <c r="TFG95" s="240" t="n"/>
      <c r="TFI95" s="15" t="n"/>
      <c r="TFJ95" s="15" t="n"/>
      <c r="TFK95" s="248" t="n"/>
      <c r="TFL95" s="248" t="n"/>
      <c r="TFM95" s="240" t="n"/>
      <c r="TFN95" s="240" t="n"/>
      <c r="TFP95" s="15" t="n"/>
      <c r="TFQ95" s="15" t="n"/>
      <c r="TFR95" s="248" t="n"/>
      <c r="TFS95" s="248" t="n"/>
      <c r="TFT95" s="240" t="n"/>
      <c r="TFU95" s="240" t="n"/>
      <c r="TFW95" s="15" t="n"/>
      <c r="TFX95" s="15" t="n"/>
      <c r="TFY95" s="248" t="n"/>
      <c r="TFZ95" s="248" t="n"/>
      <c r="TGA95" s="240" t="n"/>
      <c r="TGB95" s="240" t="n"/>
      <c r="TGD95" s="15" t="n"/>
      <c r="TGE95" s="15" t="n"/>
      <c r="TGF95" s="248" t="n"/>
      <c r="TGG95" s="248" t="n"/>
      <c r="TGH95" s="240" t="n"/>
      <c r="TGI95" s="240" t="n"/>
      <c r="TGK95" s="15" t="n"/>
      <c r="TGL95" s="15" t="n"/>
      <c r="TGM95" s="248" t="n"/>
      <c r="TGN95" s="248" t="n"/>
      <c r="TGO95" s="240" t="n"/>
      <c r="TGP95" s="240" t="n"/>
      <c r="TGR95" s="15" t="n"/>
      <c r="TGS95" s="15" t="n"/>
      <c r="TGT95" s="248" t="n"/>
      <c r="TGU95" s="248" t="n"/>
      <c r="TGV95" s="240" t="n"/>
      <c r="TGW95" s="240" t="n"/>
      <c r="TGY95" s="15" t="n"/>
      <c r="TGZ95" s="15" t="n"/>
      <c r="THA95" s="248" t="n"/>
      <c r="THB95" s="248" t="n"/>
      <c r="THC95" s="240" t="n"/>
      <c r="THD95" s="240" t="n"/>
      <c r="THF95" s="15" t="n"/>
      <c r="THG95" s="15" t="n"/>
      <c r="THH95" s="248" t="n"/>
      <c r="THI95" s="248" t="n"/>
      <c r="THJ95" s="240" t="n"/>
      <c r="THK95" s="240" t="n"/>
      <c r="THM95" s="15" t="n"/>
      <c r="THN95" s="15" t="n"/>
      <c r="THO95" s="248" t="n"/>
      <c r="THP95" s="248" t="n"/>
      <c r="THQ95" s="240" t="n"/>
      <c r="THR95" s="240" t="n"/>
      <c r="THT95" s="15" t="n"/>
      <c r="THU95" s="15" t="n"/>
      <c r="THV95" s="248" t="n"/>
      <c r="THW95" s="248" t="n"/>
      <c r="THX95" s="240" t="n"/>
      <c r="THY95" s="240" t="n"/>
      <c r="TIA95" s="15" t="n"/>
      <c r="TIB95" s="15" t="n"/>
      <c r="TIC95" s="248" t="n"/>
      <c r="TID95" s="248" t="n"/>
      <c r="TIE95" s="240" t="n"/>
      <c r="TIF95" s="240" t="n"/>
      <c r="TIH95" s="15" t="n"/>
      <c r="TII95" s="15" t="n"/>
      <c r="TIJ95" s="248" t="n"/>
      <c r="TIK95" s="248" t="n"/>
      <c r="TIL95" s="240" t="n"/>
      <c r="TIM95" s="240" t="n"/>
      <c r="TIO95" s="15" t="n"/>
      <c r="TIP95" s="15" t="n"/>
      <c r="TIQ95" s="248" t="n"/>
      <c r="TIR95" s="248" t="n"/>
      <c r="TIS95" s="240" t="n"/>
      <c r="TIT95" s="240" t="n"/>
      <c r="TIV95" s="15" t="n"/>
      <c r="TIW95" s="15" t="n"/>
      <c r="TIX95" s="248" t="n"/>
      <c r="TIY95" s="248" t="n"/>
      <c r="TIZ95" s="240" t="n"/>
      <c r="TJA95" s="240" t="n"/>
      <c r="TJC95" s="15" t="n"/>
      <c r="TJD95" s="15" t="n"/>
      <c r="TJE95" s="248" t="n"/>
      <c r="TJF95" s="248" t="n"/>
      <c r="TJG95" s="240" t="n"/>
      <c r="TJH95" s="240" t="n"/>
      <c r="TJJ95" s="15" t="n"/>
      <c r="TJK95" s="15" t="n"/>
      <c r="TJL95" s="248" t="n"/>
      <c r="TJM95" s="248" t="n"/>
      <c r="TJN95" s="240" t="n"/>
      <c r="TJO95" s="240" t="n"/>
      <c r="TJQ95" s="15" t="n"/>
      <c r="TJR95" s="15" t="n"/>
      <c r="TJS95" s="248" t="n"/>
      <c r="TJT95" s="248" t="n"/>
      <c r="TJU95" s="240" t="n"/>
      <c r="TJV95" s="240" t="n"/>
      <c r="TJX95" s="15" t="n"/>
      <c r="TJY95" s="15" t="n"/>
      <c r="TJZ95" s="248" t="n"/>
      <c r="TKA95" s="248" t="n"/>
      <c r="TKB95" s="240" t="n"/>
      <c r="TKC95" s="240" t="n"/>
      <c r="TKE95" s="15" t="n"/>
      <c r="TKF95" s="15" t="n"/>
      <c r="TKG95" s="248" t="n"/>
      <c r="TKH95" s="248" t="n"/>
      <c r="TKI95" s="240" t="n"/>
      <c r="TKJ95" s="240" t="n"/>
      <c r="TKL95" s="15" t="n"/>
      <c r="TKM95" s="15" t="n"/>
      <c r="TKN95" s="248" t="n"/>
      <c r="TKO95" s="248" t="n"/>
      <c r="TKP95" s="240" t="n"/>
      <c r="TKQ95" s="240" t="n"/>
      <c r="TKS95" s="15" t="n"/>
      <c r="TKT95" s="15" t="n"/>
      <c r="TKU95" s="248" t="n"/>
      <c r="TKV95" s="248" t="n"/>
      <c r="TKW95" s="240" t="n"/>
      <c r="TKX95" s="240" t="n"/>
      <c r="TKZ95" s="15" t="n"/>
      <c r="TLA95" s="15" t="n"/>
      <c r="TLB95" s="248" t="n"/>
      <c r="TLC95" s="248" t="n"/>
      <c r="TLD95" s="240" t="n"/>
      <c r="TLE95" s="240" t="n"/>
      <c r="TLG95" s="15" t="n"/>
      <c r="TLH95" s="15" t="n"/>
      <c r="TLI95" s="248" t="n"/>
      <c r="TLJ95" s="248" t="n"/>
      <c r="TLK95" s="240" t="n"/>
      <c r="TLL95" s="240" t="n"/>
      <c r="TLN95" s="15" t="n"/>
      <c r="TLO95" s="15" t="n"/>
      <c r="TLP95" s="248" t="n"/>
      <c r="TLQ95" s="248" t="n"/>
      <c r="TLR95" s="240" t="n"/>
      <c r="TLS95" s="240" t="n"/>
      <c r="TLU95" s="15" t="n"/>
      <c r="TLV95" s="15" t="n"/>
      <c r="TLW95" s="248" t="n"/>
      <c r="TLX95" s="248" t="n"/>
      <c r="TLY95" s="240" t="n"/>
      <c r="TLZ95" s="240" t="n"/>
      <c r="TMB95" s="15" t="n"/>
      <c r="TMC95" s="15" t="n"/>
      <c r="TMD95" s="248" t="n"/>
      <c r="TME95" s="248" t="n"/>
      <c r="TMF95" s="240" t="n"/>
      <c r="TMG95" s="240" t="n"/>
      <c r="TMI95" s="15" t="n"/>
      <c r="TMJ95" s="15" t="n"/>
      <c r="TMK95" s="248" t="n"/>
      <c r="TML95" s="248" t="n"/>
      <c r="TMM95" s="240" t="n"/>
      <c r="TMN95" s="240" t="n"/>
      <c r="TMP95" s="15" t="n"/>
      <c r="TMQ95" s="15" t="n"/>
      <c r="TMR95" s="248" t="n"/>
      <c r="TMS95" s="248" t="n"/>
      <c r="TMT95" s="240" t="n"/>
      <c r="TMU95" s="240" t="n"/>
      <c r="TMW95" s="15" t="n"/>
      <c r="TMX95" s="15" t="n"/>
      <c r="TMY95" s="248" t="n"/>
      <c r="TMZ95" s="248" t="n"/>
      <c r="TNA95" s="240" t="n"/>
      <c r="TNB95" s="240" t="n"/>
      <c r="TND95" s="15" t="n"/>
      <c r="TNE95" s="15" t="n"/>
      <c r="TNF95" s="248" t="n"/>
      <c r="TNG95" s="248" t="n"/>
      <c r="TNH95" s="240" t="n"/>
      <c r="TNI95" s="240" t="n"/>
      <c r="TNK95" s="15" t="n"/>
      <c r="TNL95" s="15" t="n"/>
      <c r="TNM95" s="248" t="n"/>
      <c r="TNN95" s="248" t="n"/>
      <c r="TNO95" s="240" t="n"/>
      <c r="TNP95" s="240" t="n"/>
      <c r="TNR95" s="15" t="n"/>
      <c r="TNS95" s="15" t="n"/>
      <c r="TNT95" s="248" t="n"/>
      <c r="TNU95" s="248" t="n"/>
      <c r="TNV95" s="240" t="n"/>
      <c r="TNW95" s="240" t="n"/>
      <c r="TNY95" s="15" t="n"/>
      <c r="TNZ95" s="15" t="n"/>
      <c r="TOA95" s="248" t="n"/>
      <c r="TOB95" s="248" t="n"/>
      <c r="TOC95" s="240" t="n"/>
      <c r="TOD95" s="240" t="n"/>
      <c r="TOF95" s="15" t="n"/>
      <c r="TOG95" s="15" t="n"/>
      <c r="TOH95" s="248" t="n"/>
      <c r="TOI95" s="248" t="n"/>
      <c r="TOJ95" s="240" t="n"/>
      <c r="TOK95" s="240" t="n"/>
      <c r="TOM95" s="15" t="n"/>
      <c r="TON95" s="15" t="n"/>
      <c r="TOO95" s="248" t="n"/>
      <c r="TOP95" s="248" t="n"/>
      <c r="TOQ95" s="240" t="n"/>
      <c r="TOR95" s="240" t="n"/>
      <c r="TOT95" s="15" t="n"/>
      <c r="TOU95" s="15" t="n"/>
      <c r="TOV95" s="248" t="n"/>
      <c r="TOW95" s="248" t="n"/>
      <c r="TOX95" s="240" t="n"/>
      <c r="TOY95" s="240" t="n"/>
      <c r="TPA95" s="15" t="n"/>
      <c r="TPB95" s="15" t="n"/>
      <c r="TPC95" s="248" t="n"/>
      <c r="TPD95" s="248" t="n"/>
      <c r="TPE95" s="240" t="n"/>
      <c r="TPF95" s="240" t="n"/>
      <c r="TPH95" s="15" t="n"/>
      <c r="TPI95" s="15" t="n"/>
      <c r="TPJ95" s="248" t="n"/>
      <c r="TPK95" s="248" t="n"/>
      <c r="TPL95" s="240" t="n"/>
      <c r="TPM95" s="240" t="n"/>
      <c r="TPO95" s="15" t="n"/>
      <c r="TPP95" s="15" t="n"/>
      <c r="TPQ95" s="248" t="n"/>
      <c r="TPR95" s="248" t="n"/>
      <c r="TPS95" s="240" t="n"/>
      <c r="TPT95" s="240" t="n"/>
      <c r="TPV95" s="15" t="n"/>
      <c r="TPW95" s="15" t="n"/>
      <c r="TPX95" s="248" t="n"/>
      <c r="TPY95" s="248" t="n"/>
      <c r="TPZ95" s="240" t="n"/>
      <c r="TQA95" s="240" t="n"/>
      <c r="TQC95" s="15" t="n"/>
      <c r="TQD95" s="15" t="n"/>
      <c r="TQE95" s="248" t="n"/>
      <c r="TQF95" s="248" t="n"/>
      <c r="TQG95" s="240" t="n"/>
      <c r="TQH95" s="240" t="n"/>
      <c r="TQJ95" s="15" t="n"/>
      <c r="TQK95" s="15" t="n"/>
      <c r="TQL95" s="248" t="n"/>
      <c r="TQM95" s="248" t="n"/>
      <c r="TQN95" s="240" t="n"/>
      <c r="TQO95" s="240" t="n"/>
      <c r="TQQ95" s="15" t="n"/>
      <c r="TQR95" s="15" t="n"/>
      <c r="TQS95" s="248" t="n"/>
      <c r="TQT95" s="248" t="n"/>
      <c r="TQU95" s="240" t="n"/>
      <c r="TQV95" s="240" t="n"/>
      <c r="TQX95" s="15" t="n"/>
      <c r="TQY95" s="15" t="n"/>
      <c r="TQZ95" s="248" t="n"/>
      <c r="TRA95" s="248" t="n"/>
      <c r="TRB95" s="240" t="n"/>
      <c r="TRC95" s="240" t="n"/>
      <c r="TRE95" s="15" t="n"/>
      <c r="TRF95" s="15" t="n"/>
      <c r="TRG95" s="248" t="n"/>
      <c r="TRH95" s="248" t="n"/>
      <c r="TRI95" s="240" t="n"/>
      <c r="TRJ95" s="240" t="n"/>
      <c r="TRL95" s="15" t="n"/>
      <c r="TRM95" s="15" t="n"/>
      <c r="TRN95" s="248" t="n"/>
      <c r="TRO95" s="248" t="n"/>
      <c r="TRP95" s="240" t="n"/>
      <c r="TRQ95" s="240" t="n"/>
      <c r="TRS95" s="15" t="n"/>
      <c r="TRT95" s="15" t="n"/>
      <c r="TRU95" s="248" t="n"/>
      <c r="TRV95" s="248" t="n"/>
      <c r="TRW95" s="240" t="n"/>
      <c r="TRX95" s="240" t="n"/>
      <c r="TRZ95" s="15" t="n"/>
      <c r="TSA95" s="15" t="n"/>
      <c r="TSB95" s="248" t="n"/>
      <c r="TSC95" s="248" t="n"/>
      <c r="TSD95" s="240" t="n"/>
      <c r="TSE95" s="240" t="n"/>
      <c r="TSG95" s="15" t="n"/>
      <c r="TSH95" s="15" t="n"/>
      <c r="TSI95" s="248" t="n"/>
      <c r="TSJ95" s="248" t="n"/>
      <c r="TSK95" s="240" t="n"/>
      <c r="TSL95" s="240" t="n"/>
      <c r="TSN95" s="15" t="n"/>
      <c r="TSO95" s="15" t="n"/>
      <c r="TSP95" s="248" t="n"/>
      <c r="TSQ95" s="248" t="n"/>
      <c r="TSR95" s="240" t="n"/>
      <c r="TSS95" s="240" t="n"/>
      <c r="TSU95" s="15" t="n"/>
      <c r="TSV95" s="15" t="n"/>
      <c r="TSW95" s="248" t="n"/>
      <c r="TSX95" s="248" t="n"/>
      <c r="TSY95" s="240" t="n"/>
      <c r="TSZ95" s="240" t="n"/>
      <c r="TTB95" s="15" t="n"/>
      <c r="TTC95" s="15" t="n"/>
      <c r="TTD95" s="248" t="n"/>
      <c r="TTE95" s="248" t="n"/>
      <c r="TTF95" s="240" t="n"/>
      <c r="TTG95" s="240" t="n"/>
      <c r="TTI95" s="15" t="n"/>
      <c r="TTJ95" s="15" t="n"/>
      <c r="TTK95" s="248" t="n"/>
      <c r="TTL95" s="248" t="n"/>
      <c r="TTM95" s="240" t="n"/>
      <c r="TTN95" s="240" t="n"/>
      <c r="TTP95" s="15" t="n"/>
      <c r="TTQ95" s="15" t="n"/>
      <c r="TTR95" s="248" t="n"/>
      <c r="TTS95" s="248" t="n"/>
      <c r="TTT95" s="240" t="n"/>
      <c r="TTU95" s="240" t="n"/>
      <c r="TTW95" s="15" t="n"/>
      <c r="TTX95" s="15" t="n"/>
      <c r="TTY95" s="248" t="n"/>
      <c r="TTZ95" s="248" t="n"/>
      <c r="TUA95" s="240" t="n"/>
      <c r="TUB95" s="240" t="n"/>
      <c r="TUD95" s="15" t="n"/>
      <c r="TUE95" s="15" t="n"/>
      <c r="TUF95" s="248" t="n"/>
      <c r="TUG95" s="248" t="n"/>
      <c r="TUH95" s="240" t="n"/>
      <c r="TUI95" s="240" t="n"/>
      <c r="TUK95" s="15" t="n"/>
      <c r="TUL95" s="15" t="n"/>
      <c r="TUM95" s="248" t="n"/>
      <c r="TUN95" s="248" t="n"/>
      <c r="TUO95" s="240" t="n"/>
      <c r="TUP95" s="240" t="n"/>
      <c r="TUR95" s="15" t="n"/>
      <c r="TUS95" s="15" t="n"/>
      <c r="TUT95" s="248" t="n"/>
      <c r="TUU95" s="248" t="n"/>
      <c r="TUV95" s="240" t="n"/>
      <c r="TUW95" s="240" t="n"/>
      <c r="TUY95" s="15" t="n"/>
      <c r="TUZ95" s="15" t="n"/>
      <c r="TVA95" s="248" t="n"/>
      <c r="TVB95" s="248" t="n"/>
      <c r="TVC95" s="240" t="n"/>
      <c r="TVD95" s="240" t="n"/>
      <c r="TVF95" s="15" t="n"/>
      <c r="TVG95" s="15" t="n"/>
      <c r="TVH95" s="248" t="n"/>
      <c r="TVI95" s="248" t="n"/>
      <c r="TVJ95" s="240" t="n"/>
      <c r="TVK95" s="240" t="n"/>
      <c r="TVM95" s="15" t="n"/>
      <c r="TVN95" s="15" t="n"/>
      <c r="TVO95" s="248" t="n"/>
      <c r="TVP95" s="248" t="n"/>
      <c r="TVQ95" s="240" t="n"/>
      <c r="TVR95" s="240" t="n"/>
      <c r="TVT95" s="15" t="n"/>
      <c r="TVU95" s="15" t="n"/>
      <c r="TVV95" s="248" t="n"/>
      <c r="TVW95" s="248" t="n"/>
      <c r="TVX95" s="240" t="n"/>
      <c r="TVY95" s="240" t="n"/>
      <c r="TWA95" s="15" t="n"/>
      <c r="TWB95" s="15" t="n"/>
      <c r="TWC95" s="248" t="n"/>
      <c r="TWD95" s="248" t="n"/>
      <c r="TWE95" s="240" t="n"/>
      <c r="TWF95" s="240" t="n"/>
      <c r="TWH95" s="15" t="n"/>
      <c r="TWI95" s="15" t="n"/>
      <c r="TWJ95" s="248" t="n"/>
      <c r="TWK95" s="248" t="n"/>
      <c r="TWL95" s="240" t="n"/>
      <c r="TWM95" s="240" t="n"/>
      <c r="TWO95" s="15" t="n"/>
      <c r="TWP95" s="15" t="n"/>
      <c r="TWQ95" s="248" t="n"/>
      <c r="TWR95" s="248" t="n"/>
      <c r="TWS95" s="240" t="n"/>
      <c r="TWT95" s="240" t="n"/>
      <c r="TWV95" s="15" t="n"/>
      <c r="TWW95" s="15" t="n"/>
      <c r="TWX95" s="248" t="n"/>
      <c r="TWY95" s="248" t="n"/>
      <c r="TWZ95" s="240" t="n"/>
      <c r="TXA95" s="240" t="n"/>
      <c r="TXC95" s="15" t="n"/>
      <c r="TXD95" s="15" t="n"/>
      <c r="TXE95" s="248" t="n"/>
      <c r="TXF95" s="248" t="n"/>
      <c r="TXG95" s="240" t="n"/>
      <c r="TXH95" s="240" t="n"/>
      <c r="TXJ95" s="15" t="n"/>
      <c r="TXK95" s="15" t="n"/>
      <c r="TXL95" s="248" t="n"/>
      <c r="TXM95" s="248" t="n"/>
      <c r="TXN95" s="240" t="n"/>
      <c r="TXO95" s="240" t="n"/>
      <c r="TXQ95" s="15" t="n"/>
      <c r="TXR95" s="15" t="n"/>
      <c r="TXS95" s="248" t="n"/>
      <c r="TXT95" s="248" t="n"/>
      <c r="TXU95" s="240" t="n"/>
      <c r="TXV95" s="240" t="n"/>
      <c r="TXX95" s="15" t="n"/>
      <c r="TXY95" s="15" t="n"/>
      <c r="TXZ95" s="248" t="n"/>
      <c r="TYA95" s="248" t="n"/>
      <c r="TYB95" s="240" t="n"/>
      <c r="TYC95" s="240" t="n"/>
      <c r="TYE95" s="15" t="n"/>
      <c r="TYF95" s="15" t="n"/>
      <c r="TYG95" s="248" t="n"/>
      <c r="TYH95" s="248" t="n"/>
      <c r="TYI95" s="240" t="n"/>
      <c r="TYJ95" s="240" t="n"/>
      <c r="TYL95" s="15" t="n"/>
      <c r="TYM95" s="15" t="n"/>
      <c r="TYN95" s="248" t="n"/>
      <c r="TYO95" s="248" t="n"/>
      <c r="TYP95" s="240" t="n"/>
      <c r="TYQ95" s="240" t="n"/>
      <c r="TYS95" s="15" t="n"/>
      <c r="TYT95" s="15" t="n"/>
      <c r="TYU95" s="248" t="n"/>
      <c r="TYV95" s="248" t="n"/>
      <c r="TYW95" s="240" t="n"/>
      <c r="TYX95" s="240" t="n"/>
      <c r="TYZ95" s="15" t="n"/>
      <c r="TZA95" s="15" t="n"/>
      <c r="TZB95" s="248" t="n"/>
      <c r="TZC95" s="248" t="n"/>
      <c r="TZD95" s="240" t="n"/>
      <c r="TZE95" s="240" t="n"/>
      <c r="TZG95" s="15" t="n"/>
      <c r="TZH95" s="15" t="n"/>
      <c r="TZI95" s="248" t="n"/>
      <c r="TZJ95" s="248" t="n"/>
      <c r="TZK95" s="240" t="n"/>
      <c r="TZL95" s="240" t="n"/>
      <c r="TZN95" s="15" t="n"/>
      <c r="TZO95" s="15" t="n"/>
      <c r="TZP95" s="248" t="n"/>
      <c r="TZQ95" s="248" t="n"/>
      <c r="TZR95" s="240" t="n"/>
      <c r="TZS95" s="240" t="n"/>
      <c r="TZU95" s="15" t="n"/>
      <c r="TZV95" s="15" t="n"/>
      <c r="TZW95" s="248" t="n"/>
      <c r="TZX95" s="248" t="n"/>
      <c r="TZY95" s="240" t="n"/>
      <c r="TZZ95" s="240" t="n"/>
      <c r="UAB95" s="15" t="n"/>
      <c r="UAC95" s="15" t="n"/>
      <c r="UAD95" s="248" t="n"/>
      <c r="UAE95" s="248" t="n"/>
      <c r="UAF95" s="240" t="n"/>
      <c r="UAG95" s="240" t="n"/>
      <c r="UAI95" s="15" t="n"/>
      <c r="UAJ95" s="15" t="n"/>
      <c r="UAK95" s="248" t="n"/>
      <c r="UAL95" s="248" t="n"/>
      <c r="UAM95" s="240" t="n"/>
      <c r="UAN95" s="240" t="n"/>
      <c r="UAP95" s="15" t="n"/>
      <c r="UAQ95" s="15" t="n"/>
      <c r="UAR95" s="248" t="n"/>
      <c r="UAS95" s="248" t="n"/>
      <c r="UAT95" s="240" t="n"/>
      <c r="UAU95" s="240" t="n"/>
      <c r="UAW95" s="15" t="n"/>
      <c r="UAX95" s="15" t="n"/>
      <c r="UAY95" s="248" t="n"/>
      <c r="UAZ95" s="248" t="n"/>
      <c r="UBA95" s="240" t="n"/>
      <c r="UBB95" s="240" t="n"/>
      <c r="UBD95" s="15" t="n"/>
      <c r="UBE95" s="15" t="n"/>
      <c r="UBF95" s="248" t="n"/>
      <c r="UBG95" s="248" t="n"/>
      <c r="UBH95" s="240" t="n"/>
      <c r="UBI95" s="240" t="n"/>
      <c r="UBK95" s="15" t="n"/>
      <c r="UBL95" s="15" t="n"/>
      <c r="UBM95" s="248" t="n"/>
      <c r="UBN95" s="248" t="n"/>
      <c r="UBO95" s="240" t="n"/>
      <c r="UBP95" s="240" t="n"/>
      <c r="UBR95" s="15" t="n"/>
      <c r="UBS95" s="15" t="n"/>
      <c r="UBT95" s="248" t="n"/>
      <c r="UBU95" s="248" t="n"/>
      <c r="UBV95" s="240" t="n"/>
      <c r="UBW95" s="240" t="n"/>
      <c r="UBY95" s="15" t="n"/>
      <c r="UBZ95" s="15" t="n"/>
      <c r="UCA95" s="248" t="n"/>
      <c r="UCB95" s="248" t="n"/>
      <c r="UCC95" s="240" t="n"/>
      <c r="UCD95" s="240" t="n"/>
      <c r="UCF95" s="15" t="n"/>
      <c r="UCG95" s="15" t="n"/>
      <c r="UCH95" s="248" t="n"/>
      <c r="UCI95" s="248" t="n"/>
      <c r="UCJ95" s="240" t="n"/>
      <c r="UCK95" s="240" t="n"/>
      <c r="UCM95" s="15" t="n"/>
      <c r="UCN95" s="15" t="n"/>
      <c r="UCO95" s="248" t="n"/>
      <c r="UCP95" s="248" t="n"/>
      <c r="UCQ95" s="240" t="n"/>
      <c r="UCR95" s="240" t="n"/>
      <c r="UCT95" s="15" t="n"/>
      <c r="UCU95" s="15" t="n"/>
      <c r="UCV95" s="248" t="n"/>
      <c r="UCW95" s="248" t="n"/>
      <c r="UCX95" s="240" t="n"/>
      <c r="UCY95" s="240" t="n"/>
      <c r="UDA95" s="15" t="n"/>
      <c r="UDB95" s="15" t="n"/>
      <c r="UDC95" s="248" t="n"/>
      <c r="UDD95" s="248" t="n"/>
      <c r="UDE95" s="240" t="n"/>
      <c r="UDF95" s="240" t="n"/>
      <c r="UDH95" s="15" t="n"/>
      <c r="UDI95" s="15" t="n"/>
      <c r="UDJ95" s="248" t="n"/>
      <c r="UDK95" s="248" t="n"/>
      <c r="UDL95" s="240" t="n"/>
      <c r="UDM95" s="240" t="n"/>
      <c r="UDO95" s="15" t="n"/>
      <c r="UDP95" s="15" t="n"/>
      <c r="UDQ95" s="248" t="n"/>
      <c r="UDR95" s="248" t="n"/>
      <c r="UDS95" s="240" t="n"/>
      <c r="UDT95" s="240" t="n"/>
      <c r="UDV95" s="15" t="n"/>
      <c r="UDW95" s="15" t="n"/>
      <c r="UDX95" s="248" t="n"/>
      <c r="UDY95" s="248" t="n"/>
      <c r="UDZ95" s="240" t="n"/>
      <c r="UEA95" s="240" t="n"/>
      <c r="UEC95" s="15" t="n"/>
      <c r="UED95" s="15" t="n"/>
      <c r="UEE95" s="248" t="n"/>
      <c r="UEF95" s="248" t="n"/>
      <c r="UEG95" s="240" t="n"/>
      <c r="UEH95" s="240" t="n"/>
      <c r="UEJ95" s="15" t="n"/>
      <c r="UEK95" s="15" t="n"/>
      <c r="UEL95" s="248" t="n"/>
      <c r="UEM95" s="248" t="n"/>
      <c r="UEN95" s="240" t="n"/>
      <c r="UEO95" s="240" t="n"/>
      <c r="UEQ95" s="15" t="n"/>
      <c r="UER95" s="15" t="n"/>
      <c r="UES95" s="248" t="n"/>
      <c r="UET95" s="248" t="n"/>
      <c r="UEU95" s="240" t="n"/>
      <c r="UEV95" s="240" t="n"/>
      <c r="UEX95" s="15" t="n"/>
      <c r="UEY95" s="15" t="n"/>
      <c r="UEZ95" s="248" t="n"/>
      <c r="UFA95" s="248" t="n"/>
      <c r="UFB95" s="240" t="n"/>
      <c r="UFC95" s="240" t="n"/>
      <c r="UFE95" s="15" t="n"/>
      <c r="UFF95" s="15" t="n"/>
      <c r="UFG95" s="248" t="n"/>
      <c r="UFH95" s="248" t="n"/>
      <c r="UFI95" s="240" t="n"/>
      <c r="UFJ95" s="240" t="n"/>
      <c r="UFL95" s="15" t="n"/>
      <c r="UFM95" s="15" t="n"/>
      <c r="UFN95" s="248" t="n"/>
      <c r="UFO95" s="248" t="n"/>
      <c r="UFP95" s="240" t="n"/>
      <c r="UFQ95" s="240" t="n"/>
      <c r="UFS95" s="15" t="n"/>
      <c r="UFT95" s="15" t="n"/>
      <c r="UFU95" s="248" t="n"/>
      <c r="UFV95" s="248" t="n"/>
      <c r="UFW95" s="240" t="n"/>
      <c r="UFX95" s="240" t="n"/>
      <c r="UFZ95" s="15" t="n"/>
      <c r="UGA95" s="15" t="n"/>
      <c r="UGB95" s="248" t="n"/>
      <c r="UGC95" s="248" t="n"/>
      <c r="UGD95" s="240" t="n"/>
      <c r="UGE95" s="240" t="n"/>
      <c r="UGG95" s="15" t="n"/>
      <c r="UGH95" s="15" t="n"/>
      <c r="UGI95" s="248" t="n"/>
      <c r="UGJ95" s="248" t="n"/>
      <c r="UGK95" s="240" t="n"/>
      <c r="UGL95" s="240" t="n"/>
      <c r="UGN95" s="15" t="n"/>
      <c r="UGO95" s="15" t="n"/>
      <c r="UGP95" s="248" t="n"/>
      <c r="UGQ95" s="248" t="n"/>
      <c r="UGR95" s="240" t="n"/>
      <c r="UGS95" s="240" t="n"/>
      <c r="UGU95" s="15" t="n"/>
      <c r="UGV95" s="15" t="n"/>
      <c r="UGW95" s="248" t="n"/>
      <c r="UGX95" s="248" t="n"/>
      <c r="UGY95" s="240" t="n"/>
      <c r="UGZ95" s="240" t="n"/>
      <c r="UHB95" s="15" t="n"/>
      <c r="UHC95" s="15" t="n"/>
      <c r="UHD95" s="248" t="n"/>
      <c r="UHE95" s="248" t="n"/>
      <c r="UHF95" s="240" t="n"/>
      <c r="UHG95" s="240" t="n"/>
      <c r="UHI95" s="15" t="n"/>
      <c r="UHJ95" s="15" t="n"/>
      <c r="UHK95" s="248" t="n"/>
      <c r="UHL95" s="248" t="n"/>
      <c r="UHM95" s="240" t="n"/>
      <c r="UHN95" s="240" t="n"/>
      <c r="UHP95" s="15" t="n"/>
      <c r="UHQ95" s="15" t="n"/>
      <c r="UHR95" s="248" t="n"/>
      <c r="UHS95" s="248" t="n"/>
      <c r="UHT95" s="240" t="n"/>
      <c r="UHU95" s="240" t="n"/>
      <c r="UHW95" s="15" t="n"/>
      <c r="UHX95" s="15" t="n"/>
      <c r="UHY95" s="248" t="n"/>
      <c r="UHZ95" s="248" t="n"/>
      <c r="UIA95" s="240" t="n"/>
      <c r="UIB95" s="240" t="n"/>
      <c r="UID95" s="15" t="n"/>
      <c r="UIE95" s="15" t="n"/>
      <c r="UIF95" s="248" t="n"/>
      <c r="UIG95" s="248" t="n"/>
      <c r="UIH95" s="240" t="n"/>
      <c r="UII95" s="240" t="n"/>
      <c r="UIK95" s="15" t="n"/>
      <c r="UIL95" s="15" t="n"/>
      <c r="UIM95" s="248" t="n"/>
      <c r="UIN95" s="248" t="n"/>
      <c r="UIO95" s="240" t="n"/>
      <c r="UIP95" s="240" t="n"/>
      <c r="UIR95" s="15" t="n"/>
      <c r="UIS95" s="15" t="n"/>
      <c r="UIT95" s="248" t="n"/>
      <c r="UIU95" s="248" t="n"/>
      <c r="UIV95" s="240" t="n"/>
      <c r="UIW95" s="240" t="n"/>
      <c r="UIY95" s="15" t="n"/>
      <c r="UIZ95" s="15" t="n"/>
      <c r="UJA95" s="248" t="n"/>
      <c r="UJB95" s="248" t="n"/>
      <c r="UJC95" s="240" t="n"/>
      <c r="UJD95" s="240" t="n"/>
      <c r="UJF95" s="15" t="n"/>
      <c r="UJG95" s="15" t="n"/>
      <c r="UJH95" s="248" t="n"/>
      <c r="UJI95" s="248" t="n"/>
      <c r="UJJ95" s="240" t="n"/>
      <c r="UJK95" s="240" t="n"/>
      <c r="UJM95" s="15" t="n"/>
      <c r="UJN95" s="15" t="n"/>
      <c r="UJO95" s="248" t="n"/>
      <c r="UJP95" s="248" t="n"/>
      <c r="UJQ95" s="240" t="n"/>
      <c r="UJR95" s="240" t="n"/>
      <c r="UJT95" s="15" t="n"/>
      <c r="UJU95" s="15" t="n"/>
      <c r="UJV95" s="248" t="n"/>
      <c r="UJW95" s="248" t="n"/>
      <c r="UJX95" s="240" t="n"/>
      <c r="UJY95" s="240" t="n"/>
      <c r="UKA95" s="15" t="n"/>
      <c r="UKB95" s="15" t="n"/>
      <c r="UKC95" s="248" t="n"/>
      <c r="UKD95" s="248" t="n"/>
      <c r="UKE95" s="240" t="n"/>
      <c r="UKF95" s="240" t="n"/>
      <c r="UKH95" s="15" t="n"/>
      <c r="UKI95" s="15" t="n"/>
      <c r="UKJ95" s="248" t="n"/>
      <c r="UKK95" s="248" t="n"/>
      <c r="UKL95" s="240" t="n"/>
      <c r="UKM95" s="240" t="n"/>
      <c r="UKO95" s="15" t="n"/>
      <c r="UKP95" s="15" t="n"/>
      <c r="UKQ95" s="248" t="n"/>
      <c r="UKR95" s="248" t="n"/>
      <c r="UKS95" s="240" t="n"/>
      <c r="UKT95" s="240" t="n"/>
      <c r="UKV95" s="15" t="n"/>
      <c r="UKW95" s="15" t="n"/>
      <c r="UKX95" s="248" t="n"/>
      <c r="UKY95" s="248" t="n"/>
      <c r="UKZ95" s="240" t="n"/>
      <c r="ULA95" s="240" t="n"/>
      <c r="ULC95" s="15" t="n"/>
      <c r="ULD95" s="15" t="n"/>
      <c r="ULE95" s="248" t="n"/>
      <c r="ULF95" s="248" t="n"/>
      <c r="ULG95" s="240" t="n"/>
      <c r="ULH95" s="240" t="n"/>
      <c r="ULJ95" s="15" t="n"/>
      <c r="ULK95" s="15" t="n"/>
      <c r="ULL95" s="248" t="n"/>
      <c r="ULM95" s="248" t="n"/>
      <c r="ULN95" s="240" t="n"/>
      <c r="ULO95" s="240" t="n"/>
      <c r="ULQ95" s="15" t="n"/>
      <c r="ULR95" s="15" t="n"/>
      <c r="ULS95" s="248" t="n"/>
      <c r="ULT95" s="248" t="n"/>
      <c r="ULU95" s="240" t="n"/>
      <c r="ULV95" s="240" t="n"/>
      <c r="ULX95" s="15" t="n"/>
      <c r="ULY95" s="15" t="n"/>
      <c r="ULZ95" s="248" t="n"/>
      <c r="UMA95" s="248" t="n"/>
      <c r="UMB95" s="240" t="n"/>
      <c r="UMC95" s="240" t="n"/>
      <c r="UME95" s="15" t="n"/>
      <c r="UMF95" s="15" t="n"/>
      <c r="UMG95" s="248" t="n"/>
      <c r="UMH95" s="248" t="n"/>
      <c r="UMI95" s="240" t="n"/>
      <c r="UMJ95" s="240" t="n"/>
      <c r="UML95" s="15" t="n"/>
      <c r="UMM95" s="15" t="n"/>
      <c r="UMN95" s="248" t="n"/>
      <c r="UMO95" s="248" t="n"/>
      <c r="UMP95" s="240" t="n"/>
      <c r="UMQ95" s="240" t="n"/>
      <c r="UMS95" s="15" t="n"/>
      <c r="UMT95" s="15" t="n"/>
      <c r="UMU95" s="248" t="n"/>
      <c r="UMV95" s="248" t="n"/>
      <c r="UMW95" s="240" t="n"/>
      <c r="UMX95" s="240" t="n"/>
      <c r="UMZ95" s="15" t="n"/>
      <c r="UNA95" s="15" t="n"/>
      <c r="UNB95" s="248" t="n"/>
      <c r="UNC95" s="248" t="n"/>
      <c r="UND95" s="240" t="n"/>
      <c r="UNE95" s="240" t="n"/>
      <c r="UNG95" s="15" t="n"/>
      <c r="UNH95" s="15" t="n"/>
      <c r="UNI95" s="248" t="n"/>
      <c r="UNJ95" s="248" t="n"/>
      <c r="UNK95" s="240" t="n"/>
      <c r="UNL95" s="240" t="n"/>
      <c r="UNN95" s="15" t="n"/>
      <c r="UNO95" s="15" t="n"/>
      <c r="UNP95" s="248" t="n"/>
      <c r="UNQ95" s="248" t="n"/>
      <c r="UNR95" s="240" t="n"/>
      <c r="UNS95" s="240" t="n"/>
      <c r="UNU95" s="15" t="n"/>
      <c r="UNV95" s="15" t="n"/>
      <c r="UNW95" s="248" t="n"/>
      <c r="UNX95" s="248" t="n"/>
      <c r="UNY95" s="240" t="n"/>
      <c r="UNZ95" s="240" t="n"/>
      <c r="UOB95" s="15" t="n"/>
      <c r="UOC95" s="15" t="n"/>
      <c r="UOD95" s="248" t="n"/>
      <c r="UOE95" s="248" t="n"/>
      <c r="UOF95" s="240" t="n"/>
      <c r="UOG95" s="240" t="n"/>
      <c r="UOI95" s="15" t="n"/>
      <c r="UOJ95" s="15" t="n"/>
      <c r="UOK95" s="248" t="n"/>
      <c r="UOL95" s="248" t="n"/>
      <c r="UOM95" s="240" t="n"/>
      <c r="UON95" s="240" t="n"/>
      <c r="UOP95" s="15" t="n"/>
      <c r="UOQ95" s="15" t="n"/>
      <c r="UOR95" s="248" t="n"/>
      <c r="UOS95" s="248" t="n"/>
      <c r="UOT95" s="240" t="n"/>
      <c r="UOU95" s="240" t="n"/>
      <c r="UOW95" s="15" t="n"/>
      <c r="UOX95" s="15" t="n"/>
      <c r="UOY95" s="248" t="n"/>
      <c r="UOZ95" s="248" t="n"/>
      <c r="UPA95" s="240" t="n"/>
      <c r="UPB95" s="240" t="n"/>
      <c r="UPD95" s="15" t="n"/>
      <c r="UPE95" s="15" t="n"/>
      <c r="UPF95" s="248" t="n"/>
      <c r="UPG95" s="248" t="n"/>
      <c r="UPH95" s="240" t="n"/>
      <c r="UPI95" s="240" t="n"/>
      <c r="UPK95" s="15" t="n"/>
      <c r="UPL95" s="15" t="n"/>
      <c r="UPM95" s="248" t="n"/>
      <c r="UPN95" s="248" t="n"/>
      <c r="UPO95" s="240" t="n"/>
      <c r="UPP95" s="240" t="n"/>
      <c r="UPR95" s="15" t="n"/>
      <c r="UPS95" s="15" t="n"/>
      <c r="UPT95" s="248" t="n"/>
      <c r="UPU95" s="248" t="n"/>
      <c r="UPV95" s="240" t="n"/>
      <c r="UPW95" s="240" t="n"/>
      <c r="UPY95" s="15" t="n"/>
      <c r="UPZ95" s="15" t="n"/>
      <c r="UQA95" s="248" t="n"/>
      <c r="UQB95" s="248" t="n"/>
      <c r="UQC95" s="240" t="n"/>
      <c r="UQD95" s="240" t="n"/>
      <c r="UQF95" s="15" t="n"/>
      <c r="UQG95" s="15" t="n"/>
      <c r="UQH95" s="248" t="n"/>
      <c r="UQI95" s="248" t="n"/>
      <c r="UQJ95" s="240" t="n"/>
      <c r="UQK95" s="240" t="n"/>
      <c r="UQM95" s="15" t="n"/>
      <c r="UQN95" s="15" t="n"/>
      <c r="UQO95" s="248" t="n"/>
      <c r="UQP95" s="248" t="n"/>
      <c r="UQQ95" s="240" t="n"/>
      <c r="UQR95" s="240" t="n"/>
      <c r="UQT95" s="15" t="n"/>
      <c r="UQU95" s="15" t="n"/>
      <c r="UQV95" s="248" t="n"/>
      <c r="UQW95" s="248" t="n"/>
      <c r="UQX95" s="240" t="n"/>
      <c r="UQY95" s="240" t="n"/>
      <c r="URA95" s="15" t="n"/>
      <c r="URB95" s="15" t="n"/>
      <c r="URC95" s="248" t="n"/>
      <c r="URD95" s="248" t="n"/>
      <c r="URE95" s="240" t="n"/>
      <c r="URF95" s="240" t="n"/>
      <c r="URH95" s="15" t="n"/>
      <c r="URI95" s="15" t="n"/>
      <c r="URJ95" s="248" t="n"/>
      <c r="URK95" s="248" t="n"/>
      <c r="URL95" s="240" t="n"/>
      <c r="URM95" s="240" t="n"/>
      <c r="URO95" s="15" t="n"/>
      <c r="URP95" s="15" t="n"/>
      <c r="URQ95" s="248" t="n"/>
      <c r="URR95" s="248" t="n"/>
      <c r="URS95" s="240" t="n"/>
      <c r="URT95" s="240" t="n"/>
      <c r="URV95" s="15" t="n"/>
      <c r="URW95" s="15" t="n"/>
      <c r="URX95" s="248" t="n"/>
      <c r="URY95" s="248" t="n"/>
      <c r="URZ95" s="240" t="n"/>
      <c r="USA95" s="240" t="n"/>
      <c r="USC95" s="15" t="n"/>
      <c r="USD95" s="15" t="n"/>
      <c r="USE95" s="248" t="n"/>
      <c r="USF95" s="248" t="n"/>
      <c r="USG95" s="240" t="n"/>
      <c r="USH95" s="240" t="n"/>
      <c r="USJ95" s="15" t="n"/>
      <c r="USK95" s="15" t="n"/>
      <c r="USL95" s="248" t="n"/>
      <c r="USM95" s="248" t="n"/>
      <c r="USN95" s="240" t="n"/>
      <c r="USO95" s="240" t="n"/>
      <c r="USQ95" s="15" t="n"/>
      <c r="USR95" s="15" t="n"/>
      <c r="USS95" s="248" t="n"/>
      <c r="UST95" s="248" t="n"/>
      <c r="USU95" s="240" t="n"/>
      <c r="USV95" s="240" t="n"/>
      <c r="USX95" s="15" t="n"/>
      <c r="USY95" s="15" t="n"/>
      <c r="USZ95" s="248" t="n"/>
      <c r="UTA95" s="248" t="n"/>
      <c r="UTB95" s="240" t="n"/>
      <c r="UTC95" s="240" t="n"/>
      <c r="UTE95" s="15" t="n"/>
      <c r="UTF95" s="15" t="n"/>
      <c r="UTG95" s="248" t="n"/>
      <c r="UTH95" s="248" t="n"/>
      <c r="UTI95" s="240" t="n"/>
      <c r="UTJ95" s="240" t="n"/>
      <c r="UTL95" s="15" t="n"/>
      <c r="UTM95" s="15" t="n"/>
      <c r="UTN95" s="248" t="n"/>
      <c r="UTO95" s="248" t="n"/>
      <c r="UTP95" s="240" t="n"/>
      <c r="UTQ95" s="240" t="n"/>
      <c r="UTS95" s="15" t="n"/>
      <c r="UTT95" s="15" t="n"/>
      <c r="UTU95" s="248" t="n"/>
      <c r="UTV95" s="248" t="n"/>
      <c r="UTW95" s="240" t="n"/>
      <c r="UTX95" s="240" t="n"/>
      <c r="UTZ95" s="15" t="n"/>
      <c r="UUA95" s="15" t="n"/>
      <c r="UUB95" s="248" t="n"/>
      <c r="UUC95" s="248" t="n"/>
      <c r="UUD95" s="240" t="n"/>
      <c r="UUE95" s="240" t="n"/>
      <c r="UUG95" s="15" t="n"/>
      <c r="UUH95" s="15" t="n"/>
      <c r="UUI95" s="248" t="n"/>
      <c r="UUJ95" s="248" t="n"/>
      <c r="UUK95" s="240" t="n"/>
      <c r="UUL95" s="240" t="n"/>
      <c r="UUN95" s="15" t="n"/>
      <c r="UUO95" s="15" t="n"/>
      <c r="UUP95" s="248" t="n"/>
      <c r="UUQ95" s="248" t="n"/>
      <c r="UUR95" s="240" t="n"/>
      <c r="UUS95" s="240" t="n"/>
      <c r="UUU95" s="15" t="n"/>
      <c r="UUV95" s="15" t="n"/>
      <c r="UUW95" s="248" t="n"/>
      <c r="UUX95" s="248" t="n"/>
      <c r="UUY95" s="240" t="n"/>
      <c r="UUZ95" s="240" t="n"/>
      <c r="UVB95" s="15" t="n"/>
      <c r="UVC95" s="15" t="n"/>
      <c r="UVD95" s="248" t="n"/>
      <c r="UVE95" s="248" t="n"/>
      <c r="UVF95" s="240" t="n"/>
      <c r="UVG95" s="240" t="n"/>
      <c r="UVI95" s="15" t="n"/>
      <c r="UVJ95" s="15" t="n"/>
      <c r="UVK95" s="248" t="n"/>
      <c r="UVL95" s="248" t="n"/>
      <c r="UVM95" s="240" t="n"/>
      <c r="UVN95" s="240" t="n"/>
      <c r="UVP95" s="15" t="n"/>
      <c r="UVQ95" s="15" t="n"/>
      <c r="UVR95" s="248" t="n"/>
      <c r="UVS95" s="248" t="n"/>
      <c r="UVT95" s="240" t="n"/>
      <c r="UVU95" s="240" t="n"/>
      <c r="UVW95" s="15" t="n"/>
      <c r="UVX95" s="15" t="n"/>
      <c r="UVY95" s="248" t="n"/>
      <c r="UVZ95" s="248" t="n"/>
      <c r="UWA95" s="240" t="n"/>
      <c r="UWB95" s="240" t="n"/>
      <c r="UWD95" s="15" t="n"/>
      <c r="UWE95" s="15" t="n"/>
      <c r="UWF95" s="248" t="n"/>
      <c r="UWG95" s="248" t="n"/>
      <c r="UWH95" s="240" t="n"/>
      <c r="UWI95" s="240" t="n"/>
      <c r="UWK95" s="15" t="n"/>
      <c r="UWL95" s="15" t="n"/>
      <c r="UWM95" s="248" t="n"/>
      <c r="UWN95" s="248" t="n"/>
      <c r="UWO95" s="240" t="n"/>
      <c r="UWP95" s="240" t="n"/>
      <c r="UWR95" s="15" t="n"/>
      <c r="UWS95" s="15" t="n"/>
      <c r="UWT95" s="248" t="n"/>
      <c r="UWU95" s="248" t="n"/>
      <c r="UWV95" s="240" t="n"/>
      <c r="UWW95" s="240" t="n"/>
      <c r="UWY95" s="15" t="n"/>
      <c r="UWZ95" s="15" t="n"/>
      <c r="UXA95" s="248" t="n"/>
      <c r="UXB95" s="248" t="n"/>
      <c r="UXC95" s="240" t="n"/>
      <c r="UXD95" s="240" t="n"/>
      <c r="UXF95" s="15" t="n"/>
      <c r="UXG95" s="15" t="n"/>
      <c r="UXH95" s="248" t="n"/>
      <c r="UXI95" s="248" t="n"/>
      <c r="UXJ95" s="240" t="n"/>
      <c r="UXK95" s="240" t="n"/>
      <c r="UXM95" s="15" t="n"/>
      <c r="UXN95" s="15" t="n"/>
      <c r="UXO95" s="248" t="n"/>
      <c r="UXP95" s="248" t="n"/>
      <c r="UXQ95" s="240" t="n"/>
      <c r="UXR95" s="240" t="n"/>
      <c r="UXT95" s="15" t="n"/>
      <c r="UXU95" s="15" t="n"/>
      <c r="UXV95" s="248" t="n"/>
      <c r="UXW95" s="248" t="n"/>
      <c r="UXX95" s="240" t="n"/>
      <c r="UXY95" s="240" t="n"/>
      <c r="UYA95" s="15" t="n"/>
      <c r="UYB95" s="15" t="n"/>
      <c r="UYC95" s="248" t="n"/>
      <c r="UYD95" s="248" t="n"/>
      <c r="UYE95" s="240" t="n"/>
      <c r="UYF95" s="240" t="n"/>
      <c r="UYH95" s="15" t="n"/>
      <c r="UYI95" s="15" t="n"/>
      <c r="UYJ95" s="248" t="n"/>
      <c r="UYK95" s="248" t="n"/>
      <c r="UYL95" s="240" t="n"/>
      <c r="UYM95" s="240" t="n"/>
      <c r="UYO95" s="15" t="n"/>
      <c r="UYP95" s="15" t="n"/>
      <c r="UYQ95" s="248" t="n"/>
      <c r="UYR95" s="248" t="n"/>
      <c r="UYS95" s="240" t="n"/>
      <c r="UYT95" s="240" t="n"/>
      <c r="UYV95" s="15" t="n"/>
      <c r="UYW95" s="15" t="n"/>
      <c r="UYX95" s="248" t="n"/>
      <c r="UYY95" s="248" t="n"/>
      <c r="UYZ95" s="240" t="n"/>
      <c r="UZA95" s="240" t="n"/>
      <c r="UZC95" s="15" t="n"/>
      <c r="UZD95" s="15" t="n"/>
      <c r="UZE95" s="248" t="n"/>
      <c r="UZF95" s="248" t="n"/>
      <c r="UZG95" s="240" t="n"/>
      <c r="UZH95" s="240" t="n"/>
      <c r="UZJ95" s="15" t="n"/>
      <c r="UZK95" s="15" t="n"/>
      <c r="UZL95" s="248" t="n"/>
      <c r="UZM95" s="248" t="n"/>
      <c r="UZN95" s="240" t="n"/>
      <c r="UZO95" s="240" t="n"/>
      <c r="UZQ95" s="15" t="n"/>
      <c r="UZR95" s="15" t="n"/>
      <c r="UZS95" s="248" t="n"/>
      <c r="UZT95" s="248" t="n"/>
      <c r="UZU95" s="240" t="n"/>
      <c r="UZV95" s="240" t="n"/>
      <c r="UZX95" s="15" t="n"/>
      <c r="UZY95" s="15" t="n"/>
      <c r="UZZ95" s="248" t="n"/>
      <c r="VAA95" s="248" t="n"/>
      <c r="VAB95" s="240" t="n"/>
      <c r="VAC95" s="240" t="n"/>
      <c r="VAE95" s="15" t="n"/>
      <c r="VAF95" s="15" t="n"/>
      <c r="VAG95" s="248" t="n"/>
      <c r="VAH95" s="248" t="n"/>
      <c r="VAI95" s="240" t="n"/>
      <c r="VAJ95" s="240" t="n"/>
      <c r="VAL95" s="15" t="n"/>
      <c r="VAM95" s="15" t="n"/>
      <c r="VAN95" s="248" t="n"/>
      <c r="VAO95" s="248" t="n"/>
      <c r="VAP95" s="240" t="n"/>
      <c r="VAQ95" s="240" t="n"/>
      <c r="VAS95" s="15" t="n"/>
      <c r="VAT95" s="15" t="n"/>
      <c r="VAU95" s="248" t="n"/>
      <c r="VAV95" s="248" t="n"/>
      <c r="VAW95" s="240" t="n"/>
      <c r="VAX95" s="240" t="n"/>
      <c r="VAZ95" s="15" t="n"/>
      <c r="VBA95" s="15" t="n"/>
      <c r="VBB95" s="248" t="n"/>
      <c r="VBC95" s="248" t="n"/>
      <c r="VBD95" s="240" t="n"/>
      <c r="VBE95" s="240" t="n"/>
      <c r="VBG95" s="15" t="n"/>
      <c r="VBH95" s="15" t="n"/>
      <c r="VBI95" s="248" t="n"/>
      <c r="VBJ95" s="248" t="n"/>
      <c r="VBK95" s="240" t="n"/>
      <c r="VBL95" s="240" t="n"/>
      <c r="VBN95" s="15" t="n"/>
      <c r="VBO95" s="15" t="n"/>
      <c r="VBP95" s="248" t="n"/>
      <c r="VBQ95" s="248" t="n"/>
      <c r="VBR95" s="240" t="n"/>
      <c r="VBS95" s="240" t="n"/>
      <c r="VBU95" s="15" t="n"/>
      <c r="VBV95" s="15" t="n"/>
      <c r="VBW95" s="248" t="n"/>
      <c r="VBX95" s="248" t="n"/>
      <c r="VBY95" s="240" t="n"/>
      <c r="VBZ95" s="240" t="n"/>
      <c r="VCB95" s="15" t="n"/>
      <c r="VCC95" s="15" t="n"/>
      <c r="VCD95" s="248" t="n"/>
      <c r="VCE95" s="248" t="n"/>
      <c r="VCF95" s="240" t="n"/>
      <c r="VCG95" s="240" t="n"/>
      <c r="VCI95" s="15" t="n"/>
      <c r="VCJ95" s="15" t="n"/>
      <c r="VCK95" s="248" t="n"/>
      <c r="VCL95" s="248" t="n"/>
      <c r="VCM95" s="240" t="n"/>
      <c r="VCN95" s="240" t="n"/>
      <c r="VCP95" s="15" t="n"/>
      <c r="VCQ95" s="15" t="n"/>
      <c r="VCR95" s="248" t="n"/>
      <c r="VCS95" s="248" t="n"/>
      <c r="VCT95" s="240" t="n"/>
      <c r="VCU95" s="240" t="n"/>
      <c r="VCW95" s="15" t="n"/>
      <c r="VCX95" s="15" t="n"/>
      <c r="VCY95" s="248" t="n"/>
      <c r="VCZ95" s="248" t="n"/>
      <c r="VDA95" s="240" t="n"/>
      <c r="VDB95" s="240" t="n"/>
      <c r="VDD95" s="15" t="n"/>
      <c r="VDE95" s="15" t="n"/>
      <c r="VDF95" s="248" t="n"/>
      <c r="VDG95" s="248" t="n"/>
      <c r="VDH95" s="240" t="n"/>
      <c r="VDI95" s="240" t="n"/>
      <c r="VDK95" s="15" t="n"/>
      <c r="VDL95" s="15" t="n"/>
      <c r="VDM95" s="248" t="n"/>
      <c r="VDN95" s="248" t="n"/>
      <c r="VDO95" s="240" t="n"/>
      <c r="VDP95" s="240" t="n"/>
      <c r="VDR95" s="15" t="n"/>
      <c r="VDS95" s="15" t="n"/>
      <c r="VDT95" s="248" t="n"/>
      <c r="VDU95" s="248" t="n"/>
      <c r="VDV95" s="240" t="n"/>
      <c r="VDW95" s="240" t="n"/>
      <c r="VDY95" s="15" t="n"/>
      <c r="VDZ95" s="15" t="n"/>
      <c r="VEA95" s="248" t="n"/>
      <c r="VEB95" s="248" t="n"/>
      <c r="VEC95" s="240" t="n"/>
      <c r="VED95" s="240" t="n"/>
      <c r="VEF95" s="15" t="n"/>
      <c r="VEG95" s="15" t="n"/>
      <c r="VEH95" s="248" t="n"/>
      <c r="VEI95" s="248" t="n"/>
      <c r="VEJ95" s="240" t="n"/>
      <c r="VEK95" s="240" t="n"/>
      <c r="VEM95" s="15" t="n"/>
      <c r="VEN95" s="15" t="n"/>
      <c r="VEO95" s="248" t="n"/>
      <c r="VEP95" s="248" t="n"/>
      <c r="VEQ95" s="240" t="n"/>
      <c r="VER95" s="240" t="n"/>
      <c r="VET95" s="15" t="n"/>
      <c r="VEU95" s="15" t="n"/>
      <c r="VEV95" s="248" t="n"/>
      <c r="VEW95" s="248" t="n"/>
      <c r="VEX95" s="240" t="n"/>
      <c r="VEY95" s="240" t="n"/>
      <c r="VFA95" s="15" t="n"/>
      <c r="VFB95" s="15" t="n"/>
      <c r="VFC95" s="248" t="n"/>
      <c r="VFD95" s="248" t="n"/>
      <c r="VFE95" s="240" t="n"/>
      <c r="VFF95" s="240" t="n"/>
      <c r="VFH95" s="15" t="n"/>
      <c r="VFI95" s="15" t="n"/>
      <c r="VFJ95" s="248" t="n"/>
      <c r="VFK95" s="248" t="n"/>
      <c r="VFL95" s="240" t="n"/>
      <c r="VFM95" s="240" t="n"/>
      <c r="VFO95" s="15" t="n"/>
      <c r="VFP95" s="15" t="n"/>
      <c r="VFQ95" s="248" t="n"/>
      <c r="VFR95" s="248" t="n"/>
      <c r="VFS95" s="240" t="n"/>
      <c r="VFT95" s="240" t="n"/>
      <c r="VFV95" s="15" t="n"/>
      <c r="VFW95" s="15" t="n"/>
      <c r="VFX95" s="248" t="n"/>
      <c r="VFY95" s="248" t="n"/>
      <c r="VFZ95" s="240" t="n"/>
      <c r="VGA95" s="240" t="n"/>
      <c r="VGC95" s="15" t="n"/>
      <c r="VGD95" s="15" t="n"/>
      <c r="VGE95" s="248" t="n"/>
      <c r="VGF95" s="248" t="n"/>
      <c r="VGG95" s="240" t="n"/>
      <c r="VGH95" s="240" t="n"/>
      <c r="VGJ95" s="15" t="n"/>
      <c r="VGK95" s="15" t="n"/>
      <c r="VGL95" s="248" t="n"/>
      <c r="VGM95" s="248" t="n"/>
      <c r="VGN95" s="240" t="n"/>
      <c r="VGO95" s="240" t="n"/>
      <c r="VGQ95" s="15" t="n"/>
      <c r="VGR95" s="15" t="n"/>
      <c r="VGS95" s="248" t="n"/>
      <c r="VGT95" s="248" t="n"/>
      <c r="VGU95" s="240" t="n"/>
      <c r="VGV95" s="240" t="n"/>
      <c r="VGX95" s="15" t="n"/>
      <c r="VGY95" s="15" t="n"/>
      <c r="VGZ95" s="248" t="n"/>
      <c r="VHA95" s="248" t="n"/>
      <c r="VHB95" s="240" t="n"/>
      <c r="VHC95" s="240" t="n"/>
      <c r="VHE95" s="15" t="n"/>
      <c r="VHF95" s="15" t="n"/>
      <c r="VHG95" s="248" t="n"/>
      <c r="VHH95" s="248" t="n"/>
      <c r="VHI95" s="240" t="n"/>
      <c r="VHJ95" s="240" t="n"/>
      <c r="VHL95" s="15" t="n"/>
      <c r="VHM95" s="15" t="n"/>
      <c r="VHN95" s="248" t="n"/>
      <c r="VHO95" s="248" t="n"/>
      <c r="VHP95" s="240" t="n"/>
      <c r="VHQ95" s="240" t="n"/>
      <c r="VHS95" s="15" t="n"/>
      <c r="VHT95" s="15" t="n"/>
      <c r="VHU95" s="248" t="n"/>
      <c r="VHV95" s="248" t="n"/>
      <c r="VHW95" s="240" t="n"/>
      <c r="VHX95" s="240" t="n"/>
      <c r="VHZ95" s="15" t="n"/>
      <c r="VIA95" s="15" t="n"/>
      <c r="VIB95" s="248" t="n"/>
      <c r="VIC95" s="248" t="n"/>
      <c r="VID95" s="240" t="n"/>
      <c r="VIE95" s="240" t="n"/>
      <c r="VIG95" s="15" t="n"/>
      <c r="VIH95" s="15" t="n"/>
      <c r="VII95" s="248" t="n"/>
      <c r="VIJ95" s="248" t="n"/>
      <c r="VIK95" s="240" t="n"/>
      <c r="VIL95" s="240" t="n"/>
      <c r="VIN95" s="15" t="n"/>
      <c r="VIO95" s="15" t="n"/>
      <c r="VIP95" s="248" t="n"/>
      <c r="VIQ95" s="248" t="n"/>
      <c r="VIR95" s="240" t="n"/>
      <c r="VIS95" s="240" t="n"/>
      <c r="VIU95" s="15" t="n"/>
      <c r="VIV95" s="15" t="n"/>
      <c r="VIW95" s="248" t="n"/>
      <c r="VIX95" s="248" t="n"/>
      <c r="VIY95" s="240" t="n"/>
      <c r="VIZ95" s="240" t="n"/>
      <c r="VJB95" s="15" t="n"/>
      <c r="VJC95" s="15" t="n"/>
      <c r="VJD95" s="248" t="n"/>
      <c r="VJE95" s="248" t="n"/>
      <c r="VJF95" s="240" t="n"/>
      <c r="VJG95" s="240" t="n"/>
      <c r="VJI95" s="15" t="n"/>
      <c r="VJJ95" s="15" t="n"/>
      <c r="VJK95" s="248" t="n"/>
      <c r="VJL95" s="248" t="n"/>
      <c r="VJM95" s="240" t="n"/>
      <c r="VJN95" s="240" t="n"/>
      <c r="VJP95" s="15" t="n"/>
      <c r="VJQ95" s="15" t="n"/>
      <c r="VJR95" s="248" t="n"/>
      <c r="VJS95" s="248" t="n"/>
      <c r="VJT95" s="240" t="n"/>
      <c r="VJU95" s="240" t="n"/>
      <c r="VJW95" s="15" t="n"/>
      <c r="VJX95" s="15" t="n"/>
      <c r="VJY95" s="248" t="n"/>
      <c r="VJZ95" s="248" t="n"/>
      <c r="VKA95" s="240" t="n"/>
      <c r="VKB95" s="240" t="n"/>
      <c r="VKD95" s="15" t="n"/>
      <c r="VKE95" s="15" t="n"/>
      <c r="VKF95" s="248" t="n"/>
      <c r="VKG95" s="248" t="n"/>
      <c r="VKH95" s="240" t="n"/>
      <c r="VKI95" s="240" t="n"/>
      <c r="VKK95" s="15" t="n"/>
      <c r="VKL95" s="15" t="n"/>
      <c r="VKM95" s="248" t="n"/>
      <c r="VKN95" s="248" t="n"/>
      <c r="VKO95" s="240" t="n"/>
      <c r="VKP95" s="240" t="n"/>
      <c r="VKR95" s="15" t="n"/>
      <c r="VKS95" s="15" t="n"/>
      <c r="VKT95" s="248" t="n"/>
      <c r="VKU95" s="248" t="n"/>
      <c r="VKV95" s="240" t="n"/>
      <c r="VKW95" s="240" t="n"/>
      <c r="VKY95" s="15" t="n"/>
      <c r="VKZ95" s="15" t="n"/>
      <c r="VLA95" s="248" t="n"/>
      <c r="VLB95" s="248" t="n"/>
      <c r="VLC95" s="240" t="n"/>
      <c r="VLD95" s="240" t="n"/>
      <c r="VLF95" s="15" t="n"/>
      <c r="VLG95" s="15" t="n"/>
      <c r="VLH95" s="248" t="n"/>
      <c r="VLI95" s="248" t="n"/>
      <c r="VLJ95" s="240" t="n"/>
      <c r="VLK95" s="240" t="n"/>
      <c r="VLM95" s="15" t="n"/>
      <c r="VLN95" s="15" t="n"/>
      <c r="VLO95" s="248" t="n"/>
      <c r="VLP95" s="248" t="n"/>
      <c r="VLQ95" s="240" t="n"/>
      <c r="VLR95" s="240" t="n"/>
      <c r="VLT95" s="15" t="n"/>
      <c r="VLU95" s="15" t="n"/>
      <c r="VLV95" s="248" t="n"/>
      <c r="VLW95" s="248" t="n"/>
      <c r="VLX95" s="240" t="n"/>
      <c r="VLY95" s="240" t="n"/>
      <c r="VMA95" s="15" t="n"/>
      <c r="VMB95" s="15" t="n"/>
      <c r="VMC95" s="248" t="n"/>
      <c r="VMD95" s="248" t="n"/>
      <c r="VME95" s="240" t="n"/>
      <c r="VMF95" s="240" t="n"/>
      <c r="VMH95" s="15" t="n"/>
      <c r="VMI95" s="15" t="n"/>
      <c r="VMJ95" s="248" t="n"/>
      <c r="VMK95" s="248" t="n"/>
      <c r="VML95" s="240" t="n"/>
      <c r="VMM95" s="240" t="n"/>
      <c r="VMO95" s="15" t="n"/>
      <c r="VMP95" s="15" t="n"/>
      <c r="VMQ95" s="248" t="n"/>
      <c r="VMR95" s="248" t="n"/>
      <c r="VMS95" s="240" t="n"/>
      <c r="VMT95" s="240" t="n"/>
      <c r="VMV95" s="15" t="n"/>
      <c r="VMW95" s="15" t="n"/>
      <c r="VMX95" s="248" t="n"/>
      <c r="VMY95" s="248" t="n"/>
      <c r="VMZ95" s="240" t="n"/>
      <c r="VNA95" s="240" t="n"/>
      <c r="VNC95" s="15" t="n"/>
      <c r="VND95" s="15" t="n"/>
      <c r="VNE95" s="248" t="n"/>
      <c r="VNF95" s="248" t="n"/>
      <c r="VNG95" s="240" t="n"/>
      <c r="VNH95" s="240" t="n"/>
      <c r="VNJ95" s="15" t="n"/>
      <c r="VNK95" s="15" t="n"/>
      <c r="VNL95" s="248" t="n"/>
      <c r="VNM95" s="248" t="n"/>
      <c r="VNN95" s="240" t="n"/>
      <c r="VNO95" s="240" t="n"/>
      <c r="VNQ95" s="15" t="n"/>
      <c r="VNR95" s="15" t="n"/>
      <c r="VNS95" s="248" t="n"/>
      <c r="VNT95" s="248" t="n"/>
      <c r="VNU95" s="240" t="n"/>
      <c r="VNV95" s="240" t="n"/>
      <c r="VNX95" s="15" t="n"/>
      <c r="VNY95" s="15" t="n"/>
      <c r="VNZ95" s="248" t="n"/>
      <c r="VOA95" s="248" t="n"/>
      <c r="VOB95" s="240" t="n"/>
      <c r="VOC95" s="240" t="n"/>
      <c r="VOE95" s="15" t="n"/>
      <c r="VOF95" s="15" t="n"/>
      <c r="VOG95" s="248" t="n"/>
      <c r="VOH95" s="248" t="n"/>
      <c r="VOI95" s="240" t="n"/>
      <c r="VOJ95" s="240" t="n"/>
      <c r="VOL95" s="15" t="n"/>
      <c r="VOM95" s="15" t="n"/>
      <c r="VON95" s="248" t="n"/>
      <c r="VOO95" s="248" t="n"/>
      <c r="VOP95" s="240" t="n"/>
      <c r="VOQ95" s="240" t="n"/>
      <c r="VOS95" s="15" t="n"/>
      <c r="VOT95" s="15" t="n"/>
      <c r="VOU95" s="248" t="n"/>
      <c r="VOV95" s="248" t="n"/>
      <c r="VOW95" s="240" t="n"/>
      <c r="VOX95" s="240" t="n"/>
      <c r="VOZ95" s="15" t="n"/>
      <c r="VPA95" s="15" t="n"/>
      <c r="VPB95" s="248" t="n"/>
      <c r="VPC95" s="248" t="n"/>
      <c r="VPD95" s="240" t="n"/>
      <c r="VPE95" s="240" t="n"/>
      <c r="VPG95" s="15" t="n"/>
      <c r="VPH95" s="15" t="n"/>
      <c r="VPI95" s="248" t="n"/>
      <c r="VPJ95" s="248" t="n"/>
      <c r="VPK95" s="240" t="n"/>
      <c r="VPL95" s="240" t="n"/>
      <c r="VPN95" s="15" t="n"/>
      <c r="VPO95" s="15" t="n"/>
      <c r="VPP95" s="248" t="n"/>
      <c r="VPQ95" s="248" t="n"/>
      <c r="VPR95" s="240" t="n"/>
      <c r="VPS95" s="240" t="n"/>
      <c r="VPU95" s="15" t="n"/>
      <c r="VPV95" s="15" t="n"/>
      <c r="VPW95" s="248" t="n"/>
      <c r="VPX95" s="248" t="n"/>
      <c r="VPY95" s="240" t="n"/>
      <c r="VPZ95" s="240" t="n"/>
      <c r="VQB95" s="15" t="n"/>
      <c r="VQC95" s="15" t="n"/>
      <c r="VQD95" s="248" t="n"/>
      <c r="VQE95" s="248" t="n"/>
      <c r="VQF95" s="240" t="n"/>
      <c r="VQG95" s="240" t="n"/>
      <c r="VQI95" s="15" t="n"/>
      <c r="VQJ95" s="15" t="n"/>
      <c r="VQK95" s="248" t="n"/>
      <c r="VQL95" s="248" t="n"/>
      <c r="VQM95" s="240" t="n"/>
      <c r="VQN95" s="240" t="n"/>
      <c r="VQP95" s="15" t="n"/>
      <c r="VQQ95" s="15" t="n"/>
      <c r="VQR95" s="248" t="n"/>
      <c r="VQS95" s="248" t="n"/>
      <c r="VQT95" s="240" t="n"/>
      <c r="VQU95" s="240" t="n"/>
      <c r="VQW95" s="15" t="n"/>
      <c r="VQX95" s="15" t="n"/>
      <c r="VQY95" s="248" t="n"/>
      <c r="VQZ95" s="248" t="n"/>
      <c r="VRA95" s="240" t="n"/>
      <c r="VRB95" s="240" t="n"/>
      <c r="VRD95" s="15" t="n"/>
      <c r="VRE95" s="15" t="n"/>
      <c r="VRF95" s="248" t="n"/>
      <c r="VRG95" s="248" t="n"/>
      <c r="VRH95" s="240" t="n"/>
      <c r="VRI95" s="240" t="n"/>
      <c r="VRK95" s="15" t="n"/>
      <c r="VRL95" s="15" t="n"/>
      <c r="VRM95" s="248" t="n"/>
      <c r="VRN95" s="248" t="n"/>
      <c r="VRO95" s="240" t="n"/>
      <c r="VRP95" s="240" t="n"/>
      <c r="VRR95" s="15" t="n"/>
      <c r="VRS95" s="15" t="n"/>
      <c r="VRT95" s="248" t="n"/>
      <c r="VRU95" s="248" t="n"/>
      <c r="VRV95" s="240" t="n"/>
      <c r="VRW95" s="240" t="n"/>
      <c r="VRY95" s="15" t="n"/>
      <c r="VRZ95" s="15" t="n"/>
      <c r="VSA95" s="248" t="n"/>
      <c r="VSB95" s="248" t="n"/>
      <c r="VSC95" s="240" t="n"/>
      <c r="VSD95" s="240" t="n"/>
      <c r="VSF95" s="15" t="n"/>
      <c r="VSG95" s="15" t="n"/>
      <c r="VSH95" s="248" t="n"/>
      <c r="VSI95" s="248" t="n"/>
      <c r="VSJ95" s="240" t="n"/>
      <c r="VSK95" s="240" t="n"/>
      <c r="VSM95" s="15" t="n"/>
      <c r="VSN95" s="15" t="n"/>
      <c r="VSO95" s="248" t="n"/>
      <c r="VSP95" s="248" t="n"/>
      <c r="VSQ95" s="240" t="n"/>
      <c r="VSR95" s="240" t="n"/>
      <c r="VST95" s="15" t="n"/>
      <c r="VSU95" s="15" t="n"/>
      <c r="VSV95" s="248" t="n"/>
      <c r="VSW95" s="248" t="n"/>
      <c r="VSX95" s="240" t="n"/>
      <c r="VSY95" s="240" t="n"/>
      <c r="VTA95" s="15" t="n"/>
      <c r="VTB95" s="15" t="n"/>
      <c r="VTC95" s="248" t="n"/>
      <c r="VTD95" s="248" t="n"/>
      <c r="VTE95" s="240" t="n"/>
      <c r="VTF95" s="240" t="n"/>
      <c r="VTH95" s="15" t="n"/>
      <c r="VTI95" s="15" t="n"/>
      <c r="VTJ95" s="248" t="n"/>
      <c r="VTK95" s="248" t="n"/>
      <c r="VTL95" s="240" t="n"/>
      <c r="VTM95" s="240" t="n"/>
      <c r="VTO95" s="15" t="n"/>
      <c r="VTP95" s="15" t="n"/>
      <c r="VTQ95" s="248" t="n"/>
      <c r="VTR95" s="248" t="n"/>
      <c r="VTS95" s="240" t="n"/>
      <c r="VTT95" s="240" t="n"/>
      <c r="VTV95" s="15" t="n"/>
      <c r="VTW95" s="15" t="n"/>
      <c r="VTX95" s="248" t="n"/>
      <c r="VTY95" s="248" t="n"/>
      <c r="VTZ95" s="240" t="n"/>
      <c r="VUA95" s="240" t="n"/>
      <c r="VUC95" s="15" t="n"/>
      <c r="VUD95" s="15" t="n"/>
      <c r="VUE95" s="248" t="n"/>
      <c r="VUF95" s="248" t="n"/>
      <c r="VUG95" s="240" t="n"/>
      <c r="VUH95" s="240" t="n"/>
      <c r="VUJ95" s="15" t="n"/>
      <c r="VUK95" s="15" t="n"/>
      <c r="VUL95" s="248" t="n"/>
      <c r="VUM95" s="248" t="n"/>
      <c r="VUN95" s="240" t="n"/>
      <c r="VUO95" s="240" t="n"/>
      <c r="VUQ95" s="15" t="n"/>
      <c r="VUR95" s="15" t="n"/>
      <c r="VUS95" s="248" t="n"/>
      <c r="VUT95" s="248" t="n"/>
      <c r="VUU95" s="240" t="n"/>
      <c r="VUV95" s="240" t="n"/>
      <c r="VUX95" s="15" t="n"/>
      <c r="VUY95" s="15" t="n"/>
      <c r="VUZ95" s="248" t="n"/>
      <c r="VVA95" s="248" t="n"/>
      <c r="VVB95" s="240" t="n"/>
      <c r="VVC95" s="240" t="n"/>
      <c r="VVE95" s="15" t="n"/>
      <c r="VVF95" s="15" t="n"/>
      <c r="VVG95" s="248" t="n"/>
      <c r="VVH95" s="248" t="n"/>
      <c r="VVI95" s="240" t="n"/>
      <c r="VVJ95" s="240" t="n"/>
      <c r="VVL95" s="15" t="n"/>
      <c r="VVM95" s="15" t="n"/>
      <c r="VVN95" s="248" t="n"/>
      <c r="VVO95" s="248" t="n"/>
      <c r="VVP95" s="240" t="n"/>
      <c r="VVQ95" s="240" t="n"/>
      <c r="VVS95" s="15" t="n"/>
      <c r="VVT95" s="15" t="n"/>
      <c r="VVU95" s="248" t="n"/>
      <c r="VVV95" s="248" t="n"/>
      <c r="VVW95" s="240" t="n"/>
      <c r="VVX95" s="240" t="n"/>
      <c r="VVZ95" s="15" t="n"/>
      <c r="VWA95" s="15" t="n"/>
      <c r="VWB95" s="248" t="n"/>
      <c r="VWC95" s="248" t="n"/>
      <c r="VWD95" s="240" t="n"/>
      <c r="VWE95" s="240" t="n"/>
      <c r="VWG95" s="15" t="n"/>
      <c r="VWH95" s="15" t="n"/>
      <c r="VWI95" s="248" t="n"/>
      <c r="VWJ95" s="248" t="n"/>
      <c r="VWK95" s="240" t="n"/>
      <c r="VWL95" s="240" t="n"/>
      <c r="VWN95" s="15" t="n"/>
      <c r="VWO95" s="15" t="n"/>
      <c r="VWP95" s="248" t="n"/>
      <c r="VWQ95" s="248" t="n"/>
      <c r="VWR95" s="240" t="n"/>
      <c r="VWS95" s="240" t="n"/>
      <c r="VWU95" s="15" t="n"/>
      <c r="VWV95" s="15" t="n"/>
      <c r="VWW95" s="248" t="n"/>
      <c r="VWX95" s="248" t="n"/>
      <c r="VWY95" s="240" t="n"/>
      <c r="VWZ95" s="240" t="n"/>
      <c r="VXB95" s="15" t="n"/>
      <c r="VXC95" s="15" t="n"/>
      <c r="VXD95" s="248" t="n"/>
      <c r="VXE95" s="248" t="n"/>
      <c r="VXF95" s="240" t="n"/>
      <c r="VXG95" s="240" t="n"/>
      <c r="VXI95" s="15" t="n"/>
      <c r="VXJ95" s="15" t="n"/>
      <c r="VXK95" s="248" t="n"/>
      <c r="VXL95" s="248" t="n"/>
      <c r="VXM95" s="240" t="n"/>
      <c r="VXN95" s="240" t="n"/>
      <c r="VXP95" s="15" t="n"/>
      <c r="VXQ95" s="15" t="n"/>
      <c r="VXR95" s="248" t="n"/>
      <c r="VXS95" s="248" t="n"/>
      <c r="VXT95" s="240" t="n"/>
      <c r="VXU95" s="240" t="n"/>
      <c r="VXW95" s="15" t="n"/>
      <c r="VXX95" s="15" t="n"/>
      <c r="VXY95" s="248" t="n"/>
      <c r="VXZ95" s="248" t="n"/>
      <c r="VYA95" s="240" t="n"/>
      <c r="VYB95" s="240" t="n"/>
      <c r="VYD95" s="15" t="n"/>
      <c r="VYE95" s="15" t="n"/>
      <c r="VYF95" s="248" t="n"/>
      <c r="VYG95" s="248" t="n"/>
      <c r="VYH95" s="240" t="n"/>
      <c r="VYI95" s="240" t="n"/>
      <c r="VYK95" s="15" t="n"/>
      <c r="VYL95" s="15" t="n"/>
      <c r="VYM95" s="248" t="n"/>
      <c r="VYN95" s="248" t="n"/>
      <c r="VYO95" s="240" t="n"/>
      <c r="VYP95" s="240" t="n"/>
      <c r="VYR95" s="15" t="n"/>
      <c r="VYS95" s="15" t="n"/>
      <c r="VYT95" s="248" t="n"/>
      <c r="VYU95" s="248" t="n"/>
      <c r="VYV95" s="240" t="n"/>
      <c r="VYW95" s="240" t="n"/>
      <c r="VYY95" s="15" t="n"/>
      <c r="VYZ95" s="15" t="n"/>
      <c r="VZA95" s="248" t="n"/>
      <c r="VZB95" s="248" t="n"/>
      <c r="VZC95" s="240" t="n"/>
      <c r="VZD95" s="240" t="n"/>
      <c r="VZF95" s="15" t="n"/>
      <c r="VZG95" s="15" t="n"/>
      <c r="VZH95" s="248" t="n"/>
      <c r="VZI95" s="248" t="n"/>
      <c r="VZJ95" s="240" t="n"/>
      <c r="VZK95" s="240" t="n"/>
      <c r="VZM95" s="15" t="n"/>
      <c r="VZN95" s="15" t="n"/>
      <c r="VZO95" s="248" t="n"/>
      <c r="VZP95" s="248" t="n"/>
      <c r="VZQ95" s="240" t="n"/>
      <c r="VZR95" s="240" t="n"/>
      <c r="VZT95" s="15" t="n"/>
      <c r="VZU95" s="15" t="n"/>
      <c r="VZV95" s="248" t="n"/>
      <c r="VZW95" s="248" t="n"/>
      <c r="VZX95" s="240" t="n"/>
      <c r="VZY95" s="240" t="n"/>
      <c r="WAA95" s="15" t="n"/>
      <c r="WAB95" s="15" t="n"/>
      <c r="WAC95" s="248" t="n"/>
      <c r="WAD95" s="248" t="n"/>
      <c r="WAE95" s="240" t="n"/>
      <c r="WAF95" s="240" t="n"/>
      <c r="WAH95" s="15" t="n"/>
      <c r="WAI95" s="15" t="n"/>
      <c r="WAJ95" s="248" t="n"/>
      <c r="WAK95" s="248" t="n"/>
      <c r="WAL95" s="240" t="n"/>
      <c r="WAM95" s="240" t="n"/>
      <c r="WAO95" s="15" t="n"/>
      <c r="WAP95" s="15" t="n"/>
      <c r="WAQ95" s="248" t="n"/>
      <c r="WAR95" s="248" t="n"/>
      <c r="WAS95" s="240" t="n"/>
      <c r="WAT95" s="240" t="n"/>
      <c r="WAV95" s="15" t="n"/>
      <c r="WAW95" s="15" t="n"/>
      <c r="WAX95" s="248" t="n"/>
      <c r="WAY95" s="248" t="n"/>
      <c r="WAZ95" s="240" t="n"/>
      <c r="WBA95" s="240" t="n"/>
      <c r="WBC95" s="15" t="n"/>
      <c r="WBD95" s="15" t="n"/>
      <c r="WBE95" s="248" t="n"/>
      <c r="WBF95" s="248" t="n"/>
      <c r="WBG95" s="240" t="n"/>
      <c r="WBH95" s="240" t="n"/>
      <c r="WBJ95" s="15" t="n"/>
      <c r="WBK95" s="15" t="n"/>
      <c r="WBL95" s="248" t="n"/>
      <c r="WBM95" s="248" t="n"/>
      <c r="WBN95" s="240" t="n"/>
      <c r="WBO95" s="240" t="n"/>
      <c r="WBQ95" s="15" t="n"/>
      <c r="WBR95" s="15" t="n"/>
      <c r="WBS95" s="248" t="n"/>
      <c r="WBT95" s="248" t="n"/>
      <c r="WBU95" s="240" t="n"/>
      <c r="WBV95" s="240" t="n"/>
      <c r="WBX95" s="15" t="n"/>
      <c r="WBY95" s="15" t="n"/>
      <c r="WBZ95" s="248" t="n"/>
      <c r="WCA95" s="248" t="n"/>
      <c r="WCB95" s="240" t="n"/>
      <c r="WCC95" s="240" t="n"/>
      <c r="WCE95" s="15" t="n"/>
      <c r="WCF95" s="15" t="n"/>
      <c r="WCG95" s="248" t="n"/>
      <c r="WCH95" s="248" t="n"/>
      <c r="WCI95" s="240" t="n"/>
      <c r="WCJ95" s="240" t="n"/>
      <c r="WCL95" s="15" t="n"/>
      <c r="WCM95" s="15" t="n"/>
      <c r="WCN95" s="248" t="n"/>
      <c r="WCO95" s="248" t="n"/>
      <c r="WCP95" s="240" t="n"/>
      <c r="WCQ95" s="240" t="n"/>
      <c r="WCS95" s="15" t="n"/>
      <c r="WCT95" s="15" t="n"/>
      <c r="WCU95" s="248" t="n"/>
      <c r="WCV95" s="248" t="n"/>
      <c r="WCW95" s="240" t="n"/>
      <c r="WCX95" s="240" t="n"/>
      <c r="WCZ95" s="15" t="n"/>
      <c r="WDA95" s="15" t="n"/>
      <c r="WDB95" s="248" t="n"/>
      <c r="WDC95" s="248" t="n"/>
      <c r="WDD95" s="240" t="n"/>
      <c r="WDE95" s="240" t="n"/>
      <c r="WDG95" s="15" t="n"/>
      <c r="WDH95" s="15" t="n"/>
      <c r="WDI95" s="248" t="n"/>
      <c r="WDJ95" s="248" t="n"/>
      <c r="WDK95" s="240" t="n"/>
      <c r="WDL95" s="240" t="n"/>
      <c r="WDN95" s="15" t="n"/>
      <c r="WDO95" s="15" t="n"/>
      <c r="WDP95" s="248" t="n"/>
      <c r="WDQ95" s="248" t="n"/>
      <c r="WDR95" s="240" t="n"/>
      <c r="WDS95" s="240" t="n"/>
      <c r="WDU95" s="15" t="n"/>
      <c r="WDV95" s="15" t="n"/>
      <c r="WDW95" s="248" t="n"/>
      <c r="WDX95" s="248" t="n"/>
      <c r="WDY95" s="240" t="n"/>
      <c r="WDZ95" s="240" t="n"/>
      <c r="WEB95" s="15" t="n"/>
      <c r="WEC95" s="15" t="n"/>
      <c r="WED95" s="248" t="n"/>
      <c r="WEE95" s="248" t="n"/>
      <c r="WEF95" s="240" t="n"/>
      <c r="WEG95" s="240" t="n"/>
      <c r="WEI95" s="15" t="n"/>
      <c r="WEJ95" s="15" t="n"/>
      <c r="WEK95" s="248" t="n"/>
      <c r="WEL95" s="248" t="n"/>
      <c r="WEM95" s="240" t="n"/>
      <c r="WEN95" s="240" t="n"/>
      <c r="WEP95" s="15" t="n"/>
      <c r="WEQ95" s="15" t="n"/>
      <c r="WER95" s="248" t="n"/>
      <c r="WES95" s="248" t="n"/>
      <c r="WET95" s="240" t="n"/>
      <c r="WEU95" s="240" t="n"/>
      <c r="WEW95" s="15" t="n"/>
      <c r="WEX95" s="15" t="n"/>
      <c r="WEY95" s="248" t="n"/>
      <c r="WEZ95" s="248" t="n"/>
      <c r="WFA95" s="240" t="n"/>
      <c r="WFB95" s="240" t="n"/>
      <c r="WFD95" s="15" t="n"/>
      <c r="WFE95" s="15" t="n"/>
      <c r="WFF95" s="248" t="n"/>
      <c r="WFG95" s="248" t="n"/>
      <c r="WFH95" s="240" t="n"/>
      <c r="WFI95" s="240" t="n"/>
      <c r="WFK95" s="15" t="n"/>
      <c r="WFL95" s="15" t="n"/>
      <c r="WFM95" s="248" t="n"/>
      <c r="WFN95" s="248" t="n"/>
      <c r="WFO95" s="240" t="n"/>
      <c r="WFP95" s="240" t="n"/>
      <c r="WFR95" s="15" t="n"/>
      <c r="WFS95" s="15" t="n"/>
      <c r="WFT95" s="248" t="n"/>
      <c r="WFU95" s="248" t="n"/>
      <c r="WFV95" s="240" t="n"/>
      <c r="WFW95" s="240" t="n"/>
      <c r="WFY95" s="15" t="n"/>
      <c r="WFZ95" s="15" t="n"/>
      <c r="WGA95" s="248" t="n"/>
      <c r="WGB95" s="248" t="n"/>
      <c r="WGC95" s="240" t="n"/>
      <c r="WGD95" s="240" t="n"/>
      <c r="WGF95" s="15" t="n"/>
      <c r="WGG95" s="15" t="n"/>
      <c r="WGH95" s="248" t="n"/>
      <c r="WGI95" s="248" t="n"/>
      <c r="WGJ95" s="240" t="n"/>
      <c r="WGK95" s="240" t="n"/>
      <c r="WGM95" s="15" t="n"/>
      <c r="WGN95" s="15" t="n"/>
      <c r="WGO95" s="248" t="n"/>
      <c r="WGP95" s="248" t="n"/>
      <c r="WGQ95" s="240" t="n"/>
      <c r="WGR95" s="240" t="n"/>
      <c r="WGT95" s="15" t="n"/>
      <c r="WGU95" s="15" t="n"/>
      <c r="WGV95" s="248" t="n"/>
      <c r="WGW95" s="248" t="n"/>
      <c r="WGX95" s="240" t="n"/>
      <c r="WGY95" s="240" t="n"/>
      <c r="WHA95" s="15" t="n"/>
      <c r="WHB95" s="15" t="n"/>
      <c r="WHC95" s="248" t="n"/>
      <c r="WHD95" s="248" t="n"/>
      <c r="WHE95" s="240" t="n"/>
      <c r="WHF95" s="240" t="n"/>
      <c r="WHH95" s="15" t="n"/>
      <c r="WHI95" s="15" t="n"/>
      <c r="WHJ95" s="248" t="n"/>
      <c r="WHK95" s="248" t="n"/>
      <c r="WHL95" s="240" t="n"/>
      <c r="WHM95" s="240" t="n"/>
      <c r="WHO95" s="15" t="n"/>
      <c r="WHP95" s="15" t="n"/>
      <c r="WHQ95" s="248" t="n"/>
      <c r="WHR95" s="248" t="n"/>
      <c r="WHS95" s="240" t="n"/>
      <c r="WHT95" s="240" t="n"/>
      <c r="WHV95" s="15" t="n"/>
      <c r="WHW95" s="15" t="n"/>
      <c r="WHX95" s="248" t="n"/>
      <c r="WHY95" s="248" t="n"/>
      <c r="WHZ95" s="240" t="n"/>
      <c r="WIA95" s="240" t="n"/>
      <c r="WIC95" s="15" t="n"/>
      <c r="WID95" s="15" t="n"/>
      <c r="WIE95" s="248" t="n"/>
      <c r="WIF95" s="248" t="n"/>
      <c r="WIG95" s="240" t="n"/>
      <c r="WIH95" s="240" t="n"/>
      <c r="WIJ95" s="15" t="n"/>
      <c r="WIK95" s="15" t="n"/>
      <c r="WIL95" s="248" t="n"/>
      <c r="WIM95" s="248" t="n"/>
      <c r="WIN95" s="240" t="n"/>
      <c r="WIO95" s="240" t="n"/>
      <c r="WIQ95" s="15" t="n"/>
      <c r="WIR95" s="15" t="n"/>
      <c r="WIS95" s="248" t="n"/>
      <c r="WIT95" s="248" t="n"/>
      <c r="WIU95" s="240" t="n"/>
      <c r="WIV95" s="240" t="n"/>
      <c r="WIX95" s="15" t="n"/>
      <c r="WIY95" s="15" t="n"/>
      <c r="WIZ95" s="248" t="n"/>
      <c r="WJA95" s="248" t="n"/>
      <c r="WJB95" s="240" t="n"/>
      <c r="WJC95" s="240" t="n"/>
      <c r="WJE95" s="15" t="n"/>
      <c r="WJF95" s="15" t="n"/>
      <c r="WJG95" s="248" t="n"/>
      <c r="WJH95" s="248" t="n"/>
      <c r="WJI95" s="240" t="n"/>
      <c r="WJJ95" s="240" t="n"/>
      <c r="WJL95" s="15" t="n"/>
      <c r="WJM95" s="15" t="n"/>
      <c r="WJN95" s="248" t="n"/>
      <c r="WJO95" s="248" t="n"/>
      <c r="WJP95" s="240" t="n"/>
      <c r="WJQ95" s="240" t="n"/>
      <c r="WJS95" s="15" t="n"/>
      <c r="WJT95" s="15" t="n"/>
      <c r="WJU95" s="248" t="n"/>
      <c r="WJV95" s="248" t="n"/>
      <c r="WJW95" s="240" t="n"/>
      <c r="WJX95" s="240" t="n"/>
      <c r="WJZ95" s="15" t="n"/>
      <c r="WKA95" s="15" t="n"/>
      <c r="WKB95" s="248" t="n"/>
      <c r="WKC95" s="248" t="n"/>
      <c r="WKD95" s="240" t="n"/>
      <c r="WKE95" s="240" t="n"/>
      <c r="WKG95" s="15" t="n"/>
      <c r="WKH95" s="15" t="n"/>
      <c r="WKI95" s="248" t="n"/>
      <c r="WKJ95" s="248" t="n"/>
      <c r="WKK95" s="240" t="n"/>
      <c r="WKL95" s="240" t="n"/>
      <c r="WKN95" s="15" t="n"/>
      <c r="WKO95" s="15" t="n"/>
      <c r="WKP95" s="248" t="n"/>
      <c r="WKQ95" s="248" t="n"/>
      <c r="WKR95" s="240" t="n"/>
      <c r="WKS95" s="240" t="n"/>
      <c r="WKU95" s="15" t="n"/>
      <c r="WKV95" s="15" t="n"/>
      <c r="WKW95" s="248" t="n"/>
      <c r="WKX95" s="248" t="n"/>
      <c r="WKY95" s="240" t="n"/>
      <c r="WKZ95" s="240" t="n"/>
      <c r="WLB95" s="15" t="n"/>
      <c r="WLC95" s="15" t="n"/>
      <c r="WLD95" s="248" t="n"/>
      <c r="WLE95" s="248" t="n"/>
      <c r="WLF95" s="240" t="n"/>
      <c r="WLG95" s="240" t="n"/>
      <c r="WLI95" s="15" t="n"/>
      <c r="WLJ95" s="15" t="n"/>
      <c r="WLK95" s="248" t="n"/>
      <c r="WLL95" s="248" t="n"/>
      <c r="WLM95" s="240" t="n"/>
      <c r="WLN95" s="240" t="n"/>
      <c r="WLP95" s="15" t="n"/>
      <c r="WLQ95" s="15" t="n"/>
      <c r="WLR95" s="248" t="n"/>
      <c r="WLS95" s="248" t="n"/>
      <c r="WLT95" s="240" t="n"/>
      <c r="WLU95" s="240" t="n"/>
      <c r="WLW95" s="15" t="n"/>
      <c r="WLX95" s="15" t="n"/>
      <c r="WLY95" s="248" t="n"/>
      <c r="WLZ95" s="248" t="n"/>
      <c r="WMA95" s="240" t="n"/>
      <c r="WMB95" s="240" t="n"/>
      <c r="WMD95" s="15" t="n"/>
      <c r="WME95" s="15" t="n"/>
      <c r="WMF95" s="248" t="n"/>
      <c r="WMG95" s="248" t="n"/>
      <c r="WMH95" s="240" t="n"/>
      <c r="WMI95" s="240" t="n"/>
      <c r="WMK95" s="15" t="n"/>
      <c r="WML95" s="15" t="n"/>
      <c r="WMM95" s="248" t="n"/>
      <c r="WMN95" s="248" t="n"/>
      <c r="WMO95" s="240" t="n"/>
      <c r="WMP95" s="240" t="n"/>
      <c r="WMR95" s="15" t="n"/>
      <c r="WMS95" s="15" t="n"/>
      <c r="WMT95" s="248" t="n"/>
      <c r="WMU95" s="248" t="n"/>
      <c r="WMV95" s="240" t="n"/>
      <c r="WMW95" s="240" t="n"/>
      <c r="WMY95" s="15" t="n"/>
      <c r="WMZ95" s="15" t="n"/>
      <c r="WNA95" s="248" t="n"/>
      <c r="WNB95" s="248" t="n"/>
      <c r="WNC95" s="240" t="n"/>
      <c r="WND95" s="240" t="n"/>
      <c r="WNF95" s="15" t="n"/>
      <c r="WNG95" s="15" t="n"/>
      <c r="WNH95" s="248" t="n"/>
      <c r="WNI95" s="248" t="n"/>
      <c r="WNJ95" s="240" t="n"/>
      <c r="WNK95" s="240" t="n"/>
      <c r="WNM95" s="15" t="n"/>
      <c r="WNN95" s="15" t="n"/>
      <c r="WNO95" s="248" t="n"/>
      <c r="WNP95" s="248" t="n"/>
      <c r="WNQ95" s="240" t="n"/>
      <c r="WNR95" s="240" t="n"/>
      <c r="WNT95" s="15" t="n"/>
      <c r="WNU95" s="15" t="n"/>
      <c r="WNV95" s="248" t="n"/>
      <c r="WNW95" s="248" t="n"/>
      <c r="WNX95" s="240" t="n"/>
      <c r="WNY95" s="240" t="n"/>
      <c r="WOA95" s="15" t="n"/>
      <c r="WOB95" s="15" t="n"/>
      <c r="WOC95" s="248" t="n"/>
      <c r="WOD95" s="248" t="n"/>
      <c r="WOE95" s="240" t="n"/>
      <c r="WOF95" s="240" t="n"/>
      <c r="WOH95" s="15" t="n"/>
      <c r="WOI95" s="15" t="n"/>
      <c r="WOJ95" s="248" t="n"/>
      <c r="WOK95" s="248" t="n"/>
      <c r="WOL95" s="240" t="n"/>
      <c r="WOM95" s="240" t="n"/>
      <c r="WOO95" s="15" t="n"/>
      <c r="WOP95" s="15" t="n"/>
      <c r="WOQ95" s="248" t="n"/>
      <c r="WOR95" s="248" t="n"/>
      <c r="WOS95" s="240" t="n"/>
      <c r="WOT95" s="240" t="n"/>
      <c r="WOV95" s="15" t="n"/>
      <c r="WOW95" s="15" t="n"/>
      <c r="WOX95" s="248" t="n"/>
      <c r="WOY95" s="248" t="n"/>
      <c r="WOZ95" s="240" t="n"/>
      <c r="WPA95" s="240" t="n"/>
      <c r="WPC95" s="15" t="n"/>
      <c r="WPD95" s="15" t="n"/>
      <c r="WPE95" s="248" t="n"/>
      <c r="WPF95" s="248" t="n"/>
      <c r="WPG95" s="240" t="n"/>
      <c r="WPH95" s="240" t="n"/>
      <c r="WPJ95" s="15" t="n"/>
      <c r="WPK95" s="15" t="n"/>
      <c r="WPL95" s="248" t="n"/>
      <c r="WPM95" s="248" t="n"/>
      <c r="WPN95" s="240" t="n"/>
      <c r="WPO95" s="240" t="n"/>
      <c r="WPQ95" s="15" t="n"/>
      <c r="WPR95" s="15" t="n"/>
      <c r="WPS95" s="248" t="n"/>
      <c r="WPT95" s="248" t="n"/>
      <c r="WPU95" s="240" t="n"/>
      <c r="WPV95" s="240" t="n"/>
      <c r="WPX95" s="15" t="n"/>
      <c r="WPY95" s="15" t="n"/>
      <c r="WPZ95" s="248" t="n"/>
      <c r="WQA95" s="248" t="n"/>
      <c r="WQB95" s="240" t="n"/>
      <c r="WQC95" s="240" t="n"/>
      <c r="WQE95" s="15" t="n"/>
      <c r="WQF95" s="15" t="n"/>
      <c r="WQG95" s="248" t="n"/>
      <c r="WQH95" s="248" t="n"/>
      <c r="WQI95" s="240" t="n"/>
      <c r="WQJ95" s="240" t="n"/>
      <c r="WQL95" s="15" t="n"/>
      <c r="WQM95" s="15" t="n"/>
      <c r="WQN95" s="248" t="n"/>
      <c r="WQO95" s="248" t="n"/>
      <c r="WQP95" s="240" t="n"/>
      <c r="WQQ95" s="240" t="n"/>
      <c r="WQS95" s="15" t="n"/>
      <c r="WQT95" s="15" t="n"/>
      <c r="WQU95" s="248" t="n"/>
      <c r="WQV95" s="248" t="n"/>
      <c r="WQW95" s="240" t="n"/>
      <c r="WQX95" s="240" t="n"/>
      <c r="WQZ95" s="15" t="n"/>
      <c r="WRA95" s="15" t="n"/>
      <c r="WRB95" s="248" t="n"/>
      <c r="WRC95" s="248" t="n"/>
      <c r="WRD95" s="240" t="n"/>
      <c r="WRE95" s="240" t="n"/>
      <c r="WRG95" s="15" t="n"/>
      <c r="WRH95" s="15" t="n"/>
      <c r="WRI95" s="248" t="n"/>
      <c r="WRJ95" s="248" t="n"/>
      <c r="WRK95" s="240" t="n"/>
      <c r="WRL95" s="240" t="n"/>
      <c r="WRN95" s="15" t="n"/>
      <c r="WRO95" s="15" t="n"/>
      <c r="WRP95" s="248" t="n"/>
      <c r="WRQ95" s="248" t="n"/>
      <c r="WRR95" s="240" t="n"/>
      <c r="WRS95" s="240" t="n"/>
      <c r="WRU95" s="15" t="n"/>
      <c r="WRV95" s="15" t="n"/>
      <c r="WRW95" s="248" t="n"/>
      <c r="WRX95" s="248" t="n"/>
      <c r="WRY95" s="240" t="n"/>
      <c r="WRZ95" s="240" t="n"/>
      <c r="WSB95" s="15" t="n"/>
      <c r="WSC95" s="15" t="n"/>
      <c r="WSD95" s="248" t="n"/>
      <c r="WSE95" s="248" t="n"/>
      <c r="WSF95" s="240" t="n"/>
      <c r="WSG95" s="240" t="n"/>
      <c r="WSI95" s="15" t="n"/>
      <c r="WSJ95" s="15" t="n"/>
      <c r="WSK95" s="248" t="n"/>
      <c r="WSL95" s="248" t="n"/>
      <c r="WSM95" s="240" t="n"/>
      <c r="WSN95" s="240" t="n"/>
      <c r="WSP95" s="15" t="n"/>
      <c r="WSQ95" s="15" t="n"/>
      <c r="WSR95" s="248" t="n"/>
      <c r="WSS95" s="248" t="n"/>
      <c r="WST95" s="240" t="n"/>
      <c r="WSU95" s="240" t="n"/>
      <c r="WSW95" s="15" t="n"/>
      <c r="WSX95" s="15" t="n"/>
      <c r="WSY95" s="248" t="n"/>
      <c r="WSZ95" s="248" t="n"/>
      <c r="WTA95" s="240" t="n"/>
      <c r="WTB95" s="240" t="n"/>
      <c r="WTD95" s="15" t="n"/>
      <c r="WTE95" s="15" t="n"/>
      <c r="WTF95" s="248" t="n"/>
      <c r="WTG95" s="248" t="n"/>
      <c r="WTH95" s="240" t="n"/>
      <c r="WTI95" s="240" t="n"/>
      <c r="WTK95" s="15" t="n"/>
      <c r="WTL95" s="15" t="n"/>
      <c r="WTM95" s="248" t="n"/>
      <c r="WTN95" s="248" t="n"/>
      <c r="WTO95" s="240" t="n"/>
      <c r="WTP95" s="240" t="n"/>
      <c r="WTR95" s="15" t="n"/>
      <c r="WTS95" s="15" t="n"/>
      <c r="WTT95" s="248" t="n"/>
      <c r="WTU95" s="248" t="n"/>
      <c r="WTV95" s="240" t="n"/>
      <c r="WTW95" s="240" t="n"/>
      <c r="WTY95" s="15" t="n"/>
      <c r="WTZ95" s="15" t="n"/>
      <c r="WUA95" s="248" t="n"/>
      <c r="WUB95" s="248" t="n"/>
      <c r="WUC95" s="240" t="n"/>
      <c r="WUD95" s="240" t="n"/>
      <c r="WUF95" s="15" t="n"/>
      <c r="WUG95" s="15" t="n"/>
      <c r="WUH95" s="248" t="n"/>
      <c r="WUI95" s="248" t="n"/>
      <c r="WUJ95" s="240" t="n"/>
      <c r="WUK95" s="240" t="n"/>
      <c r="WUM95" s="15" t="n"/>
      <c r="WUN95" s="15" t="n"/>
      <c r="WUO95" s="248" t="n"/>
      <c r="WUP95" s="248" t="n"/>
      <c r="WUQ95" s="240" t="n"/>
      <c r="WUR95" s="240" t="n"/>
      <c r="WUT95" s="15" t="n"/>
      <c r="WUU95" s="15" t="n"/>
      <c r="WUV95" s="248" t="n"/>
      <c r="WUW95" s="248" t="n"/>
      <c r="WUX95" s="240" t="n"/>
      <c r="WUY95" s="240" t="n"/>
      <c r="WVA95" s="15" t="n"/>
      <c r="WVB95" s="15" t="n"/>
      <c r="WVC95" s="248" t="n"/>
      <c r="WVD95" s="248" t="n"/>
      <c r="WVE95" s="240" t="n"/>
      <c r="WVF95" s="240" t="n"/>
      <c r="WVH95" s="15" t="n"/>
      <c r="WVI95" s="15" t="n"/>
      <c r="WVJ95" s="248" t="n"/>
      <c r="WVK95" s="248" t="n"/>
      <c r="WVL95" s="240" t="n"/>
      <c r="WVM95" s="240" t="n"/>
      <c r="WVO95" s="15" t="n"/>
      <c r="WVP95" s="15" t="n"/>
      <c r="WVQ95" s="248" t="n"/>
      <c r="WVR95" s="248" t="n"/>
      <c r="WVS95" s="240" t="n"/>
      <c r="WVT95" s="240" t="n"/>
      <c r="WVV95" s="15" t="n"/>
      <c r="WVW95" s="15" t="n"/>
      <c r="WVX95" s="248" t="n"/>
      <c r="WVY95" s="248" t="n"/>
      <c r="WVZ95" s="240" t="n"/>
      <c r="WWA95" s="240" t="n"/>
      <c r="WWC95" s="15" t="n"/>
      <c r="WWD95" s="15" t="n"/>
      <c r="WWE95" s="248" t="n"/>
      <c r="WWF95" s="248" t="n"/>
      <c r="WWG95" s="240" t="n"/>
      <c r="WWH95" s="240" t="n"/>
      <c r="WWJ95" s="15" t="n"/>
      <c r="WWK95" s="15" t="n"/>
      <c r="WWL95" s="248" t="n"/>
      <c r="WWM95" s="248" t="n"/>
      <c r="WWN95" s="240" t="n"/>
      <c r="WWO95" s="240" t="n"/>
      <c r="WWQ95" s="15" t="n"/>
      <c r="WWR95" s="15" t="n"/>
      <c r="WWS95" s="248" t="n"/>
      <c r="WWT95" s="248" t="n"/>
      <c r="WWU95" s="240" t="n"/>
      <c r="WWV95" s="240" t="n"/>
      <c r="WWX95" s="15" t="n"/>
      <c r="WWY95" s="15" t="n"/>
      <c r="WWZ95" s="248" t="n"/>
      <c r="WXA95" s="248" t="n"/>
      <c r="WXB95" s="240" t="n"/>
      <c r="WXC95" s="240" t="n"/>
      <c r="WXE95" s="15" t="n"/>
      <c r="WXF95" s="15" t="n"/>
      <c r="WXG95" s="248" t="n"/>
      <c r="WXH95" s="248" t="n"/>
      <c r="WXI95" s="240" t="n"/>
      <c r="WXJ95" s="240" t="n"/>
      <c r="WXL95" s="15" t="n"/>
      <c r="WXM95" s="15" t="n"/>
      <c r="WXN95" s="248" t="n"/>
      <c r="WXO95" s="248" t="n"/>
      <c r="WXP95" s="240" t="n"/>
      <c r="WXQ95" s="240" t="n"/>
      <c r="WXS95" s="15" t="n"/>
      <c r="WXT95" s="15" t="n"/>
      <c r="WXU95" s="248" t="n"/>
      <c r="WXV95" s="248" t="n"/>
      <c r="WXW95" s="240" t="n"/>
      <c r="WXX95" s="240" t="n"/>
      <c r="WXZ95" s="15" t="n"/>
      <c r="WYA95" s="15" t="n"/>
      <c r="WYB95" s="248" t="n"/>
      <c r="WYC95" s="248" t="n"/>
      <c r="WYD95" s="240" t="n"/>
      <c r="WYE95" s="240" t="n"/>
      <c r="WYG95" s="15" t="n"/>
      <c r="WYH95" s="15" t="n"/>
      <c r="WYI95" s="248" t="n"/>
      <c r="WYJ95" s="248" t="n"/>
      <c r="WYK95" s="240" t="n"/>
      <c r="WYL95" s="240" t="n"/>
      <c r="WYN95" s="15" t="n"/>
      <c r="WYO95" s="15" t="n"/>
      <c r="WYP95" s="248" t="n"/>
      <c r="WYQ95" s="248" t="n"/>
      <c r="WYR95" s="240" t="n"/>
      <c r="WYS95" s="240" t="n"/>
      <c r="WYU95" s="15" t="n"/>
      <c r="WYV95" s="15" t="n"/>
      <c r="WYW95" s="248" t="n"/>
      <c r="WYX95" s="248" t="n"/>
      <c r="WYY95" s="240" t="n"/>
      <c r="WYZ95" s="240" t="n"/>
      <c r="WZB95" s="15" t="n"/>
      <c r="WZC95" s="15" t="n"/>
      <c r="WZD95" s="248" t="n"/>
      <c r="WZE95" s="248" t="n"/>
      <c r="WZF95" s="240" t="n"/>
      <c r="WZG95" s="240" t="n"/>
      <c r="WZI95" s="15" t="n"/>
      <c r="WZJ95" s="15" t="n"/>
      <c r="WZK95" s="248" t="n"/>
      <c r="WZL95" s="248" t="n"/>
      <c r="WZM95" s="240" t="n"/>
      <c r="WZN95" s="240" t="n"/>
      <c r="WZP95" s="15" t="n"/>
      <c r="WZQ95" s="15" t="n"/>
      <c r="WZR95" s="248" t="n"/>
      <c r="WZS95" s="248" t="n"/>
      <c r="WZT95" s="240" t="n"/>
      <c r="WZU95" s="240" t="n"/>
      <c r="WZW95" s="15" t="n"/>
      <c r="WZX95" s="15" t="n"/>
      <c r="WZY95" s="248" t="n"/>
      <c r="WZZ95" s="248" t="n"/>
      <c r="XAA95" s="240" t="n"/>
      <c r="XAB95" s="240" t="n"/>
      <c r="XAD95" s="15" t="n"/>
      <c r="XAE95" s="15" t="n"/>
      <c r="XAF95" s="248" t="n"/>
      <c r="XAG95" s="248" t="n"/>
      <c r="XAH95" s="240" t="n"/>
      <c r="XAI95" s="240" t="n"/>
      <c r="XAK95" s="15" t="n"/>
      <c r="XAL95" s="15" t="n"/>
      <c r="XAM95" s="248" t="n"/>
      <c r="XAN95" s="248" t="n"/>
      <c r="XAO95" s="240" t="n"/>
      <c r="XAP95" s="240" t="n"/>
      <c r="XAR95" s="15" t="n"/>
      <c r="XAS95" s="15" t="n"/>
      <c r="XAT95" s="248" t="n"/>
      <c r="XAU95" s="248" t="n"/>
      <c r="XAV95" s="240" t="n"/>
      <c r="XAW95" s="240" t="n"/>
      <c r="XAY95" s="15" t="n"/>
      <c r="XAZ95" s="15" t="n"/>
      <c r="XBA95" s="248" t="n"/>
      <c r="XBB95" s="248" t="n"/>
      <c r="XBC95" s="240" t="n"/>
      <c r="XBD95" s="240" t="n"/>
      <c r="XBF95" s="15" t="n"/>
      <c r="XBG95" s="15" t="n"/>
      <c r="XBH95" s="248" t="n"/>
      <c r="XBI95" s="248" t="n"/>
      <c r="XBJ95" s="240" t="n"/>
      <c r="XBK95" s="240" t="n"/>
      <c r="XBM95" s="15" t="n"/>
      <c r="XBN95" s="15" t="n"/>
      <c r="XBO95" s="248" t="n"/>
      <c r="XBP95" s="248" t="n"/>
      <c r="XBQ95" s="240" t="n"/>
      <c r="XBR95" s="240" t="n"/>
      <c r="XBT95" s="15" t="n"/>
      <c r="XBU95" s="15" t="n"/>
      <c r="XBV95" s="248" t="n"/>
      <c r="XBW95" s="248" t="n"/>
      <c r="XBX95" s="240" t="n"/>
      <c r="XBY95" s="240" t="n"/>
      <c r="XCA95" s="15" t="n"/>
      <c r="XCB95" s="15" t="n"/>
      <c r="XCC95" s="248" t="n"/>
      <c r="XCD95" s="248" t="n"/>
      <c r="XCE95" s="240" t="n"/>
      <c r="XCF95" s="240" t="n"/>
      <c r="XCH95" s="15" t="n"/>
      <c r="XCI95" s="15" t="n"/>
      <c r="XCJ95" s="248" t="n"/>
      <c r="XCK95" s="248" t="n"/>
      <c r="XCL95" s="240" t="n"/>
      <c r="XCM95" s="240" t="n"/>
      <c r="XCO95" s="15" t="n"/>
      <c r="XCP95" s="15" t="n"/>
      <c r="XCQ95" s="248" t="n"/>
      <c r="XCR95" s="248" t="n"/>
      <c r="XCS95" s="240" t="n"/>
      <c r="XCT95" s="240" t="n"/>
      <c r="XCV95" s="15" t="n"/>
      <c r="XCW95" s="15" t="n"/>
      <c r="XCX95" s="248" t="n"/>
      <c r="XCY95" s="248" t="n"/>
      <c r="XCZ95" s="240" t="n"/>
      <c r="XDA95" s="240" t="n"/>
      <c r="XDC95" s="15" t="n"/>
      <c r="XDD95" s="15" t="n"/>
      <c r="XDE95" s="248" t="n"/>
      <c r="XDF95" s="248" t="n"/>
      <c r="XDG95" s="240" t="n"/>
      <c r="XDH95" s="240" t="n"/>
      <c r="XDJ95" s="15" t="n"/>
      <c r="XDK95" s="15" t="n"/>
      <c r="XDL95" s="248" t="n"/>
      <c r="XDM95" s="248" t="n"/>
      <c r="XDN95" s="240" t="n"/>
      <c r="XDO95" s="240" t="n"/>
      <c r="XDQ95" s="15" t="n"/>
      <c r="XDR95" s="15" t="n"/>
      <c r="XDS95" s="248" t="n"/>
      <c r="XDT95" s="248" t="n"/>
      <c r="XDU95" s="240" t="n"/>
      <c r="XDV95" s="240" t="n"/>
      <c r="XDX95" s="15" t="n"/>
      <c r="XDY95" s="15" t="n"/>
      <c r="XDZ95" s="248" t="n"/>
      <c r="XEA95" s="248" t="n"/>
      <c r="XEB95" s="240" t="n"/>
      <c r="XEC95" s="240" t="n"/>
      <c r="XEE95" s="15" t="n"/>
      <c r="XEF95" s="15" t="n"/>
      <c r="XEG95" s="248" t="n"/>
      <c r="XEH95" s="248" t="n"/>
      <c r="XEI95" s="240" t="n"/>
      <c r="XEJ95" s="240" t="n"/>
      <c r="XEL95" s="15" t="n"/>
      <c r="XEM95" s="15" t="n"/>
      <c r="XEN95" s="248" t="n"/>
      <c r="XEO95" s="248" t="n"/>
      <c r="XEP95" s="240" t="n"/>
      <c r="XEQ95" s="240" t="n"/>
      <c r="XES95" s="15" t="n"/>
      <c r="XET95" s="15" t="n"/>
      <c r="XEU95" s="248" t="n"/>
      <c r="XEV95" s="248" t="n"/>
      <c r="XEW95" s="240" t="n"/>
      <c r="XEX95" s="240" t="n"/>
      <c r="XEZ95" s="15" t="n"/>
      <c r="XFA95" s="15" t="n"/>
      <c r="XFB95" s="248" t="n"/>
      <c r="XFC95" s="248" t="n"/>
      <c r="XFD95" s="240" t="n"/>
    </row>
    <row r="96">
      <c r="A96" s="17" t="inlineStr">
        <is>
          <t>Additional Coverages</t>
        </is>
      </c>
      <c r="B96" s="35" t="inlineStr">
        <is>
          <t>Farm Equipment Breakdown Coverage</t>
        </is>
      </c>
      <c r="C96" s="35" t="n"/>
      <c r="E96" s="248">
        <f>$E$15+$E$41+$E$62+$E$89</f>
        <v/>
      </c>
      <c r="F96" s="248" t="n"/>
      <c r="G96" s="248" t="n"/>
      <c r="H96" s="248" t="n"/>
      <c r="I96" s="248" t="n"/>
      <c r="J96" s="248" t="n"/>
      <c r="K96" s="49" t="n">
        <v>0.00015</v>
      </c>
      <c r="L96" s="151">
        <f>E96*K96</f>
        <v/>
      </c>
      <c r="M96" s="247" t="n"/>
      <c r="N96" s="95" t="n"/>
    </row>
    <row r="97">
      <c r="A97" s="18" t="n"/>
      <c r="B97" s="15" t="inlineStr">
        <is>
          <t>Identity Fraud Expense Coverage</t>
        </is>
      </c>
      <c r="E97" s="248" t="n">
        <v>0</v>
      </c>
      <c r="F97" s="248" t="n"/>
      <c r="G97" s="248" t="n"/>
      <c r="H97" s="248" t="n"/>
      <c r="I97" s="248" t="n"/>
      <c r="J97" s="248" t="n"/>
      <c r="K97" s="140" t="n">
        <v>20</v>
      </c>
      <c r="L97" s="140" t="n">
        <v>0</v>
      </c>
      <c r="M97" s="240" t="n">
        <v>0</v>
      </c>
      <c r="N97" s="95" t="n"/>
    </row>
    <row r="98">
      <c r="A98" s="19" t="n"/>
      <c r="B98" s="38" t="inlineStr">
        <is>
          <t>Farm Pollution Liability Coverage</t>
        </is>
      </c>
      <c r="C98" s="38" t="n"/>
      <c r="D98" s="38" t="n"/>
      <c r="E98" s="251" t="n">
        <v>1000000</v>
      </c>
      <c r="F98" s="251" t="n"/>
      <c r="G98" s="251" t="n"/>
      <c r="H98" s="251" t="n"/>
      <c r="I98" s="251" t="n"/>
      <c r="J98" s="251" t="n"/>
      <c r="K98" s="251" t="n">
        <v>100</v>
      </c>
      <c r="L98" s="114" t="n">
        <v>0</v>
      </c>
      <c r="M98" s="252" t="n"/>
      <c r="N98" s="92" t="n"/>
    </row>
    <row r="99">
      <c r="E99" s="260" t="n"/>
      <c r="F99" s="260" t="n"/>
      <c r="G99" s="260" t="n"/>
      <c r="H99" s="260" t="n"/>
      <c r="I99" s="260" t="n"/>
      <c r="L99" s="152" t="n"/>
    </row>
    <row r="100">
      <c r="E100" s="240" t="n"/>
      <c r="F100" s="240" t="n"/>
      <c r="G100" s="240" t="n"/>
      <c r="H100" s="240" t="n"/>
      <c r="I100" s="240" t="n"/>
      <c r="K100" s="58" t="inlineStr">
        <is>
          <t>Total Premium</t>
        </is>
      </c>
      <c r="L100" s="145">
        <f>L15+L22+L29+L33+L40+L41+L62+L89+L90+L92+L94+L95+L96+L98</f>
        <v/>
      </c>
    </row>
    <row r="101">
      <c r="A101" s="34" t="inlineStr">
        <is>
          <t>DEBITS/CREDITS</t>
        </is>
      </c>
      <c r="B101" s="31" t="n"/>
      <c r="E101" s="262" t="inlineStr">
        <is>
          <t>Surplus Lines Tax %</t>
        </is>
      </c>
      <c r="F101" s="261" t="n"/>
      <c r="G101" s="261" t="n"/>
      <c r="H101" s="261" t="n"/>
      <c r="I101" s="240" t="n"/>
      <c r="K101" s="56" t="inlineStr">
        <is>
          <t>Policy Fee</t>
        </is>
      </c>
      <c r="L101" s="146" t="n">
        <v>0</v>
      </c>
    </row>
    <row r="102">
      <c r="A102" s="18" t="inlineStr">
        <is>
          <t>#1</t>
        </is>
      </c>
      <c r="B102" s="65" t="n"/>
      <c r="E102" s="88">
        <f>IF(B3&lt;&gt;"", VLOOKUP(B3, States!A1:B15, 2, FALSE), "")</f>
        <v/>
      </c>
      <c r="F102" s="261" t="n"/>
      <c r="G102" s="261" t="n"/>
      <c r="H102" s="261" t="n"/>
      <c r="I102" s="240" t="n"/>
      <c r="K102" s="56" t="inlineStr">
        <is>
          <t>Total Premium SLT</t>
        </is>
      </c>
      <c r="L102" s="147">
        <f>L100*E102</f>
        <v/>
      </c>
    </row>
    <row r="103">
      <c r="A103" s="18" t="inlineStr">
        <is>
          <t>#2</t>
        </is>
      </c>
      <c r="B103" s="65" t="n"/>
      <c r="F103" s="261" t="n"/>
      <c r="G103" s="261" t="n"/>
      <c r="H103" s="261" t="n"/>
      <c r="I103" s="240" t="n"/>
      <c r="K103" s="56" t="inlineStr">
        <is>
          <t>Policy Fee SLT</t>
        </is>
      </c>
      <c r="L103" s="147">
        <f>L101*E102</f>
        <v/>
      </c>
    </row>
    <row r="104">
      <c r="A104" s="18" t="inlineStr">
        <is>
          <t>#3</t>
        </is>
      </c>
      <c r="B104" s="65" t="n"/>
      <c r="F104" s="261" t="n"/>
      <c r="G104" s="261" t="n"/>
      <c r="H104" s="261" t="n"/>
      <c r="I104" s="240" t="n"/>
      <c r="K104" s="21" t="n"/>
      <c r="L104" s="148" t="n"/>
      <c r="R104" s="263" t="n"/>
    </row>
    <row r="105">
      <c r="A105" s="18" t="inlineStr">
        <is>
          <t>#4</t>
        </is>
      </c>
      <c r="B105" s="65" t="n"/>
      <c r="F105" s="261" t="n"/>
      <c r="G105" s="261" t="n"/>
      <c r="H105" s="261" t="n"/>
      <c r="I105" s="240" t="n"/>
      <c r="K105" s="57" t="inlineStr">
        <is>
          <t xml:space="preserve">For Kentucky Risks ONLY </t>
        </is>
      </c>
      <c r="L105" s="149" t="n"/>
    </row>
    <row r="106">
      <c r="A106" s="66" t="inlineStr">
        <is>
          <t>Total</t>
        </is>
      </c>
      <c r="B106" s="67">
        <f>SUM(B102:B105)</f>
        <v/>
      </c>
      <c r="I106" s="240" t="n"/>
      <c r="K106" s="21" t="inlineStr">
        <is>
          <t>KY Municipal Tax</t>
        </is>
      </c>
      <c r="L106" s="148" t="n"/>
    </row>
    <row r="107">
      <c r="A107" s="3" t="n"/>
      <c r="B107" s="78" t="n"/>
      <c r="I107" s="240" t="n"/>
      <c r="K107" s="86" t="inlineStr">
        <is>
          <t>KY Tax Filing Fee</t>
        </is>
      </c>
      <c r="L107" s="150" t="n">
        <v>0</v>
      </c>
    </row>
    <row r="108">
      <c r="A108" s="34" t="inlineStr">
        <is>
          <t>Location</t>
        </is>
      </c>
      <c r="B108" s="222" t="inlineStr">
        <is>
          <t>Address</t>
        </is>
      </c>
      <c r="C108" s="224" t="inlineStr">
        <is>
          <t>Acreage</t>
        </is>
      </c>
      <c r="I108" s="240" t="n"/>
      <c r="K108" s="21" t="n"/>
      <c r="L108" s="148" t="n"/>
    </row>
    <row r="109">
      <c r="A109" s="18" t="inlineStr">
        <is>
          <t>Loc #1</t>
        </is>
      </c>
      <c r="C109" s="225" t="n"/>
      <c r="I109" s="240" t="n"/>
      <c r="K109" s="59" t="inlineStr">
        <is>
          <t>Total Premium + SLT</t>
        </is>
      </c>
      <c r="L109" s="150">
        <f>SUM(L100:L108)</f>
        <v/>
      </c>
    </row>
    <row r="110">
      <c r="A110" s="18" t="inlineStr">
        <is>
          <t>Loc #2</t>
        </is>
      </c>
      <c r="C110" s="225" t="n"/>
      <c r="K110" s="1" t="n"/>
    </row>
    <row r="111">
      <c r="A111" s="18" t="inlineStr">
        <is>
          <t>Loc #3</t>
        </is>
      </c>
      <c r="C111" s="225" t="n"/>
      <c r="K111" s="1" t="inlineStr">
        <is>
          <t>Original Inception</t>
        </is>
      </c>
      <c r="L111" s="161">
        <f>B5</f>
        <v/>
      </c>
    </row>
    <row r="112">
      <c r="A112" s="18" t="inlineStr">
        <is>
          <t>Loc #4</t>
        </is>
      </c>
      <c r="C112" s="225" t="n"/>
      <c r="K112" s="1" t="inlineStr">
        <is>
          <t>Original Expiry</t>
        </is>
      </c>
      <c r="L112" s="161">
        <f>B6</f>
        <v/>
      </c>
    </row>
    <row r="113">
      <c r="A113" s="18" t="inlineStr">
        <is>
          <t>Loc #5</t>
        </is>
      </c>
      <c r="C113" s="225" t="n"/>
      <c r="K113" s="1" t="n"/>
    </row>
    <row r="114">
      <c r="A114" s="18" t="inlineStr">
        <is>
          <t>Loc #6</t>
        </is>
      </c>
      <c r="C114" s="225" t="n"/>
      <c r="K114" s="1" t="n"/>
    </row>
    <row r="115">
      <c r="A115" s="66" t="inlineStr">
        <is>
          <t>Total Acreage</t>
        </is>
      </c>
      <c r="B115" s="38" t="n"/>
      <c r="C115" s="226">
        <f>SUM(C109:C114)</f>
        <v/>
      </c>
      <c r="K115" s="1" t="inlineStr">
        <is>
          <t>Mid Term Adjustment Date</t>
        </is>
      </c>
      <c r="L115" s="208" t="n">
        <v>45952</v>
      </c>
    </row>
    <row r="116">
      <c r="B116" s="78" t="n"/>
      <c r="K116" s="1" t="inlineStr">
        <is>
          <t>Days on Risk</t>
        </is>
      </c>
      <c r="L116" s="231">
        <f>L112-L115</f>
        <v/>
      </c>
    </row>
    <row r="117">
      <c r="A117" s="34" t="inlineStr">
        <is>
          <t>ADDITIONAL INTERESTS: Mortgagee, Loss Payee or Other Interests</t>
        </is>
      </c>
      <c r="B117" s="35" t="n"/>
      <c r="C117" s="35" t="n"/>
      <c r="D117" s="35" t="n"/>
      <c r="E117" s="264" t="n"/>
      <c r="F117" s="240" t="n"/>
      <c r="G117" s="240" t="n"/>
      <c r="H117" s="240" t="n"/>
      <c r="K117" s="1" t="n"/>
    </row>
    <row r="118">
      <c r="A118" s="69" t="inlineStr">
        <is>
          <t>Type</t>
        </is>
      </c>
      <c r="B118" s="70" t="inlineStr">
        <is>
          <t>Name and Address</t>
        </is>
      </c>
      <c r="C118" s="70" t="inlineStr">
        <is>
          <t>Insured Location</t>
        </is>
      </c>
      <c r="D118" s="70" t="n"/>
      <c r="E118" s="277" t="inlineStr">
        <is>
          <t>Building/ Item #</t>
        </is>
      </c>
      <c r="F118" s="274" t="n"/>
      <c r="G118" s="274" t="n"/>
      <c r="H118" s="274" t="n"/>
      <c r="K118" s="108" t="inlineStr">
        <is>
          <t>Additional/ Return Premium (pro-rata)</t>
        </is>
      </c>
      <c r="L118" s="278">
        <f>L100/365*L116</f>
        <v/>
      </c>
    </row>
    <row r="119">
      <c r="A119" s="71" t="n"/>
      <c r="B119" s="72" t="n"/>
      <c r="C119" s="72" t="n"/>
      <c r="D119" s="72" t="n"/>
      <c r="E119" s="268" t="n"/>
      <c r="F119" s="269" t="n"/>
      <c r="G119" s="269" t="n"/>
      <c r="H119" s="269" t="n"/>
      <c r="K119" s="110" t="inlineStr">
        <is>
          <t>Additional/ Return Premium SLT</t>
        </is>
      </c>
      <c r="L119" s="279">
        <f>L118*E102</f>
        <v/>
      </c>
    </row>
    <row r="120">
      <c r="A120" s="71" t="n"/>
      <c r="B120" s="72" t="n"/>
      <c r="C120" s="72" t="n"/>
      <c r="D120" s="72" t="n"/>
      <c r="E120" s="268" t="n"/>
      <c r="F120" s="269" t="n"/>
      <c r="G120" s="269" t="n"/>
      <c r="H120" s="269" t="n"/>
      <c r="K120" s="112" t="inlineStr">
        <is>
          <t>Total Additional/ Return Premium + SLT</t>
        </is>
      </c>
      <c r="L120" s="280">
        <f>L118+L119</f>
        <v/>
      </c>
    </row>
    <row r="121">
      <c r="A121" s="71" t="n"/>
      <c r="B121" s="72" t="n"/>
      <c r="C121" s="72" t="n"/>
      <c r="D121" s="72" t="n"/>
      <c r="E121" s="268" t="n"/>
      <c r="F121" s="269" t="n"/>
      <c r="G121" s="269" t="n"/>
      <c r="H121" s="269" t="n"/>
    </row>
    <row r="122">
      <c r="A122" s="71" t="n"/>
      <c r="B122" s="72" t="n"/>
      <c r="C122" s="72" t="n"/>
      <c r="D122" s="72" t="n"/>
      <c r="E122" s="268" t="n"/>
      <c r="F122" s="269" t="n"/>
      <c r="G122" s="269" t="n"/>
      <c r="H122" s="269" t="n"/>
    </row>
    <row r="123">
      <c r="A123" s="71" t="n"/>
      <c r="B123" s="72" t="n"/>
      <c r="C123" s="72" t="n"/>
      <c r="D123" s="72" t="n"/>
      <c r="E123" s="268" t="n"/>
      <c r="F123" s="269" t="n"/>
      <c r="G123" s="269" t="n"/>
      <c r="H123" s="269" t="n"/>
    </row>
    <row r="124">
      <c r="A124" s="71" t="n"/>
      <c r="B124" s="72" t="n"/>
      <c r="C124" s="72" t="n"/>
      <c r="D124" s="72" t="n"/>
      <c r="E124" s="268" t="n"/>
      <c r="F124" s="269" t="n"/>
      <c r="G124" s="269" t="n"/>
      <c r="H124" s="269" t="n"/>
    </row>
    <row r="125">
      <c r="A125" s="71" t="n"/>
      <c r="B125" s="72" t="n"/>
      <c r="C125" s="72" t="n"/>
      <c r="D125" s="72" t="n"/>
      <c r="E125" s="268" t="n"/>
      <c r="F125" s="269" t="n"/>
      <c r="G125" s="269" t="n"/>
      <c r="H125" s="269" t="n"/>
    </row>
    <row r="126">
      <c r="A126" s="71" t="n"/>
      <c r="B126" s="72" t="n"/>
      <c r="C126" s="72" t="n"/>
      <c r="D126" s="72" t="n"/>
      <c r="E126" s="268" t="n"/>
      <c r="F126" s="269" t="n"/>
      <c r="G126" s="269" t="n"/>
      <c r="H126" s="269" t="n"/>
    </row>
    <row r="127">
      <c r="A127" s="74" t="n"/>
      <c r="B127" s="75" t="n"/>
      <c r="C127" s="75" t="n"/>
      <c r="D127" s="75" t="n"/>
      <c r="E127" s="270" t="n"/>
      <c r="F127" s="269" t="n"/>
      <c r="G127" s="269" t="n"/>
      <c r="H127" s="269" t="n"/>
    </row>
    <row r="128">
      <c r="A128" s="79" t="n"/>
      <c r="B128" s="72" t="n"/>
      <c r="C128" s="72" t="n"/>
      <c r="D128" s="72" t="n"/>
      <c r="E128" s="269" t="n"/>
      <c r="F128" s="269" t="n"/>
      <c r="G128" s="269" t="n"/>
      <c r="H128" s="269" t="n"/>
    </row>
    <row r="129">
      <c r="A129" s="79" t="n"/>
      <c r="B129" s="72" t="n"/>
      <c r="C129" s="72" t="n"/>
      <c r="D129" s="72" t="n"/>
      <c r="E129" s="269" t="n"/>
      <c r="F129" s="269" t="n"/>
      <c r="G129" s="269" t="n"/>
      <c r="H129" s="269" t="n"/>
    </row>
    <row r="130">
      <c r="A130" s="79" t="n"/>
      <c r="B130" s="72" t="n"/>
      <c r="C130" s="72" t="n"/>
      <c r="D130" s="72" t="n"/>
      <c r="E130" s="269" t="n"/>
      <c r="F130" s="269" t="n"/>
      <c r="G130" s="269" t="n"/>
      <c r="H130" s="269" t="n"/>
    </row>
    <row r="131">
      <c r="A131" s="81" t="inlineStr">
        <is>
          <t>FOR BRITAMERICA USE ONLY</t>
        </is>
      </c>
      <c r="B131" s="82" t="n"/>
      <c r="C131" s="82" t="n"/>
      <c r="D131" s="82" t="n"/>
      <c r="E131" s="271" t="n"/>
      <c r="F131" s="271" t="n"/>
      <c r="G131" s="271" t="n"/>
      <c r="H131" s="271" t="n"/>
      <c r="I131" s="272" t="n"/>
      <c r="J131" s="85" t="n"/>
      <c r="K131" s="272" t="n"/>
      <c r="L131" s="272" t="n"/>
      <c r="M131" s="96" t="n"/>
    </row>
    <row r="132">
      <c r="B132" s="273" t="n"/>
    </row>
    <row r="133">
      <c r="A133" s="34" t="inlineStr">
        <is>
          <t>For Use on Policy Declarations</t>
        </is>
      </c>
      <c r="B133" s="31" t="n"/>
    </row>
    <row r="134">
      <c r="A134" s="18" t="inlineStr">
        <is>
          <t>Liability</t>
        </is>
      </c>
      <c r="B134" s="216">
        <f>SUM($L$90:$L$94)/365*L116</f>
        <v/>
      </c>
      <c r="C134" s="156" t="n"/>
      <c r="D134" s="156" t="n"/>
    </row>
    <row r="135">
      <c r="A135" s="18" t="inlineStr">
        <is>
          <t>Property</t>
        </is>
      </c>
      <c r="B135" s="216">
        <f>SUM($L$9:$L$89)/365*L116</f>
        <v/>
      </c>
      <c r="C135" s="156" t="n"/>
      <c r="D135" s="156" t="n"/>
    </row>
    <row r="136">
      <c r="A136" s="18" t="inlineStr">
        <is>
          <t>Additional Sections</t>
        </is>
      </c>
      <c r="B136" s="216">
        <f>SUM($L$95:$L$98)/365*L116</f>
        <v/>
      </c>
      <c r="C136" s="156" t="n"/>
      <c r="D136" s="156" t="n"/>
    </row>
    <row r="137">
      <c r="A137" s="19" t="inlineStr">
        <is>
          <t>Total</t>
        </is>
      </c>
      <c r="B137" s="217">
        <f>SUM(B134:B136)</f>
        <v/>
      </c>
      <c r="C137" s="156" t="n"/>
      <c r="D137" s="156" t="n"/>
      <c r="I137" s="240" t="inlineStr">
        <is>
          <t>TRIA Signed</t>
        </is>
      </c>
    </row>
    <row r="138">
      <c r="A138" s="240" t="n"/>
      <c r="B138" s="240" t="n"/>
      <c r="C138" s="240" t="n"/>
      <c r="D138" s="240" t="n"/>
      <c r="I138" s="161">
        <f>'Inception of Cover Rater'!J141</f>
        <v/>
      </c>
    </row>
    <row r="139" ht="15.95" customHeight="1">
      <c r="A139" s="53" t="inlineStr">
        <is>
          <t>For Use by BritAmerica Only</t>
        </is>
      </c>
      <c r="B139" s="54" t="n"/>
      <c r="C139" s="55" t="n"/>
      <c r="D139" s="201" t="n"/>
    </row>
    <row r="140">
      <c r="A140" s="26" t="inlineStr">
        <is>
          <t>Risk Code</t>
        </is>
      </c>
      <c r="B140" s="274" t="inlineStr">
        <is>
          <t>BDX Premium</t>
        </is>
      </c>
      <c r="C140" s="28" t="inlineStr">
        <is>
          <t>Coverages</t>
        </is>
      </c>
      <c r="D140" s="70" t="n"/>
      <c r="E140" s="275" t="n"/>
      <c r="F140" s="275" t="n"/>
      <c r="G140" s="275" t="n"/>
      <c r="H140" s="275" t="n"/>
    </row>
    <row r="141">
      <c r="A141" s="22" t="inlineStr">
        <is>
          <t>N</t>
        </is>
      </c>
      <c r="B141" s="219">
        <f>SUM(L40+L94+L95)/365*L116</f>
        <v/>
      </c>
      <c r="C141" s="23" t="inlineStr">
        <is>
          <t>D, L, M</t>
        </is>
      </c>
      <c r="E141" s="276" t="n"/>
      <c r="F141" s="276" t="n"/>
      <c r="G141" s="276" t="n"/>
      <c r="H141" s="276" t="n"/>
      <c r="I141" s="240" t="n"/>
    </row>
    <row r="142">
      <c r="A142" s="22" t="inlineStr">
        <is>
          <t>B3</t>
        </is>
      </c>
      <c r="B142" s="219">
        <f>SUM(L15+L22+L33+L41+L62+L89+L96+L29)/365*L116</f>
        <v/>
      </c>
      <c r="C142" s="23" t="inlineStr">
        <is>
          <t>A, B, C, E, F, G &amp; FEPC</t>
        </is>
      </c>
      <c r="E142" s="276" t="n"/>
      <c r="F142" s="276" t="n"/>
      <c r="G142" s="276" t="n"/>
      <c r="H142" s="276" t="n"/>
      <c r="I142" s="240" t="n"/>
    </row>
    <row r="143">
      <c r="A143" s="22" t="inlineStr">
        <is>
          <t>UA</t>
        </is>
      </c>
      <c r="B143" s="219">
        <f>SUM(L90)/365*L116</f>
        <v/>
      </c>
      <c r="C143" s="23" t="inlineStr">
        <is>
          <t>H</t>
        </is>
      </c>
      <c r="E143" s="276" t="n"/>
      <c r="F143" s="276" t="n"/>
      <c r="G143" s="276" t="n"/>
      <c r="H143" s="276" t="n"/>
    </row>
    <row r="144">
      <c r="A144" s="22" t="inlineStr">
        <is>
          <t>UR</t>
        </is>
      </c>
      <c r="B144" s="219">
        <f>SUM(L92+L98)/365*L116</f>
        <v/>
      </c>
      <c r="C144" s="23" t="inlineStr">
        <is>
          <t>I, J. K</t>
        </is>
      </c>
      <c r="E144" s="276" t="n"/>
      <c r="F144" s="276" t="n"/>
      <c r="G144" s="276" t="n"/>
      <c r="H144" s="276" t="n"/>
    </row>
    <row r="145">
      <c r="A145" s="29" t="inlineStr">
        <is>
          <t>Total</t>
        </is>
      </c>
      <c r="B145" s="30">
        <f>SUM(B141:B144)</f>
        <v/>
      </c>
      <c r="C145" s="25" t="n"/>
      <c r="E145" s="156" t="n"/>
      <c r="F145" s="156" t="n"/>
      <c r="G145" s="156" t="n"/>
      <c r="H145" s="156" t="n"/>
    </row>
  </sheetData>
  <mergeCells count="1">
    <mergeCell ref="E2:N3"/>
  </mergeCells>
  <dataValidations count="2">
    <dataValidation sqref="D29" showDropDown="0" showInputMessage="1" showErrorMessage="1" allowBlank="1" type="list">
      <formula1>$A$109:$A$115</formula1>
    </dataValidation>
    <dataValidation sqref="D9:D14 D16:D21 D23:D28 D30:D32 D34:D39 D41:D61 D63:D82 D87" showDropDown="0" showInputMessage="1" showErrorMessage="1" allowBlank="1" type="list">
      <formula1>$A$109:$A$114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4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topLeftCell="A52" zoomScale="150" workbookViewId="0">
      <selection activeCell="C24" sqref="C24"/>
    </sheetView>
  </sheetViews>
  <sheetFormatPr baseColWidth="8" defaultColWidth="15.42578125" defaultRowHeight="15"/>
  <cols>
    <col width="55.42578125" customWidth="1" min="1" max="1"/>
    <col width="17.42578125" customWidth="1" min="2" max="2"/>
    <col width="15.42578125" customWidth="1" style="1" min="3" max="6"/>
    <col width="8.28515625" customWidth="1" min="7" max="7"/>
  </cols>
  <sheetData>
    <row r="1">
      <c r="A1" s="9" t="inlineStr">
        <is>
          <t>Coverage A – Dwelling</t>
        </is>
      </c>
      <c r="B1" s="12" t="n">
        <v>0.004</v>
      </c>
      <c r="H1" s="189" t="n"/>
    </row>
    <row r="2">
      <c r="A2" s="9" t="inlineStr">
        <is>
          <t>Coverage B – Private Structures</t>
        </is>
      </c>
      <c r="B2" s="12" t="n">
        <v>0.0045</v>
      </c>
      <c r="H2" s="189" t="n"/>
    </row>
    <row r="3">
      <c r="A3" s="9" t="inlineStr">
        <is>
          <t>Coverage C – Personal Property</t>
        </is>
      </c>
      <c r="B3" s="12" t="n">
        <v>0.0055</v>
      </c>
    </row>
    <row r="4">
      <c r="A4" s="9" t="inlineStr">
        <is>
          <t>Coverage D – Loss of Use</t>
        </is>
      </c>
      <c r="B4" s="12" t="n">
        <v>0.0046</v>
      </c>
    </row>
    <row r="5">
      <c r="A5" s="9" t="inlineStr">
        <is>
          <t>Coverage E - Blanket Farm Perosnal Property</t>
        </is>
      </c>
      <c r="B5" s="12" t="n">
        <v>0.004</v>
      </c>
    </row>
    <row r="6">
      <c r="A6" s="9" t="inlineStr">
        <is>
          <t>Coverage F - Scheduled Farm Personal Property Coverage</t>
        </is>
      </c>
      <c r="B6" s="12" t="n">
        <v>0.004</v>
      </c>
    </row>
    <row r="7">
      <c r="A7" s="9" t="inlineStr">
        <is>
          <t>Coverage G – Farm Outbuildings and Structures</t>
        </is>
      </c>
      <c r="B7" s="1" t="inlineStr">
        <is>
          <t>Nil</t>
        </is>
      </c>
      <c r="C7" s="1" t="inlineStr">
        <is>
          <t>Zone 1</t>
        </is>
      </c>
      <c r="D7" s="1" t="inlineStr">
        <is>
          <t xml:space="preserve">Zone 2 </t>
        </is>
      </c>
      <c r="E7" s="1" t="inlineStr">
        <is>
          <t>Zone 3</t>
        </is>
      </c>
      <c r="F7" s="1" t="inlineStr">
        <is>
          <t>Zone 4</t>
        </is>
      </c>
    </row>
    <row r="8">
      <c r="A8" s="281" t="inlineStr">
        <is>
          <t>Breeder Complex</t>
        </is>
      </c>
      <c r="B8" s="13" t="n">
        <v>0</v>
      </c>
      <c r="C8" s="13" t="n">
        <v>0.006</v>
      </c>
      <c r="D8" s="13" t="n">
        <v>0.007</v>
      </c>
      <c r="E8" s="13" t="n">
        <v>0.0055</v>
      </c>
      <c r="F8" s="13" t="n">
        <v>0.007</v>
      </c>
      <c r="H8" s="189" t="n"/>
      <c r="I8" s="189" t="n"/>
      <c r="J8" s="189" t="n"/>
      <c r="K8" s="189" t="n"/>
    </row>
    <row r="9">
      <c r="A9" s="281" t="inlineStr">
        <is>
          <t>Standard Breeder</t>
        </is>
      </c>
      <c r="B9" s="13" t="n">
        <v>0</v>
      </c>
      <c r="C9" s="13" t="n">
        <v>0.0047</v>
      </c>
      <c r="D9" s="13" t="n">
        <v>0.0047</v>
      </c>
      <c r="E9" s="13" t="n">
        <v>0.0054</v>
      </c>
      <c r="F9" s="13" t="n">
        <v>0.0061</v>
      </c>
      <c r="H9" s="189" t="n"/>
      <c r="I9" s="189" t="n"/>
      <c r="J9" s="189" t="n"/>
      <c r="K9" s="189" t="n"/>
    </row>
    <row r="10">
      <c r="A10" s="281" t="inlineStr">
        <is>
          <t>Primary Breeder</t>
        </is>
      </c>
      <c r="B10" s="13" t="n">
        <v>0</v>
      </c>
      <c r="C10" s="13" t="n">
        <v>0.0044</v>
      </c>
      <c r="D10" s="13" t="n">
        <v>0.0044</v>
      </c>
      <c r="E10" s="13" t="n">
        <v>0.0044</v>
      </c>
      <c r="F10" s="13" t="n">
        <v>0.0055</v>
      </c>
      <c r="H10" s="189" t="n"/>
      <c r="I10" s="189" t="n"/>
      <c r="J10" s="189" t="n"/>
      <c r="K10" s="189" t="n"/>
    </row>
    <row r="11">
      <c r="A11" s="281" t="inlineStr">
        <is>
          <t>Standard Broilers</t>
        </is>
      </c>
      <c r="B11" s="13" t="n">
        <v>0</v>
      </c>
      <c r="C11" s="13" t="n">
        <v>0.0048</v>
      </c>
      <c r="D11" s="13" t="n">
        <v>0.005</v>
      </c>
      <c r="E11" s="13" t="n">
        <v>0.005</v>
      </c>
      <c r="F11" s="13" t="n">
        <v>0.0064</v>
      </c>
      <c r="H11" s="189" t="n"/>
      <c r="I11" s="189" t="n"/>
      <c r="J11" s="189" t="n"/>
      <c r="K11" s="189" t="n"/>
    </row>
    <row r="12">
      <c r="A12" s="281" t="inlineStr">
        <is>
          <t>Mega-house Broilers</t>
        </is>
      </c>
      <c r="B12" s="13" t="n">
        <v>0</v>
      </c>
      <c r="C12" s="13" t="n">
        <v>0.005</v>
      </c>
      <c r="D12" s="13" t="n">
        <v>0.005</v>
      </c>
      <c r="E12" s="13" t="n">
        <v>0.0052</v>
      </c>
      <c r="F12" s="13" t="n">
        <v>0.0057</v>
      </c>
      <c r="H12" s="189" t="n"/>
      <c r="I12" s="189" t="n"/>
      <c r="J12" s="189" t="n"/>
      <c r="K12" s="189" t="n"/>
    </row>
    <row r="13">
      <c r="A13" s="9" t="inlineStr">
        <is>
          <t>Coverage H- Farm Personal Liability</t>
        </is>
      </c>
      <c r="B13" s="240" t="n">
        <v>500</v>
      </c>
      <c r="C13" s="1" t="inlineStr">
        <is>
          <t>per policy</t>
        </is>
      </c>
      <c r="D13" s="10" t="inlineStr">
        <is>
          <t>Limit USD 1,000,000, USD 2,000,000 in the annual aggregate.</t>
        </is>
      </c>
    </row>
    <row r="14">
      <c r="A14" s="9" t="inlineStr">
        <is>
          <t>Coverage I - Medical Payments to Others</t>
        </is>
      </c>
      <c r="B14" s="1" t="inlineStr">
        <is>
          <t>Included</t>
        </is>
      </c>
      <c r="D14" s="10" t="n"/>
    </row>
    <row r="15">
      <c r="A15" s="9" t="inlineStr">
        <is>
          <t>Coverage J - Farm Employers Liability</t>
        </is>
      </c>
      <c r="B15" t="n">
        <v>80</v>
      </c>
      <c r="C15" t="inlineStr">
        <is>
          <t>(Full-time Employee)</t>
        </is>
      </c>
    </row>
    <row r="16">
      <c r="A16" s="10" t="n"/>
      <c r="B16" t="n">
        <v>60</v>
      </c>
      <c r="C16" t="inlineStr">
        <is>
          <t>(Part-time Employee)</t>
        </is>
      </c>
    </row>
    <row r="17">
      <c r="A17" s="9" t="inlineStr">
        <is>
          <t xml:space="preserve">Coverage K - Farm Employees Medical Payments </t>
        </is>
      </c>
      <c r="B17" s="1" t="inlineStr">
        <is>
          <t>Included</t>
        </is>
      </c>
      <c r="C17" s="10" t="n"/>
    </row>
    <row r="18">
      <c r="A18" s="3" t="inlineStr">
        <is>
          <t>Coverage L - Care, Custody and Control</t>
        </is>
      </c>
      <c r="C18" s="10" t="n"/>
    </row>
    <row r="19">
      <c r="A19" s="3" t="inlineStr">
        <is>
          <t>Coverage M - Loss of Farm Income (Business Interruption)</t>
        </is>
      </c>
      <c r="B19" s="11" t="n">
        <v>0.0045</v>
      </c>
      <c r="C19" s="10" t="n"/>
    </row>
    <row r="20">
      <c r="A20" s="9" t="inlineStr">
        <is>
          <t>Section I - Additional Coverages</t>
        </is>
      </c>
      <c r="B20" s="5" t="n">
        <v>0.00015</v>
      </c>
      <c r="C20" t="inlineStr">
        <is>
          <t>Farm Equipment Breakdown Coverage</t>
        </is>
      </c>
      <c r="D20" s="10" t="n"/>
    </row>
    <row r="21">
      <c r="A21" s="10" t="n"/>
      <c r="B21" s="248" t="n">
        <v>40</v>
      </c>
      <c r="C21" t="inlineStr">
        <is>
          <t>Identity Fraud Expense Coverage</t>
        </is>
      </c>
    </row>
    <row r="22">
      <c r="A22" s="9" t="inlineStr">
        <is>
          <t>Section II - Additional Coverages</t>
        </is>
      </c>
      <c r="B22" s="248" t="n">
        <v>200</v>
      </c>
      <c r="C22" t="inlineStr">
        <is>
          <t>Farm Pollution Liability Coverage</t>
        </is>
      </c>
    </row>
    <row r="24">
      <c r="A24" s="7" t="n"/>
    </row>
    <row r="25">
      <c r="A25" s="282" t="inlineStr">
        <is>
          <t>BUILDER'S RISK - NOT COVERED</t>
        </is>
      </c>
      <c r="B25" s="47" t="n"/>
      <c r="C25" s="195" t="n"/>
    </row>
    <row r="26">
      <c r="A26" s="282" t="inlineStr">
        <is>
          <t>BUILDER'S RISK - COVERED (Course of Construction endorsement to be included with Policy)</t>
        </is>
      </c>
      <c r="B26" s="47" t="n"/>
      <c r="C26" s="196" t="n"/>
    </row>
    <row r="27">
      <c r="A27" s="7" t="n"/>
    </row>
    <row r="29">
      <c r="A29" t="inlineStr">
        <is>
          <t>Coverage A - Type of Roof</t>
        </is>
      </c>
      <c r="B29" s="5" t="inlineStr">
        <is>
          <t>Metal</t>
        </is>
      </c>
      <c r="C29" s="1" t="inlineStr">
        <is>
          <t>Shingles</t>
        </is>
      </c>
      <c r="D29" s="1" t="inlineStr">
        <is>
          <t>Wood Shakes</t>
        </is>
      </c>
    </row>
    <row r="31">
      <c r="A31" s="209" t="inlineStr">
        <is>
          <t>Private jewellery for wearing</t>
        </is>
      </c>
      <c r="B31" s="210" t="inlineStr">
        <is>
          <t>Maximum limit per policy USD 100,000</t>
        </is>
      </c>
    </row>
    <row r="32">
      <c r="B32" s="210" t="inlineStr">
        <is>
          <t>Maximum limit per item USD10,000</t>
        </is>
      </c>
    </row>
    <row r="33">
      <c r="B33" s="210" t="inlineStr">
        <is>
          <t>(Otherwise, prior submit to Underwriters)</t>
        </is>
      </c>
    </row>
    <row r="35">
      <c r="A35" s="210" t="inlineStr">
        <is>
          <t>Rates:</t>
        </is>
      </c>
      <c r="B35" s="211" t="n">
        <v>0.013</v>
      </c>
      <c r="C35" s="210" t="inlineStr">
        <is>
          <t>Kept in safe in Private dwelling when not worn, no alarm</t>
        </is>
      </c>
    </row>
    <row r="36">
      <c r="B36" s="211" t="n">
        <v>0.02</v>
      </c>
      <c r="C36" s="210" t="inlineStr">
        <is>
          <t>no safe, kept in Private dwelling when not worn, no alarm</t>
        </is>
      </c>
    </row>
    <row r="37">
      <c r="A37" s="210" t="n"/>
    </row>
    <row r="38">
      <c r="A38" s="21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I16" sqref="I16"/>
    </sheetView>
  </sheetViews>
  <sheetFormatPr baseColWidth="8" defaultColWidth="8.85546875" defaultRowHeight="15"/>
  <cols>
    <col width="18.7109375" customWidth="1" min="1" max="1"/>
    <col width="15.85546875" bestFit="1" customWidth="1" style="126" min="2" max="2"/>
  </cols>
  <sheetData>
    <row r="1">
      <c r="A1" t="inlineStr">
        <is>
          <t>AL</t>
        </is>
      </c>
      <c r="B1" s="126" t="n">
        <v>0.06</v>
      </c>
    </row>
    <row r="2">
      <c r="A2" t="inlineStr">
        <is>
          <t>AR</t>
        </is>
      </c>
      <c r="B2" s="126" t="n">
        <v>0.04</v>
      </c>
    </row>
    <row r="3">
      <c r="A3" t="inlineStr">
        <is>
          <t>GA</t>
        </is>
      </c>
      <c r="B3" s="126" t="n">
        <v>0.04</v>
      </c>
    </row>
    <row r="4">
      <c r="A4" t="inlineStr">
        <is>
          <t>IA</t>
        </is>
      </c>
      <c r="B4" s="126" t="n">
        <v>0.0095</v>
      </c>
    </row>
    <row r="5">
      <c r="A5" t="inlineStr">
        <is>
          <t>KS</t>
        </is>
      </c>
      <c r="B5" s="126" t="n">
        <v>0.03</v>
      </c>
    </row>
    <row r="6">
      <c r="A6" t="inlineStr">
        <is>
          <t>KY</t>
        </is>
      </c>
      <c r="B6" s="126" t="n">
        <v>0.048</v>
      </c>
    </row>
    <row r="7">
      <c r="A7" t="inlineStr">
        <is>
          <t>MO</t>
        </is>
      </c>
      <c r="B7" s="126" t="n">
        <v>0.05</v>
      </c>
    </row>
    <row r="8">
      <c r="A8" t="inlineStr">
        <is>
          <t>MS</t>
        </is>
      </c>
      <c r="B8" s="126" t="n">
        <v>0.0725</v>
      </c>
    </row>
    <row r="9">
      <c r="A9" t="inlineStr">
        <is>
          <t>NE</t>
        </is>
      </c>
      <c r="B9" s="126" t="n">
        <v>0.03</v>
      </c>
    </row>
    <row r="10">
      <c r="A10" t="inlineStr">
        <is>
          <t>NM</t>
        </is>
      </c>
      <c r="B10" s="126" t="n">
        <v>0.05</v>
      </c>
    </row>
    <row r="11">
      <c r="A11" t="inlineStr">
        <is>
          <t>OK</t>
        </is>
      </c>
      <c r="B11" s="126" t="n">
        <v>0.06</v>
      </c>
    </row>
    <row r="12">
      <c r="A12" t="inlineStr">
        <is>
          <t>SC</t>
        </is>
      </c>
      <c r="B12" s="126" t="n">
        <v>0.06</v>
      </c>
    </row>
    <row r="13">
      <c r="A13" t="inlineStr">
        <is>
          <t>TN</t>
        </is>
      </c>
      <c r="B13" s="126" t="n">
        <v>0.05</v>
      </c>
    </row>
    <row r="14">
      <c r="A14" t="inlineStr">
        <is>
          <t>TX</t>
        </is>
      </c>
      <c r="B14" s="126" t="n">
        <v>0.0489</v>
      </c>
    </row>
    <row r="15">
      <c r="A15" t="inlineStr">
        <is>
          <t>VA</t>
        </is>
      </c>
      <c r="B15" s="126" t="n">
        <v>0.0225</v>
      </c>
    </row>
    <row r="17">
      <c r="A17" t="inlineStr">
        <is>
          <t>Coverage Basis</t>
        </is>
      </c>
      <c r="B17" s="126" t="inlineStr">
        <is>
          <t>Replacement Cost</t>
        </is>
      </c>
      <c r="C17" t="inlineStr">
        <is>
          <t>Actual Cash Value</t>
        </is>
      </c>
    </row>
    <row r="18">
      <c r="A18" t="inlineStr">
        <is>
          <t>Cause of Loss</t>
        </is>
      </c>
      <c r="B18" s="126" t="inlineStr">
        <is>
          <t>Basic</t>
        </is>
      </c>
      <c r="C18" s="126" t="inlineStr">
        <is>
          <t>Broad</t>
        </is>
      </c>
      <c r="D18" t="inlineStr">
        <is>
          <t>Special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topLeftCell="K1" workbookViewId="0">
      <pane ySplit="1" topLeftCell="A2" activePane="bottomLeft" state="frozen"/>
      <selection pane="bottomLeft" activeCell="AD7" sqref="L7:AD12"/>
      <selection activeCell="C24" sqref="C24"/>
    </sheetView>
  </sheetViews>
  <sheetFormatPr baseColWidth="8" defaultColWidth="8.85546875" defaultRowHeight="15"/>
  <cols>
    <col width="10.42578125" bestFit="1" customWidth="1" style="134" min="1" max="4"/>
    <col width="10.28515625" bestFit="1" customWidth="1" style="134" min="5" max="6"/>
    <col width="10.7109375" bestFit="1" customWidth="1" style="134" min="7" max="7"/>
    <col width="10.42578125" bestFit="1" customWidth="1" style="134" min="8" max="8"/>
    <col width="9.85546875" bestFit="1" customWidth="1" style="134" min="9" max="9"/>
    <col width="10" bestFit="1" customWidth="1" style="134" min="10" max="10"/>
    <col width="10.42578125" bestFit="1" customWidth="1" style="134" min="11" max="11"/>
    <col width="10.140625" bestFit="1" customWidth="1" style="134" min="12" max="12"/>
    <col width="11.140625" bestFit="1" customWidth="1" style="134" min="13" max="13"/>
    <col width="34.28515625" bestFit="1" customWidth="1" style="134" min="14" max="14"/>
    <col width="29.28515625" bestFit="1" customWidth="1" style="134" min="15" max="15"/>
    <col width="29.42578125" bestFit="1" customWidth="1" style="134" min="16" max="16"/>
    <col width="15.42578125" bestFit="1" customWidth="1" style="134" min="17" max="17"/>
    <col width="8" bestFit="1" customWidth="1" min="18" max="18"/>
    <col width="8.7109375" bestFit="1" customWidth="1" min="19" max="19"/>
    <col width="18" bestFit="1" customWidth="1" min="20" max="20"/>
    <col width="10.42578125" bestFit="1" customWidth="1" min="21" max="21"/>
    <col width="11.28515625" bestFit="1" customWidth="1" min="22" max="22"/>
    <col width="11.85546875" bestFit="1" customWidth="1" min="23" max="23"/>
    <col width="11.7109375" bestFit="1" customWidth="1" min="24" max="24"/>
    <col width="18" bestFit="1" customWidth="1" min="25" max="25"/>
    <col width="18.7109375" bestFit="1" customWidth="1" min="26" max="26"/>
    <col width="19.28515625" bestFit="1" customWidth="1" min="27" max="27"/>
    <col width="19.140625" bestFit="1" customWidth="1" min="28" max="28"/>
    <col width="12.42578125" bestFit="1" customWidth="1" min="29" max="29"/>
  </cols>
  <sheetData>
    <row r="1" customFormat="1" s="3">
      <c r="A1" s="133" t="inlineStr">
        <is>
          <t>CoverageA</t>
        </is>
      </c>
      <c r="B1" s="133" t="inlineStr">
        <is>
          <t>CoverageB</t>
        </is>
      </c>
      <c r="C1" s="133" t="inlineStr">
        <is>
          <t>CoverageC</t>
        </is>
      </c>
      <c r="D1" s="133" t="inlineStr">
        <is>
          <t>CoverageD</t>
        </is>
      </c>
      <c r="E1" s="133" t="inlineStr">
        <is>
          <t>CoverageE</t>
        </is>
      </c>
      <c r="F1" s="133" t="inlineStr">
        <is>
          <t>CoverageF</t>
        </is>
      </c>
      <c r="G1" s="133" t="inlineStr">
        <is>
          <t>CoverageG</t>
        </is>
      </c>
      <c r="H1" s="133" t="inlineStr">
        <is>
          <t>CoverageH</t>
        </is>
      </c>
      <c r="I1" s="133" t="inlineStr">
        <is>
          <t>CoverageI</t>
        </is>
      </c>
      <c r="J1" s="133" t="inlineStr">
        <is>
          <t>CoverageJ</t>
        </is>
      </c>
      <c r="K1" s="133" t="inlineStr">
        <is>
          <t>CoverageK</t>
        </is>
      </c>
      <c r="L1" s="133" t="inlineStr">
        <is>
          <t>CoverageL</t>
        </is>
      </c>
      <c r="M1" s="133" t="inlineStr">
        <is>
          <t>CoverageM</t>
        </is>
      </c>
      <c r="N1" s="133" t="inlineStr">
        <is>
          <t>FarmEquipmentBreakdownCoverage</t>
        </is>
      </c>
      <c r="O1" s="133" t="inlineStr">
        <is>
          <t>IdentityFraudExpenseCoverage</t>
        </is>
      </c>
      <c r="P1" s="133" t="inlineStr">
        <is>
          <t>FarmPollutionLiabilityCoverage</t>
        </is>
      </c>
      <c r="Q1" s="133" t="inlineStr">
        <is>
          <t>Annual_Amount</t>
        </is>
      </c>
      <c r="R1" s="3" t="inlineStr">
        <is>
          <t>Liability</t>
        </is>
      </c>
      <c r="S1" s="3" t="inlineStr">
        <is>
          <t>Property</t>
        </is>
      </c>
      <c r="T1" s="3" t="inlineStr">
        <is>
          <t>AdditionalSections</t>
        </is>
      </c>
      <c r="U1" s="3" t="inlineStr">
        <is>
          <t>RiskCodeN</t>
        </is>
      </c>
      <c r="V1" s="3" t="inlineStr">
        <is>
          <t>RiskCodeB3</t>
        </is>
      </c>
      <c r="W1" s="3" t="inlineStr">
        <is>
          <t>RiskCodeUA</t>
        </is>
      </c>
      <c r="X1" s="3" t="inlineStr">
        <is>
          <t>RiskCodeUR</t>
        </is>
      </c>
      <c r="Y1" s="3" t="inlineStr">
        <is>
          <t>RiskCodeNAmount</t>
        </is>
      </c>
      <c r="Z1" s="3" t="inlineStr">
        <is>
          <t>RiskCodeB3Amount</t>
        </is>
      </c>
      <c r="AA1" s="3" t="inlineStr">
        <is>
          <t>RiskCodeUAAmount</t>
        </is>
      </c>
      <c r="AB1" s="3" t="inlineStr">
        <is>
          <t>RiskCodeURAmount</t>
        </is>
      </c>
      <c r="AC1" s="3" t="inlineStr">
        <is>
          <t>TerrDeclDate</t>
        </is>
      </c>
      <c r="AD1" s="3" t="inlineStr">
        <is>
          <t>ExcessDed</t>
        </is>
      </c>
      <c r="AE1" s="3" t="inlineStr">
        <is>
          <t># of broiler houses</t>
        </is>
      </c>
    </row>
    <row r="2">
      <c r="A2" s="134">
        <f>'Inception of Cover Rater'!M15</f>
        <v/>
      </c>
      <c r="B2" s="134">
        <f>'Inception of Cover Rater'!M22</f>
        <v/>
      </c>
      <c r="C2" s="134">
        <f>'Inception of Cover Rater'!M33</f>
        <v/>
      </c>
      <c r="D2" s="134">
        <f>'Inception of Cover Rater'!M40</f>
        <v/>
      </c>
      <c r="E2" s="134">
        <f>'Inception of Cover Rater'!M41</f>
        <v/>
      </c>
      <c r="F2" s="134">
        <f>'Inception of Cover Rater'!M62</f>
        <v/>
      </c>
      <c r="G2" s="134">
        <f>'Inception of Cover Rater'!M89</f>
        <v/>
      </c>
      <c r="H2" s="134">
        <f>'Inception of Cover Rater'!M90</f>
        <v/>
      </c>
      <c r="I2" s="134">
        <f>'Inception of Cover Rater'!M91</f>
        <v/>
      </c>
      <c r="J2" s="134">
        <f>'Inception of Cover Rater'!M92</f>
        <v/>
      </c>
      <c r="K2" s="134">
        <f>'Inception of Cover Rater'!M93</f>
        <v/>
      </c>
      <c r="L2" s="134">
        <f>'Inception of Cover Rater'!M94</f>
        <v/>
      </c>
      <c r="M2" s="134">
        <f>'Inception of Cover Rater'!M95</f>
        <v/>
      </c>
      <c r="N2" s="134">
        <f>'Inception of Cover Rater'!M96</f>
        <v/>
      </c>
      <c r="O2" s="134">
        <f>'Inception of Cover Rater'!M97</f>
        <v/>
      </c>
      <c r="P2" s="134">
        <f>'Inception of Cover Rater'!M98</f>
        <v/>
      </c>
      <c r="Q2" s="134">
        <f>SUM(A2:P2)</f>
        <v/>
      </c>
      <c r="R2">
        <f>'Inception of Cover Rater'!B134</f>
        <v/>
      </c>
      <c r="S2">
        <f>'Inception of Cover Rater'!B135</f>
        <v/>
      </c>
      <c r="T2">
        <f>'Inception of Cover Rater'!B136</f>
        <v/>
      </c>
      <c r="U2">
        <f>'Inception of Cover Rater'!B141</f>
        <v/>
      </c>
      <c r="V2">
        <f>'Inception of Cover Rater'!B142</f>
        <v/>
      </c>
      <c r="W2">
        <f>'Inception of Cover Rater'!B143</f>
        <v/>
      </c>
      <c r="X2">
        <f>'Inception of Cover Rater'!B144</f>
        <v/>
      </c>
      <c r="Y2" s="283">
        <f>'Inception of Cover Rater'!F95</f>
        <v/>
      </c>
      <c r="Z2" s="283">
        <f>'Inception of Cover Rater'!F96</f>
        <v/>
      </c>
      <c r="AA2" s="283">
        <f>'Inception of Cover Rater'!F90</f>
        <v/>
      </c>
      <c r="AB2" s="283">
        <f>'Inception of Cover Rater'!F92</f>
        <v/>
      </c>
      <c r="AC2" s="158">
        <f>'Inception of Cover Rater'!J141</f>
        <v/>
      </c>
      <c r="AD2">
        <f>'Inception of Cover Rater'!N63</f>
        <v/>
      </c>
      <c r="AE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H15" sqref="H14:H15"/>
    </sheetView>
  </sheetViews>
  <sheetFormatPr baseColWidth="8" defaultColWidth="10.42578125" defaultRowHeight="14.1"/>
  <cols>
    <col width="13" customWidth="1" style="139" min="1" max="2"/>
    <col width="32" customWidth="1" style="139" min="3" max="3"/>
    <col width="10.42578125" customWidth="1" style="138" min="4" max="16384"/>
  </cols>
  <sheetData>
    <row r="1">
      <c r="A1" s="135" t="inlineStr">
        <is>
          <t xml:space="preserve">Statecode </t>
        </is>
      </c>
      <c r="B1" s="135" t="inlineStr">
        <is>
          <t xml:space="preserve">Tier </t>
        </is>
      </c>
      <c r="C1" s="135" t="inlineStr">
        <is>
          <t xml:space="preserve">County </t>
        </is>
      </c>
    </row>
    <row r="2">
      <c r="A2" s="136" t="inlineStr">
        <is>
          <t>AL</t>
        </is>
      </c>
      <c r="B2" s="136" t="n">
        <v>1</v>
      </c>
      <c r="C2" s="136" t="inlineStr">
        <is>
          <t>BALDWIN COUNTY</t>
        </is>
      </c>
    </row>
    <row r="3">
      <c r="A3" s="136" t="inlineStr">
        <is>
          <t>AL</t>
        </is>
      </c>
      <c r="B3" s="136" t="n">
        <v>1</v>
      </c>
      <c r="C3" s="136" t="inlineStr">
        <is>
          <t>MOBILE COUNTY</t>
        </is>
      </c>
    </row>
    <row r="4">
      <c r="A4" s="136" t="inlineStr">
        <is>
          <t>AL</t>
        </is>
      </c>
      <c r="B4" s="136" t="n">
        <v>2</v>
      </c>
      <c r="C4" s="136" t="inlineStr">
        <is>
          <t>CLARKE COUNTY</t>
        </is>
      </c>
    </row>
    <row r="5">
      <c r="A5" s="136" t="inlineStr">
        <is>
          <t>AL</t>
        </is>
      </c>
      <c r="B5" s="136" t="n">
        <v>2</v>
      </c>
      <c r="C5" s="136" t="inlineStr">
        <is>
          <t>COVINGTON COUNTY</t>
        </is>
      </c>
    </row>
    <row r="6">
      <c r="A6" s="136" t="inlineStr">
        <is>
          <t>AL</t>
        </is>
      </c>
      <c r="B6" s="136" t="n">
        <v>2</v>
      </c>
      <c r="C6" s="136" t="inlineStr">
        <is>
          <t>ESCAMBIA COUNTY</t>
        </is>
      </c>
    </row>
    <row r="7">
      <c r="A7" s="136" t="inlineStr">
        <is>
          <t>AL</t>
        </is>
      </c>
      <c r="B7" s="136" t="n">
        <v>2</v>
      </c>
      <c r="C7" s="136" t="inlineStr">
        <is>
          <t>GENEVA COUNTY</t>
        </is>
      </c>
    </row>
    <row r="8">
      <c r="A8" s="136" t="inlineStr">
        <is>
          <t>AL</t>
        </is>
      </c>
      <c r="B8" s="136" t="n">
        <v>2</v>
      </c>
      <c r="C8" s="136" t="inlineStr">
        <is>
          <t>MONROE COUNTY</t>
        </is>
      </c>
    </row>
    <row r="9">
      <c r="A9" s="136" t="inlineStr">
        <is>
          <t>AL</t>
        </is>
      </c>
      <c r="B9" s="136" t="n">
        <v>2</v>
      </c>
      <c r="C9" s="136" t="inlineStr">
        <is>
          <t>WASHINGTON COUNTY</t>
        </is>
      </c>
    </row>
    <row r="10">
      <c r="A10" s="136" t="inlineStr">
        <is>
          <t>CT</t>
        </is>
      </c>
      <c r="B10" s="136" t="n">
        <v>1</v>
      </c>
      <c r="C10" s="136" t="inlineStr">
        <is>
          <t>FAIRFIELD COUNTY</t>
        </is>
      </c>
    </row>
    <row r="11">
      <c r="A11" s="136" t="inlineStr">
        <is>
          <t>CT</t>
        </is>
      </c>
      <c r="B11" s="136" t="n">
        <v>1</v>
      </c>
      <c r="C11" s="136" t="inlineStr">
        <is>
          <t>MIDDLESEX COUNTY</t>
        </is>
      </c>
    </row>
    <row r="12">
      <c r="A12" s="136" t="inlineStr">
        <is>
          <t>CT</t>
        </is>
      </c>
      <c r="B12" s="136" t="n">
        <v>1</v>
      </c>
      <c r="C12" s="136" t="inlineStr">
        <is>
          <t>NEW HAVEN COUNTY</t>
        </is>
      </c>
    </row>
    <row r="13">
      <c r="A13" s="136" t="inlineStr">
        <is>
          <t>CT</t>
        </is>
      </c>
      <c r="B13" s="136" t="n">
        <v>1</v>
      </c>
      <c r="C13" s="136" t="inlineStr">
        <is>
          <t>NEW LONDON COUNTY</t>
        </is>
      </c>
    </row>
    <row r="14">
      <c r="A14" s="136" t="inlineStr">
        <is>
          <t>CT</t>
        </is>
      </c>
      <c r="B14" s="136" t="n">
        <v>2</v>
      </c>
      <c r="C14" s="136" t="inlineStr">
        <is>
          <t>HARTFORD COUNTY</t>
        </is>
      </c>
    </row>
    <row r="15">
      <c r="A15" s="136" t="inlineStr">
        <is>
          <t>CT</t>
        </is>
      </c>
      <c r="B15" s="136" t="n">
        <v>2</v>
      </c>
      <c r="C15" s="136" t="inlineStr">
        <is>
          <t>LITCHFIELD COUNTY</t>
        </is>
      </c>
    </row>
    <row r="16">
      <c r="A16" s="136" t="inlineStr">
        <is>
          <t>CT</t>
        </is>
      </c>
      <c r="B16" s="136" t="n">
        <v>2</v>
      </c>
      <c r="C16" s="136" t="inlineStr">
        <is>
          <t>TOLLAND COUNTY</t>
        </is>
      </c>
    </row>
    <row r="17">
      <c r="A17" s="136" t="inlineStr">
        <is>
          <t>CT</t>
        </is>
      </c>
      <c r="B17" s="136" t="n">
        <v>2</v>
      </c>
      <c r="C17" s="136" t="inlineStr">
        <is>
          <t>WINDHAM COUNTY</t>
        </is>
      </c>
    </row>
    <row r="18">
      <c r="A18" s="136" t="inlineStr">
        <is>
          <t>DC</t>
        </is>
      </c>
      <c r="B18" s="136" t="n">
        <v>2</v>
      </c>
      <c r="C18" s="136" t="inlineStr">
        <is>
          <t>DISTRICT OF COLUMBIA</t>
        </is>
      </c>
    </row>
    <row r="19">
      <c r="A19" s="136" t="inlineStr">
        <is>
          <t>DE</t>
        </is>
      </c>
      <c r="B19" s="137" t="n">
        <v>1</v>
      </c>
      <c r="C19" s="137" t="inlineStr">
        <is>
          <t>KENT COUNTY</t>
        </is>
      </c>
    </row>
    <row r="20">
      <c r="A20" s="136" t="inlineStr">
        <is>
          <t>DE</t>
        </is>
      </c>
      <c r="B20" s="137" t="n">
        <v>1</v>
      </c>
      <c r="C20" s="137" t="inlineStr">
        <is>
          <t>NEW CASTLE COUNTY</t>
        </is>
      </c>
    </row>
    <row r="21">
      <c r="A21" s="136" t="inlineStr">
        <is>
          <t>DE</t>
        </is>
      </c>
      <c r="B21" s="137" t="n">
        <v>1</v>
      </c>
      <c r="C21" s="137" t="inlineStr">
        <is>
          <t>SUSSEX COUNTY</t>
        </is>
      </c>
    </row>
    <row r="22">
      <c r="A22" s="136" t="inlineStr">
        <is>
          <t>FL</t>
        </is>
      </c>
      <c r="B22" s="136" t="n">
        <v>1</v>
      </c>
      <c r="C22" s="136" t="inlineStr">
        <is>
          <t>ALACHUA COUNTY</t>
        </is>
      </c>
    </row>
    <row r="23">
      <c r="A23" s="136" t="inlineStr">
        <is>
          <t>FL</t>
        </is>
      </c>
      <c r="B23" s="136" t="n">
        <v>1</v>
      </c>
      <c r="C23" s="136" t="inlineStr">
        <is>
          <t>BAKER COUNTY</t>
        </is>
      </c>
    </row>
    <row r="24">
      <c r="A24" s="136" t="inlineStr">
        <is>
          <t>FL</t>
        </is>
      </c>
      <c r="B24" s="136" t="n">
        <v>1</v>
      </c>
      <c r="C24" s="136" t="inlineStr">
        <is>
          <t>BAY COUNTY</t>
        </is>
      </c>
    </row>
    <row r="25">
      <c r="A25" s="136" t="inlineStr">
        <is>
          <t>FL</t>
        </is>
      </c>
      <c r="B25" s="136" t="n">
        <v>1</v>
      </c>
      <c r="C25" s="136" t="inlineStr">
        <is>
          <t>BRADFORD COUNTY</t>
        </is>
      </c>
    </row>
    <row r="26">
      <c r="A26" s="136" t="inlineStr">
        <is>
          <t>FL</t>
        </is>
      </c>
      <c r="B26" s="136" t="n">
        <v>1</v>
      </c>
      <c r="C26" s="136" t="inlineStr">
        <is>
          <t>BREVARD COUNTY</t>
        </is>
      </c>
    </row>
    <row r="27">
      <c r="A27" s="136" t="inlineStr">
        <is>
          <t>FL</t>
        </is>
      </c>
      <c r="B27" s="136" t="n">
        <v>1</v>
      </c>
      <c r="C27" s="136" t="inlineStr">
        <is>
          <t>BROWARD COUNTY</t>
        </is>
      </c>
    </row>
    <row r="28">
      <c r="A28" s="136" t="inlineStr">
        <is>
          <t>FL</t>
        </is>
      </c>
      <c r="B28" s="136" t="n">
        <v>1</v>
      </c>
      <c r="C28" s="136" t="inlineStr">
        <is>
          <t>CALHOUN COUNTY</t>
        </is>
      </c>
    </row>
    <row r="29">
      <c r="A29" s="136" t="inlineStr">
        <is>
          <t>FL</t>
        </is>
      </c>
      <c r="B29" s="136" t="n">
        <v>1</v>
      </c>
      <c r="C29" s="136" t="inlineStr">
        <is>
          <t>CHARLOTTE COUNTY</t>
        </is>
      </c>
    </row>
    <row r="30">
      <c r="A30" s="136" t="inlineStr">
        <is>
          <t>FL</t>
        </is>
      </c>
      <c r="B30" s="136" t="n">
        <v>1</v>
      </c>
      <c r="C30" s="136" t="inlineStr">
        <is>
          <t>CITRUS COUNTY</t>
        </is>
      </c>
    </row>
    <row r="31">
      <c r="A31" s="136" t="inlineStr">
        <is>
          <t>FL</t>
        </is>
      </c>
      <c r="B31" s="136" t="n">
        <v>1</v>
      </c>
      <c r="C31" s="136" t="inlineStr">
        <is>
          <t>CLAY COUNTY</t>
        </is>
      </c>
    </row>
    <row r="32">
      <c r="A32" s="136" t="inlineStr">
        <is>
          <t>FL</t>
        </is>
      </c>
      <c r="B32" s="136" t="n">
        <v>1</v>
      </c>
      <c r="C32" s="136" t="inlineStr">
        <is>
          <t>COLLIER COUNTY</t>
        </is>
      </c>
    </row>
    <row r="33">
      <c r="A33" s="136" t="inlineStr">
        <is>
          <t>FL</t>
        </is>
      </c>
      <c r="B33" s="136" t="n">
        <v>1</v>
      </c>
      <c r="C33" s="136" t="inlineStr">
        <is>
          <t>COLUMBIA COUNTY</t>
        </is>
      </c>
    </row>
    <row r="34">
      <c r="A34" s="136" t="inlineStr">
        <is>
          <t>FL</t>
        </is>
      </c>
      <c r="B34" s="136" t="n">
        <v>1</v>
      </c>
      <c r="C34" s="136" t="inlineStr">
        <is>
          <t>DESOTO COUNTY</t>
        </is>
      </c>
    </row>
    <row r="35">
      <c r="A35" s="136" t="inlineStr">
        <is>
          <t>FL</t>
        </is>
      </c>
      <c r="B35" s="136" t="n">
        <v>1</v>
      </c>
      <c r="C35" s="136" t="inlineStr">
        <is>
          <t>DIXIE COUNTY</t>
        </is>
      </c>
    </row>
    <row r="36">
      <c r="A36" s="136" t="inlineStr">
        <is>
          <t>FL</t>
        </is>
      </c>
      <c r="B36" s="136" t="n">
        <v>1</v>
      </c>
      <c r="C36" s="136" t="inlineStr">
        <is>
          <t>DUVAL COUNTY</t>
        </is>
      </c>
    </row>
    <row r="37">
      <c r="A37" s="136" t="inlineStr">
        <is>
          <t>FL</t>
        </is>
      </c>
      <c r="B37" s="136" t="n">
        <v>1</v>
      </c>
      <c r="C37" s="136" t="inlineStr">
        <is>
          <t>ESCAMBIA COUNTY</t>
        </is>
      </c>
    </row>
    <row r="38">
      <c r="A38" s="136" t="inlineStr">
        <is>
          <t>FL</t>
        </is>
      </c>
      <c r="B38" s="136" t="n">
        <v>1</v>
      </c>
      <c r="C38" s="136" t="inlineStr">
        <is>
          <t>FLAGLER COUNTY</t>
        </is>
      </c>
    </row>
    <row r="39">
      <c r="A39" s="136" t="inlineStr">
        <is>
          <t>FL</t>
        </is>
      </c>
      <c r="B39" s="136" t="n">
        <v>1</v>
      </c>
      <c r="C39" s="136" t="inlineStr">
        <is>
          <t>FRANKLIN COUNTY</t>
        </is>
      </c>
    </row>
    <row r="40">
      <c r="A40" s="136" t="inlineStr">
        <is>
          <t>FL</t>
        </is>
      </c>
      <c r="B40" s="136" t="n">
        <v>1</v>
      </c>
      <c r="C40" s="136" t="inlineStr">
        <is>
          <t>GADSDEN COUNTY</t>
        </is>
      </c>
    </row>
    <row r="41">
      <c r="A41" s="136" t="inlineStr">
        <is>
          <t>FL</t>
        </is>
      </c>
      <c r="B41" s="136" t="n">
        <v>1</v>
      </c>
      <c r="C41" s="136" t="inlineStr">
        <is>
          <t>GILCHRIST COUNTY</t>
        </is>
      </c>
    </row>
    <row r="42">
      <c r="A42" s="136" t="inlineStr">
        <is>
          <t>FL</t>
        </is>
      </c>
      <c r="B42" s="136" t="n">
        <v>1</v>
      </c>
      <c r="C42" s="136" t="inlineStr">
        <is>
          <t>GLADES COUNTY</t>
        </is>
      </c>
    </row>
    <row r="43">
      <c r="A43" s="136" t="inlineStr">
        <is>
          <t>FL</t>
        </is>
      </c>
      <c r="B43" s="136" t="n">
        <v>1</v>
      </c>
      <c r="C43" s="136" t="inlineStr">
        <is>
          <t>GULF COUNTY</t>
        </is>
      </c>
    </row>
    <row r="44">
      <c r="A44" s="136" t="inlineStr">
        <is>
          <t>FL</t>
        </is>
      </c>
      <c r="B44" s="136" t="n">
        <v>1</v>
      </c>
      <c r="C44" s="136" t="inlineStr">
        <is>
          <t>HAMILTON COUNTY</t>
        </is>
      </c>
    </row>
    <row r="45">
      <c r="A45" s="136" t="inlineStr">
        <is>
          <t>FL</t>
        </is>
      </c>
      <c r="B45" s="136" t="n">
        <v>1</v>
      </c>
      <c r="C45" s="136" t="inlineStr">
        <is>
          <t>HARDEE COUNTY</t>
        </is>
      </c>
    </row>
    <row r="46">
      <c r="A46" s="136" t="inlineStr">
        <is>
          <t>FL</t>
        </is>
      </c>
      <c r="B46" s="136" t="n">
        <v>1</v>
      </c>
      <c r="C46" s="136" t="inlineStr">
        <is>
          <t>HENDRY COUNTY</t>
        </is>
      </c>
    </row>
    <row r="47">
      <c r="A47" s="136" t="inlineStr">
        <is>
          <t>FL</t>
        </is>
      </c>
      <c r="B47" s="136" t="n">
        <v>1</v>
      </c>
      <c r="C47" s="136" t="inlineStr">
        <is>
          <t>HERNANDO COUNTY</t>
        </is>
      </c>
    </row>
    <row r="48">
      <c r="A48" s="136" t="inlineStr">
        <is>
          <t>FL</t>
        </is>
      </c>
      <c r="B48" s="136" t="n">
        <v>1</v>
      </c>
      <c r="C48" s="136" t="inlineStr">
        <is>
          <t>HIGHLANDS COUNTY</t>
        </is>
      </c>
    </row>
    <row r="49">
      <c r="A49" s="136" t="inlineStr">
        <is>
          <t>FL</t>
        </is>
      </c>
      <c r="B49" s="136" t="n">
        <v>1</v>
      </c>
      <c r="C49" s="136" t="inlineStr">
        <is>
          <t>HILLSBOROUGH COUNTY</t>
        </is>
      </c>
    </row>
    <row r="50">
      <c r="A50" s="136" t="inlineStr">
        <is>
          <t>FL</t>
        </is>
      </c>
      <c r="B50" s="136" t="n">
        <v>1</v>
      </c>
      <c r="C50" s="136" t="inlineStr">
        <is>
          <t>HOLMES COUNTY</t>
        </is>
      </c>
    </row>
    <row r="51">
      <c r="A51" s="136" t="inlineStr">
        <is>
          <t>FL</t>
        </is>
      </c>
      <c r="B51" s="136" t="n">
        <v>1</v>
      </c>
      <c r="C51" s="136" t="inlineStr">
        <is>
          <t>INDIAN RIVER COUNTY</t>
        </is>
      </c>
    </row>
    <row r="52">
      <c r="A52" s="136" t="inlineStr">
        <is>
          <t>FL</t>
        </is>
      </c>
      <c r="B52" s="136" t="n">
        <v>1</v>
      </c>
      <c r="C52" s="136" t="inlineStr">
        <is>
          <t>JACKSON COUNTY</t>
        </is>
      </c>
    </row>
    <row r="53">
      <c r="A53" s="136" t="inlineStr">
        <is>
          <t>FL</t>
        </is>
      </c>
      <c r="B53" s="136" t="n">
        <v>1</v>
      </c>
      <c r="C53" s="136" t="inlineStr">
        <is>
          <t>JEFFERSON COUNTY</t>
        </is>
      </c>
    </row>
    <row r="54">
      <c r="A54" s="136" t="inlineStr">
        <is>
          <t>FL</t>
        </is>
      </c>
      <c r="B54" s="136" t="n">
        <v>1</v>
      </c>
      <c r="C54" s="136" t="inlineStr">
        <is>
          <t>LAFAYETTE COUNTY</t>
        </is>
      </c>
    </row>
    <row r="55">
      <c r="A55" s="136" t="inlineStr">
        <is>
          <t>FL</t>
        </is>
      </c>
      <c r="B55" s="136" t="n">
        <v>1</v>
      </c>
      <c r="C55" s="136" t="inlineStr">
        <is>
          <t>LAKE COUNTY</t>
        </is>
      </c>
    </row>
    <row r="56">
      <c r="A56" s="136" t="inlineStr">
        <is>
          <t>FL</t>
        </is>
      </c>
      <c r="B56" s="136" t="n">
        <v>1</v>
      </c>
      <c r="C56" s="136" t="inlineStr">
        <is>
          <t>LEE COUNTY</t>
        </is>
      </c>
    </row>
    <row r="57">
      <c r="A57" s="136" t="inlineStr">
        <is>
          <t>FL</t>
        </is>
      </c>
      <c r="B57" s="136" t="n">
        <v>1</v>
      </c>
      <c r="C57" s="136" t="inlineStr">
        <is>
          <t>LEON COUNTY</t>
        </is>
      </c>
    </row>
    <row r="58">
      <c r="A58" s="136" t="inlineStr">
        <is>
          <t>FL</t>
        </is>
      </c>
      <c r="B58" s="136" t="n">
        <v>1</v>
      </c>
      <c r="C58" s="136" t="inlineStr">
        <is>
          <t>LEVY COUNTY</t>
        </is>
      </c>
    </row>
    <row r="59">
      <c r="A59" s="136" t="inlineStr">
        <is>
          <t>FL</t>
        </is>
      </c>
      <c r="B59" s="136" t="n">
        <v>1</v>
      </c>
      <c r="C59" s="136" t="inlineStr">
        <is>
          <t>LIBERTY COUNTY</t>
        </is>
      </c>
    </row>
    <row r="60">
      <c r="A60" s="136" t="inlineStr">
        <is>
          <t>FL</t>
        </is>
      </c>
      <c r="B60" s="136" t="n">
        <v>1</v>
      </c>
      <c r="C60" s="136" t="inlineStr">
        <is>
          <t>MADISON COUNTY</t>
        </is>
      </c>
    </row>
    <row r="61">
      <c r="A61" s="136" t="inlineStr">
        <is>
          <t>FL</t>
        </is>
      </c>
      <c r="B61" s="136" t="n">
        <v>1</v>
      </c>
      <c r="C61" s="136" t="inlineStr">
        <is>
          <t>MANATEE COUNTY</t>
        </is>
      </c>
    </row>
    <row r="62">
      <c r="A62" s="136" t="inlineStr">
        <is>
          <t>FL</t>
        </is>
      </c>
      <c r="B62" s="136" t="n">
        <v>1</v>
      </c>
      <c r="C62" s="136" t="inlineStr">
        <is>
          <t>MARION COUNTY</t>
        </is>
      </c>
    </row>
    <row r="63">
      <c r="A63" s="136" t="inlineStr">
        <is>
          <t>FL</t>
        </is>
      </c>
      <c r="B63" s="136" t="n">
        <v>1</v>
      </c>
      <c r="C63" s="136" t="inlineStr">
        <is>
          <t>MARTIN COUNTY</t>
        </is>
      </c>
    </row>
    <row r="64">
      <c r="A64" s="136" t="inlineStr">
        <is>
          <t>FL</t>
        </is>
      </c>
      <c r="B64" s="136" t="n">
        <v>1</v>
      </c>
      <c r="C64" s="136" t="inlineStr">
        <is>
          <t>MIAMI-DADE COUNTY</t>
        </is>
      </c>
    </row>
    <row r="65">
      <c r="A65" s="136" t="inlineStr">
        <is>
          <t>FL</t>
        </is>
      </c>
      <c r="B65" s="136" t="n">
        <v>1</v>
      </c>
      <c r="C65" s="136" t="inlineStr">
        <is>
          <t>MONROE COUNTY</t>
        </is>
      </c>
    </row>
    <row r="66">
      <c r="A66" s="136" t="inlineStr">
        <is>
          <t>FL</t>
        </is>
      </c>
      <c r="B66" s="136" t="n">
        <v>1</v>
      </c>
      <c r="C66" s="136" t="inlineStr">
        <is>
          <t>NASSAU COUNTY</t>
        </is>
      </c>
    </row>
    <row r="67">
      <c r="A67" s="136" t="inlineStr">
        <is>
          <t>FL</t>
        </is>
      </c>
      <c r="B67" s="136" t="n">
        <v>1</v>
      </c>
      <c r="C67" s="136" t="inlineStr">
        <is>
          <t>OKALOOSA COUNTY</t>
        </is>
      </c>
    </row>
    <row r="68">
      <c r="A68" s="136" t="inlineStr">
        <is>
          <t>FL</t>
        </is>
      </c>
      <c r="B68" s="136" t="n">
        <v>1</v>
      </c>
      <c r="C68" s="136" t="inlineStr">
        <is>
          <t>OKEECHOBEE COUNTY</t>
        </is>
      </c>
    </row>
    <row r="69">
      <c r="A69" s="136" t="inlineStr">
        <is>
          <t>FL</t>
        </is>
      </c>
      <c r="B69" s="136" t="n">
        <v>1</v>
      </c>
      <c r="C69" s="136" t="inlineStr">
        <is>
          <t>ORANGE COUNTY</t>
        </is>
      </c>
    </row>
    <row r="70">
      <c r="A70" s="136" t="inlineStr">
        <is>
          <t>FL</t>
        </is>
      </c>
      <c r="B70" s="136" t="n">
        <v>1</v>
      </c>
      <c r="C70" s="136" t="inlineStr">
        <is>
          <t>OSCEOLA COUNTY</t>
        </is>
      </c>
    </row>
    <row r="71">
      <c r="A71" s="136" t="inlineStr">
        <is>
          <t>FL</t>
        </is>
      </c>
      <c r="B71" s="136" t="n">
        <v>1</v>
      </c>
      <c r="C71" s="136" t="inlineStr">
        <is>
          <t>PALM BEACH COUNTY</t>
        </is>
      </c>
    </row>
    <row r="72">
      <c r="A72" s="136" t="inlineStr">
        <is>
          <t>FL</t>
        </is>
      </c>
      <c r="B72" s="136" t="n">
        <v>1</v>
      </c>
      <c r="C72" s="136" t="inlineStr">
        <is>
          <t>PASCO COUNTY</t>
        </is>
      </c>
    </row>
    <row r="73">
      <c r="A73" s="136" t="inlineStr">
        <is>
          <t>FL</t>
        </is>
      </c>
      <c r="B73" s="136" t="n">
        <v>1</v>
      </c>
      <c r="C73" s="136" t="inlineStr">
        <is>
          <t>PINELLAS COUNTY</t>
        </is>
      </c>
    </row>
    <row r="74">
      <c r="A74" s="136" t="inlineStr">
        <is>
          <t>FL</t>
        </is>
      </c>
      <c r="B74" s="136" t="n">
        <v>1</v>
      </c>
      <c r="C74" s="136" t="inlineStr">
        <is>
          <t>POLK COUNTY</t>
        </is>
      </c>
    </row>
    <row r="75">
      <c r="A75" s="136" t="inlineStr">
        <is>
          <t>FL</t>
        </is>
      </c>
      <c r="B75" s="136" t="n">
        <v>1</v>
      </c>
      <c r="C75" s="136" t="inlineStr">
        <is>
          <t>PUTNAM COUNTY</t>
        </is>
      </c>
    </row>
    <row r="76">
      <c r="A76" s="136" t="inlineStr">
        <is>
          <t>FL</t>
        </is>
      </c>
      <c r="B76" s="136" t="n">
        <v>1</v>
      </c>
      <c r="C76" s="136" t="inlineStr">
        <is>
          <t>SANTA ROSA COUNTY</t>
        </is>
      </c>
    </row>
    <row r="77">
      <c r="A77" s="136" t="inlineStr">
        <is>
          <t>FL</t>
        </is>
      </c>
      <c r="B77" s="136" t="n">
        <v>1</v>
      </c>
      <c r="C77" s="136" t="inlineStr">
        <is>
          <t>SARASOTA COUNTY</t>
        </is>
      </c>
    </row>
    <row r="78">
      <c r="A78" s="136" t="inlineStr">
        <is>
          <t>FL</t>
        </is>
      </c>
      <c r="B78" s="136" t="n">
        <v>1</v>
      </c>
      <c r="C78" s="136" t="inlineStr">
        <is>
          <t>SEMINOLE COUNTY</t>
        </is>
      </c>
    </row>
    <row r="79">
      <c r="A79" s="136" t="inlineStr">
        <is>
          <t>FL</t>
        </is>
      </c>
      <c r="B79" s="136" t="n">
        <v>1</v>
      </c>
      <c r="C79" s="136" t="inlineStr">
        <is>
          <t>ST. JOHNS COUNTY</t>
        </is>
      </c>
    </row>
    <row r="80">
      <c r="A80" s="136" t="inlineStr">
        <is>
          <t>FL</t>
        </is>
      </c>
      <c r="B80" s="136" t="n">
        <v>1</v>
      </c>
      <c r="C80" s="136" t="inlineStr">
        <is>
          <t>ST. LUCIE COUNTY</t>
        </is>
      </c>
    </row>
    <row r="81">
      <c r="A81" s="136" t="inlineStr">
        <is>
          <t>FL</t>
        </is>
      </c>
      <c r="B81" s="136" t="n">
        <v>1</v>
      </c>
      <c r="C81" s="136" t="inlineStr">
        <is>
          <t>SUMTER COUNTY</t>
        </is>
      </c>
    </row>
    <row r="82">
      <c r="A82" s="136" t="inlineStr">
        <is>
          <t>FL</t>
        </is>
      </c>
      <c r="B82" s="136" t="n">
        <v>1</v>
      </c>
      <c r="C82" s="136" t="inlineStr">
        <is>
          <t>SUWANNEE COUNTY</t>
        </is>
      </c>
    </row>
    <row r="83">
      <c r="A83" s="136" t="inlineStr">
        <is>
          <t>FL</t>
        </is>
      </c>
      <c r="B83" s="136" t="n">
        <v>1</v>
      </c>
      <c r="C83" s="136" t="inlineStr">
        <is>
          <t>TAYLOR COUNTY</t>
        </is>
      </c>
    </row>
    <row r="84">
      <c r="A84" s="136" t="inlineStr">
        <is>
          <t>FL</t>
        </is>
      </c>
      <c r="B84" s="136" t="n">
        <v>1</v>
      </c>
      <c r="C84" s="136" t="inlineStr">
        <is>
          <t>UNION COUNTY</t>
        </is>
      </c>
    </row>
    <row r="85">
      <c r="A85" s="136" t="inlineStr">
        <is>
          <t>FL</t>
        </is>
      </c>
      <c r="B85" s="136" t="n">
        <v>1</v>
      </c>
      <c r="C85" s="136" t="inlineStr">
        <is>
          <t>VOLUSIA COUNTY</t>
        </is>
      </c>
    </row>
    <row r="86">
      <c r="A86" s="136" t="inlineStr">
        <is>
          <t>FL</t>
        </is>
      </c>
      <c r="B86" s="136" t="n">
        <v>1</v>
      </c>
      <c r="C86" s="136" t="inlineStr">
        <is>
          <t>WAKULLA COUNTY</t>
        </is>
      </c>
    </row>
    <row r="87">
      <c r="A87" s="136" t="inlineStr">
        <is>
          <t>FL</t>
        </is>
      </c>
      <c r="B87" s="136" t="n">
        <v>1</v>
      </c>
      <c r="C87" s="136" t="inlineStr">
        <is>
          <t>WALTON COUNTY</t>
        </is>
      </c>
    </row>
    <row r="88">
      <c r="A88" s="136" t="inlineStr">
        <is>
          <t>FL</t>
        </is>
      </c>
      <c r="B88" s="136" t="n">
        <v>1</v>
      </c>
      <c r="C88" s="136" t="inlineStr">
        <is>
          <t>WASHINGTON COUNTY</t>
        </is>
      </c>
    </row>
    <row r="89">
      <c r="A89" s="136" t="inlineStr">
        <is>
          <t>GA</t>
        </is>
      </c>
      <c r="B89" s="137" t="n">
        <v>1</v>
      </c>
      <c r="C89" s="137" t="inlineStr">
        <is>
          <t>BRYAN COUNTY</t>
        </is>
      </c>
    </row>
    <row r="90">
      <c r="A90" s="136" t="inlineStr">
        <is>
          <t>GA</t>
        </is>
      </c>
      <c r="B90" s="137" t="n">
        <v>1</v>
      </c>
      <c r="C90" s="137" t="inlineStr">
        <is>
          <t>CAMDEN COUNTY</t>
        </is>
      </c>
    </row>
    <row r="91">
      <c r="A91" s="136" t="inlineStr">
        <is>
          <t>GA</t>
        </is>
      </c>
      <c r="B91" s="137" t="n">
        <v>1</v>
      </c>
      <c r="C91" s="137" t="inlineStr">
        <is>
          <t>CHATHAM COUNTY</t>
        </is>
      </c>
    </row>
    <row r="92">
      <c r="A92" s="136" t="inlineStr">
        <is>
          <t>GA</t>
        </is>
      </c>
      <c r="B92" s="137" t="n">
        <v>1</v>
      </c>
      <c r="C92" s="137" t="inlineStr">
        <is>
          <t>GLYNN COUNTY</t>
        </is>
      </c>
    </row>
    <row r="93">
      <c r="A93" s="136" t="inlineStr">
        <is>
          <t>GA</t>
        </is>
      </c>
      <c r="B93" s="137" t="n">
        <v>1</v>
      </c>
      <c r="C93" s="137" t="inlineStr">
        <is>
          <t>LIBERTY COUNTY</t>
        </is>
      </c>
    </row>
    <row r="94">
      <c r="A94" s="136" t="inlineStr">
        <is>
          <t>GA</t>
        </is>
      </c>
      <c r="B94" s="137" t="n">
        <v>1</v>
      </c>
      <c r="C94" s="137" t="inlineStr">
        <is>
          <t>MCINTOSH COUNTY</t>
        </is>
      </c>
    </row>
    <row r="95">
      <c r="A95" s="136" t="inlineStr">
        <is>
          <t>GA</t>
        </is>
      </c>
      <c r="B95" s="137" t="n">
        <v>2</v>
      </c>
      <c r="C95" s="137" t="inlineStr">
        <is>
          <t>BRANTLEY COUNTY</t>
        </is>
      </c>
    </row>
    <row r="96">
      <c r="A96" s="136" t="inlineStr">
        <is>
          <t>GA</t>
        </is>
      </c>
      <c r="B96" s="137" t="n">
        <v>2</v>
      </c>
      <c r="C96" s="137" t="inlineStr">
        <is>
          <t>BULLOCH COUNTY</t>
        </is>
      </c>
    </row>
    <row r="97">
      <c r="A97" s="136" t="inlineStr">
        <is>
          <t>GA</t>
        </is>
      </c>
      <c r="B97" s="137" t="n">
        <v>2</v>
      </c>
      <c r="C97" s="137" t="inlineStr">
        <is>
          <t>CHARLTON COUNTY</t>
        </is>
      </c>
    </row>
    <row r="98">
      <c r="A98" s="136" t="inlineStr">
        <is>
          <t>GA</t>
        </is>
      </c>
      <c r="B98" s="137" t="n">
        <v>2</v>
      </c>
      <c r="C98" s="137" t="inlineStr">
        <is>
          <t>EFFINGHAM COUNTY</t>
        </is>
      </c>
    </row>
    <row r="99">
      <c r="A99" s="136" t="inlineStr">
        <is>
          <t>GA</t>
        </is>
      </c>
      <c r="B99" s="137" t="n">
        <v>2</v>
      </c>
      <c r="C99" s="137" t="inlineStr">
        <is>
          <t>EVANS COUNTY</t>
        </is>
      </c>
    </row>
    <row r="100">
      <c r="A100" s="136" t="inlineStr">
        <is>
          <t>GA</t>
        </is>
      </c>
      <c r="B100" s="137" t="n">
        <v>2</v>
      </c>
      <c r="C100" s="137" t="inlineStr">
        <is>
          <t>LONG COUNTY</t>
        </is>
      </c>
    </row>
    <row r="101">
      <c r="A101" s="136" t="inlineStr">
        <is>
          <t>GA</t>
        </is>
      </c>
      <c r="B101" s="137" t="n">
        <v>2</v>
      </c>
      <c r="C101" s="137" t="inlineStr">
        <is>
          <t>TATTNALL COUNTY</t>
        </is>
      </c>
    </row>
    <row r="102">
      <c r="A102" s="136" t="inlineStr">
        <is>
          <t>GA</t>
        </is>
      </c>
      <c r="B102" s="137" t="n">
        <v>2</v>
      </c>
      <c r="C102" s="137" t="inlineStr">
        <is>
          <t>WAYNE COUNTY</t>
        </is>
      </c>
    </row>
    <row r="103">
      <c r="A103" s="136" t="inlineStr">
        <is>
          <t>HI</t>
        </is>
      </c>
      <c r="B103" s="137" t="n">
        <v>1</v>
      </c>
      <c r="C103" s="137" t="inlineStr">
        <is>
          <t>HAWAII COUNTY</t>
        </is>
      </c>
    </row>
    <row r="104">
      <c r="A104" s="136" t="inlineStr">
        <is>
          <t>HI</t>
        </is>
      </c>
      <c r="B104" s="137" t="n">
        <v>1</v>
      </c>
      <c r="C104" s="137" t="inlineStr">
        <is>
          <t>HONOLULU COUNTY</t>
        </is>
      </c>
    </row>
    <row r="105">
      <c r="A105" s="136" t="inlineStr">
        <is>
          <t>HI</t>
        </is>
      </c>
      <c r="B105" s="137" t="n">
        <v>1</v>
      </c>
      <c r="C105" s="137" t="inlineStr">
        <is>
          <t>KALAWAO COUNTY</t>
        </is>
      </c>
    </row>
    <row r="106">
      <c r="A106" s="136" t="inlineStr">
        <is>
          <t>HI</t>
        </is>
      </c>
      <c r="B106" s="137" t="n">
        <v>1</v>
      </c>
      <c r="C106" s="137" t="inlineStr">
        <is>
          <t>KAUAI COUNTY</t>
        </is>
      </c>
    </row>
    <row r="107">
      <c r="A107" s="136" t="inlineStr">
        <is>
          <t>HI</t>
        </is>
      </c>
      <c r="B107" s="137" t="n">
        <v>1</v>
      </c>
      <c r="C107" s="137" t="inlineStr">
        <is>
          <t>MAUI COUNTY</t>
        </is>
      </c>
    </row>
    <row r="108">
      <c r="A108" s="136" t="inlineStr">
        <is>
          <t>LA</t>
        </is>
      </c>
      <c r="B108" s="137" t="n">
        <v>1</v>
      </c>
      <c r="C108" s="137" t="inlineStr">
        <is>
          <t>CAMERON PARISH</t>
        </is>
      </c>
    </row>
    <row r="109">
      <c r="A109" s="136" t="inlineStr">
        <is>
          <t>LA</t>
        </is>
      </c>
      <c r="B109" s="137" t="n">
        <v>1</v>
      </c>
      <c r="C109" s="137" t="inlineStr">
        <is>
          <t>IBERIA PARISH</t>
        </is>
      </c>
    </row>
    <row r="110">
      <c r="A110" s="136" t="inlineStr">
        <is>
          <t>LA</t>
        </is>
      </c>
      <c r="B110" s="137" t="n">
        <v>1</v>
      </c>
      <c r="C110" s="137" t="inlineStr">
        <is>
          <t>JEFFERSON PARISH</t>
        </is>
      </c>
    </row>
    <row r="111">
      <c r="A111" s="136" t="inlineStr">
        <is>
          <t>LA</t>
        </is>
      </c>
      <c r="B111" s="137" t="n">
        <v>1</v>
      </c>
      <c r="C111" s="137" t="inlineStr">
        <is>
          <t>LAFOURCHE PARISH</t>
        </is>
      </c>
    </row>
    <row r="112">
      <c r="A112" s="136" t="inlineStr">
        <is>
          <t>LA</t>
        </is>
      </c>
      <c r="B112" s="137" t="n">
        <v>1</v>
      </c>
      <c r="C112" s="137" t="inlineStr">
        <is>
          <t>ORLEANS PARISH</t>
        </is>
      </c>
    </row>
    <row r="113">
      <c r="A113" s="136" t="inlineStr">
        <is>
          <t>LA</t>
        </is>
      </c>
      <c r="B113" s="137" t="n">
        <v>1</v>
      </c>
      <c r="C113" s="137" t="inlineStr">
        <is>
          <t>PLAQUEMINES PARISH</t>
        </is>
      </c>
    </row>
    <row r="114">
      <c r="A114" s="136" t="inlineStr">
        <is>
          <t>LA</t>
        </is>
      </c>
      <c r="B114" s="137" t="n">
        <v>1</v>
      </c>
      <c r="C114" s="137" t="inlineStr">
        <is>
          <t>ST. BERNARD PARISH</t>
        </is>
      </c>
    </row>
    <row r="115">
      <c r="A115" s="136" t="inlineStr">
        <is>
          <t>LA</t>
        </is>
      </c>
      <c r="B115" s="137" t="n">
        <v>1</v>
      </c>
      <c r="C115" s="137" t="inlineStr">
        <is>
          <t>ST. CHARLES PARISH</t>
        </is>
      </c>
    </row>
    <row r="116">
      <c r="A116" s="136" t="inlineStr">
        <is>
          <t>LA</t>
        </is>
      </c>
      <c r="B116" s="137" t="n">
        <v>1</v>
      </c>
      <c r="C116" s="137" t="inlineStr">
        <is>
          <t>ST. JOHN THE BAPTIST PARISH</t>
        </is>
      </c>
    </row>
    <row r="117">
      <c r="A117" s="136" t="inlineStr">
        <is>
          <t>LA</t>
        </is>
      </c>
      <c r="B117" s="137" t="n">
        <v>1</v>
      </c>
      <c r="C117" s="137" t="inlineStr">
        <is>
          <t>ST. MARY PARISH</t>
        </is>
      </c>
    </row>
    <row r="118">
      <c r="A118" s="136" t="inlineStr">
        <is>
          <t>LA</t>
        </is>
      </c>
      <c r="B118" s="137" t="n">
        <v>1</v>
      </c>
      <c r="C118" s="137" t="inlineStr">
        <is>
          <t>ST. TAMMANY PARISH</t>
        </is>
      </c>
    </row>
    <row r="119">
      <c r="A119" s="136" t="inlineStr">
        <is>
          <t>LA</t>
        </is>
      </c>
      <c r="B119" s="137" t="n">
        <v>1</v>
      </c>
      <c r="C119" s="137" t="inlineStr">
        <is>
          <t>TERREBONNE PARISH</t>
        </is>
      </c>
    </row>
    <row r="120">
      <c r="A120" s="136" t="inlineStr">
        <is>
          <t>LA</t>
        </is>
      </c>
      <c r="B120" s="137" t="n">
        <v>1</v>
      </c>
      <c r="C120" s="137" t="inlineStr">
        <is>
          <t>VERMILION PARISH</t>
        </is>
      </c>
    </row>
    <row r="121">
      <c r="A121" s="136" t="inlineStr">
        <is>
          <t>LA</t>
        </is>
      </c>
      <c r="B121" s="137" t="n">
        <v>2</v>
      </c>
      <c r="C121" s="137" t="inlineStr">
        <is>
          <t>ACADIA PARISH</t>
        </is>
      </c>
    </row>
    <row r="122">
      <c r="A122" s="136" t="inlineStr">
        <is>
          <t>LA</t>
        </is>
      </c>
      <c r="B122" s="137" t="n">
        <v>2</v>
      </c>
      <c r="C122" s="137" t="inlineStr">
        <is>
          <t>ASSUMPTION PARISH</t>
        </is>
      </c>
    </row>
    <row r="123">
      <c r="A123" s="136" t="inlineStr">
        <is>
          <t>LA</t>
        </is>
      </c>
      <c r="B123" s="137" t="n">
        <v>2</v>
      </c>
      <c r="C123" s="137" t="inlineStr">
        <is>
          <t>CALCASIEU PARISH</t>
        </is>
      </c>
    </row>
    <row r="124">
      <c r="A124" s="136" t="inlineStr">
        <is>
          <t>LA</t>
        </is>
      </c>
      <c r="B124" s="137" t="n">
        <v>2</v>
      </c>
      <c r="C124" s="137" t="inlineStr">
        <is>
          <t>IBERVILLE PARISH</t>
        </is>
      </c>
    </row>
    <row r="125">
      <c r="A125" s="136" t="inlineStr">
        <is>
          <t>LA</t>
        </is>
      </c>
      <c r="B125" s="137" t="n">
        <v>2</v>
      </c>
      <c r="C125" s="137" t="inlineStr">
        <is>
          <t>JEFFERSON DAVIS PARISH</t>
        </is>
      </c>
    </row>
    <row r="126">
      <c r="A126" s="136" t="inlineStr">
        <is>
          <t>LA</t>
        </is>
      </c>
      <c r="B126" s="137" t="n">
        <v>2</v>
      </c>
      <c r="C126" s="137" t="inlineStr">
        <is>
          <t>LAFAYETTE PARISH</t>
        </is>
      </c>
    </row>
    <row r="127">
      <c r="A127" s="136" t="inlineStr">
        <is>
          <t>LA</t>
        </is>
      </c>
      <c r="B127" s="137" t="n">
        <v>2</v>
      </c>
      <c r="C127" s="137" t="inlineStr">
        <is>
          <t>ST. JAMES PARISH</t>
        </is>
      </c>
    </row>
    <row r="128">
      <c r="A128" s="136" t="inlineStr">
        <is>
          <t>LA</t>
        </is>
      </c>
      <c r="B128" s="137" t="n">
        <v>2</v>
      </c>
      <c r="C128" s="137" t="inlineStr">
        <is>
          <t>ST. MARTIN PARISH</t>
        </is>
      </c>
    </row>
    <row r="129">
      <c r="A129" s="136" t="inlineStr">
        <is>
          <t>LA</t>
        </is>
      </c>
      <c r="B129" s="137" t="n">
        <v>2</v>
      </c>
      <c r="C129" s="137" t="inlineStr">
        <is>
          <t>TANGIPAHOA PARISH</t>
        </is>
      </c>
    </row>
    <row r="130">
      <c r="A130" s="136" t="inlineStr">
        <is>
          <t>MA</t>
        </is>
      </c>
      <c r="B130" s="137" t="n">
        <v>1</v>
      </c>
      <c r="C130" s="137" t="inlineStr">
        <is>
          <t>BARNSTABLE COUNTY</t>
        </is>
      </c>
    </row>
    <row r="131">
      <c r="A131" s="136" t="inlineStr">
        <is>
          <t>MA</t>
        </is>
      </c>
      <c r="B131" s="137" t="n">
        <v>1</v>
      </c>
      <c r="C131" s="137" t="inlineStr">
        <is>
          <t>BRISTOL COUNTY</t>
        </is>
      </c>
    </row>
    <row r="132">
      <c r="A132" s="136" t="inlineStr">
        <is>
          <t>MA</t>
        </is>
      </c>
      <c r="B132" s="137" t="n">
        <v>1</v>
      </c>
      <c r="C132" s="137" t="inlineStr">
        <is>
          <t>DUKES COUNTY</t>
        </is>
      </c>
    </row>
    <row r="133">
      <c r="A133" s="136" t="inlineStr">
        <is>
          <t>MA</t>
        </is>
      </c>
      <c r="B133" s="137" t="n">
        <v>1</v>
      </c>
      <c r="C133" s="137" t="inlineStr">
        <is>
          <t>ESSEX COUNTY</t>
        </is>
      </c>
    </row>
    <row r="134">
      <c r="A134" s="136" t="inlineStr">
        <is>
          <t>MA</t>
        </is>
      </c>
      <c r="B134" s="137" t="n">
        <v>1</v>
      </c>
      <c r="C134" s="137" t="inlineStr">
        <is>
          <t>NANTUCKET COUNTY</t>
        </is>
      </c>
    </row>
    <row r="135">
      <c r="A135" s="136" t="inlineStr">
        <is>
          <t>MA</t>
        </is>
      </c>
      <c r="B135" s="137" t="n">
        <v>1</v>
      </c>
      <c r="C135" s="137" t="inlineStr">
        <is>
          <t>NORFOLK COUNTY</t>
        </is>
      </c>
    </row>
    <row r="136">
      <c r="A136" s="136" t="inlineStr">
        <is>
          <t>MA</t>
        </is>
      </c>
      <c r="B136" s="137" t="n">
        <v>1</v>
      </c>
      <c r="C136" s="137" t="inlineStr">
        <is>
          <t>PLYMOUTH COUNTY</t>
        </is>
      </c>
    </row>
    <row r="137">
      <c r="A137" s="136" t="inlineStr">
        <is>
          <t>MA</t>
        </is>
      </c>
      <c r="B137" s="137" t="n">
        <v>1</v>
      </c>
      <c r="C137" s="137" t="inlineStr">
        <is>
          <t>SUFFOLK COUNTY</t>
        </is>
      </c>
    </row>
    <row r="138">
      <c r="A138" s="136" t="inlineStr">
        <is>
          <t>MA</t>
        </is>
      </c>
      <c r="B138" s="137" t="n">
        <v>2</v>
      </c>
      <c r="C138" s="137" t="inlineStr">
        <is>
          <t>MIDDLESEX COUNTY</t>
        </is>
      </c>
    </row>
    <row r="139">
      <c r="A139" s="136" t="inlineStr">
        <is>
          <t>MA</t>
        </is>
      </c>
      <c r="B139" s="137" t="n">
        <v>2</v>
      </c>
      <c r="C139" s="137" t="inlineStr">
        <is>
          <t>WORCESTER COUNTY</t>
        </is>
      </c>
    </row>
    <row r="140">
      <c r="A140" s="136" t="inlineStr">
        <is>
          <t>MD</t>
        </is>
      </c>
      <c r="B140" s="137" t="n">
        <v>1</v>
      </c>
      <c r="C140" s="137" t="inlineStr">
        <is>
          <t>ANNE ARUNDEL COUNTY</t>
        </is>
      </c>
    </row>
    <row r="141">
      <c r="A141" s="136" t="inlineStr">
        <is>
          <t>MD</t>
        </is>
      </c>
      <c r="B141" s="137" t="n">
        <v>1</v>
      </c>
      <c r="C141" s="137" t="inlineStr">
        <is>
          <t>BALTIMORE CITY</t>
        </is>
      </c>
    </row>
    <row r="142">
      <c r="A142" s="136" t="inlineStr">
        <is>
          <t>MD</t>
        </is>
      </c>
      <c r="B142" s="137" t="n">
        <v>1</v>
      </c>
      <c r="C142" s="137" t="inlineStr">
        <is>
          <t>BALTIMORE COUNTY</t>
        </is>
      </c>
    </row>
    <row r="143">
      <c r="A143" s="136" t="inlineStr">
        <is>
          <t>MD</t>
        </is>
      </c>
      <c r="B143" s="137" t="n">
        <v>1</v>
      </c>
      <c r="C143" s="137" t="inlineStr">
        <is>
          <t>CALVERT COUNTY</t>
        </is>
      </c>
    </row>
    <row r="144">
      <c r="A144" s="136" t="inlineStr">
        <is>
          <t>MD</t>
        </is>
      </c>
      <c r="B144" s="137" t="n">
        <v>1</v>
      </c>
      <c r="C144" s="137" t="inlineStr">
        <is>
          <t>CECIL COUNTY</t>
        </is>
      </c>
    </row>
    <row r="145">
      <c r="A145" s="136" t="inlineStr">
        <is>
          <t>MD</t>
        </is>
      </c>
      <c r="B145" s="137" t="n">
        <v>1</v>
      </c>
      <c r="C145" s="137" t="inlineStr">
        <is>
          <t>DORCHESTER COUNTY</t>
        </is>
      </c>
    </row>
    <row r="146">
      <c r="A146" s="136" t="inlineStr">
        <is>
          <t>MD</t>
        </is>
      </c>
      <c r="B146" s="137" t="n">
        <v>1</v>
      </c>
      <c r="C146" s="137" t="inlineStr">
        <is>
          <t>HARFORD COUNTY</t>
        </is>
      </c>
    </row>
    <row r="147">
      <c r="A147" s="136" t="inlineStr">
        <is>
          <t>MD</t>
        </is>
      </c>
      <c r="B147" s="137" t="n">
        <v>1</v>
      </c>
      <c r="C147" s="137" t="inlineStr">
        <is>
          <t>KENT COUNTY</t>
        </is>
      </c>
    </row>
    <row r="148">
      <c r="A148" s="136" t="inlineStr">
        <is>
          <t>MD</t>
        </is>
      </c>
      <c r="B148" s="137" t="n">
        <v>1</v>
      </c>
      <c r="C148" s="137" t="inlineStr">
        <is>
          <t>QUEEN ANNE'S COUNTY</t>
        </is>
      </c>
    </row>
    <row r="149">
      <c r="A149" s="136" t="inlineStr">
        <is>
          <t>MD</t>
        </is>
      </c>
      <c r="B149" s="137" t="n">
        <v>1</v>
      </c>
      <c r="C149" s="137" t="inlineStr">
        <is>
          <t>SOMERSET COUNTY</t>
        </is>
      </c>
    </row>
    <row r="150">
      <c r="A150" s="136" t="inlineStr">
        <is>
          <t>MD</t>
        </is>
      </c>
      <c r="B150" s="137" t="n">
        <v>1</v>
      </c>
      <c r="C150" s="137" t="inlineStr">
        <is>
          <t>ST. MARY'S COUNTY</t>
        </is>
      </c>
    </row>
    <row r="151">
      <c r="A151" s="136" t="inlineStr">
        <is>
          <t>MD</t>
        </is>
      </c>
      <c r="B151" s="137" t="n">
        <v>1</v>
      </c>
      <c r="C151" s="137" t="inlineStr">
        <is>
          <t>TALBOT COUNTY</t>
        </is>
      </c>
    </row>
    <row r="152">
      <c r="A152" s="136" t="inlineStr">
        <is>
          <t>MD</t>
        </is>
      </c>
      <c r="B152" s="137" t="n">
        <v>1</v>
      </c>
      <c r="C152" s="137" t="inlineStr">
        <is>
          <t>WICOMICO COUNTY</t>
        </is>
      </c>
    </row>
    <row r="153">
      <c r="A153" s="136" t="inlineStr">
        <is>
          <t>MD</t>
        </is>
      </c>
      <c r="B153" s="137" t="n">
        <v>1</v>
      </c>
      <c r="C153" s="137" t="inlineStr">
        <is>
          <t>WORCESTER COUNTY</t>
        </is>
      </c>
    </row>
    <row r="154">
      <c r="A154" s="136" t="inlineStr">
        <is>
          <t>MD</t>
        </is>
      </c>
      <c r="B154" s="137" t="n">
        <v>2</v>
      </c>
      <c r="C154" s="137" t="inlineStr">
        <is>
          <t>CAROLINE COUNTY</t>
        </is>
      </c>
    </row>
    <row r="155">
      <c r="A155" s="136" t="inlineStr">
        <is>
          <t>MD</t>
        </is>
      </c>
      <c r="B155" s="137" t="n">
        <v>2</v>
      </c>
      <c r="C155" s="137" t="inlineStr">
        <is>
          <t>CARROLL COUNTY</t>
        </is>
      </c>
    </row>
    <row r="156">
      <c r="A156" s="136" t="inlineStr">
        <is>
          <t>MD</t>
        </is>
      </c>
      <c r="B156" s="137" t="n">
        <v>2</v>
      </c>
      <c r="C156" s="137" t="inlineStr">
        <is>
          <t>CHARLES COUNTY</t>
        </is>
      </c>
    </row>
    <row r="157">
      <c r="A157" s="136" t="inlineStr">
        <is>
          <t>MD</t>
        </is>
      </c>
      <c r="B157" s="137" t="n">
        <v>2</v>
      </c>
      <c r="C157" s="137" t="inlineStr">
        <is>
          <t>HOWARD COUNTY</t>
        </is>
      </c>
    </row>
    <row r="158">
      <c r="A158" s="136" t="inlineStr">
        <is>
          <t>MD</t>
        </is>
      </c>
      <c r="B158" s="137" t="n">
        <v>2</v>
      </c>
      <c r="C158" s="137" t="inlineStr">
        <is>
          <t>PRINCE GEORGE'S COUNTY</t>
        </is>
      </c>
    </row>
    <row r="159">
      <c r="A159" s="136" t="inlineStr">
        <is>
          <t>ME</t>
        </is>
      </c>
      <c r="B159" s="137" t="n">
        <v>1</v>
      </c>
      <c r="C159" s="137" t="inlineStr">
        <is>
          <t>CUMBERLAND COUNTY</t>
        </is>
      </c>
    </row>
    <row r="160">
      <c r="A160" s="136" t="inlineStr">
        <is>
          <t>ME</t>
        </is>
      </c>
      <c r="B160" s="137" t="n">
        <v>1</v>
      </c>
      <c r="C160" s="137" t="inlineStr">
        <is>
          <t>HANCOCK COUNTY</t>
        </is>
      </c>
    </row>
    <row r="161">
      <c r="A161" s="136" t="inlineStr">
        <is>
          <t>ME</t>
        </is>
      </c>
      <c r="B161" s="137" t="n">
        <v>1</v>
      </c>
      <c r="C161" s="137" t="inlineStr">
        <is>
          <t>KNOX COUNTY</t>
        </is>
      </c>
    </row>
    <row r="162">
      <c r="A162" s="136" t="inlineStr">
        <is>
          <t>ME</t>
        </is>
      </c>
      <c r="B162" s="137" t="n">
        <v>1</v>
      </c>
      <c r="C162" s="137" t="inlineStr">
        <is>
          <t>LINCOLN COUNTY</t>
        </is>
      </c>
    </row>
    <row r="163">
      <c r="A163" s="136" t="inlineStr">
        <is>
          <t>ME</t>
        </is>
      </c>
      <c r="B163" s="137" t="n">
        <v>1</v>
      </c>
      <c r="C163" s="137" t="inlineStr">
        <is>
          <t>SAGADAHOC COUNTY</t>
        </is>
      </c>
    </row>
    <row r="164">
      <c r="A164" s="136" t="inlineStr">
        <is>
          <t>ME</t>
        </is>
      </c>
      <c r="B164" s="137" t="n">
        <v>1</v>
      </c>
      <c r="C164" s="137" t="inlineStr">
        <is>
          <t>WALDO COUNTY</t>
        </is>
      </c>
    </row>
    <row r="165">
      <c r="A165" s="136" t="inlineStr">
        <is>
          <t>ME</t>
        </is>
      </c>
      <c r="B165" s="137" t="n">
        <v>1</v>
      </c>
      <c r="C165" s="137" t="inlineStr">
        <is>
          <t>WASHINGTON COUNTY</t>
        </is>
      </c>
    </row>
    <row r="166">
      <c r="A166" s="136" t="inlineStr">
        <is>
          <t>ME</t>
        </is>
      </c>
      <c r="B166" s="137" t="n">
        <v>1</v>
      </c>
      <c r="C166" s="137" t="inlineStr">
        <is>
          <t>YORK COUNTY</t>
        </is>
      </c>
    </row>
    <row r="167">
      <c r="A167" s="136" t="inlineStr">
        <is>
          <t>ME</t>
        </is>
      </c>
      <c r="B167" s="137" t="n">
        <v>2</v>
      </c>
      <c r="C167" s="137" t="inlineStr">
        <is>
          <t>ANDROSCOGGIN COUNTY</t>
        </is>
      </c>
    </row>
    <row r="168">
      <c r="A168" s="136" t="inlineStr">
        <is>
          <t>ME</t>
        </is>
      </c>
      <c r="B168" s="137" t="n">
        <v>2</v>
      </c>
      <c r="C168" s="137" t="inlineStr">
        <is>
          <t>KENNEBEC COUNTY</t>
        </is>
      </c>
    </row>
    <row r="169">
      <c r="A169" s="136" t="inlineStr">
        <is>
          <t>ME</t>
        </is>
      </c>
      <c r="B169" s="137" t="n">
        <v>2</v>
      </c>
      <c r="C169" s="137" t="inlineStr">
        <is>
          <t>OXFORD COUNTY</t>
        </is>
      </c>
    </row>
    <row r="170">
      <c r="A170" s="136" t="inlineStr">
        <is>
          <t>ME</t>
        </is>
      </c>
      <c r="B170" s="137" t="n">
        <v>2</v>
      </c>
      <c r="C170" s="137" t="inlineStr">
        <is>
          <t>PENOBSCOT COUNTY</t>
        </is>
      </c>
    </row>
    <row r="171">
      <c r="A171" s="136" t="inlineStr">
        <is>
          <t>MS</t>
        </is>
      </c>
      <c r="B171" s="137" t="n">
        <v>1</v>
      </c>
      <c r="C171" s="137" t="inlineStr">
        <is>
          <t>HANCOCK COUNTY</t>
        </is>
      </c>
    </row>
    <row r="172">
      <c r="A172" s="136" t="inlineStr">
        <is>
          <t>MS</t>
        </is>
      </c>
      <c r="B172" s="137" t="n">
        <v>1</v>
      </c>
      <c r="C172" s="137" t="inlineStr">
        <is>
          <t>HARRISON COUNTY</t>
        </is>
      </c>
    </row>
    <row r="173">
      <c r="A173" s="136" t="inlineStr">
        <is>
          <t>MS</t>
        </is>
      </c>
      <c r="B173" s="137" t="n">
        <v>1</v>
      </c>
      <c r="C173" s="137" t="inlineStr">
        <is>
          <t>JACKSON COUNTY</t>
        </is>
      </c>
    </row>
    <row r="174">
      <c r="A174" s="136" t="inlineStr">
        <is>
          <t>MS</t>
        </is>
      </c>
      <c r="B174" s="137" t="n">
        <v>2</v>
      </c>
      <c r="C174" s="137" t="inlineStr">
        <is>
          <t>GEORGE COUNTY</t>
        </is>
      </c>
    </row>
    <row r="175">
      <c r="A175" s="136" t="inlineStr">
        <is>
          <t>MS</t>
        </is>
      </c>
      <c r="B175" s="137" t="n">
        <v>2</v>
      </c>
      <c r="C175" s="137" t="inlineStr">
        <is>
          <t>PEARL RIVER COUNTY</t>
        </is>
      </c>
    </row>
    <row r="176">
      <c r="A176" s="136" t="inlineStr">
        <is>
          <t>MS</t>
        </is>
      </c>
      <c r="B176" s="137" t="n">
        <v>2</v>
      </c>
      <c r="C176" s="137" t="inlineStr">
        <is>
          <t>STONE COUNTY</t>
        </is>
      </c>
    </row>
    <row r="177">
      <c r="A177" s="136" t="inlineStr">
        <is>
          <t>NC</t>
        </is>
      </c>
      <c r="B177" s="137" t="n">
        <v>1</v>
      </c>
      <c r="C177" s="137" t="inlineStr">
        <is>
          <t>BEAUFORT COUNTY</t>
        </is>
      </c>
    </row>
    <row r="178">
      <c r="A178" s="136" t="inlineStr">
        <is>
          <t>NC</t>
        </is>
      </c>
      <c r="B178" s="137" t="n">
        <v>1</v>
      </c>
      <c r="C178" s="137" t="inlineStr">
        <is>
          <t>BERTIE COUNTY</t>
        </is>
      </c>
    </row>
    <row r="179">
      <c r="A179" s="136" t="inlineStr">
        <is>
          <t>NC</t>
        </is>
      </c>
      <c r="B179" s="137" t="n">
        <v>1</v>
      </c>
      <c r="C179" s="137" t="inlineStr">
        <is>
          <t>BRUNSWICK COUNTY</t>
        </is>
      </c>
    </row>
    <row r="180">
      <c r="A180" s="136" t="inlineStr">
        <is>
          <t>NC</t>
        </is>
      </c>
      <c r="B180" s="137" t="n">
        <v>1</v>
      </c>
      <c r="C180" s="137" t="inlineStr">
        <is>
          <t>CAMDEN COUNTY</t>
        </is>
      </c>
    </row>
    <row r="181">
      <c r="A181" s="136" t="inlineStr">
        <is>
          <t>NC</t>
        </is>
      </c>
      <c r="B181" s="137" t="n">
        <v>1</v>
      </c>
      <c r="C181" s="137" t="inlineStr">
        <is>
          <t>CARTERET COUNTY</t>
        </is>
      </c>
    </row>
    <row r="182">
      <c r="A182" s="136" t="inlineStr">
        <is>
          <t>NC</t>
        </is>
      </c>
      <c r="B182" s="137" t="n">
        <v>1</v>
      </c>
      <c r="C182" s="137" t="inlineStr">
        <is>
          <t>CHOWAN COUNTY</t>
        </is>
      </c>
    </row>
    <row r="183">
      <c r="A183" s="136" t="inlineStr">
        <is>
          <t>NC</t>
        </is>
      </c>
      <c r="B183" s="137" t="n">
        <v>1</v>
      </c>
      <c r="C183" s="137" t="inlineStr">
        <is>
          <t>CRAVEN COUNTY</t>
        </is>
      </c>
    </row>
    <row r="184">
      <c r="A184" s="136" t="inlineStr">
        <is>
          <t>NC</t>
        </is>
      </c>
      <c r="B184" s="137" t="n">
        <v>1</v>
      </c>
      <c r="C184" s="137" t="inlineStr">
        <is>
          <t>CURRITUCK COUNTY</t>
        </is>
      </c>
    </row>
    <row r="185">
      <c r="A185" s="136" t="inlineStr">
        <is>
          <t>NC</t>
        </is>
      </c>
      <c r="B185" s="137" t="n">
        <v>1</v>
      </c>
      <c r="C185" s="137" t="inlineStr">
        <is>
          <t>DARE COUNTY</t>
        </is>
      </c>
    </row>
    <row r="186">
      <c r="A186" s="136" t="inlineStr">
        <is>
          <t>NC</t>
        </is>
      </c>
      <c r="B186" s="137" t="n">
        <v>1</v>
      </c>
      <c r="C186" s="137" t="inlineStr">
        <is>
          <t>HYDE COUNTY</t>
        </is>
      </c>
    </row>
    <row r="187">
      <c r="A187" s="136" t="inlineStr">
        <is>
          <t>NC</t>
        </is>
      </c>
      <c r="B187" s="137" t="n">
        <v>1</v>
      </c>
      <c r="C187" s="137" t="inlineStr">
        <is>
          <t>NEW HANOVER COUNTY</t>
        </is>
      </c>
    </row>
    <row r="188">
      <c r="A188" s="136" t="inlineStr">
        <is>
          <t>NC</t>
        </is>
      </c>
      <c r="B188" s="137" t="n">
        <v>1</v>
      </c>
      <c r="C188" s="137" t="inlineStr">
        <is>
          <t>ONSLOW COUNTY</t>
        </is>
      </c>
    </row>
    <row r="189">
      <c r="A189" s="136" t="inlineStr">
        <is>
          <t>NC</t>
        </is>
      </c>
      <c r="B189" s="137" t="n">
        <v>1</v>
      </c>
      <c r="C189" s="137" t="inlineStr">
        <is>
          <t>PAMLICO COUNTY</t>
        </is>
      </c>
    </row>
    <row r="190">
      <c r="A190" s="136" t="inlineStr">
        <is>
          <t>NC</t>
        </is>
      </c>
      <c r="B190" s="137" t="n">
        <v>1</v>
      </c>
      <c r="C190" s="137" t="inlineStr">
        <is>
          <t>PASQUOTANK COUNTY</t>
        </is>
      </c>
    </row>
    <row r="191">
      <c r="A191" s="136" t="inlineStr">
        <is>
          <t>NC</t>
        </is>
      </c>
      <c r="B191" s="137" t="n">
        <v>1</v>
      </c>
      <c r="C191" s="137" t="inlineStr">
        <is>
          <t>PENDER COUNTY</t>
        </is>
      </c>
    </row>
    <row r="192">
      <c r="A192" s="136" t="inlineStr">
        <is>
          <t>NC</t>
        </is>
      </c>
      <c r="B192" s="137" t="n">
        <v>1</v>
      </c>
      <c r="C192" s="137" t="inlineStr">
        <is>
          <t>PERQUIMANS COUNTY</t>
        </is>
      </c>
    </row>
    <row r="193">
      <c r="A193" s="136" t="inlineStr">
        <is>
          <t>NC</t>
        </is>
      </c>
      <c r="B193" s="137" t="n">
        <v>1</v>
      </c>
      <c r="C193" s="137" t="inlineStr">
        <is>
          <t>TYRRELL COUNTY</t>
        </is>
      </c>
    </row>
    <row r="194">
      <c r="A194" s="136" t="inlineStr">
        <is>
          <t>NC</t>
        </is>
      </c>
      <c r="B194" s="137" t="n">
        <v>1</v>
      </c>
      <c r="C194" s="137" t="inlineStr">
        <is>
          <t>WASHINGTON COUNTY</t>
        </is>
      </c>
    </row>
    <row r="195">
      <c r="A195" s="136" t="inlineStr">
        <is>
          <t>NC</t>
        </is>
      </c>
      <c r="B195" s="137" t="n">
        <v>2</v>
      </c>
      <c r="C195" s="137" t="inlineStr">
        <is>
          <t>BLADEN COUNTY</t>
        </is>
      </c>
    </row>
    <row r="196">
      <c r="A196" s="136" t="inlineStr">
        <is>
          <t>NC</t>
        </is>
      </c>
      <c r="B196" s="137" t="n">
        <v>2</v>
      </c>
      <c r="C196" s="137" t="inlineStr">
        <is>
          <t>COLUMBUS COUNTY</t>
        </is>
      </c>
    </row>
    <row r="197">
      <c r="A197" s="136" t="inlineStr">
        <is>
          <t>NC</t>
        </is>
      </c>
      <c r="B197" s="137" t="n">
        <v>2</v>
      </c>
      <c r="C197" s="137" t="inlineStr">
        <is>
          <t>DUPLIN COUNTY</t>
        </is>
      </c>
    </row>
    <row r="198">
      <c r="A198" s="136" t="inlineStr">
        <is>
          <t>NC</t>
        </is>
      </c>
      <c r="B198" s="137" t="n">
        <v>2</v>
      </c>
      <c r="C198" s="137" t="inlineStr">
        <is>
          <t>GATES COUNTY</t>
        </is>
      </c>
    </row>
    <row r="199">
      <c r="A199" s="136" t="inlineStr">
        <is>
          <t>NC</t>
        </is>
      </c>
      <c r="B199" s="137" t="n">
        <v>2</v>
      </c>
      <c r="C199" s="137" t="inlineStr">
        <is>
          <t>HALIFAX COUNTY</t>
        </is>
      </c>
    </row>
    <row r="200">
      <c r="A200" s="136" t="inlineStr">
        <is>
          <t>NC</t>
        </is>
      </c>
      <c r="B200" s="137" t="n">
        <v>2</v>
      </c>
      <c r="C200" s="137" t="inlineStr">
        <is>
          <t>HERTFORD COUNTY</t>
        </is>
      </c>
    </row>
    <row r="201">
      <c r="A201" s="136" t="inlineStr">
        <is>
          <t>NC</t>
        </is>
      </c>
      <c r="B201" s="137" t="n">
        <v>2</v>
      </c>
      <c r="C201" s="137" t="inlineStr">
        <is>
          <t>JONES COUNTY</t>
        </is>
      </c>
    </row>
    <row r="202">
      <c r="A202" s="136" t="inlineStr">
        <is>
          <t>NC</t>
        </is>
      </c>
      <c r="B202" s="137" t="n">
        <v>2</v>
      </c>
      <c r="C202" s="137" t="inlineStr">
        <is>
          <t>LENOIR COUNTY</t>
        </is>
      </c>
    </row>
    <row r="203">
      <c r="A203" s="136" t="inlineStr">
        <is>
          <t>NC</t>
        </is>
      </c>
      <c r="B203" s="137" t="n">
        <v>2</v>
      </c>
      <c r="C203" s="137" t="inlineStr">
        <is>
          <t>MARTIN COUNTY</t>
        </is>
      </c>
    </row>
    <row r="204">
      <c r="A204" s="136" t="inlineStr">
        <is>
          <t>NC</t>
        </is>
      </c>
      <c r="B204" s="137" t="n">
        <v>2</v>
      </c>
      <c r="C204" s="137" t="inlineStr">
        <is>
          <t>NORTHAMPTON COUNTY</t>
        </is>
      </c>
    </row>
    <row r="205">
      <c r="A205" s="136" t="inlineStr">
        <is>
          <t>NC</t>
        </is>
      </c>
      <c r="B205" s="137" t="n">
        <v>2</v>
      </c>
      <c r="C205" s="137" t="inlineStr">
        <is>
          <t>PITT COUNTY</t>
        </is>
      </c>
    </row>
    <row r="206">
      <c r="A206" s="136" t="inlineStr">
        <is>
          <t>NC</t>
        </is>
      </c>
      <c r="B206" s="137" t="n">
        <v>2</v>
      </c>
      <c r="C206" s="137" t="inlineStr">
        <is>
          <t>SAMPSON COUNTY</t>
        </is>
      </c>
    </row>
    <row r="207">
      <c r="A207" s="136" t="inlineStr">
        <is>
          <t>NH</t>
        </is>
      </c>
      <c r="B207" s="137" t="n">
        <v>1</v>
      </c>
      <c r="C207" s="137" t="inlineStr">
        <is>
          <t>ROCKINGHAM COUNTY</t>
        </is>
      </c>
    </row>
    <row r="208">
      <c r="A208" s="136" t="inlineStr">
        <is>
          <t>NH</t>
        </is>
      </c>
      <c r="B208" s="137" t="n">
        <v>2</v>
      </c>
      <c r="C208" s="137" t="inlineStr">
        <is>
          <t>BELKNAP COUNTY</t>
        </is>
      </c>
    </row>
    <row r="209">
      <c r="A209" s="136" t="inlineStr">
        <is>
          <t>NH</t>
        </is>
      </c>
      <c r="B209" s="137" t="n">
        <v>2</v>
      </c>
      <c r="C209" s="137" t="inlineStr">
        <is>
          <t>CARROLL COUNTY</t>
        </is>
      </c>
    </row>
    <row r="210">
      <c r="A210" s="136" t="inlineStr">
        <is>
          <t>NH</t>
        </is>
      </c>
      <c r="B210" s="137" t="n">
        <v>2</v>
      </c>
      <c r="C210" s="137" t="inlineStr">
        <is>
          <t>HILLSBOROUGH COUNTY</t>
        </is>
      </c>
    </row>
    <row r="211">
      <c r="A211" s="136" t="inlineStr">
        <is>
          <t>NH</t>
        </is>
      </c>
      <c r="B211" s="137" t="n">
        <v>2</v>
      </c>
      <c r="C211" s="137" t="inlineStr">
        <is>
          <t>MERRIMACK COUNTY</t>
        </is>
      </c>
    </row>
    <row r="212">
      <c r="A212" s="136" t="inlineStr">
        <is>
          <t>NH</t>
        </is>
      </c>
      <c r="B212" s="137" t="n">
        <v>2</v>
      </c>
      <c r="C212" s="137" t="inlineStr">
        <is>
          <t>STRAFFORD COUNTY</t>
        </is>
      </c>
    </row>
    <row r="213">
      <c r="A213" s="136" t="inlineStr">
        <is>
          <t>NJ</t>
        </is>
      </c>
      <c r="B213" s="137" t="n">
        <v>1</v>
      </c>
      <c r="C213" s="137" t="inlineStr">
        <is>
          <t>ATLANTIC COUNTY</t>
        </is>
      </c>
    </row>
    <row r="214">
      <c r="A214" s="136" t="inlineStr">
        <is>
          <t>NJ</t>
        </is>
      </c>
      <c r="B214" s="137" t="n">
        <v>1</v>
      </c>
      <c r="C214" s="137" t="inlineStr">
        <is>
          <t>BURLINGTON COUNTY</t>
        </is>
      </c>
    </row>
    <row r="215">
      <c r="A215" s="136" t="inlineStr">
        <is>
          <t>NJ</t>
        </is>
      </c>
      <c r="B215" s="137" t="n">
        <v>1</v>
      </c>
      <c r="C215" s="137" t="inlineStr">
        <is>
          <t>CAPE MAY COUNTY</t>
        </is>
      </c>
    </row>
    <row r="216">
      <c r="A216" s="136" t="inlineStr">
        <is>
          <t>NJ</t>
        </is>
      </c>
      <c r="B216" s="137" t="n">
        <v>1</v>
      </c>
      <c r="C216" s="137" t="inlineStr">
        <is>
          <t>CUMBERLAND COUNTY</t>
        </is>
      </c>
    </row>
    <row r="217">
      <c r="A217" s="136" t="inlineStr">
        <is>
          <t>NJ</t>
        </is>
      </c>
      <c r="B217" s="137" t="n">
        <v>1</v>
      </c>
      <c r="C217" s="137" t="inlineStr">
        <is>
          <t>HUDSON COUNTY</t>
        </is>
      </c>
    </row>
    <row r="218">
      <c r="A218" s="136" t="inlineStr">
        <is>
          <t>NJ</t>
        </is>
      </c>
      <c r="B218" s="137" t="n">
        <v>1</v>
      </c>
      <c r="C218" s="137" t="inlineStr">
        <is>
          <t>MIDDLESEX COUNTY</t>
        </is>
      </c>
    </row>
    <row r="219">
      <c r="A219" s="136" t="inlineStr">
        <is>
          <t>NJ</t>
        </is>
      </c>
      <c r="B219" s="137" t="n">
        <v>1</v>
      </c>
      <c r="C219" s="137" t="inlineStr">
        <is>
          <t>MONMOUTH COUNTY</t>
        </is>
      </c>
    </row>
    <row r="220">
      <c r="A220" s="136" t="inlineStr">
        <is>
          <t>NJ</t>
        </is>
      </c>
      <c r="B220" s="137" t="n">
        <v>1</v>
      </c>
      <c r="C220" s="137" t="inlineStr">
        <is>
          <t>OCEAN COUNTY</t>
        </is>
      </c>
    </row>
    <row r="221">
      <c r="A221" s="136" t="inlineStr">
        <is>
          <t>NJ</t>
        </is>
      </c>
      <c r="B221" s="137" t="n">
        <v>1</v>
      </c>
      <c r="C221" s="137" t="inlineStr">
        <is>
          <t>SALEM COUNTY</t>
        </is>
      </c>
    </row>
    <row r="222">
      <c r="A222" s="136" t="inlineStr">
        <is>
          <t>NJ</t>
        </is>
      </c>
      <c r="B222" s="137" t="n">
        <v>2</v>
      </c>
      <c r="C222" s="137" t="inlineStr">
        <is>
          <t>BERGEN COUNTY</t>
        </is>
      </c>
    </row>
    <row r="223">
      <c r="A223" s="136" t="inlineStr">
        <is>
          <t>NJ</t>
        </is>
      </c>
      <c r="B223" s="137" t="n">
        <v>2</v>
      </c>
      <c r="C223" s="137" t="inlineStr">
        <is>
          <t>CAMDEN COUNTY</t>
        </is>
      </c>
    </row>
    <row r="224">
      <c r="A224" s="136" t="inlineStr">
        <is>
          <t>NJ</t>
        </is>
      </c>
      <c r="B224" s="137" t="n">
        <v>2</v>
      </c>
      <c r="C224" s="137" t="inlineStr">
        <is>
          <t>ESSEX COUNTY</t>
        </is>
      </c>
    </row>
    <row r="225">
      <c r="A225" s="136" t="inlineStr">
        <is>
          <t>NJ</t>
        </is>
      </c>
      <c r="B225" s="137" t="n">
        <v>2</v>
      </c>
      <c r="C225" s="137" t="inlineStr">
        <is>
          <t>GLOUCESTER COUNTY</t>
        </is>
      </c>
    </row>
    <row r="226">
      <c r="A226" s="136" t="inlineStr">
        <is>
          <t>NJ</t>
        </is>
      </c>
      <c r="B226" s="137" t="n">
        <v>2</v>
      </c>
      <c r="C226" s="137" t="inlineStr">
        <is>
          <t>MERCER COUNTY</t>
        </is>
      </c>
    </row>
    <row r="227">
      <c r="A227" s="136" t="inlineStr">
        <is>
          <t>NJ</t>
        </is>
      </c>
      <c r="B227" s="137" t="n">
        <v>2</v>
      </c>
      <c r="C227" s="137" t="inlineStr">
        <is>
          <t>PASSAIC COUNTY</t>
        </is>
      </c>
    </row>
    <row r="228">
      <c r="A228" s="136" t="inlineStr">
        <is>
          <t>NJ</t>
        </is>
      </c>
      <c r="B228" s="137" t="n">
        <v>2</v>
      </c>
      <c r="C228" s="137" t="inlineStr">
        <is>
          <t>SOMERSET COUNTY</t>
        </is>
      </c>
    </row>
    <row r="229">
      <c r="A229" s="136" t="inlineStr">
        <is>
          <t>NJ</t>
        </is>
      </c>
      <c r="B229" s="137" t="n">
        <v>2</v>
      </c>
      <c r="C229" s="137" t="inlineStr">
        <is>
          <t>UNION COUNTY</t>
        </is>
      </c>
    </row>
    <row r="230">
      <c r="A230" s="136" t="inlineStr">
        <is>
          <t>NY</t>
        </is>
      </c>
      <c r="B230" s="137" t="n">
        <v>1</v>
      </c>
      <c r="C230" s="137" t="inlineStr">
        <is>
          <t>BRONX COUNTY</t>
        </is>
      </c>
    </row>
    <row r="231">
      <c r="A231" s="136" t="inlineStr">
        <is>
          <t>NY</t>
        </is>
      </c>
      <c r="B231" s="137" t="n">
        <v>1</v>
      </c>
      <c r="C231" s="137" t="inlineStr">
        <is>
          <t>KINGS COUNTY</t>
        </is>
      </c>
    </row>
    <row r="232">
      <c r="A232" s="136" t="inlineStr">
        <is>
          <t>NY</t>
        </is>
      </c>
      <c r="B232" s="137" t="n">
        <v>1</v>
      </c>
      <c r="C232" s="137" t="inlineStr">
        <is>
          <t>NASSAU COUNTY</t>
        </is>
      </c>
    </row>
    <row r="233">
      <c r="A233" s="136" t="inlineStr">
        <is>
          <t>NY</t>
        </is>
      </c>
      <c r="B233" s="137" t="n">
        <v>1</v>
      </c>
      <c r="C233" s="137" t="inlineStr">
        <is>
          <t>NEW YORK COUNTY</t>
        </is>
      </c>
    </row>
    <row r="234">
      <c r="A234" s="136" t="inlineStr">
        <is>
          <t>NY</t>
        </is>
      </c>
      <c r="B234" s="137" t="n">
        <v>1</v>
      </c>
      <c r="C234" s="137" t="inlineStr">
        <is>
          <t>QUEENS COUNTY</t>
        </is>
      </c>
    </row>
    <row r="235">
      <c r="A235" s="136" t="inlineStr">
        <is>
          <t>NY</t>
        </is>
      </c>
      <c r="B235" s="137" t="n">
        <v>1</v>
      </c>
      <c r="C235" s="137" t="inlineStr">
        <is>
          <t>RICHMOND COUNTY</t>
        </is>
      </c>
    </row>
    <row r="236">
      <c r="A236" s="136" t="inlineStr">
        <is>
          <t>NY</t>
        </is>
      </c>
      <c r="B236" s="137" t="n">
        <v>1</v>
      </c>
      <c r="C236" s="137" t="inlineStr">
        <is>
          <t>SUFFOLK COUNTY</t>
        </is>
      </c>
    </row>
    <row r="237">
      <c r="A237" s="136" t="inlineStr">
        <is>
          <t>NY</t>
        </is>
      </c>
      <c r="B237" s="137" t="n">
        <v>1</v>
      </c>
      <c r="C237" s="137" t="inlineStr">
        <is>
          <t>WESTCHESTER COUNTY</t>
        </is>
      </c>
    </row>
    <row r="238">
      <c r="A238" s="136" t="inlineStr">
        <is>
          <t>NY</t>
        </is>
      </c>
      <c r="B238" s="137" t="n">
        <v>2</v>
      </c>
      <c r="C238" s="137" t="inlineStr">
        <is>
          <t>PUTNAM COUNTY</t>
        </is>
      </c>
    </row>
    <row r="239">
      <c r="A239" s="136" t="inlineStr">
        <is>
          <t>NY</t>
        </is>
      </c>
      <c r="B239" s="137" t="n">
        <v>2</v>
      </c>
      <c r="C239" s="137" t="inlineStr">
        <is>
          <t>ROCKLAND COUNTY</t>
        </is>
      </c>
    </row>
    <row r="240">
      <c r="A240" s="136" t="inlineStr">
        <is>
          <t>PA</t>
        </is>
      </c>
      <c r="B240" s="137" t="n">
        <v>2</v>
      </c>
      <c r="C240" s="137" t="inlineStr">
        <is>
          <t>BUCKS COUNTY</t>
        </is>
      </c>
    </row>
    <row r="241">
      <c r="A241" s="136" t="inlineStr">
        <is>
          <t>PA</t>
        </is>
      </c>
      <c r="B241" s="137" t="n">
        <v>2</v>
      </c>
      <c r="C241" s="137" t="inlineStr">
        <is>
          <t>CHESTER COUNTY</t>
        </is>
      </c>
    </row>
    <row r="242">
      <c r="A242" s="136" t="inlineStr">
        <is>
          <t>PA</t>
        </is>
      </c>
      <c r="B242" s="137" t="n">
        <v>2</v>
      </c>
      <c r="C242" s="137" t="inlineStr">
        <is>
          <t>DELAWARE COUNTY</t>
        </is>
      </c>
    </row>
    <row r="243">
      <c r="A243" s="136" t="inlineStr">
        <is>
          <t>PA</t>
        </is>
      </c>
      <c r="B243" s="137" t="n">
        <v>2</v>
      </c>
      <c r="C243" s="137" t="inlineStr">
        <is>
          <t>LANCASTER COUNTY</t>
        </is>
      </c>
    </row>
    <row r="244">
      <c r="A244" s="136" t="inlineStr">
        <is>
          <t>PA</t>
        </is>
      </c>
      <c r="B244" s="137" t="n">
        <v>2</v>
      </c>
      <c r="C244" s="137" t="inlineStr">
        <is>
          <t>PHILADELPHIA COUNTY</t>
        </is>
      </c>
    </row>
    <row r="245">
      <c r="A245" s="136" t="inlineStr">
        <is>
          <t>PA</t>
        </is>
      </c>
      <c r="B245" s="137" t="n">
        <v>2</v>
      </c>
      <c r="C245" s="137" t="inlineStr">
        <is>
          <t>YORK COUNTY</t>
        </is>
      </c>
    </row>
    <row r="246">
      <c r="A246" s="136" t="inlineStr">
        <is>
          <t>RI</t>
        </is>
      </c>
      <c r="B246" s="137" t="n">
        <v>1</v>
      </c>
      <c r="C246" s="137" t="inlineStr">
        <is>
          <t>BRISTOL COUNTY</t>
        </is>
      </c>
    </row>
    <row r="247">
      <c r="A247" s="136" t="inlineStr">
        <is>
          <t>RI</t>
        </is>
      </c>
      <c r="B247" s="137" t="n">
        <v>1</v>
      </c>
      <c r="C247" s="137" t="inlineStr">
        <is>
          <t>KENT COUNTY</t>
        </is>
      </c>
    </row>
    <row r="248">
      <c r="A248" s="136" t="inlineStr">
        <is>
          <t>RI</t>
        </is>
      </c>
      <c r="B248" s="137" t="n">
        <v>1</v>
      </c>
      <c r="C248" s="137" t="inlineStr">
        <is>
          <t>NEWPORT COUNTY</t>
        </is>
      </c>
    </row>
    <row r="249">
      <c r="A249" s="136" t="inlineStr">
        <is>
          <t>RI</t>
        </is>
      </c>
      <c r="B249" s="137" t="n">
        <v>1</v>
      </c>
      <c r="C249" s="137" t="inlineStr">
        <is>
          <t>PROVIDENCE COUNTY</t>
        </is>
      </c>
    </row>
    <row r="250">
      <c r="A250" s="136" t="inlineStr">
        <is>
          <t xml:space="preserve"> RI </t>
        </is>
      </c>
      <c r="B250" s="137" t="n">
        <v>1</v>
      </c>
      <c r="C250" s="137" t="inlineStr">
        <is>
          <t>WASHINGTON COUNTY</t>
        </is>
      </c>
    </row>
    <row r="251">
      <c r="A251" s="136" t="inlineStr">
        <is>
          <t>SC</t>
        </is>
      </c>
      <c r="B251" s="137" t="n">
        <v>1</v>
      </c>
      <c r="C251" s="137" t="inlineStr">
        <is>
          <t>BEAUFORT COUNTY</t>
        </is>
      </c>
    </row>
    <row r="252">
      <c r="A252" s="136" t="inlineStr">
        <is>
          <t>SC</t>
        </is>
      </c>
      <c r="B252" s="137" t="n">
        <v>1</v>
      </c>
      <c r="C252" s="137" t="inlineStr">
        <is>
          <t>CHARLESTON COUNTY</t>
        </is>
      </c>
    </row>
    <row r="253">
      <c r="A253" s="136" t="inlineStr">
        <is>
          <t>SC</t>
        </is>
      </c>
      <c r="B253" s="137" t="n">
        <v>1</v>
      </c>
      <c r="C253" s="137" t="inlineStr">
        <is>
          <t>COLLETON COUNTY</t>
        </is>
      </c>
    </row>
    <row r="254">
      <c r="A254" s="136" t="inlineStr">
        <is>
          <t>SC</t>
        </is>
      </c>
      <c r="B254" s="137" t="n">
        <v>1</v>
      </c>
      <c r="C254" s="137" t="inlineStr">
        <is>
          <t>GEORGETOWN COUNTY</t>
        </is>
      </c>
    </row>
    <row r="255">
      <c r="A255" s="136" t="inlineStr">
        <is>
          <t>SC</t>
        </is>
      </c>
      <c r="B255" s="137" t="n">
        <v>1</v>
      </c>
      <c r="C255" s="137" t="inlineStr">
        <is>
          <t>HORRY COUNTY</t>
        </is>
      </c>
    </row>
    <row r="256">
      <c r="A256" s="136" t="inlineStr">
        <is>
          <t>SC</t>
        </is>
      </c>
      <c r="B256" s="137" t="n">
        <v>1</v>
      </c>
      <c r="C256" s="137" t="inlineStr">
        <is>
          <t>JASPER COUNTY</t>
        </is>
      </c>
    </row>
    <row r="257">
      <c r="A257" s="136" t="inlineStr">
        <is>
          <t>SC</t>
        </is>
      </c>
      <c r="B257" s="137" t="n">
        <v>2</v>
      </c>
      <c r="C257" s="137" t="inlineStr">
        <is>
          <t>BERKELEY COUNTY</t>
        </is>
      </c>
    </row>
    <row r="258">
      <c r="A258" s="136" t="inlineStr">
        <is>
          <t>SC</t>
        </is>
      </c>
      <c r="B258" s="137" t="n">
        <v>2</v>
      </c>
      <c r="C258" s="137" t="inlineStr">
        <is>
          <t>DILLON COUNTY</t>
        </is>
      </c>
    </row>
    <row r="259">
      <c r="A259" s="136" t="inlineStr">
        <is>
          <t>SC</t>
        </is>
      </c>
      <c r="B259" s="137" t="n">
        <v>2</v>
      </c>
      <c r="C259" s="137" t="inlineStr">
        <is>
          <t>DORCHESTER COUNTY</t>
        </is>
      </c>
    </row>
    <row r="260">
      <c r="A260" s="136" t="inlineStr">
        <is>
          <t>SC</t>
        </is>
      </c>
      <c r="B260" s="137" t="n">
        <v>2</v>
      </c>
      <c r="C260" s="137" t="inlineStr">
        <is>
          <t>HAMPTON COUNTY</t>
        </is>
      </c>
    </row>
    <row r="261">
      <c r="A261" s="136" t="inlineStr">
        <is>
          <t>SC</t>
        </is>
      </c>
      <c r="B261" s="137" t="n">
        <v>2</v>
      </c>
      <c r="C261" s="137" t="inlineStr">
        <is>
          <t>MARION COUNTY</t>
        </is>
      </c>
    </row>
    <row r="262">
      <c r="A262" s="136" t="inlineStr">
        <is>
          <t>SC</t>
        </is>
      </c>
      <c r="B262" s="137" t="n">
        <v>2</v>
      </c>
      <c r="C262" s="137" t="inlineStr">
        <is>
          <t>WILLIAMSBURG COUNTY</t>
        </is>
      </c>
    </row>
    <row r="263">
      <c r="A263" s="136" t="inlineStr">
        <is>
          <t>TX</t>
        </is>
      </c>
      <c r="B263" s="137" t="n">
        <v>1</v>
      </c>
      <c r="C263" s="137" t="inlineStr">
        <is>
          <t>ARANSAS COUNTY</t>
        </is>
      </c>
    </row>
    <row r="264">
      <c r="A264" s="136" t="inlineStr">
        <is>
          <t>TX</t>
        </is>
      </c>
      <c r="B264" s="137" t="n">
        <v>1</v>
      </c>
      <c r="C264" s="137" t="inlineStr">
        <is>
          <t>BRAZORIA COUNTY</t>
        </is>
      </c>
    </row>
    <row r="265">
      <c r="A265" s="136" t="inlineStr">
        <is>
          <t>TX</t>
        </is>
      </c>
      <c r="B265" s="137" t="n">
        <v>1</v>
      </c>
      <c r="C265" s="137" t="inlineStr">
        <is>
          <t>CALHOUN COUNTY</t>
        </is>
      </c>
    </row>
    <row r="266">
      <c r="A266" s="136" t="inlineStr">
        <is>
          <t>TX</t>
        </is>
      </c>
      <c r="B266" s="137" t="n">
        <v>1</v>
      </c>
      <c r="C266" s="137" t="inlineStr">
        <is>
          <t>CAMERON COUNTY</t>
        </is>
      </c>
    </row>
    <row r="267">
      <c r="A267" s="136" t="inlineStr">
        <is>
          <t>TX</t>
        </is>
      </c>
      <c r="B267" s="137" t="n">
        <v>1</v>
      </c>
      <c r="C267" s="137" t="inlineStr">
        <is>
          <t>CHAMBERS COUNTY</t>
        </is>
      </c>
    </row>
    <row r="268">
      <c r="A268" s="136" t="inlineStr">
        <is>
          <t>TX</t>
        </is>
      </c>
      <c r="B268" s="137" t="n">
        <v>1</v>
      </c>
      <c r="C268" s="137" t="inlineStr">
        <is>
          <t>GALVESTON COUNTY</t>
        </is>
      </c>
    </row>
    <row r="269">
      <c r="A269" s="136" t="inlineStr">
        <is>
          <t>TX</t>
        </is>
      </c>
      <c r="B269" s="137" t="n">
        <v>1</v>
      </c>
      <c r="C269" s="137" t="inlineStr">
        <is>
          <t>HARRIS COUNTY</t>
        </is>
      </c>
    </row>
    <row r="270">
      <c r="A270" s="136" t="inlineStr">
        <is>
          <t>TX</t>
        </is>
      </c>
      <c r="B270" s="137" t="n">
        <v>1</v>
      </c>
      <c r="C270" s="137" t="inlineStr">
        <is>
          <t>JACKSON COUNTY</t>
        </is>
      </c>
    </row>
    <row r="271">
      <c r="A271" s="136" t="inlineStr">
        <is>
          <t>TX</t>
        </is>
      </c>
      <c r="B271" s="137" t="n">
        <v>1</v>
      </c>
      <c r="C271" s="137" t="inlineStr">
        <is>
          <t>JEFFERSON COUNTY</t>
        </is>
      </c>
    </row>
    <row r="272">
      <c r="A272" s="136" t="inlineStr">
        <is>
          <t>TX</t>
        </is>
      </c>
      <c r="B272" s="137" t="n">
        <v>1</v>
      </c>
      <c r="C272" s="137" t="inlineStr">
        <is>
          <t>KENEDY COUNTY</t>
        </is>
      </c>
    </row>
    <row r="273">
      <c r="A273" s="136" t="inlineStr">
        <is>
          <t>TX</t>
        </is>
      </c>
      <c r="B273" s="137" t="n">
        <v>1</v>
      </c>
      <c r="C273" s="137" t="inlineStr">
        <is>
          <t>KLEBERG COUNTY</t>
        </is>
      </c>
    </row>
    <row r="274">
      <c r="A274" s="136" t="inlineStr">
        <is>
          <t>TX</t>
        </is>
      </c>
      <c r="B274" s="137" t="n">
        <v>1</v>
      </c>
      <c r="C274" s="137" t="inlineStr">
        <is>
          <t>MATAGORDA COUNTY</t>
        </is>
      </c>
    </row>
    <row r="275">
      <c r="A275" s="136" t="inlineStr">
        <is>
          <t>TX</t>
        </is>
      </c>
      <c r="B275" s="137" t="n">
        <v>1</v>
      </c>
      <c r="C275" s="137" t="inlineStr">
        <is>
          <t>NUECES COUNTY</t>
        </is>
      </c>
    </row>
    <row r="276">
      <c r="A276" s="136" t="inlineStr">
        <is>
          <t>TX</t>
        </is>
      </c>
      <c r="B276" s="137" t="n">
        <v>1</v>
      </c>
      <c r="C276" s="137" t="inlineStr">
        <is>
          <t>REFUGIO COUNTY</t>
        </is>
      </c>
    </row>
    <row r="277">
      <c r="A277" s="136" t="inlineStr">
        <is>
          <t>TX</t>
        </is>
      </c>
      <c r="B277" s="137" t="n">
        <v>1</v>
      </c>
      <c r="C277" s="137" t="inlineStr">
        <is>
          <t>SAN PATRICIO COUNTY</t>
        </is>
      </c>
    </row>
    <row r="278">
      <c r="A278" s="136" t="inlineStr">
        <is>
          <t>TX</t>
        </is>
      </c>
      <c r="B278" s="137" t="n">
        <v>1</v>
      </c>
      <c r="C278" s="137" t="inlineStr">
        <is>
          <t>WILLACY COUNTY</t>
        </is>
      </c>
    </row>
    <row r="279">
      <c r="A279" s="136" t="inlineStr">
        <is>
          <t>TX</t>
        </is>
      </c>
      <c r="B279" s="137" t="n">
        <v>2</v>
      </c>
      <c r="C279" s="137" t="inlineStr">
        <is>
          <t>BEE COUNTY</t>
        </is>
      </c>
    </row>
    <row r="280">
      <c r="A280" s="136" t="inlineStr">
        <is>
          <t>TX</t>
        </is>
      </c>
      <c r="B280" s="137" t="n">
        <v>2</v>
      </c>
      <c r="C280" s="137" t="inlineStr">
        <is>
          <t>BROOKS COUNTY</t>
        </is>
      </c>
    </row>
    <row r="281">
      <c r="A281" s="136" t="inlineStr">
        <is>
          <t>TX</t>
        </is>
      </c>
      <c r="B281" s="137" t="n">
        <v>2</v>
      </c>
      <c r="C281" s="137" t="inlineStr">
        <is>
          <t>FORT BEND COUNTY</t>
        </is>
      </c>
    </row>
    <row r="282">
      <c r="A282" s="136" t="inlineStr">
        <is>
          <t>TX</t>
        </is>
      </c>
      <c r="B282" s="137" t="n">
        <v>2</v>
      </c>
      <c r="C282" s="137" t="inlineStr">
        <is>
          <t>GOLIAD COUNTY</t>
        </is>
      </c>
    </row>
    <row r="283">
      <c r="A283" s="136" t="inlineStr">
        <is>
          <t>TX</t>
        </is>
      </c>
      <c r="B283" s="137" t="n">
        <v>2</v>
      </c>
      <c r="C283" s="137" t="inlineStr">
        <is>
          <t>HARDIN COUNTY</t>
        </is>
      </c>
    </row>
    <row r="284">
      <c r="A284" s="136" t="inlineStr">
        <is>
          <t>TX</t>
        </is>
      </c>
      <c r="B284" s="137" t="n">
        <v>2</v>
      </c>
      <c r="C284" s="137" t="inlineStr">
        <is>
          <t>HIDALGO COUNTY</t>
        </is>
      </c>
    </row>
    <row r="285">
      <c r="A285" s="136" t="inlineStr">
        <is>
          <t>TX</t>
        </is>
      </c>
      <c r="B285" s="137" t="n">
        <v>2</v>
      </c>
      <c r="C285" s="137" t="inlineStr">
        <is>
          <t>JASPER COUNTY</t>
        </is>
      </c>
    </row>
    <row r="286">
      <c r="A286" s="136" t="inlineStr">
        <is>
          <t>TX</t>
        </is>
      </c>
      <c r="B286" s="137" t="n">
        <v>2</v>
      </c>
      <c r="C286" s="137" t="inlineStr">
        <is>
          <t>JIM WELLS COUNTY</t>
        </is>
      </c>
    </row>
    <row r="287">
      <c r="A287" s="136" t="inlineStr">
        <is>
          <t>TX</t>
        </is>
      </c>
      <c r="B287" s="137" t="n">
        <v>2</v>
      </c>
      <c r="C287" s="137" t="inlineStr">
        <is>
          <t>LAVACA COUNTY</t>
        </is>
      </c>
    </row>
    <row r="288">
      <c r="A288" s="136" t="inlineStr">
        <is>
          <t>TX</t>
        </is>
      </c>
      <c r="B288" s="137" t="n">
        <v>2</v>
      </c>
      <c r="C288" s="137" t="inlineStr">
        <is>
          <t>LIBERTY COUNTY</t>
        </is>
      </c>
    </row>
    <row r="289">
      <c r="A289" s="136" t="inlineStr">
        <is>
          <t>TX</t>
        </is>
      </c>
      <c r="B289" s="137" t="n">
        <v>2</v>
      </c>
      <c r="C289" s="137" t="inlineStr">
        <is>
          <t>LIVE OAK COUNTY</t>
        </is>
      </c>
    </row>
    <row r="290">
      <c r="A290" s="136" t="inlineStr">
        <is>
          <t>TX</t>
        </is>
      </c>
      <c r="B290" s="137" t="n">
        <v>2</v>
      </c>
      <c r="C290" s="137" t="inlineStr">
        <is>
          <t>MONTGOMERY COUNTY</t>
        </is>
      </c>
    </row>
    <row r="291">
      <c r="A291" s="136" t="inlineStr">
        <is>
          <t>TX</t>
        </is>
      </c>
      <c r="B291" s="137" t="n">
        <v>2</v>
      </c>
      <c r="C291" s="137" t="inlineStr">
        <is>
          <t>NEWTON COUNTY</t>
        </is>
      </c>
    </row>
    <row r="292">
      <c r="A292" s="136" t="inlineStr">
        <is>
          <t>TX</t>
        </is>
      </c>
      <c r="B292" s="137" t="n">
        <v>2</v>
      </c>
      <c r="C292" s="137" t="inlineStr">
        <is>
          <t>ORANGE COUNTY</t>
        </is>
      </c>
    </row>
    <row r="293">
      <c r="A293" s="136" t="inlineStr">
        <is>
          <t>TX</t>
        </is>
      </c>
      <c r="B293" s="137" t="n">
        <v>2</v>
      </c>
      <c r="C293" s="137" t="inlineStr">
        <is>
          <t>VICTORIA COUNTY</t>
        </is>
      </c>
    </row>
    <row r="294">
      <c r="A294" s="136" t="inlineStr">
        <is>
          <t>TX</t>
        </is>
      </c>
      <c r="B294" s="137" t="n">
        <v>2</v>
      </c>
      <c r="C294" s="137" t="inlineStr">
        <is>
          <t>WALLER COUNTY</t>
        </is>
      </c>
    </row>
    <row r="295">
      <c r="A295" s="136" t="inlineStr">
        <is>
          <t xml:space="preserve"> TX </t>
        </is>
      </c>
      <c r="B295" s="137" t="n">
        <v>2</v>
      </c>
      <c r="C295" s="137" t="inlineStr">
        <is>
          <t>WHARTON COUNTY</t>
        </is>
      </c>
    </row>
    <row r="296">
      <c r="A296" s="136" t="inlineStr">
        <is>
          <t>VA</t>
        </is>
      </c>
      <c r="B296" s="137" t="n">
        <v>1</v>
      </c>
      <c r="C296" s="137" t="inlineStr">
        <is>
          <t>ACCOMACK COUNTY</t>
        </is>
      </c>
    </row>
    <row r="297">
      <c r="A297" s="136" t="inlineStr">
        <is>
          <t>VA</t>
        </is>
      </c>
      <c r="B297" s="137" t="n">
        <v>1</v>
      </c>
      <c r="C297" s="137" t="inlineStr">
        <is>
          <t>CHESAPEAKE CITY</t>
        </is>
      </c>
    </row>
    <row r="298">
      <c r="A298" s="136" t="inlineStr">
        <is>
          <t>VA</t>
        </is>
      </c>
      <c r="B298" s="137" t="n">
        <v>1</v>
      </c>
      <c r="C298" s="137" t="inlineStr">
        <is>
          <t>GLOUCESTER COUNTY</t>
        </is>
      </c>
    </row>
    <row r="299">
      <c r="A299" s="136" t="inlineStr">
        <is>
          <t>VA</t>
        </is>
      </c>
      <c r="B299" s="137" t="n">
        <v>1</v>
      </c>
      <c r="C299" s="137" t="inlineStr">
        <is>
          <t>HAMPTON CITY</t>
        </is>
      </c>
    </row>
    <row r="300">
      <c r="A300" s="136" t="inlineStr">
        <is>
          <t>VA</t>
        </is>
      </c>
      <c r="B300" s="137" t="n">
        <v>1</v>
      </c>
      <c r="C300" s="137" t="inlineStr">
        <is>
          <t>ISLE OF WIGHT COUNTY</t>
        </is>
      </c>
    </row>
    <row r="301">
      <c r="A301" s="136" t="inlineStr">
        <is>
          <t>VA</t>
        </is>
      </c>
      <c r="B301" s="137" t="n">
        <v>1</v>
      </c>
      <c r="C301" s="137" t="inlineStr">
        <is>
          <t>JAMES CITY COUNTY</t>
        </is>
      </c>
    </row>
    <row r="302">
      <c r="A302" s="136" t="inlineStr">
        <is>
          <t>VA</t>
        </is>
      </c>
      <c r="B302" s="137" t="n">
        <v>1</v>
      </c>
      <c r="C302" s="137" t="inlineStr">
        <is>
          <t>LANCASTER COUNTY</t>
        </is>
      </c>
    </row>
    <row r="303">
      <c r="A303" s="136" t="inlineStr">
        <is>
          <t>VA</t>
        </is>
      </c>
      <c r="B303" s="137" t="n">
        <v>1</v>
      </c>
      <c r="C303" s="137" t="inlineStr">
        <is>
          <t>MATHEWS COUNTY</t>
        </is>
      </c>
    </row>
    <row r="304">
      <c r="A304" s="136" t="inlineStr">
        <is>
          <t>VA</t>
        </is>
      </c>
      <c r="B304" s="137" t="n">
        <v>1</v>
      </c>
      <c r="C304" s="137" t="inlineStr">
        <is>
          <t>MIDDLESEX COUNTY</t>
        </is>
      </c>
    </row>
    <row r="305">
      <c r="A305" s="136" t="inlineStr">
        <is>
          <t>VA</t>
        </is>
      </c>
      <c r="B305" s="137" t="n">
        <v>1</v>
      </c>
      <c r="C305" s="137" t="inlineStr">
        <is>
          <t>NEWPORT NEWS CITY</t>
        </is>
      </c>
    </row>
    <row r="306">
      <c r="A306" s="136" t="inlineStr">
        <is>
          <t>VA</t>
        </is>
      </c>
      <c r="B306" s="137" t="n">
        <v>1</v>
      </c>
      <c r="C306" s="137" t="inlineStr">
        <is>
          <t>NORFOLK CITY</t>
        </is>
      </c>
    </row>
    <row r="307">
      <c r="A307" s="136" t="inlineStr">
        <is>
          <t>VA</t>
        </is>
      </c>
      <c r="B307" s="137" t="n">
        <v>1</v>
      </c>
      <c r="C307" s="137" t="inlineStr">
        <is>
          <t>NORTHAMPTON COUNTY</t>
        </is>
      </c>
    </row>
    <row r="308">
      <c r="A308" s="136" t="inlineStr">
        <is>
          <t>VA</t>
        </is>
      </c>
      <c r="B308" s="137" t="n">
        <v>1</v>
      </c>
      <c r="C308" s="137" t="inlineStr">
        <is>
          <t>NORTHUMBERLAND COUNTY</t>
        </is>
      </c>
    </row>
    <row r="309">
      <c r="A309" s="136" t="inlineStr">
        <is>
          <t>VA</t>
        </is>
      </c>
      <c r="B309" s="137" t="n">
        <v>1</v>
      </c>
      <c r="C309" s="137" t="inlineStr">
        <is>
          <t>POQUOSON CITY</t>
        </is>
      </c>
    </row>
    <row r="310">
      <c r="A310" s="136" t="inlineStr">
        <is>
          <t>VA</t>
        </is>
      </c>
      <c r="B310" s="137" t="n">
        <v>1</v>
      </c>
      <c r="C310" s="137" t="inlineStr">
        <is>
          <t>PORTSMOUTH CITY</t>
        </is>
      </c>
    </row>
    <row r="311">
      <c r="A311" s="136" t="inlineStr">
        <is>
          <t>VA</t>
        </is>
      </c>
      <c r="B311" s="137" t="n">
        <v>1</v>
      </c>
      <c r="C311" s="137" t="inlineStr">
        <is>
          <t>SURRY COUNTY</t>
        </is>
      </c>
    </row>
    <row r="312">
      <c r="A312" s="136" t="inlineStr">
        <is>
          <t>VA</t>
        </is>
      </c>
      <c r="B312" s="137" t="n">
        <v>1</v>
      </c>
      <c r="C312" s="137" t="inlineStr">
        <is>
          <t>VIRGINIA BEACH CITY</t>
        </is>
      </c>
    </row>
    <row r="313">
      <c r="A313" s="136" t="inlineStr">
        <is>
          <t>VA</t>
        </is>
      </c>
      <c r="B313" s="137" t="n">
        <v>1</v>
      </c>
      <c r="C313" s="137" t="inlineStr">
        <is>
          <t>WESTMORELAND COUNTY</t>
        </is>
      </c>
    </row>
    <row r="314">
      <c r="A314" s="136" t="inlineStr">
        <is>
          <t>VA</t>
        </is>
      </c>
      <c r="B314" s="137" t="n">
        <v>1</v>
      </c>
      <c r="C314" s="137" t="inlineStr">
        <is>
          <t>YORK COUNTY</t>
        </is>
      </c>
    </row>
    <row r="315">
      <c r="A315" s="136" t="inlineStr">
        <is>
          <t>VA</t>
        </is>
      </c>
      <c r="B315" s="137" t="n">
        <v>2</v>
      </c>
      <c r="C315" s="137" t="inlineStr">
        <is>
          <t>ARLINGTON COUNTY</t>
        </is>
      </c>
    </row>
    <row r="316">
      <c r="A316" s="136" t="inlineStr">
        <is>
          <t>VA</t>
        </is>
      </c>
      <c r="B316" s="137" t="n">
        <v>2</v>
      </c>
      <c r="C316" s="137" t="inlineStr">
        <is>
          <t>ESSEX COUNTY</t>
        </is>
      </c>
    </row>
    <row r="317">
      <c r="A317" s="136" t="inlineStr">
        <is>
          <t>VA</t>
        </is>
      </c>
      <c r="B317" s="137" t="n">
        <v>2</v>
      </c>
      <c r="C317" s="137" t="inlineStr">
        <is>
          <t>FAIRFAX COUNTY</t>
        </is>
      </c>
    </row>
    <row r="318">
      <c r="A318" s="136" t="inlineStr">
        <is>
          <t>VA</t>
        </is>
      </c>
      <c r="B318" s="137" t="n">
        <v>2</v>
      </c>
      <c r="C318" s="137" t="inlineStr">
        <is>
          <t>KING AND QUEEN COUNTY</t>
        </is>
      </c>
    </row>
    <row r="319">
      <c r="A319" s="136" t="inlineStr">
        <is>
          <t>VA</t>
        </is>
      </c>
      <c r="B319" s="137" t="n">
        <v>2</v>
      </c>
      <c r="C319" s="137" t="inlineStr">
        <is>
          <t>KING GEORGE COUNTY</t>
        </is>
      </c>
    </row>
    <row r="320">
      <c r="A320" s="136" t="inlineStr">
        <is>
          <t>VA</t>
        </is>
      </c>
      <c r="B320" s="137" t="n">
        <v>2</v>
      </c>
      <c r="C320" s="137" t="inlineStr">
        <is>
          <t>NEW KENT COUNTY</t>
        </is>
      </c>
    </row>
    <row r="321">
      <c r="A321" s="136" t="inlineStr">
        <is>
          <t>VA</t>
        </is>
      </c>
      <c r="B321" s="137" t="n">
        <v>2</v>
      </c>
      <c r="C321" s="137" t="inlineStr">
        <is>
          <t>PRINCE GEORGE COUNTY</t>
        </is>
      </c>
    </row>
    <row r="322">
      <c r="A322" s="136" t="inlineStr">
        <is>
          <t>VA</t>
        </is>
      </c>
      <c r="B322" s="137" t="n">
        <v>2</v>
      </c>
      <c r="C322" s="137" t="inlineStr">
        <is>
          <t>RICHMOND COUNTY</t>
        </is>
      </c>
    </row>
    <row r="323">
      <c r="A323" s="136" t="inlineStr">
        <is>
          <t>VA</t>
        </is>
      </c>
      <c r="B323" s="137" t="n">
        <v>2</v>
      </c>
      <c r="C323" s="137" t="inlineStr">
        <is>
          <t>SOUTHAMPTON COUNTY</t>
        </is>
      </c>
    </row>
    <row r="324">
      <c r="A324" s="136" t="inlineStr">
        <is>
          <t>VA</t>
        </is>
      </c>
      <c r="B324" s="137" t="n">
        <v>2</v>
      </c>
      <c r="C324" s="137" t="inlineStr">
        <is>
          <t>SUSSEX COUNTY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topLeftCell="H1" workbookViewId="0">
      <selection activeCell="AC2" sqref="AC2"/>
    </sheetView>
  </sheetViews>
  <sheetFormatPr baseColWidth="8" defaultColWidth="8.85546875" defaultRowHeight="15"/>
  <cols>
    <col width="10.42578125" bestFit="1" customWidth="1" style="134" min="1" max="4"/>
    <col width="10.28515625" bestFit="1" customWidth="1" style="134" min="5" max="6"/>
    <col width="10.7109375" bestFit="1" customWidth="1" style="134" min="7" max="7"/>
    <col width="10.42578125" bestFit="1" customWidth="1" style="134" min="8" max="8"/>
    <col width="9.85546875" bestFit="1" customWidth="1" style="134" min="9" max="9"/>
    <col width="10" bestFit="1" customWidth="1" style="134" min="10" max="10"/>
    <col width="10.42578125" bestFit="1" customWidth="1" style="134" min="11" max="11"/>
    <col width="10.140625" bestFit="1" customWidth="1" style="134" min="12" max="12"/>
    <col width="11.140625" bestFit="1" customWidth="1" style="134" min="13" max="13"/>
    <col width="34.28515625" bestFit="1" customWidth="1" style="134" min="14" max="14"/>
    <col width="29.28515625" bestFit="1" customWidth="1" style="134" min="15" max="15"/>
    <col width="29.42578125" bestFit="1" customWidth="1" style="134" min="16" max="16"/>
    <col width="15.42578125" bestFit="1" customWidth="1" style="134" min="17" max="17"/>
    <col width="18" bestFit="1" customWidth="1" min="20" max="20"/>
    <col width="10.42578125" bestFit="1" customWidth="1" min="21" max="21"/>
    <col width="11.28515625" bestFit="1" customWidth="1" min="22" max="22"/>
    <col width="12.7109375" bestFit="1" customWidth="1" min="23" max="23"/>
    <col width="11.7109375" bestFit="1" customWidth="1" min="24" max="24"/>
    <col width="18" bestFit="1" customWidth="1" min="25" max="25"/>
    <col width="18.7109375" bestFit="1" customWidth="1" min="26" max="26"/>
    <col width="19.28515625" bestFit="1" customWidth="1" min="27" max="27"/>
    <col width="19.140625" bestFit="1" customWidth="1" min="28" max="28"/>
    <col width="12.42578125" bestFit="1" customWidth="1" min="29" max="29"/>
    <col width="10.28515625" bestFit="1" customWidth="1" min="30" max="30"/>
    <col width="17.7109375" bestFit="1" customWidth="1" min="31" max="31"/>
  </cols>
  <sheetData>
    <row r="1" customFormat="1" s="3">
      <c r="A1" s="133" t="inlineStr">
        <is>
          <t>CoverageA</t>
        </is>
      </c>
      <c r="B1" s="133" t="inlineStr">
        <is>
          <t>CoverageB</t>
        </is>
      </c>
      <c r="C1" s="133" t="inlineStr">
        <is>
          <t>CoverageC</t>
        </is>
      </c>
      <c r="D1" s="133" t="inlineStr">
        <is>
          <t>CoverageD</t>
        </is>
      </c>
      <c r="E1" s="133" t="inlineStr">
        <is>
          <t>CoverageE</t>
        </is>
      </c>
      <c r="F1" s="133" t="inlineStr">
        <is>
          <t>CoverageF</t>
        </is>
      </c>
      <c r="G1" s="133" t="inlineStr">
        <is>
          <t>CoverageG</t>
        </is>
      </c>
      <c r="H1" s="133" t="inlineStr">
        <is>
          <t>CoverageH</t>
        </is>
      </c>
      <c r="I1" s="133" t="inlineStr">
        <is>
          <t>CoverageI</t>
        </is>
      </c>
      <c r="J1" s="133" t="inlineStr">
        <is>
          <t>CoverageJ</t>
        </is>
      </c>
      <c r="K1" s="133" t="inlineStr">
        <is>
          <t>CoverageK</t>
        </is>
      </c>
      <c r="L1" s="133" t="inlineStr">
        <is>
          <t>CoverageL</t>
        </is>
      </c>
      <c r="M1" s="133" t="inlineStr">
        <is>
          <t>CoverageM</t>
        </is>
      </c>
      <c r="N1" s="133" t="inlineStr">
        <is>
          <t>FarmEquipmentBreakdownCoverage</t>
        </is>
      </c>
      <c r="O1" s="133" t="inlineStr">
        <is>
          <t>IdentityFraudExpenseCoverage</t>
        </is>
      </c>
      <c r="P1" s="133" t="inlineStr">
        <is>
          <t>FarmPollutionLiabilityCoverage</t>
        </is>
      </c>
      <c r="Q1" s="133" t="inlineStr">
        <is>
          <t>Annual_Amount</t>
        </is>
      </c>
      <c r="R1" s="3" t="inlineStr">
        <is>
          <t>Liability</t>
        </is>
      </c>
      <c r="S1" s="3" t="inlineStr">
        <is>
          <t>Property</t>
        </is>
      </c>
      <c r="T1" s="3" t="inlineStr">
        <is>
          <t>AdditionalSections</t>
        </is>
      </c>
      <c r="U1" s="3" t="inlineStr">
        <is>
          <t>RiskCodeN</t>
        </is>
      </c>
      <c r="V1" s="3" t="inlineStr">
        <is>
          <t>RiskCodeB3</t>
        </is>
      </c>
      <c r="W1" s="3" t="inlineStr">
        <is>
          <t>RiskCodeUA</t>
        </is>
      </c>
      <c r="X1" s="3" t="inlineStr">
        <is>
          <t>RiskCodeUR</t>
        </is>
      </c>
      <c r="Y1" s="3" t="inlineStr">
        <is>
          <t>RiskCodeNAmount</t>
        </is>
      </c>
      <c r="Z1" s="3" t="inlineStr">
        <is>
          <t>RiskCodeB3Amount</t>
        </is>
      </c>
      <c r="AA1" s="3" t="inlineStr">
        <is>
          <t>RiskCodeUAAmount</t>
        </is>
      </c>
      <c r="AB1" s="3" t="inlineStr">
        <is>
          <t>RiskCodeURAmount</t>
        </is>
      </c>
      <c r="AC1" s="3" t="inlineStr">
        <is>
          <t>TerrDeclDate</t>
        </is>
      </c>
      <c r="AD1" s="3" t="inlineStr">
        <is>
          <t>ExcessDed</t>
        </is>
      </c>
      <c r="AE1" s="3" t="inlineStr">
        <is>
          <t># of broiler houses</t>
        </is>
      </c>
    </row>
    <row r="2">
      <c r="A2" s="134">
        <f>'MTA Rater (Amended)'!L15</f>
        <v/>
      </c>
      <c r="B2" s="134">
        <f>'MTA Rater (Amended)'!L22</f>
        <v/>
      </c>
      <c r="C2" s="134">
        <f>'MTA Rater (Amended)'!L33</f>
        <v/>
      </c>
      <c r="D2" s="134">
        <f>'MTA Rater (Amended)'!L40</f>
        <v/>
      </c>
      <c r="E2" s="134">
        <f>'MTA Rater (Amended)'!L41</f>
        <v/>
      </c>
      <c r="F2" s="134">
        <f>'MTA Rater (Amended)'!L62</f>
        <v/>
      </c>
      <c r="G2" s="134">
        <f>'MTA Rater (Amended)'!L89</f>
        <v/>
      </c>
      <c r="H2" s="134">
        <f>'MTA Rater (Amended)'!L90</f>
        <v/>
      </c>
      <c r="I2" s="134">
        <f>'MTA Rater (Amended)'!L91</f>
        <v/>
      </c>
      <c r="J2" s="134">
        <f>'MTA Rater (Amended)'!L92</f>
        <v/>
      </c>
      <c r="K2" s="134">
        <f>'MTA Rater (Amended)'!L93</f>
        <v/>
      </c>
      <c r="L2" s="134">
        <f>'MTA Rater (Amended)'!L94</f>
        <v/>
      </c>
      <c r="M2" s="134">
        <f>'MTA Rater (Amended)'!L95</f>
        <v/>
      </c>
      <c r="N2" s="134">
        <f>'MTA Rater (Amended)'!L96</f>
        <v/>
      </c>
      <c r="O2" s="134">
        <f>'MTA Rater (Amended)'!L97</f>
        <v/>
      </c>
      <c r="P2" s="134">
        <f>'MTA Rater (Amended)'!L98</f>
        <v/>
      </c>
      <c r="Q2" s="134">
        <f>SUM(A2:P2)</f>
        <v/>
      </c>
      <c r="R2">
        <f>'MTA Rater (Amended)'!B134</f>
        <v/>
      </c>
      <c r="S2">
        <f>'MTA Rater (Amended)'!B135</f>
        <v/>
      </c>
      <c r="T2">
        <f>'MTA Rater (Amended)'!B136</f>
        <v/>
      </c>
      <c r="U2">
        <f>'MTA Rater (Amended)'!B141</f>
        <v/>
      </c>
      <c r="V2">
        <f>'MTA Rater (Amended)'!B142</f>
        <v/>
      </c>
      <c r="W2">
        <f>'MTA Rater (Amended)'!B143</f>
        <v/>
      </c>
      <c r="X2">
        <f>'MTA Rater (Amended)'!B144</f>
        <v/>
      </c>
      <c r="Y2" s="283">
        <f>'MTA Rater (Amended)'!E95</f>
        <v/>
      </c>
      <c r="Z2" s="283">
        <f>'Inception of Cover Rater'!F96</f>
        <v/>
      </c>
      <c r="AA2" s="283">
        <f>'MTA Rater (Amended)'!E90</f>
        <v/>
      </c>
      <c r="AB2" s="283">
        <f>'MTA Rater (Amended)'!E92</f>
        <v/>
      </c>
      <c r="AC2" s="158">
        <f>'MTA Rater (Amended)'!I138</f>
        <v/>
      </c>
      <c r="AD2">
        <f>'MTA Rater (Amended)'!M63</f>
        <v/>
      </c>
      <c r="AE2" t="n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0:G55"/>
  <sheetViews>
    <sheetView topLeftCell="A35" zoomScale="70" zoomScaleNormal="70" workbookViewId="0">
      <selection activeCell="A41" sqref="A41"/>
    </sheetView>
  </sheetViews>
  <sheetFormatPr baseColWidth="8" defaultColWidth="9.140625" defaultRowHeight="24"/>
  <cols>
    <col width="48.28515625" customWidth="1" style="162" min="1" max="1"/>
    <col width="119.85546875" customWidth="1" style="162" min="2" max="2"/>
    <col width="33.85546875" bestFit="1" customWidth="1" style="163" min="3" max="3"/>
    <col width="17.7109375" customWidth="1" style="163" min="4" max="4"/>
    <col width="22" customWidth="1" style="163" min="5" max="5"/>
    <col width="23.140625" customWidth="1" style="163" min="6" max="6"/>
    <col width="25.7109375" customWidth="1" style="163" min="7" max="7"/>
    <col width="9.140625" customWidth="1" style="162" min="8" max="16384"/>
  </cols>
  <sheetData>
    <row r="10" ht="30.95" customHeight="1">
      <c r="A10" s="238" t="inlineStr">
        <is>
          <t>FOR ALL YOUR INSURANCE &amp; BOND NEEDS</t>
        </is>
      </c>
    </row>
    <row r="11" ht="30.95" customHeight="1">
      <c r="A11" s="164" t="n"/>
      <c r="B11" s="164" t="n"/>
      <c r="C11" s="165" t="n"/>
      <c r="D11" s="165" t="n"/>
      <c r="E11" s="165" t="n"/>
      <c r="F11" s="165" t="n"/>
      <c r="G11" s="165" t="n"/>
    </row>
    <row r="12" ht="30.95" customHeight="1">
      <c r="A12" s="239" t="inlineStr">
        <is>
          <t>An Oakbridge Insurance partner</t>
        </is>
      </c>
    </row>
    <row r="13" ht="30.95" customHeight="1">
      <c r="A13" s="239" t="n"/>
      <c r="B13" s="239" t="n"/>
      <c r="C13" s="167" t="n"/>
      <c r="D13" s="167" t="n"/>
      <c r="E13" s="167" t="n"/>
      <c r="F13" s="167" t="n"/>
      <c r="G13" s="167" t="n"/>
    </row>
    <row r="14" ht="30.95" customHeight="1">
      <c r="A14" s="239">
        <f>'Inception of Cover Rater'!$B$1</f>
        <v/>
      </c>
    </row>
    <row r="15">
      <c r="A15" s="237" t="n"/>
    </row>
    <row r="16" ht="29.1" customHeight="1">
      <c r="A16" s="168" t="n"/>
      <c r="B16" s="168" t="n"/>
      <c r="C16" s="169" t="n"/>
      <c r="D16" s="169" t="n"/>
      <c r="E16" s="169" t="n"/>
      <c r="F16" s="169" t="n"/>
      <c r="G16" s="169" t="n"/>
    </row>
    <row r="17" ht="29.1" customHeight="1">
      <c r="A17" s="170" t="inlineStr">
        <is>
          <t>Location 1:</t>
        </is>
      </c>
      <c r="B17" s="171">
        <f>'Inception of Cover Rater'!$B$2</f>
        <v/>
      </c>
      <c r="C17" s="171" t="n"/>
      <c r="D17" s="171" t="n"/>
      <c r="E17" s="171" t="n"/>
      <c r="F17" s="171" t="n"/>
      <c r="G17" s="171" t="n"/>
    </row>
    <row r="18" ht="30" customHeight="1">
      <c r="A18" s="170" t="inlineStr">
        <is>
          <t>Acreage:</t>
        </is>
      </c>
      <c r="B18" s="171">
        <f>'Inception of Cover Rater'!$C$108</f>
        <v/>
      </c>
      <c r="C18" s="171" t="n"/>
      <c r="D18" s="171" t="n"/>
      <c r="E18" s="171" t="n"/>
      <c r="F18" s="171" t="n"/>
      <c r="G18" s="171" t="n"/>
    </row>
    <row r="19" ht="29.1" customHeight="1">
      <c r="A19" s="170" t="n"/>
      <c r="B19" s="172" t="n"/>
      <c r="C19" s="171" t="n"/>
      <c r="D19" s="171" t="n"/>
      <c r="E19" s="171" t="n"/>
      <c r="F19" s="171" t="n"/>
      <c r="G19" s="171" t="n"/>
    </row>
    <row r="20" ht="60" customHeight="1">
      <c r="A20" s="173" t="inlineStr">
        <is>
          <t xml:space="preserve">Coverage </t>
        </is>
      </c>
      <c r="B20" s="174" t="inlineStr">
        <is>
          <t>Description</t>
        </is>
      </c>
      <c r="C20" s="284" t="inlineStr">
        <is>
          <t>Coverage Basis</t>
        </is>
      </c>
      <c r="D20" s="284" t="inlineStr">
        <is>
          <t>Cause of Loss</t>
        </is>
      </c>
      <c r="E20" s="176" t="inlineStr">
        <is>
          <t>Deductible</t>
        </is>
      </c>
      <c r="F20" s="176" t="inlineStr">
        <is>
          <t>W/H Deductible</t>
        </is>
      </c>
      <c r="G20" s="176" t="inlineStr">
        <is>
          <t>Proposed Sum Insured</t>
        </is>
      </c>
    </row>
    <row r="21" ht="90" customHeight="1">
      <c r="A21" s="177" t="inlineStr">
        <is>
          <t>Farm Outbuilding and Structures                       (Coverage G)</t>
        </is>
      </c>
      <c r="B21" s="171">
        <f>'Inception of Cover Rater'!C63</f>
        <v/>
      </c>
      <c r="C21" s="171">
        <f>'Inception of Cover Rater'!J63</f>
        <v/>
      </c>
      <c r="D21" s="171">
        <f>'Inception of Cover Rater'!K63</f>
        <v/>
      </c>
      <c r="E21" s="285">
        <f>'Inception of Cover Rater'!N63</f>
        <v/>
      </c>
      <c r="F21" s="179">
        <f>'Inception of Cover Rater'!O63</f>
        <v/>
      </c>
      <c r="G21" s="285">
        <f>'Inception of Cover Rater'!F63</f>
        <v/>
      </c>
    </row>
    <row r="22" ht="30" customHeight="1">
      <c r="A22" s="177" t="n"/>
      <c r="B22" s="171">
        <f>'Inception of Cover Rater'!C64</f>
        <v/>
      </c>
      <c r="C22" s="171">
        <f>'Inception of Cover Rater'!J64</f>
        <v/>
      </c>
      <c r="D22" s="171">
        <f>'Inception of Cover Rater'!K64</f>
        <v/>
      </c>
      <c r="E22" s="285">
        <f>'Inception of Cover Rater'!N64</f>
        <v/>
      </c>
      <c r="F22" s="179">
        <f>'Inception of Cover Rater'!O64</f>
        <v/>
      </c>
      <c r="G22" s="285">
        <f>'Inception of Cover Rater'!F64</f>
        <v/>
      </c>
    </row>
    <row r="23" ht="30" customHeight="1">
      <c r="A23" s="177" t="n"/>
      <c r="B23" s="171">
        <f>'Inception of Cover Rater'!C65</f>
        <v/>
      </c>
      <c r="C23" s="171">
        <f>'Inception of Cover Rater'!J65</f>
        <v/>
      </c>
      <c r="D23" s="171">
        <f>'Inception of Cover Rater'!K65</f>
        <v/>
      </c>
      <c r="E23" s="285">
        <f>'Inception of Cover Rater'!N65</f>
        <v/>
      </c>
      <c r="F23" s="179">
        <f>'Inception of Cover Rater'!O65</f>
        <v/>
      </c>
      <c r="G23" s="285">
        <f>'Inception of Cover Rater'!F65</f>
        <v/>
      </c>
    </row>
    <row r="24" ht="29.1" customHeight="1">
      <c r="A24" s="177" t="n"/>
      <c r="B24" s="171" t="n"/>
      <c r="C24" s="171" t="n"/>
      <c r="D24" s="171" t="n"/>
      <c r="E24" s="285" t="n"/>
      <c r="F24" s="179" t="n"/>
      <c r="G24" s="285" t="n"/>
    </row>
    <row r="25" ht="90" customHeight="1">
      <c r="A25" s="177" t="inlineStr">
        <is>
          <t>Schedule Farm Personal Property                    (Coverage F)</t>
        </is>
      </c>
      <c r="B25" s="171">
        <f>'Inception of Cover Rater'!F42</f>
        <v/>
      </c>
      <c r="C25" s="171">
        <f>'Inception of Cover Rater'!J42</f>
        <v/>
      </c>
      <c r="D25" s="171">
        <f>'Inception of Cover Rater'!K42</f>
        <v/>
      </c>
      <c r="E25" s="285">
        <f>'Inception of Cover Rater'!N42</f>
        <v/>
      </c>
      <c r="F25" s="285" t="inlineStr">
        <is>
          <t>Nil</t>
        </is>
      </c>
      <c r="G25" s="285">
        <f>'Inception of Cover Rater'!F42</f>
        <v/>
      </c>
    </row>
    <row r="26" ht="30" customHeight="1">
      <c r="A26" s="168" t="n"/>
      <c r="B26" s="171">
        <f>'Inception of Cover Rater'!F43</f>
        <v/>
      </c>
      <c r="C26" s="171">
        <f>'Inception of Cover Rater'!J43</f>
        <v/>
      </c>
      <c r="D26" s="171">
        <f>'Inception of Cover Rater'!K43</f>
        <v/>
      </c>
      <c r="E26" s="285">
        <f>'Inception of Cover Rater'!N43</f>
        <v/>
      </c>
      <c r="F26" s="285" t="inlineStr">
        <is>
          <t>Nil</t>
        </is>
      </c>
      <c r="G26" s="285">
        <f>'Inception of Cover Rater'!F43</f>
        <v/>
      </c>
    </row>
    <row r="27" ht="30" customHeight="1">
      <c r="A27" s="168" t="n"/>
      <c r="B27" s="171">
        <f>'Inception of Cover Rater'!F44</f>
        <v/>
      </c>
      <c r="C27" s="171">
        <f>'Inception of Cover Rater'!J44</f>
        <v/>
      </c>
      <c r="D27" s="171">
        <f>'Inception of Cover Rater'!K44</f>
        <v/>
      </c>
      <c r="E27" s="285">
        <f>'Inception of Cover Rater'!N44</f>
        <v/>
      </c>
      <c r="F27" s="285" t="inlineStr">
        <is>
          <t>Nil</t>
        </is>
      </c>
      <c r="G27" s="285">
        <f>'Inception of Cover Rater'!F44</f>
        <v/>
      </c>
    </row>
    <row r="28" ht="29.1" customHeight="1">
      <c r="A28" s="177" t="n"/>
      <c r="B28" s="171" t="n"/>
      <c r="C28" s="171" t="n"/>
      <c r="D28" s="171" t="n"/>
      <c r="E28" s="285" t="n"/>
      <c r="F28" s="179" t="n"/>
      <c r="G28" s="285" t="n"/>
    </row>
    <row r="29" ht="60" customHeight="1">
      <c r="A29" s="177" t="inlineStr">
        <is>
          <t>Farm Equipment Breakdown Coverage</t>
        </is>
      </c>
      <c r="B29" s="171" t="n"/>
      <c r="C29" s="171" t="n"/>
      <c r="D29" s="171" t="n"/>
      <c r="E29" s="285" t="inlineStr">
        <is>
          <t>Nil</t>
        </is>
      </c>
      <c r="F29" s="285" t="inlineStr">
        <is>
          <t>Nil</t>
        </is>
      </c>
      <c r="G29" s="285">
        <f>'Inception of Cover Rater'!F96</f>
        <v/>
      </c>
    </row>
    <row r="30" ht="29.1" customHeight="1">
      <c r="A30" s="177" t="n"/>
      <c r="B30" s="171" t="n"/>
      <c r="C30" s="171" t="n"/>
      <c r="D30" s="171" t="n"/>
      <c r="E30" s="285" t="n"/>
      <c r="F30" s="179" t="n"/>
      <c r="G30" s="285" t="n"/>
    </row>
    <row r="31" ht="90" customHeight="1">
      <c r="A31" s="177" t="inlineStr">
        <is>
          <t>Loss of Farm Income - Business Interruption (Coverage M)</t>
        </is>
      </c>
      <c r="B31" s="171" t="n"/>
      <c r="C31" s="171" t="n"/>
      <c r="D31" s="171" t="n"/>
      <c r="E31" s="285" t="inlineStr">
        <is>
          <t>Nil</t>
        </is>
      </c>
      <c r="F31" s="285" t="inlineStr">
        <is>
          <t>Nil</t>
        </is>
      </c>
      <c r="G31" s="285">
        <f>'Inception of Cover Rater'!F95</f>
        <v/>
      </c>
    </row>
    <row r="32" ht="29.1" customHeight="1">
      <c r="A32" s="177" t="n"/>
      <c r="B32" s="171" t="n"/>
      <c r="C32" s="171" t="n"/>
      <c r="D32" s="171" t="n"/>
      <c r="E32" s="285" t="n"/>
      <c r="F32" s="179" t="n"/>
      <c r="G32" s="285" t="n"/>
    </row>
    <row r="33" ht="30" customHeight="1">
      <c r="A33" s="177" t="inlineStr">
        <is>
          <t>Farm Personal Liability</t>
        </is>
      </c>
      <c r="B33" s="171" t="inlineStr">
        <is>
          <t>$2,000,000 IN THE ANNUAL AGGREGATE</t>
        </is>
      </c>
      <c r="C33" s="171" t="n"/>
      <c r="D33" s="171" t="n"/>
      <c r="E33" s="285" t="inlineStr">
        <is>
          <t>Nil</t>
        </is>
      </c>
      <c r="F33" s="285" t="inlineStr">
        <is>
          <t>Nil</t>
        </is>
      </c>
      <c r="G33" s="285">
        <f>'Inception of Cover Rater'!F90</f>
        <v/>
      </c>
    </row>
    <row r="34" ht="29.1" customHeight="1">
      <c r="A34" s="177" t="n"/>
      <c r="B34" s="171" t="n"/>
      <c r="C34" s="171" t="n"/>
      <c r="D34" s="171" t="n"/>
      <c r="E34" s="285" t="n"/>
      <c r="F34" s="179" t="n"/>
      <c r="G34" s="285" t="n"/>
    </row>
    <row r="35" ht="30" customHeight="1">
      <c r="A35" s="177" t="inlineStr">
        <is>
          <t>Medical Payments to Others</t>
        </is>
      </c>
      <c r="B35" s="171" t="n"/>
      <c r="C35" s="171" t="n"/>
      <c r="D35" s="171" t="n"/>
      <c r="E35" s="285" t="inlineStr">
        <is>
          <t>Nil</t>
        </is>
      </c>
      <c r="F35" s="285" t="inlineStr">
        <is>
          <t>Nil</t>
        </is>
      </c>
      <c r="G35" s="285">
        <f>'Inception of Cover Rater'!F91</f>
        <v/>
      </c>
    </row>
    <row r="36" ht="29.1" customHeight="1">
      <c r="A36" s="177" t="n"/>
      <c r="B36" s="171" t="n"/>
      <c r="C36" s="171" t="n"/>
      <c r="D36" s="171" t="n"/>
      <c r="E36" s="285" t="n"/>
      <c r="F36" s="179" t="n"/>
      <c r="G36" s="285" t="n"/>
    </row>
    <row r="37" ht="30" customHeight="1">
      <c r="A37" s="177" t="inlineStr">
        <is>
          <t>Farm Employers Liability</t>
        </is>
      </c>
      <c r="B37" s="171" t="inlineStr">
        <is>
          <t>$1,000,000 IN THE ANNUAL AGGREGATE</t>
        </is>
      </c>
      <c r="C37" s="171" t="n"/>
      <c r="D37" s="171" t="n"/>
      <c r="E37" s="285" t="inlineStr">
        <is>
          <t>Nil</t>
        </is>
      </c>
      <c r="F37" s="285" t="inlineStr">
        <is>
          <t>Nil</t>
        </is>
      </c>
      <c r="G37" s="285">
        <f>'Inception of Cover Rater'!F92</f>
        <v/>
      </c>
    </row>
    <row r="38" ht="29.1" customHeight="1">
      <c r="A38" s="177" t="n"/>
      <c r="B38" s="171" t="n"/>
      <c r="C38" s="171" t="n"/>
      <c r="D38" s="171" t="n"/>
      <c r="E38" s="285" t="n"/>
      <c r="F38" s="179" t="n"/>
      <c r="G38" s="285" t="n"/>
    </row>
    <row r="39" ht="60" customHeight="1">
      <c r="A39" s="177" t="inlineStr">
        <is>
          <t>Farm Employees Medical Payment</t>
        </is>
      </c>
      <c r="B39" s="171" t="n"/>
      <c r="C39" s="171" t="n"/>
      <c r="D39" s="171" t="n"/>
      <c r="E39" s="285" t="inlineStr">
        <is>
          <t>Nil</t>
        </is>
      </c>
      <c r="F39" s="285" t="inlineStr">
        <is>
          <t>Nil</t>
        </is>
      </c>
      <c r="G39" s="285">
        <f>'Inception of Cover Rater'!F93</f>
        <v/>
      </c>
    </row>
    <row r="40" ht="29.1" customHeight="1">
      <c r="A40" s="177" t="n"/>
      <c r="B40" s="171" t="n"/>
      <c r="C40" s="171" t="n"/>
      <c r="D40" s="171" t="n"/>
      <c r="E40" s="285" t="n"/>
      <c r="F40" s="179" t="n"/>
      <c r="G40" s="285" t="n"/>
    </row>
    <row r="41" ht="60" customHeight="1">
      <c r="A41" s="177" t="inlineStr">
        <is>
          <t>Blanket Farm Personal Property (Coverage E)</t>
        </is>
      </c>
      <c r="B41" s="171">
        <f>'Inception of Cover Rater'!$C$41</f>
        <v/>
      </c>
      <c r="C41" s="171" t="n"/>
      <c r="D41" s="171" t="n"/>
      <c r="E41" s="285">
        <f>'Inception of Cover Rater'!$N$41</f>
        <v/>
      </c>
      <c r="F41" s="285" t="inlineStr">
        <is>
          <t>Nil</t>
        </is>
      </c>
      <c r="G41" s="285">
        <f>'Inception of Cover Rater'!$F$41</f>
        <v/>
      </c>
    </row>
    <row r="42" ht="29.1" customHeight="1">
      <c r="A42" s="177" t="n"/>
      <c r="B42" s="180" t="n"/>
      <c r="C42" s="181" t="n"/>
      <c r="D42" s="181" t="n"/>
      <c r="E42" s="171" t="n"/>
      <c r="F42" s="171" t="n"/>
      <c r="G42" s="286" t="n"/>
    </row>
    <row r="43" ht="30" customHeight="1">
      <c r="A43" s="174" t="inlineStr">
        <is>
          <t>Annual Premium</t>
        </is>
      </c>
      <c r="B43" s="287">
        <f>'Inception of Cover Rater'!$M$109</f>
        <v/>
      </c>
      <c r="C43" s="288" t="n"/>
      <c r="D43" s="288" t="n"/>
      <c r="E43" s="171" t="n"/>
      <c r="F43" s="171" t="n"/>
      <c r="G43" s="286" t="n"/>
    </row>
    <row r="44" ht="29.1" customHeight="1">
      <c r="A44" s="177" t="n"/>
      <c r="B44" s="185" t="n"/>
      <c r="C44" s="171" t="n"/>
      <c r="D44" s="171" t="n"/>
      <c r="E44" s="171" t="n"/>
      <c r="F44" s="171" t="n"/>
      <c r="G44" s="286" t="n"/>
    </row>
    <row r="45" ht="30" customHeight="1">
      <c r="A45" s="186" t="inlineStr">
        <is>
          <t>**** QUOTE INCLUDES:</t>
        </is>
      </c>
      <c r="B45" s="177" t="inlineStr">
        <is>
          <t>BROAD PERILS WHICH COVER COLLAPSE FROM ICE/SHOW</t>
        </is>
      </c>
      <c r="C45" s="187" t="n"/>
      <c r="D45" s="187" t="n"/>
      <c r="E45" s="171" t="n"/>
      <c r="F45" s="171" t="n"/>
      <c r="G45" s="286" t="n"/>
    </row>
    <row r="46" ht="30" customHeight="1">
      <c r="A46" s="168" t="n"/>
      <c r="B46" s="177" t="inlineStr">
        <is>
          <t>COSMETIC DAMAGE EXCLUSION TO ROOFS FROM WIND/HAIL</t>
        </is>
      </c>
      <c r="C46" s="187" t="n"/>
      <c r="D46" s="187" t="n"/>
      <c r="E46" s="169" t="n"/>
      <c r="F46" s="169" t="n"/>
      <c r="G46" s="169" t="n"/>
    </row>
    <row r="47">
      <c r="B47" s="188" t="n"/>
    </row>
    <row r="48">
      <c r="B48" s="188" t="n"/>
    </row>
    <row r="49">
      <c r="B49" s="188" t="n"/>
    </row>
    <row r="50">
      <c r="B50" s="188" t="n"/>
    </row>
    <row r="51">
      <c r="B51" s="188" t="n"/>
    </row>
    <row r="52">
      <c r="B52" s="188" t="n"/>
    </row>
    <row r="53">
      <c r="B53" s="188" t="n"/>
    </row>
    <row r="54">
      <c r="B54" s="188" t="n"/>
    </row>
    <row r="55">
      <c r="B55" s="188" t="n"/>
    </row>
  </sheetData>
  <mergeCells count="4">
    <mergeCell ref="A14:G14"/>
    <mergeCell ref="A10:G10"/>
    <mergeCell ref="A12:G12"/>
    <mergeCell ref="A15:G15"/>
  </mergeCells>
  <pageMargins left="0.2952755905511811" right="0" top="0.3937007874015748" bottom="0" header="0" footer="0"/>
  <pageSetup orientation="portrait" paperSize="9" scale="3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cell</t>
        </is>
      </c>
      <c r="C1" t="inlineStr">
        <is>
          <t>type</t>
        </is>
      </c>
      <c r="D1" t="inlineStr">
        <is>
          <t>label</t>
        </is>
      </c>
      <c r="E1" t="inlineStr">
        <is>
          <t>direction</t>
        </is>
      </c>
      <c r="F1" t="inlineStr">
        <is>
          <t>group</t>
        </is>
      </c>
      <c r="G1" t="inlineStr">
        <is>
          <t>options</t>
        </is>
      </c>
      <c r="H1" t="inlineStr">
        <is>
          <t>default</t>
        </is>
      </c>
    </row>
    <row r="2">
      <c r="A2" t="inlineStr">
        <is>
          <t>insured_b1</t>
        </is>
      </c>
      <c r="B2" t="inlineStr">
        <is>
          <t>B1</t>
        </is>
      </c>
      <c r="C2" t="inlineStr">
        <is>
          <t>text</t>
        </is>
      </c>
      <c r="D2" t="inlineStr">
        <is>
          <t>INSURED</t>
        </is>
      </c>
      <c r="E2" t="inlineStr">
        <is>
          <t>input</t>
        </is>
      </c>
      <c r="F2" t="inlineStr">
        <is>
          <t>Policy Info</t>
        </is>
      </c>
    </row>
    <row r="3">
      <c r="A3" t="inlineStr">
        <is>
          <t>insured_address_b2</t>
        </is>
      </c>
      <c r="B3" t="inlineStr">
        <is>
          <t>B2</t>
        </is>
      </c>
      <c r="C3" t="inlineStr">
        <is>
          <t>text</t>
        </is>
      </c>
      <c r="D3" t="inlineStr">
        <is>
          <t>INSURED ADDRESS</t>
        </is>
      </c>
      <c r="E3" t="inlineStr">
        <is>
          <t>input</t>
        </is>
      </c>
      <c r="F3" t="inlineStr">
        <is>
          <t>Policy Info</t>
        </is>
      </c>
    </row>
    <row r="4">
      <c r="A4" t="inlineStr">
        <is>
          <t>state_location_of_farm_b3</t>
        </is>
      </c>
      <c r="B4" t="inlineStr">
        <is>
          <t>B3</t>
        </is>
      </c>
      <c r="C4" t="inlineStr">
        <is>
          <t>text</t>
        </is>
      </c>
      <c r="D4" t="inlineStr">
        <is>
          <t>STATE - LOCATION OF FARM</t>
        </is>
      </c>
      <c r="E4" t="inlineStr">
        <is>
          <t>input</t>
        </is>
      </c>
      <c r="F4" t="inlineStr">
        <is>
          <t>Policy Info</t>
        </is>
      </c>
      <c r="H4" t="inlineStr">
        <is>
          <t>AR</t>
        </is>
      </c>
    </row>
    <row r="5">
      <c r="A5" t="inlineStr">
        <is>
          <t>county_location_of_farm_b4</t>
        </is>
      </c>
      <c r="B5" t="inlineStr">
        <is>
          <t>B4</t>
        </is>
      </c>
      <c r="C5" t="inlineStr">
        <is>
          <t>text</t>
        </is>
      </c>
      <c r="D5" t="inlineStr">
        <is>
          <t>COUNTY - LOCATION OF FARM</t>
        </is>
      </c>
      <c r="E5" t="inlineStr">
        <is>
          <t>input</t>
        </is>
      </c>
      <c r="F5" t="inlineStr">
        <is>
          <t>Policy Info</t>
        </is>
      </c>
    </row>
    <row r="6">
      <c r="A6" t="inlineStr">
        <is>
          <t>proposed_effective_date_b5</t>
        </is>
      </c>
      <c r="B6" t="inlineStr">
        <is>
          <t>B5</t>
        </is>
      </c>
      <c r="C6" t="inlineStr">
        <is>
          <t>text</t>
        </is>
      </c>
      <c r="D6" t="inlineStr">
        <is>
          <t>PROPOSED EFFECTIVE DATE</t>
        </is>
      </c>
      <c r="E6" t="inlineStr">
        <is>
          <t>input</t>
        </is>
      </c>
      <c r="F6" t="inlineStr">
        <is>
          <t>Policy Info</t>
        </is>
      </c>
    </row>
    <row r="7">
      <c r="A7" t="inlineStr">
        <is>
          <t>proposed_expiry_date_b6</t>
        </is>
      </c>
      <c r="B7" t="inlineStr">
        <is>
          <t>B6</t>
        </is>
      </c>
      <c r="C7" t="inlineStr">
        <is>
          <t>text</t>
        </is>
      </c>
      <c r="D7" t="inlineStr">
        <is>
          <t>PROPOSED EXPIRY DATE</t>
        </is>
      </c>
      <c r="E7" t="inlineStr">
        <is>
          <t>input</t>
        </is>
      </c>
      <c r="F7" t="inlineStr">
        <is>
          <t>Policy Info</t>
        </is>
      </c>
    </row>
    <row r="8">
      <c r="A8" t="inlineStr">
        <is>
          <t>f_1_location_d9</t>
        </is>
      </c>
      <c r="B8" t="inlineStr">
        <is>
          <t>D9</t>
        </is>
      </c>
      <c r="C8" t="inlineStr">
        <is>
          <t>dropdown</t>
        </is>
      </c>
      <c r="D8" t="inlineStr">
        <is>
          <t>#1 (Location #)</t>
        </is>
      </c>
      <c r="E8" t="inlineStr">
        <is>
          <t>input</t>
        </is>
      </c>
      <c r="F8" t="inlineStr">
        <is>
          <t>Coverage A-D</t>
        </is>
      </c>
      <c r="G8" t="inlineStr">
        <is>
          <t>Loc #1;Loc #2;Loc #3;Loc #4;Loc #5;Loc #6</t>
        </is>
      </c>
    </row>
    <row r="9">
      <c r="A9" t="inlineStr">
        <is>
          <t>f_2_location_d10</t>
        </is>
      </c>
      <c r="B9" t="inlineStr">
        <is>
          <t>D10</t>
        </is>
      </c>
      <c r="C9" t="inlineStr">
        <is>
          <t>dropdown</t>
        </is>
      </c>
      <c r="D9" t="inlineStr">
        <is>
          <t>#2 (Location #)</t>
        </is>
      </c>
      <c r="E9" t="inlineStr">
        <is>
          <t>input</t>
        </is>
      </c>
      <c r="F9" t="inlineStr">
        <is>
          <t>Coverage A-D</t>
        </is>
      </c>
      <c r="G9" t="inlineStr">
        <is>
          <t>Loc #1;Loc #2;Loc #3;Loc #4;Loc #5;Loc #6</t>
        </is>
      </c>
    </row>
    <row r="10">
      <c r="A10" t="inlineStr">
        <is>
          <t>f_3_location_d11</t>
        </is>
      </c>
      <c r="B10" t="inlineStr">
        <is>
          <t>D11</t>
        </is>
      </c>
      <c r="C10" t="inlineStr">
        <is>
          <t>dropdown</t>
        </is>
      </c>
      <c r="D10" t="inlineStr">
        <is>
          <t>#3 (Location #)</t>
        </is>
      </c>
      <c r="E10" t="inlineStr">
        <is>
          <t>input</t>
        </is>
      </c>
      <c r="F10" t="inlineStr">
        <is>
          <t>Coverage A-D</t>
        </is>
      </c>
      <c r="G10" t="inlineStr">
        <is>
          <t>Loc #1;Loc #2;Loc #3;Loc #4;Loc #5;Loc #6</t>
        </is>
      </c>
    </row>
    <row r="11">
      <c r="A11" t="inlineStr">
        <is>
          <t>f_4_location_d12</t>
        </is>
      </c>
      <c r="B11" t="inlineStr">
        <is>
          <t>D12</t>
        </is>
      </c>
      <c r="C11" t="inlineStr">
        <is>
          <t>dropdown</t>
        </is>
      </c>
      <c r="D11" t="inlineStr">
        <is>
          <t>#4 (Location #)</t>
        </is>
      </c>
      <c r="E11" t="inlineStr">
        <is>
          <t>input</t>
        </is>
      </c>
      <c r="F11" t="inlineStr">
        <is>
          <t>Coverage A-D</t>
        </is>
      </c>
      <c r="G11" t="inlineStr">
        <is>
          <t>Loc #1;Loc #2;Loc #3;Loc #4;Loc #5;Loc #6</t>
        </is>
      </c>
    </row>
    <row r="12">
      <c r="A12" t="inlineStr">
        <is>
          <t>f_5_location_d13</t>
        </is>
      </c>
      <c r="B12" t="inlineStr">
        <is>
          <t>D13</t>
        </is>
      </c>
      <c r="C12" t="inlineStr">
        <is>
          <t>dropdown</t>
        </is>
      </c>
      <c r="D12" t="inlineStr">
        <is>
          <t>#5 (Location #)</t>
        </is>
      </c>
      <c r="E12" t="inlineStr">
        <is>
          <t>input</t>
        </is>
      </c>
      <c r="F12" t="inlineStr">
        <is>
          <t>Coverage A-D</t>
        </is>
      </c>
      <c r="G12" t="inlineStr">
        <is>
          <t>Loc #1;Loc #2;Loc #3;Loc #4;Loc #5;Loc #6</t>
        </is>
      </c>
    </row>
    <row r="13">
      <c r="A13" t="inlineStr">
        <is>
          <t>f_6_location_d14</t>
        </is>
      </c>
      <c r="B13" t="inlineStr">
        <is>
          <t>D14</t>
        </is>
      </c>
      <c r="C13" t="inlineStr">
        <is>
          <t>dropdown</t>
        </is>
      </c>
      <c r="D13" t="inlineStr">
        <is>
          <t>#6 (Location #)</t>
        </is>
      </c>
      <c r="E13" t="inlineStr">
        <is>
          <t>input</t>
        </is>
      </c>
      <c r="F13" t="inlineStr">
        <is>
          <t>Coverage A-D</t>
        </is>
      </c>
      <c r="G13" t="inlineStr">
        <is>
          <t>Loc #1;Loc #2;Loc #3;Loc #4;Loc #5;Loc #6</t>
        </is>
      </c>
    </row>
    <row r="14">
      <c r="A14" t="inlineStr">
        <is>
          <t>f_1_location_d16</t>
        </is>
      </c>
      <c r="B14" t="inlineStr">
        <is>
          <t>D16</t>
        </is>
      </c>
      <c r="C14" t="inlineStr">
        <is>
          <t>dropdown</t>
        </is>
      </c>
      <c r="D14" t="inlineStr">
        <is>
          <t>#1 (Location #)</t>
        </is>
      </c>
      <c r="E14" t="inlineStr">
        <is>
          <t>input</t>
        </is>
      </c>
      <c r="F14" t="inlineStr">
        <is>
          <t>Coverage A-D</t>
        </is>
      </c>
      <c r="G14" t="inlineStr">
        <is>
          <t>Loc #1;Loc #2;Loc #3;Loc #4;Loc #5;Loc #6</t>
        </is>
      </c>
    </row>
    <row r="15">
      <c r="A15" t="inlineStr">
        <is>
          <t>f_2_location_d17</t>
        </is>
      </c>
      <c r="B15" t="inlineStr">
        <is>
          <t>D17</t>
        </is>
      </c>
      <c r="C15" t="inlineStr">
        <is>
          <t>dropdown</t>
        </is>
      </c>
      <c r="D15" t="inlineStr">
        <is>
          <t>#2 (Location #)</t>
        </is>
      </c>
      <c r="E15" t="inlineStr">
        <is>
          <t>input</t>
        </is>
      </c>
      <c r="F15" t="inlineStr">
        <is>
          <t>Coverage A-D</t>
        </is>
      </c>
      <c r="G15" t="inlineStr">
        <is>
          <t>Loc #1;Loc #2;Loc #3;Loc #4;Loc #5;Loc #6</t>
        </is>
      </c>
    </row>
    <row r="16">
      <c r="A16" t="inlineStr">
        <is>
          <t>f_3_location_d18</t>
        </is>
      </c>
      <c r="B16" t="inlineStr">
        <is>
          <t>D18</t>
        </is>
      </c>
      <c r="C16" t="inlineStr">
        <is>
          <t>dropdown</t>
        </is>
      </c>
      <c r="D16" t="inlineStr">
        <is>
          <t>#3 (Location #)</t>
        </is>
      </c>
      <c r="E16" t="inlineStr">
        <is>
          <t>input</t>
        </is>
      </c>
      <c r="F16" t="inlineStr">
        <is>
          <t>Coverage A-D</t>
        </is>
      </c>
      <c r="G16" t="inlineStr">
        <is>
          <t>Loc #1;Loc #2;Loc #3;Loc #4;Loc #5;Loc #6</t>
        </is>
      </c>
    </row>
    <row r="17">
      <c r="A17" t="inlineStr">
        <is>
          <t>f_4_location_d19</t>
        </is>
      </c>
      <c r="B17" t="inlineStr">
        <is>
          <t>D19</t>
        </is>
      </c>
      <c r="C17" t="inlineStr">
        <is>
          <t>dropdown</t>
        </is>
      </c>
      <c r="D17" t="inlineStr">
        <is>
          <t>#4 (Location #)</t>
        </is>
      </c>
      <c r="E17" t="inlineStr">
        <is>
          <t>input</t>
        </is>
      </c>
      <c r="F17" t="inlineStr">
        <is>
          <t>Coverage A-D</t>
        </is>
      </c>
      <c r="G17" t="inlineStr">
        <is>
          <t>Loc #1;Loc #2;Loc #3;Loc #4;Loc #5;Loc #6</t>
        </is>
      </c>
    </row>
    <row r="18">
      <c r="A18" t="inlineStr">
        <is>
          <t>f_5_location_d20</t>
        </is>
      </c>
      <c r="B18" t="inlineStr">
        <is>
          <t>D20</t>
        </is>
      </c>
      <c r="C18" t="inlineStr">
        <is>
          <t>dropdown</t>
        </is>
      </c>
      <c r="D18" t="inlineStr">
        <is>
          <t>#5 (Location #)</t>
        </is>
      </c>
      <c r="E18" t="inlineStr">
        <is>
          <t>input</t>
        </is>
      </c>
      <c r="F18" t="inlineStr">
        <is>
          <t>Coverage A-D</t>
        </is>
      </c>
      <c r="G18" t="inlineStr">
        <is>
          <t>Loc #1;Loc #2;Loc #3;Loc #4;Loc #5;Loc #6</t>
        </is>
      </c>
    </row>
    <row r="19">
      <c r="A19" t="inlineStr">
        <is>
          <t>f_6_location_d21</t>
        </is>
      </c>
      <c r="B19" t="inlineStr">
        <is>
          <t>D21</t>
        </is>
      </c>
      <c r="C19" t="inlineStr">
        <is>
          <t>dropdown</t>
        </is>
      </c>
      <c r="D19" t="inlineStr">
        <is>
          <t>#6 (Location #)</t>
        </is>
      </c>
      <c r="E19" t="inlineStr">
        <is>
          <t>input</t>
        </is>
      </c>
      <c r="F19" t="inlineStr">
        <is>
          <t>Coverage A-D</t>
        </is>
      </c>
      <c r="G19" t="inlineStr">
        <is>
          <t>Loc #1;Loc #2;Loc #3;Loc #4;Loc #5;Loc #6</t>
        </is>
      </c>
    </row>
    <row r="20">
      <c r="A20" t="inlineStr">
        <is>
          <t>f_1_location_d23</t>
        </is>
      </c>
      <c r="B20" t="inlineStr">
        <is>
          <t>D23</t>
        </is>
      </c>
      <c r="C20" t="inlineStr">
        <is>
          <t>dropdown</t>
        </is>
      </c>
      <c r="D20" t="inlineStr">
        <is>
          <t>#1 (Location #)</t>
        </is>
      </c>
      <c r="E20" t="inlineStr">
        <is>
          <t>input</t>
        </is>
      </c>
      <c r="F20" t="inlineStr">
        <is>
          <t>Coverage A-D</t>
        </is>
      </c>
      <c r="G20" t="inlineStr">
        <is>
          <t>Loc #1;Loc #2;Loc #3;Loc #4;Loc #5;Loc #6</t>
        </is>
      </c>
    </row>
    <row r="21">
      <c r="A21" t="inlineStr">
        <is>
          <t>f_2_location_d24</t>
        </is>
      </c>
      <c r="B21" t="inlineStr">
        <is>
          <t>D24</t>
        </is>
      </c>
      <c r="C21" t="inlineStr">
        <is>
          <t>dropdown</t>
        </is>
      </c>
      <c r="D21" t="inlineStr">
        <is>
          <t>#2 (Location #)</t>
        </is>
      </c>
      <c r="E21" t="inlineStr">
        <is>
          <t>input</t>
        </is>
      </c>
      <c r="F21" t="inlineStr">
        <is>
          <t>Coverage A-D</t>
        </is>
      </c>
      <c r="G21" t="inlineStr">
        <is>
          <t>Loc #1;Loc #2;Loc #3;Loc #4;Loc #5;Loc #6</t>
        </is>
      </c>
    </row>
    <row r="22">
      <c r="A22" t="inlineStr">
        <is>
          <t>f_3_location_d25</t>
        </is>
      </c>
      <c r="B22" t="inlineStr">
        <is>
          <t>D25</t>
        </is>
      </c>
      <c r="C22" t="inlineStr">
        <is>
          <t>dropdown</t>
        </is>
      </c>
      <c r="D22" t="inlineStr">
        <is>
          <t>#3 (Location #)</t>
        </is>
      </c>
      <c r="E22" t="inlineStr">
        <is>
          <t>input</t>
        </is>
      </c>
      <c r="F22" t="inlineStr">
        <is>
          <t>Coverage A-D</t>
        </is>
      </c>
      <c r="G22" t="inlineStr">
        <is>
          <t>Loc #1;Loc #2;Loc #3;Loc #4;Loc #5;Loc #6</t>
        </is>
      </c>
    </row>
    <row r="23">
      <c r="A23" t="inlineStr">
        <is>
          <t>f_4_location_d26</t>
        </is>
      </c>
      <c r="B23" t="inlineStr">
        <is>
          <t>D26</t>
        </is>
      </c>
      <c r="C23" t="inlineStr">
        <is>
          <t>dropdown</t>
        </is>
      </c>
      <c r="D23" t="inlineStr">
        <is>
          <t>#4 (Location #)</t>
        </is>
      </c>
      <c r="E23" t="inlineStr">
        <is>
          <t>input</t>
        </is>
      </c>
      <c r="F23" t="inlineStr">
        <is>
          <t>Coverage A-D</t>
        </is>
      </c>
      <c r="G23" t="inlineStr">
        <is>
          <t>Loc #1;Loc #2;Loc #3;Loc #4;Loc #5;Loc #6</t>
        </is>
      </c>
    </row>
    <row r="24">
      <c r="A24" t="inlineStr">
        <is>
          <t>f_5_location_d27</t>
        </is>
      </c>
      <c r="B24" t="inlineStr">
        <is>
          <t>D27</t>
        </is>
      </c>
      <c r="C24" t="inlineStr">
        <is>
          <t>dropdown</t>
        </is>
      </c>
      <c r="D24" t="inlineStr">
        <is>
          <t>#5 (Location #)</t>
        </is>
      </c>
      <c r="E24" t="inlineStr">
        <is>
          <t>input</t>
        </is>
      </c>
      <c r="F24" t="inlineStr">
        <is>
          <t>Coverage A-D</t>
        </is>
      </c>
      <c r="G24" t="inlineStr">
        <is>
          <t>Loc #1;Loc #2;Loc #3;Loc #4;Loc #5;Loc #6</t>
        </is>
      </c>
    </row>
    <row r="25">
      <c r="A25" t="inlineStr">
        <is>
          <t>f_6_location_d28</t>
        </is>
      </c>
      <c r="B25" t="inlineStr">
        <is>
          <t>D28</t>
        </is>
      </c>
      <c r="C25" t="inlineStr">
        <is>
          <t>dropdown</t>
        </is>
      </c>
      <c r="D25" t="inlineStr">
        <is>
          <t>#6 (Location #)</t>
        </is>
      </c>
      <c r="E25" t="inlineStr">
        <is>
          <t>input</t>
        </is>
      </c>
      <c r="F25" t="inlineStr">
        <is>
          <t>Coverage A-D</t>
        </is>
      </c>
      <c r="G25" t="inlineStr">
        <is>
          <t>Loc #1;Loc #2;Loc #3;Loc #4;Loc #5;Loc #6</t>
        </is>
      </c>
    </row>
    <row r="26">
      <c r="A26" t="inlineStr">
        <is>
          <t>coverage_c_total_location_d29</t>
        </is>
      </c>
      <c r="B26" t="inlineStr">
        <is>
          <t>D29</t>
        </is>
      </c>
      <c r="C26" t="inlineStr">
        <is>
          <t>dropdown</t>
        </is>
      </c>
      <c r="D26" t="inlineStr">
        <is>
          <t>Coverage C Total (Location #)</t>
        </is>
      </c>
      <c r="E26" t="inlineStr">
        <is>
          <t>input</t>
        </is>
      </c>
      <c r="F26" t="inlineStr">
        <is>
          <t>Coverage A-D</t>
        </is>
      </c>
      <c r="G26" t="inlineStr">
        <is>
          <t>Loc #1;Loc #2;Loc #3;Loc #4;Loc #5;Loc #6;Total Acreage</t>
        </is>
      </c>
    </row>
    <row r="27">
      <c r="A27" t="inlineStr">
        <is>
          <t>f_1_location_d30</t>
        </is>
      </c>
      <c r="B27" t="inlineStr">
        <is>
          <t>D30</t>
        </is>
      </c>
      <c r="C27" t="inlineStr">
        <is>
          <t>dropdown</t>
        </is>
      </c>
      <c r="D27" t="inlineStr">
        <is>
          <t>#1 (Location #)</t>
        </is>
      </c>
      <c r="E27" t="inlineStr">
        <is>
          <t>input</t>
        </is>
      </c>
      <c r="F27" t="inlineStr">
        <is>
          <t>Coverage A-D</t>
        </is>
      </c>
      <c r="G27" t="inlineStr">
        <is>
          <t>Loc #1;Loc #2;Loc #3;Loc #4;Loc #5;Loc #6</t>
        </is>
      </c>
    </row>
    <row r="28">
      <c r="A28" t="inlineStr">
        <is>
          <t>f_2_location_d31</t>
        </is>
      </c>
      <c r="B28" t="inlineStr">
        <is>
          <t>D31</t>
        </is>
      </c>
      <c r="C28" t="inlineStr">
        <is>
          <t>dropdown</t>
        </is>
      </c>
      <c r="D28" t="inlineStr">
        <is>
          <t>#2 (Location #)</t>
        </is>
      </c>
      <c r="E28" t="inlineStr">
        <is>
          <t>input</t>
        </is>
      </c>
      <c r="F28" t="inlineStr">
        <is>
          <t>Coverage A-D</t>
        </is>
      </c>
      <c r="G28" t="inlineStr">
        <is>
          <t>Loc #1;Loc #2;Loc #3;Loc #4;Loc #5;Loc #6</t>
        </is>
      </c>
    </row>
    <row r="29">
      <c r="A29" t="inlineStr">
        <is>
          <t>f_3_location_d32</t>
        </is>
      </c>
      <c r="B29" t="inlineStr">
        <is>
          <t>D32</t>
        </is>
      </c>
      <c r="C29" t="inlineStr">
        <is>
          <t>dropdown</t>
        </is>
      </c>
      <c r="D29" t="inlineStr">
        <is>
          <t>#3 (Location #)</t>
        </is>
      </c>
      <c r="E29" t="inlineStr">
        <is>
          <t>input</t>
        </is>
      </c>
      <c r="F29" t="inlineStr">
        <is>
          <t>Coverage A-D</t>
        </is>
      </c>
      <c r="G29" t="inlineStr">
        <is>
          <t>Loc #1;Loc #2;Loc #3;Loc #4;Loc #5;Loc #6</t>
        </is>
      </c>
    </row>
    <row r="30">
      <c r="A30" t="inlineStr">
        <is>
          <t>f_1_location_d34</t>
        </is>
      </c>
      <c r="B30" t="inlineStr">
        <is>
          <t>D34</t>
        </is>
      </c>
      <c r="C30" t="inlineStr">
        <is>
          <t>dropdown</t>
        </is>
      </c>
      <c r="D30" t="inlineStr">
        <is>
          <t>#1 (Location #)</t>
        </is>
      </c>
      <c r="E30" t="inlineStr">
        <is>
          <t>input</t>
        </is>
      </c>
      <c r="F30" t="inlineStr">
        <is>
          <t>Coverage A-D</t>
        </is>
      </c>
      <c r="G30" t="inlineStr">
        <is>
          <t>Loc #1;Loc #2;Loc #3;Loc #4;Loc #5;Loc #6</t>
        </is>
      </c>
    </row>
    <row r="31">
      <c r="A31" t="inlineStr">
        <is>
          <t>f_2_location_d35</t>
        </is>
      </c>
      <c r="B31" t="inlineStr">
        <is>
          <t>D35</t>
        </is>
      </c>
      <c r="C31" t="inlineStr">
        <is>
          <t>dropdown</t>
        </is>
      </c>
      <c r="D31" t="inlineStr">
        <is>
          <t>#2 (Location #)</t>
        </is>
      </c>
      <c r="E31" t="inlineStr">
        <is>
          <t>input</t>
        </is>
      </c>
      <c r="F31" t="inlineStr">
        <is>
          <t>Coverage A-D</t>
        </is>
      </c>
      <c r="G31" t="inlineStr">
        <is>
          <t>Loc #1;Loc #2;Loc #3;Loc #4;Loc #5;Loc #6</t>
        </is>
      </c>
    </row>
    <row r="32">
      <c r="A32" t="inlineStr">
        <is>
          <t>f_3_location_d36</t>
        </is>
      </c>
      <c r="B32" t="inlineStr">
        <is>
          <t>D36</t>
        </is>
      </c>
      <c r="C32" t="inlineStr">
        <is>
          <t>dropdown</t>
        </is>
      </c>
      <c r="D32" t="inlineStr">
        <is>
          <t>#3 (Location #)</t>
        </is>
      </c>
      <c r="E32" t="inlineStr">
        <is>
          <t>input</t>
        </is>
      </c>
      <c r="F32" t="inlineStr">
        <is>
          <t>Coverage A-D</t>
        </is>
      </c>
      <c r="G32" t="inlineStr">
        <is>
          <t>Loc #1;Loc #2;Loc #3;Loc #4;Loc #5;Loc #6</t>
        </is>
      </c>
    </row>
    <row r="33">
      <c r="A33" t="inlineStr">
        <is>
          <t>f_4_location_d37</t>
        </is>
      </c>
      <c r="B33" t="inlineStr">
        <is>
          <t>D37</t>
        </is>
      </c>
      <c r="C33" t="inlineStr">
        <is>
          <t>dropdown</t>
        </is>
      </c>
      <c r="D33" t="inlineStr">
        <is>
          <t>#4 (Location #)</t>
        </is>
      </c>
      <c r="E33" t="inlineStr">
        <is>
          <t>input</t>
        </is>
      </c>
      <c r="F33" t="inlineStr">
        <is>
          <t>Coverage A-D</t>
        </is>
      </c>
      <c r="G33" t="inlineStr">
        <is>
          <t>Loc #1;Loc #2;Loc #3;Loc #4;Loc #5;Loc #6</t>
        </is>
      </c>
    </row>
    <row r="34">
      <c r="A34" t="inlineStr">
        <is>
          <t>f_5_location_d38</t>
        </is>
      </c>
      <c r="B34" t="inlineStr">
        <is>
          <t>D38</t>
        </is>
      </c>
      <c r="C34" t="inlineStr">
        <is>
          <t>dropdown</t>
        </is>
      </c>
      <c r="D34" t="inlineStr">
        <is>
          <t>#5 (Location #)</t>
        </is>
      </c>
      <c r="E34" t="inlineStr">
        <is>
          <t>input</t>
        </is>
      </c>
      <c r="F34" t="inlineStr">
        <is>
          <t>Coverage A-D</t>
        </is>
      </c>
      <c r="G34" t="inlineStr">
        <is>
          <t>Loc #1;Loc #2;Loc #3;Loc #4;Loc #5;Loc #6</t>
        </is>
      </c>
    </row>
    <row r="35">
      <c r="A35" t="inlineStr">
        <is>
          <t>f_6_location_d39</t>
        </is>
      </c>
      <c r="B35" t="inlineStr">
        <is>
          <t>D39</t>
        </is>
      </c>
      <c r="C35" t="inlineStr">
        <is>
          <t>dropdown</t>
        </is>
      </c>
      <c r="D35" t="inlineStr">
        <is>
          <t>#6 (Location #)</t>
        </is>
      </c>
      <c r="E35" t="inlineStr">
        <is>
          <t>input</t>
        </is>
      </c>
      <c r="F35" t="inlineStr">
        <is>
          <t>Coverage A-D</t>
        </is>
      </c>
      <c r="G35" t="inlineStr">
        <is>
          <t>Loc #1;Loc #2;Loc #3;Loc #4;Loc #5;Loc #6</t>
        </is>
      </c>
    </row>
    <row r="36">
      <c r="A36" t="inlineStr">
        <is>
          <t>misc_small_tools_equip_supplies_location_d41</t>
        </is>
      </c>
      <c r="B36" t="inlineStr">
        <is>
          <t>D41</t>
        </is>
      </c>
      <c r="C36" t="inlineStr">
        <is>
          <t>dropdown</t>
        </is>
      </c>
      <c r="D36" t="inlineStr">
        <is>
          <t>MISC SMALL TOOLS, EQUIP, SUPPLIES (Location #)</t>
        </is>
      </c>
      <c r="E36" t="inlineStr">
        <is>
          <t>input</t>
        </is>
      </c>
      <c r="F36" t="inlineStr">
        <is>
          <t>Coverage E-F</t>
        </is>
      </c>
      <c r="G36" t="inlineStr">
        <is>
          <t>Loc #1;Loc #2;Loc #3;Loc #4;Loc #5;Loc #6</t>
        </is>
      </c>
    </row>
    <row r="37">
      <c r="A37" t="inlineStr">
        <is>
          <t>f_1_location_d42</t>
        </is>
      </c>
      <c r="B37" t="inlineStr">
        <is>
          <t>D42</t>
        </is>
      </c>
      <c r="C37" t="inlineStr">
        <is>
          <t>dropdown</t>
        </is>
      </c>
      <c r="D37" t="inlineStr">
        <is>
          <t>#1 (Location #)</t>
        </is>
      </c>
      <c r="E37" t="inlineStr">
        <is>
          <t>input</t>
        </is>
      </c>
      <c r="F37" t="inlineStr">
        <is>
          <t>Coverage E-F</t>
        </is>
      </c>
      <c r="G37" t="inlineStr">
        <is>
          <t>Loc #1;Loc #2;Loc #3;Loc #4;Loc #5;Loc #6</t>
        </is>
      </c>
    </row>
    <row r="38">
      <c r="A38" t="inlineStr">
        <is>
          <t>f_2_location_d43</t>
        </is>
      </c>
      <c r="B38" t="inlineStr">
        <is>
          <t>D43</t>
        </is>
      </c>
      <c r="C38" t="inlineStr">
        <is>
          <t>dropdown</t>
        </is>
      </c>
      <c r="D38" t="inlineStr">
        <is>
          <t>#2 (Location #)</t>
        </is>
      </c>
      <c r="E38" t="inlineStr">
        <is>
          <t>input</t>
        </is>
      </c>
      <c r="F38" t="inlineStr">
        <is>
          <t>Coverage E-F</t>
        </is>
      </c>
      <c r="G38" t="inlineStr">
        <is>
          <t>Loc #1;Loc #2;Loc #3;Loc #4;Loc #5;Loc #6</t>
        </is>
      </c>
    </row>
    <row r="39">
      <c r="A39" t="inlineStr">
        <is>
          <t>f_3_location_d44</t>
        </is>
      </c>
      <c r="B39" t="inlineStr">
        <is>
          <t>D44</t>
        </is>
      </c>
      <c r="C39" t="inlineStr">
        <is>
          <t>dropdown</t>
        </is>
      </c>
      <c r="D39" t="inlineStr">
        <is>
          <t>#3 (Location #)</t>
        </is>
      </c>
      <c r="E39" t="inlineStr">
        <is>
          <t>input</t>
        </is>
      </c>
      <c r="F39" t="inlineStr">
        <is>
          <t>Coverage E-F</t>
        </is>
      </c>
      <c r="G39" t="inlineStr">
        <is>
          <t>Loc #1;Loc #2;Loc #3;Loc #4;Loc #5;Loc #6</t>
        </is>
      </c>
    </row>
    <row r="40">
      <c r="A40" t="inlineStr">
        <is>
          <t>f_4_location_d45</t>
        </is>
      </c>
      <c r="B40" t="inlineStr">
        <is>
          <t>D45</t>
        </is>
      </c>
      <c r="C40" t="inlineStr">
        <is>
          <t>dropdown</t>
        </is>
      </c>
      <c r="D40" t="inlineStr">
        <is>
          <t>#4 (Location #)</t>
        </is>
      </c>
      <c r="E40" t="inlineStr">
        <is>
          <t>input</t>
        </is>
      </c>
      <c r="F40" t="inlineStr">
        <is>
          <t>Coverage E-F</t>
        </is>
      </c>
      <c r="G40" t="inlineStr">
        <is>
          <t>Loc #1;Loc #2;Loc #3;Loc #4;Loc #5;Loc #6</t>
        </is>
      </c>
    </row>
    <row r="41">
      <c r="A41" t="inlineStr">
        <is>
          <t>f_5_location_d46</t>
        </is>
      </c>
      <c r="B41" t="inlineStr">
        <is>
          <t>D46</t>
        </is>
      </c>
      <c r="C41" t="inlineStr">
        <is>
          <t>dropdown</t>
        </is>
      </c>
      <c r="D41" t="inlineStr">
        <is>
          <t>#5 (Location #)</t>
        </is>
      </c>
      <c r="E41" t="inlineStr">
        <is>
          <t>input</t>
        </is>
      </c>
      <c r="F41" t="inlineStr">
        <is>
          <t>Coverage E-F</t>
        </is>
      </c>
      <c r="G41" t="inlineStr">
        <is>
          <t>Loc #1;Loc #2;Loc #3;Loc #4;Loc #5;Loc #6</t>
        </is>
      </c>
    </row>
    <row r="42">
      <c r="A42" t="inlineStr">
        <is>
          <t>f_6_location_d47</t>
        </is>
      </c>
      <c r="B42" t="inlineStr">
        <is>
          <t>D47</t>
        </is>
      </c>
      <c r="C42" t="inlineStr">
        <is>
          <t>dropdown</t>
        </is>
      </c>
      <c r="D42" t="inlineStr">
        <is>
          <t>#6 (Location #)</t>
        </is>
      </c>
      <c r="E42" t="inlineStr">
        <is>
          <t>input</t>
        </is>
      </c>
      <c r="F42" t="inlineStr">
        <is>
          <t>Coverage E-F</t>
        </is>
      </c>
      <c r="G42" t="inlineStr">
        <is>
          <t>Loc #1;Loc #2;Loc #3;Loc #4;Loc #5;Loc #6</t>
        </is>
      </c>
    </row>
    <row r="43">
      <c r="A43" t="inlineStr">
        <is>
          <t>f_7_location_d48</t>
        </is>
      </c>
      <c r="B43" t="inlineStr">
        <is>
          <t>D48</t>
        </is>
      </c>
      <c r="C43" t="inlineStr">
        <is>
          <t>dropdown</t>
        </is>
      </c>
      <c r="D43" t="inlineStr">
        <is>
          <t>#7 (Location #)</t>
        </is>
      </c>
      <c r="E43" t="inlineStr">
        <is>
          <t>input</t>
        </is>
      </c>
      <c r="F43" t="inlineStr">
        <is>
          <t>Coverage E-F</t>
        </is>
      </c>
      <c r="G43" t="inlineStr">
        <is>
          <t>Loc #1;Loc #2;Loc #3;Loc #4;Loc #5;Loc #6</t>
        </is>
      </c>
    </row>
    <row r="44">
      <c r="A44" t="inlineStr">
        <is>
          <t>f_8_location_d49</t>
        </is>
      </c>
      <c r="B44" t="inlineStr">
        <is>
          <t>D49</t>
        </is>
      </c>
      <c r="C44" t="inlineStr">
        <is>
          <t>dropdown</t>
        </is>
      </c>
      <c r="D44" t="inlineStr">
        <is>
          <t>#8 (Location #)</t>
        </is>
      </c>
      <c r="E44" t="inlineStr">
        <is>
          <t>input</t>
        </is>
      </c>
      <c r="F44" t="inlineStr">
        <is>
          <t>Coverage E-F</t>
        </is>
      </c>
      <c r="G44" t="inlineStr">
        <is>
          <t>Loc #1;Loc #2;Loc #3;Loc #4;Loc #5;Loc #6</t>
        </is>
      </c>
    </row>
    <row r="45">
      <c r="A45" t="inlineStr">
        <is>
          <t>f_9_location_d50</t>
        </is>
      </c>
      <c r="B45" t="inlineStr">
        <is>
          <t>D50</t>
        </is>
      </c>
      <c r="C45" t="inlineStr">
        <is>
          <t>dropdown</t>
        </is>
      </c>
      <c r="D45" t="inlineStr">
        <is>
          <t>#9 (Location #)</t>
        </is>
      </c>
      <c r="E45" t="inlineStr">
        <is>
          <t>input</t>
        </is>
      </c>
      <c r="F45" t="inlineStr">
        <is>
          <t>Coverage E-F</t>
        </is>
      </c>
      <c r="G45" t="inlineStr">
        <is>
          <t>Loc #1;Loc #2;Loc #3;Loc #4;Loc #5;Loc #6</t>
        </is>
      </c>
    </row>
    <row r="46">
      <c r="A46" t="inlineStr">
        <is>
          <t>f_10_location_d51</t>
        </is>
      </c>
      <c r="B46" t="inlineStr">
        <is>
          <t>D51</t>
        </is>
      </c>
      <c r="C46" t="inlineStr">
        <is>
          <t>dropdown</t>
        </is>
      </c>
      <c r="D46" t="inlineStr">
        <is>
          <t>#10 (Location #)</t>
        </is>
      </c>
      <c r="E46" t="inlineStr">
        <is>
          <t>input</t>
        </is>
      </c>
      <c r="F46" t="inlineStr">
        <is>
          <t>Coverage E-F</t>
        </is>
      </c>
      <c r="G46" t="inlineStr">
        <is>
          <t>Loc #1;Loc #2;Loc #3;Loc #4;Loc #5;Loc #6</t>
        </is>
      </c>
    </row>
    <row r="47">
      <c r="A47" t="inlineStr">
        <is>
          <t>f_11_location_d52</t>
        </is>
      </c>
      <c r="B47" t="inlineStr">
        <is>
          <t>D52</t>
        </is>
      </c>
      <c r="C47" t="inlineStr">
        <is>
          <t>dropdown</t>
        </is>
      </c>
      <c r="D47" t="inlineStr">
        <is>
          <t>#11 (Location #)</t>
        </is>
      </c>
      <c r="E47" t="inlineStr">
        <is>
          <t>input</t>
        </is>
      </c>
      <c r="F47" t="inlineStr">
        <is>
          <t>Coverage E-F</t>
        </is>
      </c>
      <c r="G47" t="inlineStr">
        <is>
          <t>Loc #1;Loc #2;Loc #3;Loc #4;Loc #5;Loc #6</t>
        </is>
      </c>
    </row>
    <row r="48">
      <c r="A48" t="inlineStr">
        <is>
          <t>f_12_location_d53</t>
        </is>
      </c>
      <c r="B48" t="inlineStr">
        <is>
          <t>D53</t>
        </is>
      </c>
      <c r="C48" t="inlineStr">
        <is>
          <t>dropdown</t>
        </is>
      </c>
      <c r="D48" t="inlineStr">
        <is>
          <t>#12 (Location #)</t>
        </is>
      </c>
      <c r="E48" t="inlineStr">
        <is>
          <t>input</t>
        </is>
      </c>
      <c r="F48" t="inlineStr">
        <is>
          <t>Coverage E-F</t>
        </is>
      </c>
      <c r="G48" t="inlineStr">
        <is>
          <t>Loc #1;Loc #2;Loc #3;Loc #4;Loc #5;Loc #6</t>
        </is>
      </c>
    </row>
    <row r="49">
      <c r="A49" t="inlineStr">
        <is>
          <t>f_13_location_d54</t>
        </is>
      </c>
      <c r="B49" t="inlineStr">
        <is>
          <t>D54</t>
        </is>
      </c>
      <c r="C49" t="inlineStr">
        <is>
          <t>dropdown</t>
        </is>
      </c>
      <c r="D49" t="inlineStr">
        <is>
          <t>#13 (Location #)</t>
        </is>
      </c>
      <c r="E49" t="inlineStr">
        <is>
          <t>input</t>
        </is>
      </c>
      <c r="F49" t="inlineStr">
        <is>
          <t>Coverage E-F</t>
        </is>
      </c>
      <c r="G49" t="inlineStr">
        <is>
          <t>Loc #1;Loc #2;Loc #3;Loc #4;Loc #5;Loc #6</t>
        </is>
      </c>
    </row>
    <row r="50">
      <c r="A50" t="inlineStr">
        <is>
          <t>f_14_location_d55</t>
        </is>
      </c>
      <c r="B50" t="inlineStr">
        <is>
          <t>D55</t>
        </is>
      </c>
      <c r="C50" t="inlineStr">
        <is>
          <t>dropdown</t>
        </is>
      </c>
      <c r="D50" t="inlineStr">
        <is>
          <t>#14 (Location #)</t>
        </is>
      </c>
      <c r="E50" t="inlineStr">
        <is>
          <t>input</t>
        </is>
      </c>
      <c r="F50" t="inlineStr">
        <is>
          <t>Coverage E-F</t>
        </is>
      </c>
      <c r="G50" t="inlineStr">
        <is>
          <t>Loc #1;Loc #2;Loc #3;Loc #4;Loc #5;Loc #6</t>
        </is>
      </c>
    </row>
    <row r="51">
      <c r="A51" t="inlineStr">
        <is>
          <t>f_15_location_d56</t>
        </is>
      </c>
      <c r="B51" t="inlineStr">
        <is>
          <t>D56</t>
        </is>
      </c>
      <c r="C51" t="inlineStr">
        <is>
          <t>dropdown</t>
        </is>
      </c>
      <c r="D51" t="inlineStr">
        <is>
          <t>#15 (Location #)</t>
        </is>
      </c>
      <c r="E51" t="inlineStr">
        <is>
          <t>input</t>
        </is>
      </c>
      <c r="F51" t="inlineStr">
        <is>
          <t>Coverage E-F</t>
        </is>
      </c>
      <c r="G51" t="inlineStr">
        <is>
          <t>Loc #1;Loc #2;Loc #3;Loc #4;Loc #5;Loc #6</t>
        </is>
      </c>
    </row>
    <row r="52">
      <c r="A52" t="inlineStr">
        <is>
          <t>f_16_location_d57</t>
        </is>
      </c>
      <c r="B52" t="inlineStr">
        <is>
          <t>D57</t>
        </is>
      </c>
      <c r="C52" t="inlineStr">
        <is>
          <t>dropdown</t>
        </is>
      </c>
      <c r="D52" t="inlineStr">
        <is>
          <t>#16 (Location #)</t>
        </is>
      </c>
      <c r="E52" t="inlineStr">
        <is>
          <t>input</t>
        </is>
      </c>
      <c r="F52" t="inlineStr">
        <is>
          <t>Coverage E-F</t>
        </is>
      </c>
      <c r="G52" t="inlineStr">
        <is>
          <t>Loc #1;Loc #2;Loc #3;Loc #4;Loc #5;Loc #6</t>
        </is>
      </c>
    </row>
    <row r="53">
      <c r="A53" t="inlineStr">
        <is>
          <t>f_17_location_d58</t>
        </is>
      </c>
      <c r="B53" t="inlineStr">
        <is>
          <t>D58</t>
        </is>
      </c>
      <c r="C53" t="inlineStr">
        <is>
          <t>dropdown</t>
        </is>
      </c>
      <c r="D53" t="inlineStr">
        <is>
          <t>#17 (Location #)</t>
        </is>
      </c>
      <c r="E53" t="inlineStr">
        <is>
          <t>input</t>
        </is>
      </c>
      <c r="F53" t="inlineStr">
        <is>
          <t>Coverage E-F</t>
        </is>
      </c>
      <c r="G53" t="inlineStr">
        <is>
          <t>Loc #1;Loc #2;Loc #3;Loc #4;Loc #5;Loc #6</t>
        </is>
      </c>
    </row>
    <row r="54">
      <c r="A54" t="inlineStr">
        <is>
          <t>f_18_location_d59</t>
        </is>
      </c>
      <c r="B54" t="inlineStr">
        <is>
          <t>D59</t>
        </is>
      </c>
      <c r="C54" t="inlineStr">
        <is>
          <t>dropdown</t>
        </is>
      </c>
      <c r="D54" t="inlineStr">
        <is>
          <t>#18 (Location #)</t>
        </is>
      </c>
      <c r="E54" t="inlineStr">
        <is>
          <t>input</t>
        </is>
      </c>
      <c r="F54" t="inlineStr">
        <is>
          <t>Coverage E-F</t>
        </is>
      </c>
      <c r="G54" t="inlineStr">
        <is>
          <t>Loc #1;Loc #2;Loc #3;Loc #4;Loc #5;Loc #6</t>
        </is>
      </c>
    </row>
    <row r="55">
      <c r="A55" t="inlineStr">
        <is>
          <t>f_19_location_d60</t>
        </is>
      </c>
      <c r="B55" t="inlineStr">
        <is>
          <t>D60</t>
        </is>
      </c>
      <c r="C55" t="inlineStr">
        <is>
          <t>dropdown</t>
        </is>
      </c>
      <c r="D55" t="inlineStr">
        <is>
          <t>#19 (Location #)</t>
        </is>
      </c>
      <c r="E55" t="inlineStr">
        <is>
          <t>input</t>
        </is>
      </c>
      <c r="F55" t="inlineStr">
        <is>
          <t>Coverage E-F</t>
        </is>
      </c>
      <c r="G55" t="inlineStr">
        <is>
          <t>Loc #1;Loc #2;Loc #3;Loc #4;Loc #5;Loc #6</t>
        </is>
      </c>
    </row>
    <row r="56">
      <c r="A56" t="inlineStr">
        <is>
          <t>f_20_location_d61</t>
        </is>
      </c>
      <c r="B56" t="inlineStr">
        <is>
          <t>D61</t>
        </is>
      </c>
      <c r="C56" t="inlineStr">
        <is>
          <t>dropdown</t>
        </is>
      </c>
      <c r="D56" t="inlineStr">
        <is>
          <t>#20 (Location #)</t>
        </is>
      </c>
      <c r="E56" t="inlineStr">
        <is>
          <t>input</t>
        </is>
      </c>
      <c r="F56" t="inlineStr">
        <is>
          <t>Coverage E-F</t>
        </is>
      </c>
      <c r="G56" t="inlineStr">
        <is>
          <t>Loc #1;Loc #2;Loc #3;Loc #4;Loc #5;Loc #6</t>
        </is>
      </c>
    </row>
    <row r="57">
      <c r="A57" t="inlineStr">
        <is>
          <t>f_1_location_d63</t>
        </is>
      </c>
      <c r="B57" t="inlineStr">
        <is>
          <t>D63</t>
        </is>
      </c>
      <c r="C57" t="inlineStr">
        <is>
          <t>dropdown</t>
        </is>
      </c>
      <c r="D57" t="inlineStr">
        <is>
          <t>#1 (Location #)</t>
        </is>
      </c>
      <c r="E57" t="inlineStr">
        <is>
          <t>input</t>
        </is>
      </c>
      <c r="F57" t="inlineStr">
        <is>
          <t>Coverage G</t>
        </is>
      </c>
      <c r="G57" t="inlineStr">
        <is>
          <t>Loc #1;Loc #2;Loc #3;Loc #4;Loc #5;Loc #6</t>
        </is>
      </c>
    </row>
    <row r="58">
      <c r="A58" t="inlineStr">
        <is>
          <t>f_2_location_d64</t>
        </is>
      </c>
      <c r="B58" t="inlineStr">
        <is>
          <t>D64</t>
        </is>
      </c>
      <c r="C58" t="inlineStr">
        <is>
          <t>dropdown</t>
        </is>
      </c>
      <c r="D58" t="inlineStr">
        <is>
          <t>#2 (Location #)</t>
        </is>
      </c>
      <c r="E58" t="inlineStr">
        <is>
          <t>input</t>
        </is>
      </c>
      <c r="F58" t="inlineStr">
        <is>
          <t>Coverage G</t>
        </is>
      </c>
      <c r="G58" t="inlineStr">
        <is>
          <t>Loc #1;Loc #2;Loc #3;Loc #4;Loc #5;Loc #6</t>
        </is>
      </c>
    </row>
    <row r="59">
      <c r="A59" t="inlineStr">
        <is>
          <t>f_2_risk_limit_e64</t>
        </is>
      </c>
      <c r="B59" t="inlineStr">
        <is>
          <t>E64</t>
        </is>
      </c>
      <c r="C59" t="inlineStr">
        <is>
          <t>number</t>
        </is>
      </c>
      <c r="D59" t="inlineStr">
        <is>
          <t>#2 (Risk Limit)</t>
        </is>
      </c>
      <c r="E59" t="inlineStr">
        <is>
          <t>input</t>
        </is>
      </c>
      <c r="F59" t="inlineStr">
        <is>
          <t>Coverage G</t>
        </is>
      </c>
      <c r="H59" t="inlineStr">
        <is>
          <t>0</t>
        </is>
      </c>
    </row>
    <row r="60">
      <c r="A60" t="inlineStr">
        <is>
          <t>f_3_location_d65</t>
        </is>
      </c>
      <c r="B60" t="inlineStr">
        <is>
          <t>D65</t>
        </is>
      </c>
      <c r="C60" t="inlineStr">
        <is>
          <t>dropdown</t>
        </is>
      </c>
      <c r="D60" t="inlineStr">
        <is>
          <t>#3 (Location #)</t>
        </is>
      </c>
      <c r="E60" t="inlineStr">
        <is>
          <t>input</t>
        </is>
      </c>
      <c r="F60" t="inlineStr">
        <is>
          <t>Coverage G</t>
        </is>
      </c>
      <c r="G60" t="inlineStr">
        <is>
          <t>Loc #1;Loc #2;Loc #3;Loc #4;Loc #5;Loc #6</t>
        </is>
      </c>
    </row>
    <row r="61">
      <c r="A61" t="inlineStr">
        <is>
          <t>f_3_risk_limit_e65</t>
        </is>
      </c>
      <c r="B61" t="inlineStr">
        <is>
          <t>E65</t>
        </is>
      </c>
      <c r="C61" t="inlineStr">
        <is>
          <t>number</t>
        </is>
      </c>
      <c r="D61" t="inlineStr">
        <is>
          <t>#3 (Risk Limit)</t>
        </is>
      </c>
      <c r="E61" t="inlineStr">
        <is>
          <t>input</t>
        </is>
      </c>
      <c r="F61" t="inlineStr">
        <is>
          <t>Coverage G</t>
        </is>
      </c>
      <c r="H61" t="inlineStr">
        <is>
          <t>0</t>
        </is>
      </c>
    </row>
    <row r="62">
      <c r="A62" t="inlineStr">
        <is>
          <t>f_4_location_d66</t>
        </is>
      </c>
      <c r="B62" t="inlineStr">
        <is>
          <t>D66</t>
        </is>
      </c>
      <c r="C62" t="inlineStr">
        <is>
          <t>dropdown</t>
        </is>
      </c>
      <c r="D62" t="inlineStr">
        <is>
          <t>#4 (Location #)</t>
        </is>
      </c>
      <c r="E62" t="inlineStr">
        <is>
          <t>input</t>
        </is>
      </c>
      <c r="F62" t="inlineStr">
        <is>
          <t>Coverage G</t>
        </is>
      </c>
      <c r="G62" t="inlineStr">
        <is>
          <t>Loc #1;Loc #2;Loc #3;Loc #4;Loc #5;Loc #6</t>
        </is>
      </c>
    </row>
    <row r="63">
      <c r="A63" t="inlineStr">
        <is>
          <t>f_4_risk_limit_e66</t>
        </is>
      </c>
      <c r="B63" t="inlineStr">
        <is>
          <t>E66</t>
        </is>
      </c>
      <c r="C63" t="inlineStr">
        <is>
          <t>number</t>
        </is>
      </c>
      <c r="D63" t="inlineStr">
        <is>
          <t>#4 (Risk Limit)</t>
        </is>
      </c>
      <c r="E63" t="inlineStr">
        <is>
          <t>input</t>
        </is>
      </c>
      <c r="F63" t="inlineStr">
        <is>
          <t>Coverage G</t>
        </is>
      </c>
      <c r="H63" t="inlineStr">
        <is>
          <t>0</t>
        </is>
      </c>
    </row>
    <row r="64">
      <c r="A64" t="inlineStr">
        <is>
          <t>f_5_location_d67</t>
        </is>
      </c>
      <c r="B64" t="inlineStr">
        <is>
          <t>D67</t>
        </is>
      </c>
      <c r="C64" t="inlineStr">
        <is>
          <t>dropdown</t>
        </is>
      </c>
      <c r="D64" t="inlineStr">
        <is>
          <t>#5 (Location #)</t>
        </is>
      </c>
      <c r="E64" t="inlineStr">
        <is>
          <t>input</t>
        </is>
      </c>
      <c r="F64" t="inlineStr">
        <is>
          <t>Coverage G</t>
        </is>
      </c>
      <c r="G64" t="inlineStr">
        <is>
          <t>Loc #1;Loc #2;Loc #3;Loc #4;Loc #5;Loc #6</t>
        </is>
      </c>
    </row>
    <row r="65">
      <c r="A65" t="inlineStr">
        <is>
          <t>f_5_risk_limit_e67</t>
        </is>
      </c>
      <c r="B65" t="inlineStr">
        <is>
          <t>E67</t>
        </is>
      </c>
      <c r="C65" t="inlineStr">
        <is>
          <t>number</t>
        </is>
      </c>
      <c r="D65" t="inlineStr">
        <is>
          <t>#5 (Risk Limit)</t>
        </is>
      </c>
      <c r="E65" t="inlineStr">
        <is>
          <t>input</t>
        </is>
      </c>
      <c r="F65" t="inlineStr">
        <is>
          <t>Coverage G</t>
        </is>
      </c>
      <c r="H65" t="inlineStr">
        <is>
          <t>0</t>
        </is>
      </c>
    </row>
    <row r="66">
      <c r="A66" t="inlineStr">
        <is>
          <t>f_6_location_d68</t>
        </is>
      </c>
      <c r="B66" t="inlineStr">
        <is>
          <t>D68</t>
        </is>
      </c>
      <c r="C66" t="inlineStr">
        <is>
          <t>dropdown</t>
        </is>
      </c>
      <c r="D66" t="inlineStr">
        <is>
          <t>#6 (Location #)</t>
        </is>
      </c>
      <c r="E66" t="inlineStr">
        <is>
          <t>input</t>
        </is>
      </c>
      <c r="F66" t="inlineStr">
        <is>
          <t>Coverage G</t>
        </is>
      </c>
      <c r="G66" t="inlineStr">
        <is>
          <t>Loc #1;Loc #2;Loc #3;Loc #4;Loc #5;Loc #6</t>
        </is>
      </c>
    </row>
    <row r="67">
      <c r="A67" t="inlineStr">
        <is>
          <t>f_6_risk_limit_e68</t>
        </is>
      </c>
      <c r="B67" t="inlineStr">
        <is>
          <t>E68</t>
        </is>
      </c>
      <c r="C67" t="inlineStr">
        <is>
          <t>number</t>
        </is>
      </c>
      <c r="D67" t="inlineStr">
        <is>
          <t>#6 (Risk Limit)</t>
        </is>
      </c>
      <c r="E67" t="inlineStr">
        <is>
          <t>input</t>
        </is>
      </c>
      <c r="F67" t="inlineStr">
        <is>
          <t>Coverage G</t>
        </is>
      </c>
      <c r="H67" t="inlineStr">
        <is>
          <t>0</t>
        </is>
      </c>
    </row>
    <row r="68">
      <c r="A68" t="inlineStr">
        <is>
          <t>f_7_location_d69</t>
        </is>
      </c>
      <c r="B68" t="inlineStr">
        <is>
          <t>D69</t>
        </is>
      </c>
      <c r="C68" t="inlineStr">
        <is>
          <t>dropdown</t>
        </is>
      </c>
      <c r="D68" t="inlineStr">
        <is>
          <t>#7 (Location #)</t>
        </is>
      </c>
      <c r="E68" t="inlineStr">
        <is>
          <t>input</t>
        </is>
      </c>
      <c r="F68" t="inlineStr">
        <is>
          <t>Coverage G</t>
        </is>
      </c>
      <c r="G68" t="inlineStr">
        <is>
          <t>Loc #1;Loc #2;Loc #3;Loc #4;Loc #5;Loc #6</t>
        </is>
      </c>
    </row>
    <row r="69">
      <c r="A69" t="inlineStr">
        <is>
          <t>f_7_risk_limit_e69</t>
        </is>
      </c>
      <c r="B69" t="inlineStr">
        <is>
          <t>E69</t>
        </is>
      </c>
      <c r="C69" t="inlineStr">
        <is>
          <t>number</t>
        </is>
      </c>
      <c r="D69" t="inlineStr">
        <is>
          <t>#7 (Risk Limit)</t>
        </is>
      </c>
      <c r="E69" t="inlineStr">
        <is>
          <t>input</t>
        </is>
      </c>
      <c r="F69" t="inlineStr">
        <is>
          <t>Coverage G</t>
        </is>
      </c>
      <c r="H69" t="inlineStr">
        <is>
          <t>0</t>
        </is>
      </c>
    </row>
    <row r="70">
      <c r="A70" t="inlineStr">
        <is>
          <t>f_8_location_d70</t>
        </is>
      </c>
      <c r="B70" t="inlineStr">
        <is>
          <t>D70</t>
        </is>
      </c>
      <c r="C70" t="inlineStr">
        <is>
          <t>dropdown</t>
        </is>
      </c>
      <c r="D70" t="inlineStr">
        <is>
          <t>#8 (Location #)</t>
        </is>
      </c>
      <c r="E70" t="inlineStr">
        <is>
          <t>input</t>
        </is>
      </c>
      <c r="F70" t="inlineStr">
        <is>
          <t>Coverage G</t>
        </is>
      </c>
      <c r="G70" t="inlineStr">
        <is>
          <t>Loc #1;Loc #2;Loc #3;Loc #4;Loc #5;Loc #6</t>
        </is>
      </c>
    </row>
    <row r="71">
      <c r="A71" t="inlineStr">
        <is>
          <t>f_8_risk_limit_e70</t>
        </is>
      </c>
      <c r="B71" t="inlineStr">
        <is>
          <t>E70</t>
        </is>
      </c>
      <c r="C71" t="inlineStr">
        <is>
          <t>number</t>
        </is>
      </c>
      <c r="D71" t="inlineStr">
        <is>
          <t>#8 (Risk Limit)</t>
        </is>
      </c>
      <c r="E71" t="inlineStr">
        <is>
          <t>input</t>
        </is>
      </c>
      <c r="F71" t="inlineStr">
        <is>
          <t>Coverage G</t>
        </is>
      </c>
      <c r="H71" t="inlineStr">
        <is>
          <t>0</t>
        </is>
      </c>
    </row>
    <row r="72">
      <c r="A72" t="inlineStr">
        <is>
          <t>f_9_location_d71</t>
        </is>
      </c>
      <c r="B72" t="inlineStr">
        <is>
          <t>D71</t>
        </is>
      </c>
      <c r="C72" t="inlineStr">
        <is>
          <t>dropdown</t>
        </is>
      </c>
      <c r="D72" t="inlineStr">
        <is>
          <t>#9 (Location #)</t>
        </is>
      </c>
      <c r="E72" t="inlineStr">
        <is>
          <t>input</t>
        </is>
      </c>
      <c r="F72" t="inlineStr">
        <is>
          <t>Coverage G</t>
        </is>
      </c>
      <c r="G72" t="inlineStr">
        <is>
          <t>Loc #1;Loc #2;Loc #3;Loc #4;Loc #5;Loc #6</t>
        </is>
      </c>
    </row>
    <row r="73">
      <c r="A73" t="inlineStr">
        <is>
          <t>f_9_risk_limit_e71</t>
        </is>
      </c>
      <c r="B73" t="inlineStr">
        <is>
          <t>E71</t>
        </is>
      </c>
      <c r="C73" t="inlineStr">
        <is>
          <t>number</t>
        </is>
      </c>
      <c r="D73" t="inlineStr">
        <is>
          <t>#9 (Risk Limit)</t>
        </is>
      </c>
      <c r="E73" t="inlineStr">
        <is>
          <t>input</t>
        </is>
      </c>
      <c r="F73" t="inlineStr">
        <is>
          <t>Coverage G</t>
        </is>
      </c>
      <c r="H73" t="inlineStr">
        <is>
          <t>0</t>
        </is>
      </c>
    </row>
    <row r="74">
      <c r="A74" t="inlineStr">
        <is>
          <t>f_10_location_d72</t>
        </is>
      </c>
      <c r="B74" t="inlineStr">
        <is>
          <t>D72</t>
        </is>
      </c>
      <c r="C74" t="inlineStr">
        <is>
          <t>dropdown</t>
        </is>
      </c>
      <c r="D74" t="inlineStr">
        <is>
          <t>#10 (Location #)</t>
        </is>
      </c>
      <c r="E74" t="inlineStr">
        <is>
          <t>input</t>
        </is>
      </c>
      <c r="F74" t="inlineStr">
        <is>
          <t>Coverage G</t>
        </is>
      </c>
      <c r="G74" t="inlineStr">
        <is>
          <t>Loc #1;Loc #2;Loc #3;Loc #4;Loc #5;Loc #6</t>
        </is>
      </c>
    </row>
    <row r="75">
      <c r="A75" t="inlineStr">
        <is>
          <t>f_10_risk_limit_e72</t>
        </is>
      </c>
      <c r="B75" t="inlineStr">
        <is>
          <t>E72</t>
        </is>
      </c>
      <c r="C75" t="inlineStr">
        <is>
          <t>number</t>
        </is>
      </c>
      <c r="D75" t="inlineStr">
        <is>
          <t>#10 (Risk Limit)</t>
        </is>
      </c>
      <c r="E75" t="inlineStr">
        <is>
          <t>input</t>
        </is>
      </c>
      <c r="F75" t="inlineStr">
        <is>
          <t>Coverage G</t>
        </is>
      </c>
      <c r="H75" t="inlineStr">
        <is>
          <t>0</t>
        </is>
      </c>
    </row>
    <row r="76">
      <c r="A76" t="inlineStr">
        <is>
          <t>f_11_location_d73</t>
        </is>
      </c>
      <c r="B76" t="inlineStr">
        <is>
          <t>D73</t>
        </is>
      </c>
      <c r="C76" t="inlineStr">
        <is>
          <t>dropdown</t>
        </is>
      </c>
      <c r="D76" t="inlineStr">
        <is>
          <t>#11 (Location #)</t>
        </is>
      </c>
      <c r="E76" t="inlineStr">
        <is>
          <t>input</t>
        </is>
      </c>
      <c r="F76" t="inlineStr">
        <is>
          <t>Coverage G</t>
        </is>
      </c>
      <c r="G76" t="inlineStr">
        <is>
          <t>Loc #1;Loc #2;Loc #3;Loc #4;Loc #5;Loc #6</t>
        </is>
      </c>
    </row>
    <row r="77">
      <c r="A77" t="inlineStr">
        <is>
          <t>f_11_risk_limit_e73</t>
        </is>
      </c>
      <c r="B77" t="inlineStr">
        <is>
          <t>E73</t>
        </is>
      </c>
      <c r="C77" t="inlineStr">
        <is>
          <t>number</t>
        </is>
      </c>
      <c r="D77" t="inlineStr">
        <is>
          <t>#11 (Risk Limit)</t>
        </is>
      </c>
      <c r="E77" t="inlineStr">
        <is>
          <t>input</t>
        </is>
      </c>
      <c r="F77" t="inlineStr">
        <is>
          <t>Coverage G</t>
        </is>
      </c>
      <c r="H77" t="inlineStr">
        <is>
          <t>0</t>
        </is>
      </c>
    </row>
    <row r="78">
      <c r="A78" t="inlineStr">
        <is>
          <t>f_12_location_d74</t>
        </is>
      </c>
      <c r="B78" t="inlineStr">
        <is>
          <t>D74</t>
        </is>
      </c>
      <c r="C78" t="inlineStr">
        <is>
          <t>dropdown</t>
        </is>
      </c>
      <c r="D78" t="inlineStr">
        <is>
          <t>#12 (Location #)</t>
        </is>
      </c>
      <c r="E78" t="inlineStr">
        <is>
          <t>input</t>
        </is>
      </c>
      <c r="F78" t="inlineStr">
        <is>
          <t>Coverage G</t>
        </is>
      </c>
      <c r="G78" t="inlineStr">
        <is>
          <t>Loc #1;Loc #2;Loc #3;Loc #4;Loc #5;Loc #6</t>
        </is>
      </c>
    </row>
    <row r="79">
      <c r="A79" t="inlineStr">
        <is>
          <t>f_12_risk_limit_e74</t>
        </is>
      </c>
      <c r="B79" t="inlineStr">
        <is>
          <t>E74</t>
        </is>
      </c>
      <c r="C79" t="inlineStr">
        <is>
          <t>number</t>
        </is>
      </c>
      <c r="D79" t="inlineStr">
        <is>
          <t>#12 (Risk Limit)</t>
        </is>
      </c>
      <c r="E79" t="inlineStr">
        <is>
          <t>input</t>
        </is>
      </c>
      <c r="F79" t="inlineStr">
        <is>
          <t>Coverage G</t>
        </is>
      </c>
      <c r="H79" t="inlineStr">
        <is>
          <t>0</t>
        </is>
      </c>
    </row>
    <row r="80">
      <c r="A80" t="inlineStr">
        <is>
          <t>f_13_location_d75</t>
        </is>
      </c>
      <c r="B80" t="inlineStr">
        <is>
          <t>D75</t>
        </is>
      </c>
      <c r="C80" t="inlineStr">
        <is>
          <t>dropdown</t>
        </is>
      </c>
      <c r="D80" t="inlineStr">
        <is>
          <t>#13 (Location #)</t>
        </is>
      </c>
      <c r="E80" t="inlineStr">
        <is>
          <t>input</t>
        </is>
      </c>
      <c r="F80" t="inlineStr">
        <is>
          <t>Coverage G</t>
        </is>
      </c>
      <c r="G80" t="inlineStr">
        <is>
          <t>Loc #1;Loc #2;Loc #3;Loc #4;Loc #5;Loc #6</t>
        </is>
      </c>
    </row>
    <row r="81">
      <c r="A81" t="inlineStr">
        <is>
          <t>f_13_risk_limit_e75</t>
        </is>
      </c>
      <c r="B81" t="inlineStr">
        <is>
          <t>E75</t>
        </is>
      </c>
      <c r="C81" t="inlineStr">
        <is>
          <t>number</t>
        </is>
      </c>
      <c r="D81" t="inlineStr">
        <is>
          <t>#13 (Risk Limit)</t>
        </is>
      </c>
      <c r="E81" t="inlineStr">
        <is>
          <t>input</t>
        </is>
      </c>
      <c r="F81" t="inlineStr">
        <is>
          <t>Coverage G</t>
        </is>
      </c>
      <c r="H81" t="inlineStr">
        <is>
          <t>0</t>
        </is>
      </c>
    </row>
    <row r="82">
      <c r="A82" t="inlineStr">
        <is>
          <t>f_14_location_d76</t>
        </is>
      </c>
      <c r="B82" t="inlineStr">
        <is>
          <t>D76</t>
        </is>
      </c>
      <c r="C82" t="inlineStr">
        <is>
          <t>dropdown</t>
        </is>
      </c>
      <c r="D82" t="inlineStr">
        <is>
          <t>#14 (Location #)</t>
        </is>
      </c>
      <c r="E82" t="inlineStr">
        <is>
          <t>input</t>
        </is>
      </c>
      <c r="F82" t="inlineStr">
        <is>
          <t>Coverage G</t>
        </is>
      </c>
      <c r="G82" t="inlineStr">
        <is>
          <t>Loc #1;Loc #2;Loc #3;Loc #4;Loc #5;Loc #6</t>
        </is>
      </c>
    </row>
    <row r="83">
      <c r="A83" t="inlineStr">
        <is>
          <t>f_15_location_d77</t>
        </is>
      </c>
      <c r="B83" t="inlineStr">
        <is>
          <t>D77</t>
        </is>
      </c>
      <c r="C83" t="inlineStr">
        <is>
          <t>dropdown</t>
        </is>
      </c>
      <c r="D83" t="inlineStr">
        <is>
          <t>#15 (Location #)</t>
        </is>
      </c>
      <c r="E83" t="inlineStr">
        <is>
          <t>input</t>
        </is>
      </c>
      <c r="F83" t="inlineStr">
        <is>
          <t>Coverage G</t>
        </is>
      </c>
      <c r="G83" t="inlineStr">
        <is>
          <t>Loc #1;Loc #2;Loc #3;Loc #4;Loc #5;Loc #6</t>
        </is>
      </c>
    </row>
    <row r="84">
      <c r="A84" t="inlineStr">
        <is>
          <t>f_16_location_d78</t>
        </is>
      </c>
      <c r="B84" t="inlineStr">
        <is>
          <t>D78</t>
        </is>
      </c>
      <c r="C84" t="inlineStr">
        <is>
          <t>dropdown</t>
        </is>
      </c>
      <c r="D84" t="inlineStr">
        <is>
          <t>#16 (Location #)</t>
        </is>
      </c>
      <c r="E84" t="inlineStr">
        <is>
          <t>input</t>
        </is>
      </c>
      <c r="F84" t="inlineStr">
        <is>
          <t>Coverage G</t>
        </is>
      </c>
      <c r="G84" t="inlineStr">
        <is>
          <t>Loc #1;Loc #2;Loc #3;Loc #4;Loc #5;Loc #6</t>
        </is>
      </c>
    </row>
    <row r="85">
      <c r="A85" t="inlineStr">
        <is>
          <t>f_17_location_d79</t>
        </is>
      </c>
      <c r="B85" t="inlineStr">
        <is>
          <t>D79</t>
        </is>
      </c>
      <c r="C85" t="inlineStr">
        <is>
          <t>dropdown</t>
        </is>
      </c>
      <c r="D85" t="inlineStr">
        <is>
          <t>#17 (Location #)</t>
        </is>
      </c>
      <c r="E85" t="inlineStr">
        <is>
          <t>input</t>
        </is>
      </c>
      <c r="F85" t="inlineStr">
        <is>
          <t>Coverage G</t>
        </is>
      </c>
      <c r="G85" t="inlineStr">
        <is>
          <t>Loc #1;Loc #2;Loc #3;Loc #4;Loc #5;Loc #6</t>
        </is>
      </c>
    </row>
    <row r="86">
      <c r="A86" t="inlineStr">
        <is>
          <t>f_18_location_d80</t>
        </is>
      </c>
      <c r="B86" t="inlineStr">
        <is>
          <t>D80</t>
        </is>
      </c>
      <c r="C86" t="inlineStr">
        <is>
          <t>dropdown</t>
        </is>
      </c>
      <c r="D86" t="inlineStr">
        <is>
          <t>#18 (Location #)</t>
        </is>
      </c>
      <c r="E86" t="inlineStr">
        <is>
          <t>input</t>
        </is>
      </c>
      <c r="F86" t="inlineStr">
        <is>
          <t>Coverage G</t>
        </is>
      </c>
      <c r="G86" t="inlineStr">
        <is>
          <t>Loc #1;Loc #2;Loc #3;Loc #4;Loc #5;Loc #6</t>
        </is>
      </c>
    </row>
    <row r="87">
      <c r="A87" t="inlineStr">
        <is>
          <t>f_19_location_d81</t>
        </is>
      </c>
      <c r="B87" t="inlineStr">
        <is>
          <t>D81</t>
        </is>
      </c>
      <c r="C87" t="inlineStr">
        <is>
          <t>dropdown</t>
        </is>
      </c>
      <c r="D87" t="inlineStr">
        <is>
          <t>#19 (Location #)</t>
        </is>
      </c>
      <c r="E87" t="inlineStr">
        <is>
          <t>input</t>
        </is>
      </c>
      <c r="F87" t="inlineStr">
        <is>
          <t>Coverage G</t>
        </is>
      </c>
      <c r="G87" t="inlineStr">
        <is>
          <t>Loc #1;Loc #2;Loc #3;Loc #4;Loc #5;Loc #6</t>
        </is>
      </c>
    </row>
    <row r="88">
      <c r="A88" t="inlineStr">
        <is>
          <t>f_20_location_d82</t>
        </is>
      </c>
      <c r="B88" t="inlineStr">
        <is>
          <t>D82</t>
        </is>
      </c>
      <c r="C88" t="inlineStr">
        <is>
          <t>dropdown</t>
        </is>
      </c>
      <c r="D88" t="inlineStr">
        <is>
          <t>#20 (Location #)</t>
        </is>
      </c>
      <c r="E88" t="inlineStr">
        <is>
          <t>input</t>
        </is>
      </c>
      <c r="F88" t="inlineStr">
        <is>
          <t>Coverage G</t>
        </is>
      </c>
      <c r="G88" t="inlineStr">
        <is>
          <t>Loc #1;Loc #2;Loc #3;Loc #4;Loc #5;Loc #6</t>
        </is>
      </c>
    </row>
    <row r="89">
      <c r="A89" t="inlineStr">
        <is>
          <t>f_1_location_d87</t>
        </is>
      </c>
      <c r="B89" t="inlineStr">
        <is>
          <t>D87</t>
        </is>
      </c>
      <c r="C89" t="inlineStr">
        <is>
          <t>dropdown</t>
        </is>
      </c>
      <c r="D89" t="inlineStr">
        <is>
          <t>#1 (Location #)</t>
        </is>
      </c>
      <c r="E89" t="inlineStr">
        <is>
          <t>input</t>
        </is>
      </c>
      <c r="F89" t="inlineStr">
        <is>
          <t>Coverage G</t>
        </is>
      </c>
      <c r="G89" t="inlineStr">
        <is>
          <t>Loc #1;Loc #2;Loc #3;Loc #4;Loc #5;Loc #6</t>
        </is>
      </c>
    </row>
    <row r="90">
      <c r="A90" t="inlineStr">
        <is>
          <t>f_3_b104</t>
        </is>
      </c>
      <c r="B90" t="inlineStr">
        <is>
          <t>B104</t>
        </is>
      </c>
      <c r="C90" t="inlineStr">
        <is>
          <t>number</t>
        </is>
      </c>
      <c r="D90" t="inlineStr">
        <is>
          <t>#3</t>
        </is>
      </c>
      <c r="E90" t="inlineStr">
        <is>
          <t>input</t>
        </is>
      </c>
      <c r="F90" t="inlineStr">
        <is>
          <t>Taxes and Totals</t>
        </is>
      </c>
      <c r="H90" t="inlineStr">
        <is>
          <t>0</t>
        </is>
      </c>
    </row>
    <row r="91">
      <c r="A91" t="inlineStr">
        <is>
          <t>f_4_b105</t>
        </is>
      </c>
      <c r="B91" t="inlineStr">
        <is>
          <t>B105</t>
        </is>
      </c>
      <c r="C91" t="inlineStr">
        <is>
          <t>number</t>
        </is>
      </c>
      <c r="D91" t="inlineStr">
        <is>
          <t>#4</t>
        </is>
      </c>
      <c r="E91" t="inlineStr">
        <is>
          <t>input</t>
        </is>
      </c>
      <c r="F91" t="inlineStr">
        <is>
          <t>Taxes and Totals</t>
        </is>
      </c>
      <c r="H91" t="inlineStr">
        <is>
          <t>0</t>
        </is>
      </c>
    </row>
    <row r="92">
      <c r="A92" t="inlineStr">
        <is>
          <t>location_b108</t>
        </is>
      </c>
      <c r="B92" t="inlineStr">
        <is>
          <t>B108</t>
        </is>
      </c>
      <c r="C92" t="inlineStr">
        <is>
          <t>text</t>
        </is>
      </c>
      <c r="D92" t="inlineStr">
        <is>
          <t>Location</t>
        </is>
      </c>
      <c r="E92" t="inlineStr">
        <is>
          <t>input</t>
        </is>
      </c>
      <c r="F92" t="inlineStr">
        <is>
          <t>Taxes and Totals</t>
        </is>
      </c>
      <c r="H92" t="inlineStr">
        <is>
          <t>Address</t>
        </is>
      </c>
    </row>
    <row r="93">
      <c r="A93" t="inlineStr">
        <is>
          <t>total_premium</t>
        </is>
      </c>
      <c r="B93" t="inlineStr">
        <is>
          <t>M100</t>
        </is>
      </c>
      <c r="C93" t="inlineStr">
        <is>
          <t>number</t>
        </is>
      </c>
      <c r="D93" t="inlineStr">
        <is>
          <t>Total Premium</t>
        </is>
      </c>
      <c r="E93" t="inlineStr">
        <is>
          <t>output</t>
        </is>
      </c>
      <c r="F93" t="inlineStr">
        <is>
          <t>Results</t>
        </is>
      </c>
    </row>
    <row r="94">
      <c r="A94" t="inlineStr">
        <is>
          <t>total_premium_slt</t>
        </is>
      </c>
      <c r="B94" t="inlineStr">
        <is>
          <t>M109</t>
        </is>
      </c>
      <c r="C94" t="inlineStr">
        <is>
          <t>number</t>
        </is>
      </c>
      <c r="D94" t="inlineStr">
        <is>
          <t>Total Premium + SLT</t>
        </is>
      </c>
      <c r="E94" t="inlineStr">
        <is>
          <t>output</t>
        </is>
      </c>
      <c r="F94" t="inlineStr">
        <is>
          <t>Results</t>
        </is>
      </c>
    </row>
    <row r="95">
      <c r="A95" t="inlineStr">
        <is>
          <t>total_premium_slt_component</t>
        </is>
      </c>
      <c r="B95" t="inlineStr">
        <is>
          <t>M102</t>
        </is>
      </c>
      <c r="C95" t="inlineStr">
        <is>
          <t>number</t>
        </is>
      </c>
      <c r="D95" t="inlineStr">
        <is>
          <t>Total Premium SLT</t>
        </is>
      </c>
      <c r="E95" t="inlineStr">
        <is>
          <t>output</t>
        </is>
      </c>
      <c r="F95" t="inlineStr">
        <is>
          <t>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 Gould</dc:creator>
  <dcterms:created xmlns:dcterms="http://purl.org/dc/terms/" xmlns:xsi="http://www.w3.org/2001/XMLSchema-instance" xsi:type="dcterms:W3CDTF">2024-08-30T14:24:18Z</dcterms:created>
  <dcterms:modified xmlns:dcterms="http://purl.org/dc/terms/" xmlns:xsi="http://www.w3.org/2001/XMLSchema-instance" xsi:type="dcterms:W3CDTF">2026-03-17T19:03:37Z</dcterms:modified>
</cp:coreProperties>
</file>