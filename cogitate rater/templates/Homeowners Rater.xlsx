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https://coherentcapital.sharepoint.com/sites/CoherentSales/Shared Documents/Spark (Product Factory)/Test Excel Models/US Homeowners General/"/>
    </mc:Choice>
  </mc:AlternateContent>
  <xr:revisionPtr revIDLastSave="2908" documentId="8_{1B035852-4B85-4E97-9969-9D9D4BF9D8C6}" xr6:coauthVersionLast="47" xr6:coauthVersionMax="47" xr10:uidLastSave="{CFB39305-2F43-4266-A9AF-7516BB66831E}"/>
  <bookViews>
    <workbookView xWindow="-120" yWindow="-120" windowWidth="29040" windowHeight="15840" xr2:uid="{C72D81A9-7114-4289-8D42-DC8EF0405ED0}"/>
  </bookViews>
  <sheets>
    <sheet name="Homeowners" sheetId="1" r:id="rId1"/>
  </sheets>
  <definedNames>
    <definedName name="_xlnm._FilterDatabase" localSheetId="0" hidden="1">Homeowners!$B$5:$G$139</definedName>
    <definedName name="Xinput_01_Year_Built">Homeowners!$E$6</definedName>
    <definedName name="Xinput_02_Building_limit">Homeowners!$E$8</definedName>
    <definedName name="Xinput_03_Coverage_type">Homeowners!$E$10</definedName>
    <definedName name="Xinput_04_Territory">Homeowners!$E$12</definedName>
    <definedName name="Xinput_05_Base_deductible_factor">Homeowners!$E$40</definedName>
    <definedName name="Xinput_06_Burglar_alarm">Homeowners!$E$45</definedName>
    <definedName name="Xinput_07_Lien_free">Homeowners!$E$52</definedName>
    <definedName name="Xinput_08_Security_protection">Homeowners!$E$58</definedName>
    <definedName name="Xinput_09_Renovation_or_Construction_surcharge">Homeowners!$E$75</definedName>
    <definedName name="Xoutput_Premium_Adjusted">Homeowners!$J$9</definedName>
    <definedName name="Xoutput_Premium_Adjustments">Homeowners!$J$10</definedName>
    <definedName name="Xoutput_Premium_AllOther">Homeowners!$J$8</definedName>
    <definedName name="Xoutput_Premium_Total">Homeowners!$J$11</definedName>
    <definedName name="Xoutput_Premium_Wildfire">Homeowners!$J$7</definedName>
    <definedName name="Xoutput_Premium_WindHail">Homeowners!$J$6</definedName>
    <definedName name="Xoutput_Refer">Homeowners!$J$12</definedName>
    <definedName name="Xoutput_V1">Homeowners!$J$13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720" i="1" l="1"/>
  <c r="AI719" i="1" s="1"/>
  <c r="D70" i="1"/>
  <c r="D57" i="1"/>
  <c r="D56" i="1"/>
  <c r="D44" i="1"/>
  <c r="D43" i="1"/>
  <c r="D39" i="1"/>
  <c r="D38" i="1"/>
  <c r="D32" i="1"/>
  <c r="D28" i="1"/>
  <c r="D27" i="1"/>
  <c r="D23" i="1"/>
  <c r="D22" i="1"/>
  <c r="D20" i="1"/>
  <c r="D18" i="1"/>
  <c r="D14" i="1"/>
  <c r="D13" i="1"/>
  <c r="D11" i="1"/>
  <c r="D9" i="1"/>
  <c r="S16" i="1"/>
  <c r="R16" i="1"/>
  <c r="Q16" i="1"/>
  <c r="S15" i="1"/>
  <c r="R15" i="1"/>
  <c r="Q15" i="1"/>
  <c r="B8" i="1"/>
  <c r="D69" i="1"/>
  <c r="B75" i="1"/>
  <c r="D78" i="1"/>
  <c r="D80" i="1"/>
  <c r="D82" i="1"/>
  <c r="D87" i="1"/>
  <c r="D89" i="1"/>
  <c r="D91" i="1"/>
  <c r="D93" i="1"/>
  <c r="D99" i="1"/>
  <c r="D101" i="1"/>
  <c r="D103" i="1"/>
  <c r="R30" i="1"/>
  <c r="AE716" i="1"/>
  <c r="F92" i="1" s="1"/>
  <c r="T65" i="1"/>
  <c r="T64" i="1"/>
  <c r="T63" i="1"/>
  <c r="T62" i="1"/>
  <c r="T61" i="1"/>
  <c r="T59" i="1"/>
  <c r="T58" i="1"/>
  <c r="T57" i="1"/>
  <c r="T55" i="1"/>
  <c r="F67" i="1"/>
  <c r="F66" i="1"/>
  <c r="F65" i="1"/>
  <c r="S52" i="1"/>
  <c r="R52" i="1"/>
  <c r="Q52" i="1"/>
  <c r="F64" i="1"/>
  <c r="F63" i="1"/>
  <c r="S50" i="1"/>
  <c r="Q50" i="1"/>
  <c r="F62" i="1"/>
  <c r="S49" i="1"/>
  <c r="R49" i="1"/>
  <c r="Q49" i="1"/>
  <c r="F61" i="1"/>
  <c r="S48" i="1"/>
  <c r="R48" i="1"/>
  <c r="Q48" i="1"/>
  <c r="F60" i="1"/>
  <c r="F59" i="1"/>
  <c r="F58" i="1"/>
  <c r="S43" i="1"/>
  <c r="S41" i="1"/>
  <c r="R41" i="1"/>
  <c r="Q41" i="1"/>
  <c r="S37" i="1"/>
  <c r="R37" i="1"/>
  <c r="Q37" i="1"/>
  <c r="R29" i="1"/>
  <c r="R28" i="1"/>
  <c r="R26" i="1"/>
  <c r="R25" i="1"/>
  <c r="Q25" i="1"/>
  <c r="S24" i="1"/>
  <c r="S23" i="1"/>
  <c r="R23" i="1"/>
  <c r="S22" i="1"/>
  <c r="R22" i="1"/>
  <c r="S19" i="1"/>
  <c r="R19" i="1"/>
  <c r="Q19" i="1"/>
  <c r="S12" i="1"/>
  <c r="AI722" i="1"/>
  <c r="AI721" i="1"/>
  <c r="AI720" i="1"/>
  <c r="F104" i="1"/>
  <c r="F102" i="1"/>
  <c r="F96" i="1"/>
  <c r="F100" i="1"/>
  <c r="F94" i="1"/>
  <c r="B6" i="1"/>
  <c r="B10" i="1"/>
  <c r="B12" i="1"/>
  <c r="B45" i="1"/>
  <c r="D31" i="1"/>
  <c r="B40" i="1"/>
  <c r="B58" i="1"/>
  <c r="B52" i="1"/>
  <c r="I8" i="1"/>
  <c r="I7" i="1"/>
  <c r="I6" i="1"/>
  <c r="R27" i="1"/>
  <c r="AG507" i="1"/>
  <c r="AG506" i="1"/>
  <c r="S44" i="1"/>
  <c r="R44" i="1"/>
  <c r="Q44" i="1"/>
  <c r="AF286" i="1"/>
  <c r="AF284" i="1"/>
  <c r="AF283" i="1"/>
  <c r="AF282" i="1"/>
  <c r="R31" i="1" s="1"/>
  <c r="S11" i="1"/>
  <c r="R11" i="1"/>
  <c r="Q11" i="1"/>
  <c r="S9" i="1"/>
  <c r="R9" i="1"/>
  <c r="Q9" i="1"/>
  <c r="AI507" i="1"/>
  <c r="AH507" i="1"/>
  <c r="AI506" i="1"/>
  <c r="AH506" i="1"/>
  <c r="AI505" i="1"/>
  <c r="S51" i="1" s="1"/>
  <c r="AH505" i="1"/>
  <c r="R51" i="1" s="1"/>
  <c r="AG505" i="1"/>
  <c r="Q51" i="1" s="1"/>
  <c r="AL587" i="1"/>
  <c r="AK587" i="1"/>
  <c r="AJ587" i="1"/>
  <c r="AL586" i="1"/>
  <c r="AK586" i="1"/>
  <c r="AJ586" i="1"/>
  <c r="S47" i="1"/>
  <c r="R47" i="1"/>
  <c r="Q47" i="1"/>
  <c r="AJ633" i="1"/>
  <c r="S46" i="1" s="1"/>
  <c r="AJ634" i="1"/>
  <c r="AJ632" i="1"/>
  <c r="S45" i="1"/>
  <c r="R45" i="1"/>
  <c r="Q45" i="1"/>
  <c r="AG525" i="1"/>
  <c r="F7" i="1"/>
  <c r="R40" i="1" s="1"/>
  <c r="AE544" i="1"/>
  <c r="F68" i="1" s="1"/>
  <c r="AE543" i="1"/>
  <c r="AE542" i="1"/>
  <c r="F6" i="1"/>
  <c r="Q36" i="1" s="1"/>
  <c r="Q35" i="1"/>
  <c r="S33" i="1"/>
  <c r="R34" i="1"/>
  <c r="F12" i="1"/>
  <c r="AA258" i="1"/>
  <c r="AA257" i="1"/>
  <c r="AA256" i="1"/>
  <c r="AA255" i="1"/>
  <c r="AA254" i="1"/>
  <c r="AA253" i="1"/>
  <c r="AA252" i="1"/>
  <c r="AA251" i="1"/>
  <c r="R21" i="1" s="1"/>
  <c r="S20" i="1"/>
  <c r="R20" i="1"/>
  <c r="Q20" i="1"/>
  <c r="S18" i="1"/>
  <c r="R18" i="1"/>
  <c r="Q18" i="1"/>
  <c r="S8" i="1"/>
  <c r="X8" i="1" s="1"/>
  <c r="R8" i="1"/>
  <c r="W8" i="1" s="1"/>
  <c r="Q8" i="1"/>
  <c r="V8" i="1" s="1"/>
  <c r="J12" i="1" l="1"/>
  <c r="T60" i="1"/>
  <c r="Q38" i="1"/>
  <c r="R38" i="1"/>
  <c r="S38" i="1"/>
  <c r="V9" i="1"/>
  <c r="V10" i="1" s="1"/>
  <c r="V11" i="1" s="1"/>
  <c r="V12" i="1" s="1"/>
  <c r="V13" i="1" s="1"/>
  <c r="V14" i="1" s="1"/>
  <c r="V15" i="1" s="1"/>
  <c r="V16" i="1" s="1"/>
  <c r="V17" i="1" s="1"/>
  <c r="V18" i="1" s="1"/>
  <c r="V19" i="1" s="1"/>
  <c r="V20" i="1" s="1"/>
  <c r="V21" i="1" s="1"/>
  <c r="V22" i="1" s="1"/>
  <c r="V23" i="1" s="1"/>
  <c r="V24" i="1" s="1"/>
  <c r="V25" i="1" s="1"/>
  <c r="V26" i="1" s="1"/>
  <c r="V27" i="1" s="1"/>
  <c r="V28" i="1" s="1"/>
  <c r="V29" i="1" s="1"/>
  <c r="V30" i="1" s="1"/>
  <c r="V31" i="1" s="1"/>
  <c r="X9" i="1"/>
  <c r="X10" i="1" s="1"/>
  <c r="X11" i="1" s="1"/>
  <c r="X12" i="1" s="1"/>
  <c r="X13" i="1" s="1"/>
  <c r="X14" i="1" s="1"/>
  <c r="X15" i="1" s="1"/>
  <c r="X16" i="1" s="1"/>
  <c r="X17" i="1" s="1"/>
  <c r="X18" i="1" s="1"/>
  <c r="X19" i="1" s="1"/>
  <c r="X20" i="1" s="1"/>
  <c r="W9" i="1"/>
  <c r="W10" i="1" s="1"/>
  <c r="W11" i="1" s="1"/>
  <c r="W12" i="1" s="1"/>
  <c r="W13" i="1" s="1"/>
  <c r="W14" i="1" s="1"/>
  <c r="W15" i="1" s="1"/>
  <c r="W16" i="1" s="1"/>
  <c r="W17" i="1" s="1"/>
  <c r="W18" i="1" s="1"/>
  <c r="W19" i="1" s="1"/>
  <c r="W20" i="1" s="1"/>
  <c r="W21" i="1" s="1"/>
  <c r="W22" i="1" s="1"/>
  <c r="W23" i="1" s="1"/>
  <c r="W24" i="1" s="1"/>
  <c r="W25" i="1" s="1"/>
  <c r="W26" i="1" s="1"/>
  <c r="W27" i="1" s="1"/>
  <c r="W28" i="1" s="1"/>
  <c r="W29" i="1" s="1"/>
  <c r="W30" i="1" s="1"/>
  <c r="W31" i="1" s="1"/>
  <c r="Q46" i="1"/>
  <c r="R46" i="1"/>
  <c r="S40" i="1"/>
  <c r="S36" i="1"/>
  <c r="Q40" i="1"/>
  <c r="R36" i="1"/>
  <c r="G12" i="1"/>
  <c r="S21" i="1"/>
  <c r="AK420" i="1" l="1"/>
  <c r="Q32" i="1" s="1"/>
  <c r="V32" i="1" s="1"/>
  <c r="V33" i="1" s="1"/>
  <c r="V34" i="1" s="1"/>
  <c r="V35" i="1" s="1"/>
  <c r="V36" i="1" s="1"/>
  <c r="V37" i="1" s="1"/>
  <c r="AK393" i="1"/>
  <c r="AM420" i="1"/>
  <c r="S32" i="1" s="1"/>
  <c r="AM393" i="1"/>
  <c r="C7" i="1"/>
  <c r="C8" i="1" s="1"/>
  <c r="D8" i="1" s="1"/>
  <c r="D6" i="1"/>
  <c r="X21" i="1"/>
  <c r="X22" i="1" s="1"/>
  <c r="X23" i="1" s="1"/>
  <c r="X24" i="1" s="1"/>
  <c r="X25" i="1" s="1"/>
  <c r="X26" i="1" s="1"/>
  <c r="X27" i="1" s="1"/>
  <c r="X28" i="1" s="1"/>
  <c r="X29" i="1" s="1"/>
  <c r="X30" i="1" s="1"/>
  <c r="X31" i="1" s="1"/>
  <c r="AL393" i="1"/>
  <c r="AL420" i="1"/>
  <c r="R32" i="1" s="1"/>
  <c r="W32" i="1" s="1"/>
  <c r="W33" i="1" s="1"/>
  <c r="W34" i="1" s="1"/>
  <c r="W35" i="1" s="1"/>
  <c r="W36" i="1" s="1"/>
  <c r="W37" i="1" s="1"/>
  <c r="C9" i="1" l="1"/>
  <c r="D7" i="1"/>
  <c r="W38" i="1"/>
  <c r="W39" i="1" s="1"/>
  <c r="W40" i="1" s="1"/>
  <c r="W41" i="1" s="1"/>
  <c r="W42" i="1" s="1"/>
  <c r="W43" i="1" s="1"/>
  <c r="W44" i="1" s="1"/>
  <c r="W45" i="1" s="1"/>
  <c r="W46" i="1" s="1"/>
  <c r="W47" i="1" s="1"/>
  <c r="W48" i="1" s="1"/>
  <c r="W49" i="1" s="1"/>
  <c r="W50" i="1" s="1"/>
  <c r="W51" i="1" s="1"/>
  <c r="W52" i="1" s="1"/>
  <c r="V38" i="1"/>
  <c r="V39" i="1" s="1"/>
  <c r="V40" i="1" s="1"/>
  <c r="V41" i="1" s="1"/>
  <c r="V42" i="1" s="1"/>
  <c r="V43" i="1" s="1"/>
  <c r="V44" i="1" s="1"/>
  <c r="V45" i="1" s="1"/>
  <c r="V46" i="1" s="1"/>
  <c r="V47" i="1" s="1"/>
  <c r="V48" i="1" s="1"/>
  <c r="V49" i="1" s="1"/>
  <c r="V50" i="1" s="1"/>
  <c r="V51" i="1" s="1"/>
  <c r="V52" i="1" s="1"/>
  <c r="X32" i="1"/>
  <c r="X33" i="1" s="1"/>
  <c r="X34" i="1" s="1"/>
  <c r="X35" i="1" s="1"/>
  <c r="X36" i="1" s="1"/>
  <c r="X37" i="1" s="1"/>
  <c r="X38" i="1" s="1"/>
  <c r="X39" i="1" s="1"/>
  <c r="X40" i="1" s="1"/>
  <c r="X41" i="1" s="1"/>
  <c r="X42" i="1" s="1"/>
  <c r="X43" i="1" s="1"/>
  <c r="X44" i="1" s="1"/>
  <c r="X45" i="1" s="1"/>
  <c r="X46" i="1" s="1"/>
  <c r="X47" i="1" s="1"/>
  <c r="X48" i="1" s="1"/>
  <c r="X49" i="1" s="1"/>
  <c r="X50" i="1" s="1"/>
  <c r="X51" i="1" s="1"/>
  <c r="X52" i="1" s="1"/>
  <c r="C10" i="1" l="1"/>
  <c r="D10" i="1" s="1"/>
  <c r="X53" i="1"/>
  <c r="J8" i="1" s="1"/>
  <c r="V53" i="1"/>
  <c r="J6" i="1" s="1"/>
  <c r="W53" i="1"/>
  <c r="J7" i="1" s="1"/>
  <c r="C11" i="1" l="1"/>
  <c r="Y53" i="1"/>
  <c r="C12" i="1" l="1"/>
  <c r="D12" i="1" s="1"/>
  <c r="Y55" i="1"/>
  <c r="Y56" i="1" s="1"/>
  <c r="Y57" i="1" s="1"/>
  <c r="Y58" i="1" s="1"/>
  <c r="Y59" i="1" s="1"/>
  <c r="Y60" i="1" s="1"/>
  <c r="Y61" i="1" s="1"/>
  <c r="Y62" i="1" s="1"/>
  <c r="Y63" i="1" s="1"/>
  <c r="Y64" i="1" s="1"/>
  <c r="Y65" i="1" s="1"/>
  <c r="Y68" i="1" s="1"/>
  <c r="J9" i="1"/>
  <c r="C13" i="1" l="1"/>
  <c r="C14" i="1" s="1"/>
  <c r="Y66" i="1"/>
  <c r="J10" i="1" s="1"/>
  <c r="J11" i="1"/>
  <c r="C15" i="1" l="1"/>
  <c r="D15" i="1" s="1"/>
  <c r="C16" i="1" l="1"/>
  <c r="D16" i="1" l="1"/>
  <c r="C17" i="1"/>
  <c r="D17" i="1" s="1"/>
  <c r="C18" i="1" l="1"/>
  <c r="C19" i="1" l="1"/>
  <c r="D19" i="1" s="1"/>
  <c r="C20" i="1" l="1"/>
  <c r="C21" i="1" s="1"/>
  <c r="D21" i="1" s="1"/>
  <c r="C22" i="1" l="1"/>
  <c r="C23" i="1" s="1"/>
  <c r="C24" i="1" s="1"/>
  <c r="D24" i="1" s="1"/>
  <c r="C25" i="1" l="1"/>
  <c r="C26" i="1" s="1"/>
  <c r="C27" i="1" l="1"/>
  <c r="C28" i="1" s="1"/>
  <c r="C29" i="1" s="1"/>
  <c r="D29" i="1" s="1"/>
  <c r="D25" i="1"/>
  <c r="D26" i="1"/>
  <c r="C30" i="1" l="1"/>
  <c r="D30" i="1" s="1"/>
  <c r="C31" i="1" l="1"/>
  <c r="C32" i="1" s="1"/>
  <c r="C33" i="1" l="1"/>
  <c r="C34" i="1" s="1"/>
  <c r="D34" i="1" s="1"/>
  <c r="C35" i="1" l="1"/>
  <c r="D35" i="1" s="1"/>
  <c r="D33" i="1"/>
  <c r="C36" i="1" l="1"/>
  <c r="C37" i="1" s="1"/>
  <c r="D36" i="1"/>
  <c r="D37" i="1"/>
  <c r="C38" i="1" l="1"/>
  <c r="C39" i="1" s="1"/>
  <c r="C40" i="1" l="1"/>
  <c r="D40" i="1" l="1"/>
  <c r="C41" i="1"/>
  <c r="D41" i="1" l="1"/>
  <c r="C42" i="1"/>
  <c r="D42" i="1" l="1"/>
  <c r="C43" i="1"/>
  <c r="C44" i="1" l="1"/>
  <c r="C45" i="1" l="1"/>
  <c r="D45" i="1" s="1"/>
  <c r="C46" i="1" l="1"/>
  <c r="D46" i="1" s="1"/>
  <c r="C47" i="1" l="1"/>
  <c r="D47" i="1" s="1"/>
  <c r="C48" i="1" l="1"/>
  <c r="D48" i="1" l="1"/>
  <c r="C49" i="1"/>
  <c r="C50" i="1" s="1"/>
  <c r="D50" i="1" s="1"/>
  <c r="C51" i="1" l="1"/>
  <c r="C52" i="1" s="1"/>
  <c r="D52" i="1" s="1"/>
  <c r="D49" i="1"/>
  <c r="C53" i="1" l="1"/>
  <c r="D53" i="1" s="1"/>
  <c r="D51" i="1"/>
  <c r="C54" i="1" l="1"/>
  <c r="C55" i="1" s="1"/>
  <c r="D54" i="1"/>
  <c r="D55" i="1" l="1"/>
  <c r="C56" i="1"/>
  <c r="C57" i="1" s="1"/>
  <c r="C58" i="1" s="1"/>
  <c r="D58" i="1" s="1"/>
  <c r="C59" i="1" l="1"/>
  <c r="D59" i="1" s="1"/>
  <c r="C60" i="1" l="1"/>
  <c r="D60" i="1" s="1"/>
  <c r="C61" i="1" l="1"/>
  <c r="C62" i="1" s="1"/>
  <c r="D61" i="1"/>
  <c r="C63" i="1" l="1"/>
  <c r="D62" i="1"/>
  <c r="D63" i="1" l="1"/>
  <c r="C64" i="1"/>
  <c r="D64" i="1" l="1"/>
  <c r="C65" i="1"/>
  <c r="D65" i="1" l="1"/>
  <c r="C66" i="1"/>
  <c r="D66" i="1" l="1"/>
  <c r="C67" i="1"/>
  <c r="D67" i="1" l="1"/>
  <c r="C68" i="1"/>
  <c r="C69" i="1" l="1"/>
  <c r="C70" i="1" s="1"/>
  <c r="C71" i="1" s="1"/>
  <c r="D68" i="1"/>
  <c r="D71" i="1" l="1"/>
  <c r="C72" i="1"/>
  <c r="D72" i="1" l="1"/>
  <c r="C73" i="1"/>
  <c r="D73" i="1" l="1"/>
  <c r="C74" i="1"/>
  <c r="D74" i="1" l="1"/>
  <c r="C75" i="1"/>
  <c r="D75" i="1" l="1"/>
  <c r="C76" i="1"/>
  <c r="D76" i="1" l="1"/>
  <c r="C77" i="1"/>
  <c r="C78" i="1" s="1"/>
  <c r="C79" i="1" s="1"/>
  <c r="D79" i="1" s="1"/>
  <c r="D77" i="1" l="1"/>
  <c r="C80" i="1"/>
  <c r="C81" i="1" l="1"/>
  <c r="D81" i="1" l="1"/>
  <c r="C82" i="1"/>
  <c r="C83" i="1" l="1"/>
  <c r="C84" i="1" s="1"/>
  <c r="D84" i="1" s="1"/>
  <c r="D83" i="1" l="1"/>
  <c r="C85" i="1"/>
  <c r="D85" i="1" l="1"/>
  <c r="C86" i="1"/>
  <c r="D86" i="1" l="1"/>
  <c r="C87" i="1"/>
  <c r="C88" i="1" l="1"/>
  <c r="C89" i="1" s="1"/>
  <c r="C90" i="1" s="1"/>
  <c r="D90" i="1" s="1"/>
  <c r="C91" i="1" l="1"/>
  <c r="C92" i="1" s="1"/>
  <c r="D92" i="1" s="1"/>
  <c r="D88" i="1"/>
  <c r="C93" i="1" l="1"/>
  <c r="C94" i="1" l="1"/>
  <c r="C95" i="1" s="1"/>
  <c r="D95" i="1" s="1"/>
  <c r="D94" i="1" l="1"/>
  <c r="C96" i="1"/>
  <c r="D96" i="1" l="1"/>
  <c r="C97" i="1"/>
  <c r="D97" i="1" l="1"/>
  <c r="C98" i="1"/>
  <c r="D98" i="1" l="1"/>
  <c r="C99" i="1"/>
  <c r="C100" i="1" s="1"/>
  <c r="D100" i="1" s="1"/>
  <c r="C101" i="1" l="1"/>
  <c r="C102" i="1" s="1"/>
  <c r="D102" i="1" s="1"/>
  <c r="C103" i="1" l="1"/>
  <c r="C104" i="1" s="1"/>
  <c r="D104" i="1" s="1"/>
</calcChain>
</file>

<file path=xl/sharedStrings.xml><?xml version="1.0" encoding="utf-8"?>
<sst xmlns="http://schemas.openxmlformats.org/spreadsheetml/2006/main" count="918" uniqueCount="382">
  <si>
    <t>Coverage adjustments</t>
  </si>
  <si>
    <t>Mold remediation expenses</t>
  </si>
  <si>
    <t>Actual cash value</t>
  </si>
  <si>
    <t>GreenWise upgrade</t>
  </si>
  <si>
    <t>Fire protection factor</t>
  </si>
  <si>
    <t>Fire resistive discount</t>
  </si>
  <si>
    <t>Residential sprinkler discount</t>
  </si>
  <si>
    <t>New house discount</t>
  </si>
  <si>
    <t>X</t>
  </si>
  <si>
    <t>Gated community patrol discount</t>
  </si>
  <si>
    <t>Superior protection discount</t>
  </si>
  <si>
    <t>Building fire protection discount</t>
  </si>
  <si>
    <t>Renovated house discount</t>
  </si>
  <si>
    <t>Gated community discount</t>
  </si>
  <si>
    <t>Building security protection discount</t>
  </si>
  <si>
    <t>Rented to others surcharge</t>
  </si>
  <si>
    <t>Portfolio discounts</t>
  </si>
  <si>
    <t>Claims rating factor</t>
  </si>
  <si>
    <t>Renovation/construction surcharge</t>
  </si>
  <si>
    <t>Undervalue surcharge</t>
  </si>
  <si>
    <t>Vacant house surcharge</t>
  </si>
  <si>
    <t>Wind or hail</t>
  </si>
  <si>
    <t>Wildfire</t>
  </si>
  <si>
    <t>All other perils</t>
  </si>
  <si>
    <t>Base premium</t>
  </si>
  <si>
    <t>∙ other permanent structures</t>
  </si>
  <si>
    <t>Coverage type factor</t>
  </si>
  <si>
    <t>Discount writing company factor</t>
  </si>
  <si>
    <t>Territory factor</t>
  </si>
  <si>
    <t>Burglar alarm factor</t>
  </si>
  <si>
    <t>Condo/coop preference factor</t>
  </si>
  <si>
    <t>∙ contents</t>
  </si>
  <si>
    <t>∙ additions and alterations</t>
  </si>
  <si>
    <t>Suburban rating discount</t>
  </si>
  <si>
    <t>Roof covering surcharge</t>
  </si>
  <si>
    <t>Shelter in place discount</t>
  </si>
  <si>
    <t>Wildfire adjustment factor</t>
  </si>
  <si>
    <t>Flame/ember resistant vents discount</t>
  </si>
  <si>
    <t>Defensible space adjustment</t>
  </si>
  <si>
    <t>Wildfire suppression discount</t>
  </si>
  <si>
    <t>Value factor</t>
  </si>
  <si>
    <t>Base deductible factor</t>
  </si>
  <si>
    <t>Brush fire or wildfire deductible factor</t>
  </si>
  <si>
    <t>Wind or hail deductible factor</t>
  </si>
  <si>
    <t>Premier client discount</t>
  </si>
  <si>
    <t>Lien free discount</t>
  </si>
  <si>
    <t>Payment history discount</t>
  </si>
  <si>
    <t>Cancellation surcharge</t>
  </si>
  <si>
    <t>Base premium by peril</t>
  </si>
  <si>
    <t>House</t>
  </si>
  <si>
    <t>Condominium/Cooperative</t>
  </si>
  <si>
    <t>Renters</t>
  </si>
  <si>
    <t>Type of coverage</t>
  </si>
  <si>
    <t>Basic premium chart</t>
  </si>
  <si>
    <t>Coverage type chart</t>
  </si>
  <si>
    <t>Standard renters</t>
  </si>
  <si>
    <t>Deluxe renters</t>
  </si>
  <si>
    <t>Standard condominium or cooperative</t>
  </si>
  <si>
    <t>Deluxe condominium or cooperative**</t>
  </si>
  <si>
    <t>Deluxe house without contents or with fire contents*</t>
  </si>
  <si>
    <t>Deluxe house/standard contents</t>
  </si>
  <si>
    <t>Deluxe house/deluxe contents</t>
  </si>
  <si>
    <t>* There is an additional charge for Fire contents coverage.</t>
  </si>
  <si>
    <t>** If Condominium Preference or Cooperative Preference Coverage applies, multiply the factor above by 0.85.</t>
  </si>
  <si>
    <t>Discount writing company chart</t>
  </si>
  <si>
    <t>Pacific Indemnity Company</t>
  </si>
  <si>
    <t>Vigilant Insurance Company</t>
  </si>
  <si>
    <t>Condominium or cooperative</t>
  </si>
  <si>
    <t>Territory</t>
  </si>
  <si>
    <t>Territory relativity chart</t>
  </si>
  <si>
    <t>Condominium, cooperative or renters</t>
  </si>
  <si>
    <t>Contents adjustment</t>
  </si>
  <si>
    <t>For each 1% of contents coverage above 50% deluxe house coverage</t>
  </si>
  <si>
    <t>Reduced deluxe or standard contents purchased:</t>
  </si>
  <si>
    <t>Additional deluxe or standard contents purchase:</t>
  </si>
  <si>
    <t>For each 1% of contents coverage below 20% of deluxe house coverage</t>
  </si>
  <si>
    <t>For each 1% of contents coverage below 50% and above 20% of deluxe house coverage</t>
  </si>
  <si>
    <t>For deluxe house the contents value below 5% is zero</t>
  </si>
  <si>
    <t>Fire contents For every 1% of house coverage that is requested for fire contents amount, the factor is 0.5%</t>
  </si>
  <si>
    <t>Other permanent structures adjustment</t>
  </si>
  <si>
    <t>Factor</t>
  </si>
  <si>
    <t>Additional other permanent structures purchased:</t>
  </si>
  <si>
    <t>Reduced other permanent
structures purchased:</t>
  </si>
  <si>
    <t>The only other permanent structures value available below 5% is $5,000.</t>
  </si>
  <si>
    <t>Additions and alterations adjustment</t>
  </si>
  <si>
    <t>Additional additions and
alterations purchased:</t>
  </si>
  <si>
    <t>Reduced additions and alterations purchased:</t>
  </si>
  <si>
    <t>For each 1% of additions and alterations coverage above 10% of contents coverage</t>
  </si>
  <si>
    <t>For each 1% of additions and alterations coverage below 10% of contents coverage</t>
  </si>
  <si>
    <t>The only additions and alterations value available below 5% is $1,000</t>
  </si>
  <si>
    <t>Actual cash value adjustment</t>
  </si>
  <si>
    <t>Apply if actual cash value payment basis applies in lieu of replacement cost payment basis.</t>
  </si>
  <si>
    <t>House with deluxe or standard contents</t>
  </si>
  <si>
    <t>Mold remediation expenses coverage</t>
  </si>
  <si>
    <t>Houses</t>
  </si>
  <si>
    <t>Percentage of house coverage</t>
  </si>
  <si>
    <t>Surcharge</t>
  </si>
  <si>
    <t>Percentage of combined amount of contents and additions and alterations</t>
  </si>
  <si>
    <t>GreenWise upgrade coverage</t>
  </si>
  <si>
    <t>Yes</t>
  </si>
  <si>
    <t>No</t>
  </si>
  <si>
    <t>Central station
or direct
reporting fire
alarm?</t>
  </si>
  <si>
    <t>Fire hydrant*
within 1,000
feet of the
residence?</t>
  </si>
  <si>
    <t>Fire station
within five
miles of
residence?</t>
  </si>
  <si>
    <t>Wildfire peril</t>
  </si>
  <si>
    <t>Fire protection code</t>
  </si>
  <si>
    <t>A</t>
  </si>
  <si>
    <t>B</t>
  </si>
  <si>
    <t>Fire protection chart (not applicable to wind or hail peril)</t>
  </si>
  <si>
    <t>Condominium, cooperative, or renters</t>
  </si>
  <si>
    <t>Wildfire adjustment chart (applicable to Wildfire peril only)</t>
  </si>
  <si>
    <t>Moderate</t>
  </si>
  <si>
    <t>High</t>
  </si>
  <si>
    <t>Extreme</t>
  </si>
  <si>
    <t>Site Hazard</t>
  </si>
  <si>
    <t>No threat</t>
  </si>
  <si>
    <t>Very High</t>
  </si>
  <si>
    <t>Urban Unzoned</t>
  </si>
  <si>
    <t>Non-Wildland/Non-Urban</t>
  </si>
  <si>
    <t>Wildfire suppression system</t>
  </si>
  <si>
    <t>Shelter in place</t>
  </si>
  <si>
    <t>No combustible decks, balconies, porches, or exterior stairs</t>
  </si>
  <si>
    <t>N/A</t>
  </si>
  <si>
    <t>Flame/ember resistant vents</t>
  </si>
  <si>
    <t>Defensible space adjustment – superior*</t>
  </si>
  <si>
    <t>• automatic activation by fire sensor with fire retardant;</t>
  </si>
  <si>
    <t>• manually activated or activated through the telephone with fire retardant</t>
  </si>
  <si>
    <t>Wildfire reduction discounts</t>
  </si>
  <si>
    <t>Wildfire reduction discounts and surcharge (applicable to Wildfire peril only)</t>
  </si>
  <si>
    <t>Defensible space surcharge</t>
  </si>
  <si>
    <t>Defensible space adjustment – insufficient*</t>
  </si>
  <si>
    <t>* Applied by Company</t>
  </si>
  <si>
    <t>Value factor chart</t>
  </si>
  <si>
    <t>Territory designations</t>
  </si>
  <si>
    <t>South</t>
  </si>
  <si>
    <t>North</t>
  </si>
  <si>
    <t>North or South designation</t>
  </si>
  <si>
    <t>For the premium for Wind or hail, use only fire protection code A factors from the fire protection chart.</t>
  </si>
  <si>
    <t>Fire protection code. For the premium for Wildfire and All other perils, use the fire protection chart to determine whether a residence is fire protection code A or B.</t>
  </si>
  <si>
    <t>Value of building</t>
  </si>
  <si>
    <t>Each additional $1,000</t>
  </si>
  <si>
    <t>Wind or hail and All other perils</t>
  </si>
  <si>
    <t>Fire protection code A</t>
  </si>
  <si>
    <t>Fire protection code B</t>
  </si>
  <si>
    <t>Fiure protection code A</t>
  </si>
  <si>
    <t>* Wind or hail only uses fire protection code A factors.</t>
  </si>
  <si>
    <t>Value of contents</t>
  </si>
  <si>
    <t>150,000+</t>
  </si>
  <si>
    <t>Northern California value factors</t>
  </si>
  <si>
    <t>Southern California value factors</t>
  </si>
  <si>
    <t>Deductible factor charts</t>
  </si>
  <si>
    <t>Base deductible</t>
  </si>
  <si>
    <t>Value of contents and A&amp;A combined</t>
  </si>
  <si>
    <t>Base deductible factor charts – All other perils</t>
  </si>
  <si>
    <t>Base deductible factor charts - All other perils and Wind or Hail</t>
  </si>
  <si>
    <t>We interpolate between the closest lower and higher listed values where applicable.</t>
  </si>
  <si>
    <t>Brush fire or wildfire deductible chart</t>
  </si>
  <si>
    <t>Base deductible factor chart – Brush fire or wildfire</t>
  </si>
  <si>
    <t>Value of building or value of contents and A&amp;A combined</t>
  </si>
  <si>
    <t>Wind or hail deductible charts</t>
  </si>
  <si>
    <t>Base deductible factor chart – Wind or hail</t>
  </si>
  <si>
    <t>If the dollar amount of the base deductible is greater than the dollar amount of the wind or hail deductible, or no wind or hail deductible applies, use the appropriate factor from the base deductible factor chart – wind or hail.</t>
  </si>
  <si>
    <t>Wind or hail deductible chart</t>
  </si>
  <si>
    <t>Wind or hail deductible factors</t>
  </si>
  <si>
    <t>Discounts and surcharges charts</t>
  </si>
  <si>
    <t>Burglar alarm (applicable to All other perils only) Factor</t>
  </si>
  <si>
    <t>Deluxe house with deluxe or standard contents</t>
  </si>
  <si>
    <t>Deluxe house with fire or no contents</t>
  </si>
  <si>
    <t>Discounts</t>
  </si>
  <si>
    <t>Payment history:</t>
  </si>
  <si>
    <t>• 2 years paid in full; or</t>
  </si>
  <si>
    <t>• 3+ years paid in full.</t>
  </si>
  <si>
    <t>Suburban rating</t>
  </si>
  <si>
    <t>Fire resistive</t>
  </si>
  <si>
    <t>Residential sprinkler system</t>
  </si>
  <si>
    <t>Gated community patrol service</t>
  </si>
  <si>
    <t>Gated community</t>
  </si>
  <si>
    <t>Lien free</t>
  </si>
  <si>
    <t>Lien free (not applicable to renters)</t>
  </si>
  <si>
    <t>Building security protection</t>
  </si>
  <si>
    <t>Building fire protection</t>
  </si>
  <si>
    <t>Portfolio discount</t>
  </si>
  <si>
    <t>Deluxe house</t>
  </si>
  <si>
    <t>Home with auto</t>
  </si>
  <si>
    <t>Home with valuable articles</t>
  </si>
  <si>
    <t>We will apply the highest percentage of discount for which the residence qualifies.</t>
  </si>
  <si>
    <t>Superior protection discounts</t>
  </si>
  <si>
    <t>Security protection for the entire external perimeter of the house
consisting of any one or more of the following:
• closed circuit TV cameras monitored 24 hours a day;
• detection system, external to the residence which is motion
activated and monitored 24 hours per day;
• 24 hour on site security guard.</t>
  </si>
  <si>
    <t>Full time caretaker who lives at the residence year round. This discount
applies only if a 24 hour on site security guard is not present.</t>
  </si>
  <si>
    <t>24 hour signal continuity protection for central station or direct fire and
burglar alarm systems which activates the alarm when interrupted.</t>
  </si>
  <si>
    <t>Perimeter gate where vehicular and pedestrian access is limited to
entrances controlled by locked or electronic gates. This discount does
not apply if any other Gated community discount applies.</t>
  </si>
  <si>
    <t>Sprinkler system water flow alarm which activates a central station or
direct alarm.</t>
  </si>
  <si>
    <t>Temperature monitoring system, to protect against freezing, which
activates a central station alarm.</t>
  </si>
  <si>
    <t>Permanently installed, electrical power back−up generator capable of
servicing heat, light, alarm and sprinkler systems.</t>
  </si>
  <si>
    <t>Explosive gas leakage detector which activates a central station or
direct fire alarm.</t>
  </si>
  <si>
    <t>Automatic seismic shut−off valve to gas lines which activates
automatically in the event of an earthquake.</t>
  </si>
  <si>
    <t>Lightning protection system having a U.L. Master Label and installed by
a certified Lightning Protection Institute installer. The system must
include lightning rods and lightning arresters protecting the electrical
wiring and all electronic devices of the entire house.</t>
  </si>
  <si>
    <t>Superior protection (All portions of the premium)</t>
  </si>
  <si>
    <t>• activate a central station or direct alarm; or</t>
  </si>
  <si>
    <t>• include a control system that closes the master plumbing valve; or</t>
  </si>
  <si>
    <t>• include a control system that closes the master plumbing valve and activates a central station or direct alarm.</t>
  </si>
  <si>
    <t>The maximum total discount for Superior protection is 20%.</t>
  </si>
  <si>
    <t>New house (All portions of the premium)</t>
  </si>
  <si>
    <t>and Renovated house discounts (applicable to All other perils only)</t>
  </si>
  <si>
    <t>Age of dwelling</t>
  </si>
  <si>
    <t>New hosue discount</t>
  </si>
  <si>
    <t>Premier client discount (All portions of the premium)</t>
  </si>
  <si>
    <t>Customer tenure</t>
  </si>
  <si>
    <t>Discount</t>
  </si>
  <si>
    <t>Risk tenure</t>
  </si>
  <si>
    <t>Undervalue surcharge*</t>
  </si>
  <si>
    <t>Surcharges</t>
  </si>
  <si>
    <t>Vacant house surcharge*</t>
  </si>
  <si>
    <t>*Applied by Company.</t>
  </si>
  <si>
    <t>**Applied by Company and applicable if the insured lives in or out of the residence during renovation or construction.</t>
  </si>
  <si>
    <t>Amount of house coverage $1,000,000 or less</t>
  </si>
  <si>
    <t>Number of losses</t>
  </si>
  <si>
    <t>We interpolate for house coverage amounts between $1,000,001 and $1,999,999.</t>
  </si>
  <si>
    <t>Amount of house coverage equal to $2,000,000</t>
  </si>
  <si>
    <t>We interpolate for house coverage amounts between $2,000,001 and $4,999,999.</t>
  </si>
  <si>
    <t>Amount of house coverage $5,000,000 or greater</t>
  </si>
  <si>
    <t>Amount of contents and additions and alterations coverage $250,000 or less</t>
  </si>
  <si>
    <t>Amount of contents and additions and alterations coverage equal to $500,000</t>
  </si>
  <si>
    <t>We interpolate for contents and additions and alterations coverage amounts between $250,001 and $499,999.</t>
  </si>
  <si>
    <t>Amount of contents and additions and alterations coverage $1,000,000 or greater</t>
  </si>
  <si>
    <t>We interpolate for contents and additions and alterations coverage amounts between $500,001 and $999,999.</t>
  </si>
  <si>
    <t>File 18-0134 p341</t>
  </si>
  <si>
    <t>File 19-4548 p93</t>
  </si>
  <si>
    <t>Index</t>
  </si>
  <si>
    <t>• automatic activation by fire sensor – water only;</t>
  </si>
  <si>
    <t>No combustible decks, balconies, porches, or exterior stairs discount</t>
  </si>
  <si>
    <t>Brush fire or wildfire deductible</t>
  </si>
  <si>
    <t>Wind or hail deductible</t>
  </si>
  <si>
    <t>Year Built</t>
  </si>
  <si>
    <t>Effective Date</t>
  </si>
  <si>
    <t>Water leak detection system having a U.L. Master Label. The system must monitor all areas containing plumbing devices and outlets. In the event of a leak, this system must:</t>
  </si>
  <si>
    <t>Renovation Year</t>
  </si>
  <si>
    <t>Years since oldest renovation</t>
  </si>
  <si>
    <t>the total of all itemized and/or blanket valuable articles is at least $100,000; or
• the total of all itemized and/or blanket valuable articles (excluding fine arts, if any) is at least $25,000.</t>
  </si>
  <si>
    <t>Minimum eligible amount of coverage
• the total of all itemized and/or blanket valuable articles is at least $250,000; or
• the total of all itemized and/or blanket valuable articles (excluding fine arts, if any)
is at least $50,000.</t>
  </si>
  <si>
    <t>Customer Tenure</t>
  </si>
  <si>
    <t>Risk Tenure</t>
  </si>
  <si>
    <t>Major construction
• new construction of a residence or other permanent structures; or
• construction of additions, alterations, or renovations to the existing residence or other permanent structures resulting in an increase in
the amounts of coverage which:
• for a house or other permanent structure, equals or exceeds 10%
of the coverage amount for the structure or $500,000, whichever amount is less; or
• for a condominium, cooperative, or renters unit, equals or exceeds
10% of the total coverage amount for additions and alterations or $500,000, whichever amount is less.</t>
  </si>
  <si>
    <t>Renovation or construction surcharge**</t>
  </si>
  <si>
    <t>None</t>
  </si>
  <si>
    <t>Major</t>
  </si>
  <si>
    <t>Minor</t>
  </si>
  <si>
    <t>Payment history</t>
  </si>
  <si>
    <t>For each 1% of other permanent structures coverage above 20% of deluxe house coverage</t>
  </si>
  <si>
    <t>For each 1% of other permanent structures coverage below 20% of deluxe house coverage</t>
  </si>
  <si>
    <t>Home only</t>
  </si>
  <si>
    <t>Home with valuables at least $250000</t>
  </si>
  <si>
    <t>Home with valuables at least $100000</t>
  </si>
  <si>
    <t>Minor construction
• construction of additions, alterations, or renovations to the existing residence or other permanent structures resulting in an increase in the amount of coverage for the residence or other permanent structure by an amount less than 10%
of the coverage amount
for the structure or
$500,000, whichever
amount is less; OR</t>
  </si>
  <si>
    <t>2 years paid in full</t>
  </si>
  <si>
    <t>3+ years paid in full</t>
  </si>
  <si>
    <t>Rating Inputs</t>
  </si>
  <si>
    <t>Zone Hazard</t>
  </si>
  <si>
    <t>Burglar alarm</t>
  </si>
  <si>
    <t>Lookup result</t>
  </si>
  <si>
    <t>Sequence calculation</t>
  </si>
  <si>
    <t>Home and Contents: Rating Sequence</t>
  </si>
  <si>
    <t>Home and Contents: Charts</t>
  </si>
  <si>
    <t>Rating Outputs</t>
  </si>
  <si>
    <t>Premium</t>
  </si>
  <si>
    <t>Total</t>
  </si>
  <si>
    <t>Premium_Line</t>
  </si>
  <si>
    <t>Renovation or Construction surcharge</t>
  </si>
  <si>
    <t>Claims in 3 years</t>
  </si>
  <si>
    <t>Coverage type</t>
  </si>
  <si>
    <t>Central station</t>
  </si>
  <si>
    <t>Fire hydrant</t>
  </si>
  <si>
    <t>Fire station</t>
  </si>
  <si>
    <t>No combustible exterior</t>
  </si>
  <si>
    <t>Security protection</t>
  </si>
  <si>
    <t>Full time caretaker</t>
  </si>
  <si>
    <t>Perimeter gate</t>
  </si>
  <si>
    <t>Sprinkler system water flow alarm</t>
  </si>
  <si>
    <t>Temperature monitoring system</t>
  </si>
  <si>
    <t>Electrical power back</t>
  </si>
  <si>
    <t>Gas leakage detector</t>
  </si>
  <si>
    <t>Seismic shutoff valve</t>
  </si>
  <si>
    <t>Lightning protection system</t>
  </si>
  <si>
    <t>Water leak detection</t>
  </si>
  <si>
    <t>Signal continuity protection</t>
  </si>
  <si>
    <t>Liability (buildilng only shortcut)</t>
  </si>
  <si>
    <t>Amount of coverage</t>
  </si>
  <si>
    <t>Primary location</t>
  </si>
  <si>
    <t>House replacement Cost</t>
  </si>
  <si>
    <t>Residence Employee</t>
  </si>
  <si>
    <t>Full-time inservant</t>
  </si>
  <si>
    <t>Full-time outservant</t>
  </si>
  <si>
    <t>Occasional</t>
  </si>
  <si>
    <t>Worker's compensation/employer's liability surcharge</t>
  </si>
  <si>
    <t>Employment practices liability coverage</t>
  </si>
  <si>
    <t>Surcharge for Employment practices liability coverage with a $10,000 deductible</t>
  </si>
  <si>
    <t>Employment practices liability</t>
  </si>
  <si>
    <t>Reputational injury</t>
  </si>
  <si>
    <t>Code</t>
  </si>
  <si>
    <t>Maxmium annual amount of coverage</t>
  </si>
  <si>
    <t>Additional premium</t>
  </si>
  <si>
    <t>Family Protection Coverage</t>
  </si>
  <si>
    <t>Homeowner/unit assessments</t>
  </si>
  <si>
    <t>Add</t>
  </si>
  <si>
    <t>For each additional</t>
  </si>
  <si>
    <t>over</t>
  </si>
  <si>
    <t>add</t>
  </si>
  <si>
    <t>Landscaping</t>
  </si>
  <si>
    <t>Landscaping - wind and hail coverage</t>
  </si>
  <si>
    <t>For each</t>
  </si>
  <si>
    <t>Total trees excess $10,000</t>
  </si>
  <si>
    <t>Any one tree, shrub, or plant</t>
  </si>
  <si>
    <t>Homeowners/unit assessments</t>
  </si>
  <si>
    <t>Landscaping - wind and hail</t>
  </si>
  <si>
    <t>Landscaping - sleet and weight of ice and snow coverage</t>
  </si>
  <si>
    <t>Business property</t>
  </si>
  <si>
    <t>Student additional living expenses</t>
  </si>
  <si>
    <t>For $5000</t>
  </si>
  <si>
    <t>Refer</t>
  </si>
  <si>
    <t>Assisted living care coverage – contents of a relative-in-care</t>
  </si>
  <si>
    <t>Add or subtract for Liability</t>
  </si>
  <si>
    <t>Add Earthquake coverage</t>
  </si>
  <si>
    <t>Add Employment practices liability</t>
  </si>
  <si>
    <t>Add Family protection coverage</t>
  </si>
  <si>
    <t>Add Increased Homeowner/Unit assessments</t>
  </si>
  <si>
    <t>Add Increased Landscaping</t>
  </si>
  <si>
    <t>Add Increased business property</t>
  </si>
  <si>
    <t>Add Student additional living expense</t>
  </si>
  <si>
    <t>Add Assisted living care</t>
  </si>
  <si>
    <t>Add Workers’ Compensation and Employer’s Liability</t>
  </si>
  <si>
    <t>Subtract House replacement cost</t>
  </si>
  <si>
    <t>Adjusted premium</t>
  </si>
  <si>
    <t>House replacement cost</t>
  </si>
  <si>
    <t>Validations</t>
  </si>
  <si>
    <t>Dollar adjustment</t>
  </si>
  <si>
    <t>Total premium</t>
  </si>
  <si>
    <t>Dollar adjustments</t>
  </si>
  <si>
    <t>Landscaping most expensive tree</t>
  </si>
  <si>
    <t>Adjusted Premium</t>
  </si>
  <si>
    <t>Landscaping total trees excess</t>
  </si>
  <si>
    <t>Landscaping wind and hail</t>
  </si>
  <si>
    <t>Landscaping sleet ice snow</t>
  </si>
  <si>
    <t>Family Protection</t>
  </si>
  <si>
    <t>Assisted living care coverage</t>
  </si>
  <si>
    <t>Residence Employee Occasional</t>
  </si>
  <si>
    <t>Residence Employee Full-time inservant</t>
  </si>
  <si>
    <t>Residence Employee Full-time outservant</t>
  </si>
  <si>
    <t>Coverage Adjustment</t>
  </si>
  <si>
    <t>Other permanent structures</t>
  </si>
  <si>
    <t>Fire protection</t>
  </si>
  <si>
    <t>Wildfire adjustment</t>
  </si>
  <si>
    <t>Deductible</t>
  </si>
  <si>
    <t>Discounts and surcharges</t>
  </si>
  <si>
    <t>Vacant house</t>
  </si>
  <si>
    <t>Cancellation</t>
  </si>
  <si>
    <t>Roof covering</t>
  </si>
  <si>
    <t>Rented to others</t>
  </si>
  <si>
    <t>Undervalue</t>
  </si>
  <si>
    <t>Building limit</t>
  </si>
  <si>
    <t>Liability coverage</t>
  </si>
  <si>
    <t xml:space="preserve">Workers compensation </t>
  </si>
  <si>
    <t>Wildfire reduction</t>
  </si>
  <si>
    <t>below</t>
  </si>
  <si>
    <t>above</t>
  </si>
  <si>
    <t>house coverage</t>
  </si>
  <si>
    <t>contents coverage</t>
  </si>
  <si>
    <t>Superior</t>
  </si>
  <si>
    <t>Normal</t>
  </si>
  <si>
    <t>Inferior</t>
  </si>
  <si>
    <t>Auto retardant</t>
  </si>
  <si>
    <t>Auto water</t>
  </si>
  <si>
    <t>Manual</t>
  </si>
  <si>
    <t>Insufficient</t>
  </si>
  <si>
    <t>Activate central alarm</t>
  </si>
  <si>
    <t>Closes master plumbing valve</t>
  </si>
  <si>
    <t>Both</t>
  </si>
  <si>
    <t>Product Version</t>
  </si>
  <si>
    <t>Homeowners Rater - Excluding Earthquake (V1)</t>
  </si>
  <si>
    <t>V1.0.0</t>
  </si>
  <si>
    <t>Not mapped in PF</t>
  </si>
  <si>
    <t>PF Input</t>
  </si>
  <si>
    <t>PF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</si>
</sst>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5"/>
      <color theme="3"/>
      <name val="Calibri"/>
      <family val="2"/>
      <scheme val="minor"/>
    </font>
    <font>
      <b/>
      <sz val="13"/>
      <color theme="3"/>
      <name val="Calibri"/>
      <family val="2"/>
      <scheme val="minor"/>
    </font>
    <font>
      <sz val="11"/>
      <color rgb="FF3F3F76"/>
      <name val="Calibri"/>
      <family val="2"/>
      <scheme val="minor"/>
    </font>
    <font>
      <b/>
      <sz val="11"/>
      <color rgb="FF3F3F3F"/>
      <name val="Calibri"/>
      <family val="2"/>
      <scheme val="minor"/>
    </font>
    <font>
      <i/>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rgb="FFFFCC99"/>
      </patternFill>
    </fill>
    <fill>
      <patternFill patternType="solid">
        <fgColor rgb="FFF2F2F2"/>
      </patternFill>
    </fill>
    <fill>
      <patternFill patternType="solid">
        <fgColor rgb="FFFFFFCC"/>
      </patternFill>
    </fill>
  </fills>
  <borders count="6">
    <border>
      <left/>
      <right/>
      <top/>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6">
    <xf numFmtId="0" fontId="0" fillId="0" borderId="0"/>
    <xf numFmtId="0" fontId="2" fillId="0" borderId="1" applyNumberFormat="0" applyFill="0" applyAlignment="0" applyProtection="0"/>
    <xf numFmtId="0" fontId="3" fillId="0" borderId="2" applyNumberFormat="0" applyFill="0" applyAlignment="0" applyProtection="0"/>
    <xf numFmtId="0" fontId="4" fillId="2" borderId="3" applyNumberFormat="0" applyAlignment="0" applyProtection="0"/>
    <xf numFmtId="0" fontId="5" fillId="3" borderId="4" applyNumberFormat="0" applyAlignment="0" applyProtection="0"/>
    <xf numFmtId="0" fontId="7" fillId="4" borderId="5" applyNumberFormat="0" applyFont="0" applyAlignment="0" applyProtection="0"/>
  </cellStyleXfs>
  <cellXfs count="22">
    <xf numFmtId="0" fontId="0" fillId="0" borderId="0" xfId="0"/>
    <xf numFmtId="0" fontId="0" fillId="0" borderId="0" xfId="0" applyAlignment="1"/>
    <xf numFmtId="0" fontId="1" fillId="0" borderId="0" xfId="0" applyFont="1" applyAlignment="1"/>
    <xf numFmtId="0" fontId="0" fillId="0" borderId="0" xfId="0" applyFont="1" applyAlignment="1"/>
    <xf numFmtId="9" fontId="0" fillId="0" borderId="0" xfId="0" applyNumberFormat="1" applyAlignment="1"/>
    <xf numFmtId="10" fontId="0" fillId="0" borderId="0" xfId="0" applyNumberFormat="1" applyAlignment="1"/>
    <xf numFmtId="0" fontId="0" fillId="0" borderId="0" xfId="0" applyNumberFormat="1" applyAlignment="1"/>
    <xf numFmtId="0" fontId="4" fillId="2" borderId="3" xfId="3" applyAlignment="1"/>
    <xf numFmtId="0" fontId="0" fillId="0" borderId="0" xfId="0" applyNumberFormat="1" applyFont="1" applyAlignment="1"/>
    <xf numFmtId="0" fontId="1" fillId="0" borderId="0" xfId="0" applyNumberFormat="1" applyFont="1" applyAlignment="1"/>
    <xf numFmtId="0" fontId="2" fillId="0" borderId="1" xfId="1" applyAlignment="1"/>
    <xf numFmtId="0" fontId="3" fillId="0" borderId="2" xfId="2" applyAlignment="1"/>
    <xf numFmtId="0" fontId="3" fillId="0" borderId="2" xfId="2" applyNumberFormat="1" applyAlignment="1"/>
    <xf numFmtId="0" fontId="5" fillId="3" borderId="4" xfId="4" applyAlignment="1"/>
    <xf numFmtId="0" fontId="0" fillId="0" borderId="0" xfId="0"/>
    <xf numFmtId="0" fontId="1" fillId="0" borderId="0" xfId="0" applyFont="1" applyFill="1" applyBorder="1" applyAlignment="1"/>
    <xf numFmtId="0" fontId="6" fillId="0" borderId="0" xfId="0" applyFont="1" applyAlignment="1"/>
    <xf numFmtId="0" fontId="1" fillId="0" borderId="0" xfId="0" applyFont="1"/>
    <xf numFmtId="14" fontId="0" fillId="0" borderId="0" xfId="0" applyNumberFormat="1"/>
    <xf numFmtId="0" fontId="4" fillId="4" borderId="5" xfId="5" applyFont="1" applyAlignment="1"/>
    <xf numFmtId="0" fontId="4" fillId="4" borderId="5" xfId="5" applyNumberFormat="1" applyFont="1" applyAlignment="1"/>
    <xf numFmtId="0" fontId="0" fillId="4" borderId="5" xfId="5" applyFont="1" applyAlignment="1"/>
  </cellXfs>
  <cellStyles count="6">
    <cellStyle name="Heading 1" xfId="1" builtinId="16"/>
    <cellStyle name="Heading 2" xfId="2" builtinId="17"/>
    <cellStyle name="Input" xfId="3" builtinId="20"/>
    <cellStyle name="Normal" xfId="0" builtinId="0"/>
    <cellStyle name="Note" xfId="5" builtinId="10"/>
    <cellStyle name="Output" xfId="4"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CA3C6-575B-4747-BA3F-7B0EEEA43E83}">
  <dimension ref="A1:AP743"/>
  <sheetViews>
    <sheetView tabSelected="1" zoomScale="85" zoomScaleNormal="85" workbookViewId="0"/>
  </sheetViews>
  <sheetFormatPr defaultColWidth="9.140625" defaultRowHeight="15" x14ac:dyDescent="0.25"/>
  <cols>
    <col min="1" max="1" width="45.7109375" style="1" customWidth="1"/>
    <col min="2" max="2" width="45.7109375" style="1" hidden="1" customWidth="1"/>
    <col min="3" max="3" width="9.140625" style="1" hidden="1" customWidth="1"/>
    <col min="4" max="4" width="58.140625" style="1" hidden="1" customWidth="1"/>
    <col min="5" max="8" width="9.140625" style="1"/>
    <col min="9" max="10" width="27.42578125" style="1" customWidth="1"/>
    <col min="11" max="11" width="9.140625" style="1"/>
    <col min="12" max="12" width="45.7109375" style="1" customWidth="1"/>
    <col min="13" max="15" width="14.42578125" style="1" customWidth="1"/>
    <col min="16" max="26" width="9.140625" style="1"/>
    <col min="27" max="36" width="18.28515625" style="6" customWidth="1"/>
    <col min="37" max="39" width="18.28515625" style="1" customWidth="1"/>
    <col min="40" max="16384" width="9.140625" style="1"/>
  </cols>
  <sheetData>
    <row r="1" spans="1:42" ht="20.25" thickBot="1" x14ac:dyDescent="0.35">
      <c r="A1" s="10" t="s">
        <v>377</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row>
    <row r="2" spans="1:42" ht="15.75" thickTop="1" x14ac:dyDescent="0.25"/>
    <row r="3" spans="1:42" ht="18" thickBot="1" x14ac:dyDescent="0.35">
      <c r="A3" s="11" t="s">
        <v>256</v>
      </c>
      <c r="B3" s="11"/>
      <c r="C3" s="11"/>
      <c r="D3" s="11"/>
      <c r="E3" s="11"/>
      <c r="F3" s="11"/>
      <c r="G3" s="11"/>
      <c r="I3" s="11" t="s">
        <v>263</v>
      </c>
      <c r="J3" s="11"/>
      <c r="L3" s="11" t="s">
        <v>261</v>
      </c>
      <c r="M3" s="11"/>
      <c r="N3" s="11"/>
      <c r="O3" s="11"/>
      <c r="P3" s="11"/>
      <c r="Q3" s="11"/>
      <c r="R3" s="11"/>
      <c r="S3" s="11"/>
      <c r="T3" s="11"/>
      <c r="U3" s="11"/>
      <c r="V3" s="11"/>
      <c r="W3" s="11"/>
      <c r="X3" s="11"/>
      <c r="Y3" s="11"/>
      <c r="AA3" s="12" t="s">
        <v>262</v>
      </c>
      <c r="AB3" s="12"/>
      <c r="AC3" s="12"/>
      <c r="AD3" s="12"/>
      <c r="AE3" s="12"/>
      <c r="AF3" s="12"/>
      <c r="AG3" s="12"/>
      <c r="AH3" s="12"/>
      <c r="AI3" s="12"/>
      <c r="AJ3" s="12"/>
      <c r="AK3" s="11"/>
      <c r="AL3" s="11"/>
      <c r="AM3" s="11"/>
      <c r="AO3" s="11" t="s">
        <v>333</v>
      </c>
      <c r="AP3" s="11"/>
    </row>
    <row r="4" spans="1:42" ht="15.75" thickTop="1" x14ac:dyDescent="0.25">
      <c r="L4" s="3" t="s">
        <v>226</v>
      </c>
      <c r="AA4" s="8" t="s">
        <v>227</v>
      </c>
    </row>
    <row r="5" spans="1:42" x14ac:dyDescent="0.25">
      <c r="A5" s="1" t="s">
        <v>234</v>
      </c>
      <c r="C5" s="1">
        <v>1</v>
      </c>
      <c r="E5" s="18">
        <v>44378</v>
      </c>
      <c r="I5" s="14" t="s">
        <v>266</v>
      </c>
      <c r="J5" s="14" t="s">
        <v>264</v>
      </c>
      <c r="AO5" s="1" t="s">
        <v>99</v>
      </c>
    </row>
    <row r="6" spans="1:42" x14ac:dyDescent="0.25">
      <c r="A6" s="1" t="s">
        <v>233</v>
      </c>
      <c r="B6" s="1" t="str">
        <f t="shared" ref="B6:B12" si="0">SUBSTITUTE(SUBSTITUTE(SUBSTITUTE(SUBSTITUTE(A6," ","_"),"-",""),"?",""),",","")</f>
        <v>Year_Built</v>
      </c>
      <c r="C6" s="1">
        <v>1</v>
      </c>
      <c r="D6" s="1" t="str">
        <f t="shared" ref="D6" si="1">IF(LEN(B6)&gt;0,CONCATENATE("Xinput_",TEXT(C6,"00"),"_",B6),"")</f>
        <v>Xinput_01_Year_Built</v>
      </c>
      <c r="E6" s="7">
        <v>1999</v>
      </c>
      <c r="F6" s="1">
        <f>YEAR(E5)-E6</f>
        <v>22</v>
      </c>
      <c r="I6" s="14" t="str">
        <f>V7</f>
        <v>Wind or hail</v>
      </c>
      <c r="J6" s="13">
        <f>V53</f>
        <v>415</v>
      </c>
      <c r="M6" s="2"/>
      <c r="Q6" s="2" t="s">
        <v>259</v>
      </c>
      <c r="V6" s="2" t="s">
        <v>260</v>
      </c>
      <c r="Y6" s="2"/>
      <c r="AA6" s="9" t="s">
        <v>53</v>
      </c>
      <c r="AO6" s="1" t="s">
        <v>100</v>
      </c>
    </row>
    <row r="7" spans="1:42" x14ac:dyDescent="0.25">
      <c r="A7" s="1" t="s">
        <v>236</v>
      </c>
      <c r="C7" s="1">
        <f>SUM(MAX(C$5:C6),IF(LEN(B7)&gt;0,1,0))</f>
        <v>1</v>
      </c>
      <c r="D7" s="1" t="str">
        <f t="shared" ref="D7" si="2">IF(LEN(B7)&gt;0,CONCATENATE("Xinput_",TEXT(C7,"00"),"_",B7),"")</f>
        <v/>
      </c>
      <c r="E7" s="19">
        <v>1999</v>
      </c>
      <c r="F7" s="6">
        <f>YEAR(E5)-E7</f>
        <v>22</v>
      </c>
      <c r="I7" s="14" t="str">
        <f>W7</f>
        <v>Wildfire</v>
      </c>
      <c r="J7" s="13">
        <f>W53</f>
        <v>823</v>
      </c>
      <c r="L7" s="2"/>
      <c r="M7" s="2" t="s">
        <v>21</v>
      </c>
      <c r="N7" s="2" t="s">
        <v>22</v>
      </c>
      <c r="O7" s="2" t="s">
        <v>23</v>
      </c>
      <c r="Q7" s="2" t="s">
        <v>21</v>
      </c>
      <c r="R7" s="2" t="s">
        <v>22</v>
      </c>
      <c r="S7" s="2" t="s">
        <v>23</v>
      </c>
      <c r="T7" s="2" t="s">
        <v>334</v>
      </c>
      <c r="V7" s="2" t="s">
        <v>21</v>
      </c>
      <c r="W7" s="2" t="s">
        <v>22</v>
      </c>
      <c r="X7" s="2" t="s">
        <v>23</v>
      </c>
      <c r="Y7" s="2" t="s">
        <v>265</v>
      </c>
      <c r="AB7" s="6" t="s">
        <v>48</v>
      </c>
    </row>
    <row r="8" spans="1:42" x14ac:dyDescent="0.25">
      <c r="A8" s="1" t="s">
        <v>358</v>
      </c>
      <c r="B8" s="1" t="str">
        <f t="shared" si="0"/>
        <v>Building_limit</v>
      </c>
      <c r="C8" s="1">
        <f>SUM(MAX(C$5:C7),IF(LEN(B8)&gt;0,1,0))</f>
        <v>2</v>
      </c>
      <c r="D8" s="1" t="str">
        <f t="shared" ref="D8:D71" si="3">IF(LEN(B8)&gt;0,CONCATENATE("Xinput_",TEXT(C8,"00"),"_",B8),"")</f>
        <v>Xinput_02_Building_limit</v>
      </c>
      <c r="E8" s="7">
        <v>1000000</v>
      </c>
      <c r="I8" s="14" t="str">
        <f>X7</f>
        <v>All other perils</v>
      </c>
      <c r="J8" s="13">
        <f>X53</f>
        <v>12892</v>
      </c>
      <c r="L8" s="1" t="s">
        <v>24</v>
      </c>
      <c r="Q8" s="1">
        <f>$AB$9</f>
        <v>23</v>
      </c>
      <c r="R8" s="1">
        <f>$AC$9</f>
        <v>104</v>
      </c>
      <c r="S8" s="1">
        <f>$AD$9</f>
        <v>338</v>
      </c>
      <c r="V8" s="1">
        <f>Q8</f>
        <v>23</v>
      </c>
      <c r="W8" s="1">
        <f>R8</f>
        <v>104</v>
      </c>
      <c r="X8" s="1">
        <f>S8</f>
        <v>338</v>
      </c>
      <c r="AA8" s="6" t="s">
        <v>52</v>
      </c>
      <c r="AB8" s="6" t="s">
        <v>21</v>
      </c>
      <c r="AC8" s="6" t="s">
        <v>22</v>
      </c>
      <c r="AD8" s="6" t="s">
        <v>23</v>
      </c>
    </row>
    <row r="9" spans="1:42" x14ac:dyDescent="0.25">
      <c r="C9" s="1">
        <f>SUM(MAX(C$5:C8),IF(LEN(B9)&gt;0,1,0))</f>
        <v>2</v>
      </c>
      <c r="D9" s="1" t="str">
        <f t="shared" si="3"/>
        <v/>
      </c>
      <c r="I9" s="14" t="s">
        <v>338</v>
      </c>
      <c r="J9" s="13">
        <f>Y53</f>
        <v>14130</v>
      </c>
      <c r="L9" s="1" t="s">
        <v>26</v>
      </c>
      <c r="M9" s="1" t="s">
        <v>8</v>
      </c>
      <c r="N9" s="1" t="s">
        <v>8</v>
      </c>
      <c r="O9" s="1" t="s">
        <v>8</v>
      </c>
      <c r="Q9" s="1">
        <f>VLOOKUP($E$10,$AA$14:$AB$16,2,FALSE)</f>
        <v>1.1000000000000001</v>
      </c>
      <c r="R9" s="1">
        <f>VLOOKUP($E$10,$AA$14:$AB$16,2,FALSE)</f>
        <v>1.1000000000000001</v>
      </c>
      <c r="S9" s="1">
        <f>VLOOKUP($E$10,$AA$14:$AB$16,2,FALSE)</f>
        <v>1.1000000000000001</v>
      </c>
      <c r="V9" s="1">
        <f t="shared" ref="V9:V52" si="4">IF(AND(M9="X",Q9&gt;0),ROUND(PRODUCT(V8,Q9),2),V8)</f>
        <v>25.3</v>
      </c>
      <c r="W9" s="1">
        <f t="shared" ref="W9:W52" si="5">IF(AND(N9="X",R9&gt;0),ROUND(PRODUCT(W8,R9),2),W8)</f>
        <v>114.4</v>
      </c>
      <c r="X9" s="1">
        <f t="shared" ref="X9:X52" si="6">IF(AND(O9="X",S9&gt;0),ROUND(PRODUCT(X8,S9),2),X8)</f>
        <v>371.8</v>
      </c>
      <c r="AA9" s="6" t="s">
        <v>49</v>
      </c>
      <c r="AB9" s="6">
        <v>23</v>
      </c>
      <c r="AC9" s="6">
        <v>104</v>
      </c>
      <c r="AD9" s="6">
        <v>338</v>
      </c>
    </row>
    <row r="10" spans="1:42" x14ac:dyDescent="0.25">
      <c r="A10" s="2" t="s">
        <v>269</v>
      </c>
      <c r="B10" s="1" t="str">
        <f>SUBSTITUTE(SUBSTITUTE(SUBSTITUTE(SUBSTITUTE(A10," ","_"),"-",""),"?",""),",","")</f>
        <v>Coverage_type</v>
      </c>
      <c r="C10" s="1">
        <f>SUM(MAX(C$5:C9),IF(LEN(B10)&gt;0,1,0))</f>
        <v>3</v>
      </c>
      <c r="D10" s="1" t="str">
        <f t="shared" si="3"/>
        <v>Xinput_03_Coverage_type</v>
      </c>
      <c r="E10" s="7" t="s">
        <v>61</v>
      </c>
      <c r="I10" s="14" t="s">
        <v>336</v>
      </c>
      <c r="J10" s="13">
        <f>Y66</f>
        <v>3069</v>
      </c>
      <c r="L10" s="1" t="s">
        <v>27</v>
      </c>
      <c r="M10" s="1" t="s">
        <v>8</v>
      </c>
      <c r="N10" s="1" t="s">
        <v>8</v>
      </c>
      <c r="O10" s="1" t="s">
        <v>8</v>
      </c>
      <c r="V10" s="1">
        <f t="shared" si="4"/>
        <v>25.3</v>
      </c>
      <c r="W10" s="1">
        <f t="shared" si="5"/>
        <v>114.4</v>
      </c>
      <c r="X10" s="1">
        <f t="shared" si="6"/>
        <v>371.8</v>
      </c>
      <c r="AA10" s="6" t="s">
        <v>50</v>
      </c>
      <c r="AB10" s="6">
        <v>3</v>
      </c>
      <c r="AC10" s="6">
        <v>9</v>
      </c>
      <c r="AD10" s="6">
        <v>145</v>
      </c>
    </row>
    <row r="11" spans="1:42" x14ac:dyDescent="0.25">
      <c r="C11" s="1">
        <f>SUM(MAX(C$5:C10),IF(LEN(B11)&gt;0,1,0))</f>
        <v>3</v>
      </c>
      <c r="D11" s="1" t="str">
        <f t="shared" si="3"/>
        <v/>
      </c>
      <c r="I11" s="17" t="s">
        <v>335</v>
      </c>
      <c r="J11" s="13">
        <f>Y68</f>
        <v>17199</v>
      </c>
      <c r="L11" s="1" t="s">
        <v>28</v>
      </c>
      <c r="M11" s="1" t="s">
        <v>8</v>
      </c>
      <c r="N11" s="1" t="s">
        <v>8</v>
      </c>
      <c r="O11" s="1" t="s">
        <v>8</v>
      </c>
      <c r="Q11" s="1">
        <f>VLOOKUP($E12,$AA$32:$AD$108,2,FALSE)</f>
        <v>1.2729999999999999</v>
      </c>
      <c r="R11" s="1">
        <f>VLOOKUP($E12,$AA$32:$AD$108,3,FALSE)</f>
        <v>1.254</v>
      </c>
      <c r="S11" s="1">
        <f>VLOOKUP($E12,$AA$32:$AD$108,4,FALSE)</f>
        <v>2.48</v>
      </c>
      <c r="V11" s="1">
        <f t="shared" si="4"/>
        <v>32.21</v>
      </c>
      <c r="W11" s="1">
        <f t="shared" si="5"/>
        <v>143.46</v>
      </c>
      <c r="X11" s="1">
        <f t="shared" si="6"/>
        <v>922.06</v>
      </c>
      <c r="AA11" s="6" t="s">
        <v>51</v>
      </c>
      <c r="AB11" s="6">
        <v>4</v>
      </c>
      <c r="AC11" s="6">
        <v>10</v>
      </c>
      <c r="AD11" s="6">
        <v>209</v>
      </c>
    </row>
    <row r="12" spans="1:42" x14ac:dyDescent="0.25">
      <c r="A12" s="2" t="s">
        <v>68</v>
      </c>
      <c r="B12" s="1" t="str">
        <f t="shared" si="0"/>
        <v>Territory</v>
      </c>
      <c r="C12" s="1">
        <f>SUM(MAX(C$5:C11),IF(LEN(B12)&gt;0,1,0))</f>
        <v>4</v>
      </c>
      <c r="D12" s="1" t="str">
        <f t="shared" si="3"/>
        <v>Xinput_04_Territory</v>
      </c>
      <c r="E12" s="7">
        <v>3</v>
      </c>
      <c r="F12" s="1" t="str">
        <f>VLOOKUP(E12,$AA$298:$AB$374,2,FALSE)</f>
        <v>South</v>
      </c>
      <c r="G12" s="1" t="str">
        <f>VLOOKUP(CONCATENATE($E$24," ",$E$25," ",$E$26),$AA$251:$AG$258,7,FALSE)</f>
        <v>A</v>
      </c>
      <c r="I12" s="15" t="s">
        <v>318</v>
      </c>
      <c r="J12" s="13">
        <f>MAX(F92:F104)</f>
        <v>0</v>
      </c>
      <c r="L12" s="1" t="s">
        <v>29</v>
      </c>
      <c r="O12" s="1" t="s">
        <v>8</v>
      </c>
      <c r="S12" s="1">
        <f>IF($E$45=$AO$5,IF($E$15&gt;0,$AB$494,$AB$495),0)</f>
        <v>0.95</v>
      </c>
      <c r="V12" s="1">
        <f t="shared" si="4"/>
        <v>32.21</v>
      </c>
      <c r="W12" s="1">
        <f t="shared" si="5"/>
        <v>143.46</v>
      </c>
      <c r="X12" s="1">
        <f t="shared" si="6"/>
        <v>875.96</v>
      </c>
    </row>
    <row r="13" spans="1:42" x14ac:dyDescent="0.25">
      <c r="C13" s="1">
        <f>SUM(MAX(C$5:C12),IF(LEN(B13)&gt;0,1,0))</f>
        <v>4</v>
      </c>
      <c r="D13" s="1" t="str">
        <f t="shared" si="3"/>
        <v/>
      </c>
      <c r="I13" s="15" t="s">
        <v>376</v>
      </c>
      <c r="J13" s="13" t="s">
        <v>378</v>
      </c>
      <c r="L13" s="1" t="s">
        <v>30</v>
      </c>
      <c r="M13" s="1" t="s">
        <v>8</v>
      </c>
      <c r="N13" s="1" t="s">
        <v>8</v>
      </c>
      <c r="O13" s="1" t="s">
        <v>8</v>
      </c>
      <c r="V13" s="1">
        <f t="shared" si="4"/>
        <v>32.21</v>
      </c>
      <c r="W13" s="1">
        <f t="shared" si="5"/>
        <v>143.46</v>
      </c>
      <c r="X13" s="1">
        <f t="shared" si="6"/>
        <v>875.96</v>
      </c>
      <c r="AA13" s="9" t="s">
        <v>54</v>
      </c>
    </row>
    <row r="14" spans="1:42" x14ac:dyDescent="0.25">
      <c r="A14" s="2" t="s">
        <v>347</v>
      </c>
      <c r="C14" s="1">
        <f>SUM(MAX(C$5:C13),IF(LEN(B14)&gt;0,1,0))</f>
        <v>4</v>
      </c>
      <c r="D14" s="1" t="str">
        <f t="shared" si="3"/>
        <v/>
      </c>
      <c r="L14" s="1" t="s">
        <v>0</v>
      </c>
      <c r="V14" s="1">
        <f t="shared" si="4"/>
        <v>32.21</v>
      </c>
      <c r="W14" s="1">
        <f t="shared" si="5"/>
        <v>143.46</v>
      </c>
      <c r="X14" s="1">
        <f t="shared" si="6"/>
        <v>875.96</v>
      </c>
      <c r="AA14" s="6" t="s">
        <v>61</v>
      </c>
      <c r="AB14" s="6">
        <v>1.1000000000000001</v>
      </c>
    </row>
    <row r="15" spans="1:42" x14ac:dyDescent="0.25">
      <c r="A15" s="1" t="s">
        <v>71</v>
      </c>
      <c r="C15" s="1">
        <f>SUM(MAX(C$5:C14),IF(LEN(B15)&gt;0,1,0))</f>
        <v>4</v>
      </c>
      <c r="D15" s="1" t="str">
        <f t="shared" si="3"/>
        <v/>
      </c>
      <c r="E15" s="20">
        <v>0.2</v>
      </c>
      <c r="I15" s="7" t="s">
        <v>380</v>
      </c>
      <c r="L15" s="1" t="s">
        <v>31</v>
      </c>
      <c r="M15" s="1" t="s">
        <v>8</v>
      </c>
      <c r="N15" s="1" t="s">
        <v>8</v>
      </c>
      <c r="O15" s="1" t="s">
        <v>8</v>
      </c>
      <c r="Q15" s="1">
        <f>SUM(1,IF($E$15&gt;$AB$194,($E$15-$AB$194)/$AA$194*$AC$194,
IF($E$15&gt;$AB$199,($AB$194-$E$15)/$AA$199*$AC$199,
IF($E$15&gt;$AB$202,($AB$194-$AB$199)/$AA$199*$AC$199+($AB$199-$E$15)/$AA$202*$AC$202,
($AB$194-$AB$199)/$AA$199*$AC$199+($AB$199-$AB$202)/$AA$202*$AC$202))))</f>
        <v>0.92500000000000004</v>
      </c>
      <c r="R15" s="1">
        <f t="shared" ref="R15:S15" si="7">SUM(1,IF($E$15&gt;$AB$194,($E$15-$AB$194)/$AA$194*$AC$194,
IF($E$15&gt;$AB$199,($AB$194-$E$15)/$AA$199*$AC$199,
IF($E$15&gt;$AB$202,($AB$194-$AB$199)/$AA$199*$AC$199+($AB$199-$E$15)/$AA$202*$AC$202,
($AB$194-$AB$199)/$AA$199*$AC$199+($AB$199-$AB$202)/$AA$202*$AC$202))))</f>
        <v>0.92500000000000004</v>
      </c>
      <c r="S15" s="1">
        <f t="shared" si="7"/>
        <v>0.92500000000000004</v>
      </c>
      <c r="V15" s="1">
        <f t="shared" si="4"/>
        <v>29.79</v>
      </c>
      <c r="W15" s="1">
        <f t="shared" si="5"/>
        <v>132.69999999999999</v>
      </c>
      <c r="X15" s="1">
        <f t="shared" si="6"/>
        <v>810.26</v>
      </c>
      <c r="AA15" s="6" t="s">
        <v>60</v>
      </c>
      <c r="AB15" s="6">
        <v>1</v>
      </c>
    </row>
    <row r="16" spans="1:42" x14ac:dyDescent="0.25">
      <c r="A16" s="1" t="s">
        <v>348</v>
      </c>
      <c r="C16" s="1">
        <f>SUM(MAX(C$5:C15),IF(LEN(B16)&gt;0,1,0))</f>
        <v>4</v>
      </c>
      <c r="D16" s="1" t="str">
        <f t="shared" si="3"/>
        <v/>
      </c>
      <c r="E16" s="20">
        <v>0.05</v>
      </c>
      <c r="I16" s="13" t="s">
        <v>381</v>
      </c>
      <c r="L16" s="1" t="s">
        <v>25</v>
      </c>
      <c r="M16" s="1" t="s">
        <v>8</v>
      </c>
      <c r="N16" s="1" t="s">
        <v>8</v>
      </c>
      <c r="O16" s="1" t="s">
        <v>8</v>
      </c>
      <c r="Q16" s="1">
        <f>SUM(1,IF($E$16&gt;$AB$211,($E$16-$AB$211)/$AA$211*$AC$211,IF($E$16&gt;$AF$211,($AB$211-$E$16)/$AE$211*$AG$211)))</f>
        <v>1</v>
      </c>
      <c r="R16" s="1">
        <f t="shared" ref="R16:S16" si="8">SUM(1,IF($E$16&gt;$AB$211,($E$16-$AB$211)/$AA$211*$AC$211,IF($E$16&gt;$AF$211,($AB$211-$E$16)/$AE$211*$AG$211)))</f>
        <v>1</v>
      </c>
      <c r="S16" s="1">
        <f t="shared" si="8"/>
        <v>1</v>
      </c>
      <c r="V16" s="1">
        <f t="shared" si="4"/>
        <v>29.79</v>
      </c>
      <c r="W16" s="1">
        <f t="shared" si="5"/>
        <v>132.69999999999999</v>
      </c>
      <c r="X16" s="1">
        <f t="shared" si="6"/>
        <v>810.26</v>
      </c>
      <c r="AA16" s="6" t="s">
        <v>59</v>
      </c>
      <c r="AB16" s="6">
        <v>0.7</v>
      </c>
    </row>
    <row r="17" spans="1:30" x14ac:dyDescent="0.25">
      <c r="A17" s="1" t="s">
        <v>2</v>
      </c>
      <c r="C17" s="1">
        <f>SUM(MAX(C$5:C16),IF(LEN(B17)&gt;0,1,0))</f>
        <v>4</v>
      </c>
      <c r="D17" s="1" t="str">
        <f t="shared" si="3"/>
        <v/>
      </c>
      <c r="E17" s="19" t="s">
        <v>100</v>
      </c>
      <c r="I17" s="21" t="s">
        <v>379</v>
      </c>
      <c r="L17" s="1" t="s">
        <v>32</v>
      </c>
      <c r="M17" s="1" t="s">
        <v>8</v>
      </c>
      <c r="N17" s="1" t="s">
        <v>8</v>
      </c>
      <c r="O17" s="1" t="s">
        <v>8</v>
      </c>
      <c r="V17" s="1">
        <f t="shared" si="4"/>
        <v>29.79</v>
      </c>
      <c r="W17" s="1">
        <f t="shared" si="5"/>
        <v>132.69999999999999</v>
      </c>
      <c r="X17" s="1">
        <f t="shared" si="6"/>
        <v>810.26</v>
      </c>
      <c r="AA17" s="6" t="s">
        <v>58</v>
      </c>
      <c r="AB17" s="6">
        <v>1.27</v>
      </c>
    </row>
    <row r="18" spans="1:30" x14ac:dyDescent="0.25">
      <c r="C18" s="1">
        <f>SUM(MAX(C$5:C17),IF(LEN(B18)&gt;0,1,0))</f>
        <v>4</v>
      </c>
      <c r="D18" s="1" t="str">
        <f t="shared" si="3"/>
        <v/>
      </c>
      <c r="L18" s="1" t="s">
        <v>1</v>
      </c>
      <c r="M18" s="1" t="s">
        <v>8</v>
      </c>
      <c r="N18" s="1" t="s">
        <v>8</v>
      </c>
      <c r="O18" s="1" t="s">
        <v>8</v>
      </c>
      <c r="Q18" s="5">
        <f>SUM(1,VLOOKUP($E$19,$AA$229:$AB$236,2,FALSE))</f>
        <v>1</v>
      </c>
      <c r="R18" s="5">
        <f>SUM(1,VLOOKUP($E$19,$AA$229:$AB$236,2,FALSE))</f>
        <v>1</v>
      </c>
      <c r="S18" s="5">
        <f>SUM(1,VLOOKUP($E$19,$AA$229:$AB$236,2,FALSE))</f>
        <v>1</v>
      </c>
      <c r="T18" s="5"/>
      <c r="V18" s="1">
        <f t="shared" si="4"/>
        <v>29.79</v>
      </c>
      <c r="W18" s="1">
        <f t="shared" si="5"/>
        <v>132.69999999999999</v>
      </c>
      <c r="X18" s="1">
        <f t="shared" si="6"/>
        <v>810.26</v>
      </c>
      <c r="AA18" s="6" t="s">
        <v>57</v>
      </c>
      <c r="AB18" s="6">
        <v>1</v>
      </c>
    </row>
    <row r="19" spans="1:30" x14ac:dyDescent="0.25">
      <c r="A19" s="2" t="s">
        <v>1</v>
      </c>
      <c r="C19" s="1">
        <f>SUM(MAX(C$5:C18),IF(LEN(B19)&gt;0,1,0))</f>
        <v>4</v>
      </c>
      <c r="D19" s="1" t="str">
        <f t="shared" si="3"/>
        <v/>
      </c>
      <c r="E19" s="20">
        <v>0</v>
      </c>
      <c r="L19" s="1" t="s">
        <v>2</v>
      </c>
      <c r="M19" s="1" t="s">
        <v>8</v>
      </c>
      <c r="N19" s="1" t="s">
        <v>8</v>
      </c>
      <c r="O19" s="1" t="s">
        <v>8</v>
      </c>
      <c r="Q19" s="1">
        <f>SUM(1,IF($E$17=$AO$5,$AB$223,0))</f>
        <v>1</v>
      </c>
      <c r="R19" s="1">
        <f>SUM(1,IF($E$17=$AO$5,$AB$223,0))</f>
        <v>1</v>
      </c>
      <c r="S19" s="1">
        <f>SUM(1,IF($E$17=$AO$5,$AB$223,0))</f>
        <v>1</v>
      </c>
      <c r="V19" s="1">
        <f t="shared" si="4"/>
        <v>29.79</v>
      </c>
      <c r="W19" s="1">
        <f t="shared" si="5"/>
        <v>132.69999999999999</v>
      </c>
      <c r="X19" s="1">
        <f t="shared" si="6"/>
        <v>810.26</v>
      </c>
      <c r="AA19" s="6" t="s">
        <v>56</v>
      </c>
      <c r="AB19" s="6">
        <v>1.27</v>
      </c>
    </row>
    <row r="20" spans="1:30" x14ac:dyDescent="0.25">
      <c r="C20" s="1">
        <f>SUM(MAX(C$5:C19),IF(LEN(B20)&gt;0,1,0))</f>
        <v>4</v>
      </c>
      <c r="D20" s="1" t="str">
        <f t="shared" si="3"/>
        <v/>
      </c>
      <c r="L20" s="1" t="s">
        <v>3</v>
      </c>
      <c r="M20" s="1" t="s">
        <v>8</v>
      </c>
      <c r="N20" s="1" t="s">
        <v>8</v>
      </c>
      <c r="O20" s="1" t="s">
        <v>8</v>
      </c>
      <c r="Q20" s="1">
        <f>SUM(1,VLOOKUP($E$21,$AA$241:$AB$246,2,FALSE))</f>
        <v>1</v>
      </c>
      <c r="R20" s="1">
        <f>SUM(1,VLOOKUP($E$21,$AA$241:$AB$246,2,FALSE))</f>
        <v>1</v>
      </c>
      <c r="S20" s="1">
        <f>SUM(1,VLOOKUP($E$21,$AA$241:$AB$246,2,FALSE))</f>
        <v>1</v>
      </c>
      <c r="V20" s="1">
        <f t="shared" si="4"/>
        <v>29.79</v>
      </c>
      <c r="W20" s="1">
        <f t="shared" si="5"/>
        <v>132.69999999999999</v>
      </c>
      <c r="X20" s="1">
        <f t="shared" si="6"/>
        <v>810.26</v>
      </c>
      <c r="AA20" s="6" t="s">
        <v>55</v>
      </c>
      <c r="AB20" s="6">
        <v>1</v>
      </c>
    </row>
    <row r="21" spans="1:30" x14ac:dyDescent="0.25">
      <c r="A21" s="2" t="s">
        <v>3</v>
      </c>
      <c r="C21" s="1">
        <f>SUM(MAX(C$5:C20),IF(LEN(B21)&gt;0,1,0))</f>
        <v>4</v>
      </c>
      <c r="D21" s="1" t="str">
        <f t="shared" si="3"/>
        <v/>
      </c>
      <c r="E21" s="20">
        <v>0</v>
      </c>
      <c r="L21" s="1" t="s">
        <v>4</v>
      </c>
      <c r="N21" s="1" t="s">
        <v>8</v>
      </c>
      <c r="O21" s="1" t="s">
        <v>8</v>
      </c>
      <c r="R21" s="1">
        <f>VLOOKUP(CONCATENATE($E$24," ",$E$25," ",$E$26),$AA$251:$AG$258,5,FALSE)</f>
        <v>0.95</v>
      </c>
      <c r="S21" s="1">
        <f>VLOOKUP(CONCATENATE($E$24," ",$E$25," ",$E$26),$AA$251:$AG$258,6,FALSE)</f>
        <v>0.95</v>
      </c>
      <c r="V21" s="1">
        <f t="shared" si="4"/>
        <v>29.79</v>
      </c>
      <c r="W21" s="1">
        <f t="shared" si="5"/>
        <v>126.07</v>
      </c>
      <c r="X21" s="1">
        <f t="shared" si="6"/>
        <v>769.75</v>
      </c>
      <c r="AA21" s="6" t="s">
        <v>62</v>
      </c>
    </row>
    <row r="22" spans="1:30" x14ac:dyDescent="0.25">
      <c r="A22" s="2"/>
      <c r="C22" s="1">
        <f>SUM(MAX(C$5:C21),IF(LEN(B22)&gt;0,1,0))</f>
        <v>4</v>
      </c>
      <c r="D22" s="1" t="str">
        <f t="shared" si="3"/>
        <v/>
      </c>
      <c r="L22" s="1" t="s">
        <v>33</v>
      </c>
      <c r="N22" s="1" t="s">
        <v>8</v>
      </c>
      <c r="O22" s="1" t="s">
        <v>8</v>
      </c>
      <c r="R22" s="1">
        <f>SUM(1,IF($E$50=$AO$5,-$AC$504,0))</f>
        <v>1</v>
      </c>
      <c r="S22" s="1">
        <f>SUM(1,IF($E$50=$AO$5,-$AD$504))</f>
        <v>1</v>
      </c>
      <c r="V22" s="1">
        <f t="shared" si="4"/>
        <v>29.79</v>
      </c>
      <c r="W22" s="1">
        <f t="shared" si="5"/>
        <v>126.07</v>
      </c>
      <c r="X22" s="1">
        <f t="shared" si="6"/>
        <v>769.75</v>
      </c>
      <c r="AA22" s="6" t="s">
        <v>63</v>
      </c>
    </row>
    <row r="23" spans="1:30" x14ac:dyDescent="0.25">
      <c r="A23" s="2" t="s">
        <v>349</v>
      </c>
      <c r="C23" s="1">
        <f>SUM(MAX(C$5:C22),IF(LEN(B23)&gt;0,1,0))</f>
        <v>4</v>
      </c>
      <c r="D23" s="1" t="str">
        <f t="shared" si="3"/>
        <v/>
      </c>
      <c r="L23" s="1" t="s">
        <v>5</v>
      </c>
      <c r="N23" s="1" t="s">
        <v>8</v>
      </c>
      <c r="O23" s="1" t="s">
        <v>8</v>
      </c>
      <c r="R23" s="1">
        <f>SUM(1,IF($E$49=$AO$5,-$AC$503))</f>
        <v>1</v>
      </c>
      <c r="S23" s="1">
        <f>SUM(1,IF($E$49=$AO$5,-$AD$503,0))</f>
        <v>1</v>
      </c>
      <c r="V23" s="1">
        <f t="shared" si="4"/>
        <v>29.79</v>
      </c>
      <c r="W23" s="1">
        <f t="shared" si="5"/>
        <v>126.07</v>
      </c>
      <c r="X23" s="1">
        <f t="shared" si="6"/>
        <v>769.75</v>
      </c>
    </row>
    <row r="24" spans="1:30" x14ac:dyDescent="0.25">
      <c r="A24" s="1" t="s">
        <v>272</v>
      </c>
      <c r="C24" s="1">
        <f>SUM(MAX(C$5:C23),IF(LEN(B24)&gt;0,1,0))</f>
        <v>4</v>
      </c>
      <c r="D24" s="1" t="str">
        <f t="shared" si="3"/>
        <v/>
      </c>
      <c r="E24" s="19" t="s">
        <v>99</v>
      </c>
      <c r="L24" s="1" t="s">
        <v>6</v>
      </c>
      <c r="O24" s="1" t="s">
        <v>8</v>
      </c>
      <c r="S24" s="1">
        <f>SUM(1,-IF($E$48=$AO$5,$AD$502,0))</f>
        <v>1</v>
      </c>
      <c r="V24" s="1">
        <f t="shared" si="4"/>
        <v>29.79</v>
      </c>
      <c r="W24" s="1">
        <f t="shared" si="5"/>
        <v>126.07</v>
      </c>
      <c r="X24" s="1">
        <f t="shared" si="6"/>
        <v>769.75</v>
      </c>
      <c r="AA24" s="9" t="s">
        <v>64</v>
      </c>
    </row>
    <row r="25" spans="1:30" x14ac:dyDescent="0.25">
      <c r="A25" s="1" t="s">
        <v>271</v>
      </c>
      <c r="C25" s="1">
        <f>SUM(MAX(C$5:C24),IF(LEN(B25)&gt;0,1,0))</f>
        <v>4</v>
      </c>
      <c r="D25" s="1" t="str">
        <f t="shared" si="3"/>
        <v/>
      </c>
      <c r="E25" s="19" t="s">
        <v>99</v>
      </c>
      <c r="L25" s="1" t="s">
        <v>34</v>
      </c>
      <c r="M25" s="1" t="s">
        <v>8</v>
      </c>
      <c r="N25" s="1" t="s">
        <v>8</v>
      </c>
      <c r="Q25" s="1">
        <f>SUM(1,IF($E$72=$AO$5,$AB$582,0))</f>
        <v>1.1499999999999999</v>
      </c>
      <c r="R25" s="1">
        <f>SUM(1,IF($E$72=$AO$5,$AC$582,0))</f>
        <v>1.1499999999999999</v>
      </c>
      <c r="V25" s="1">
        <f t="shared" si="4"/>
        <v>34.26</v>
      </c>
      <c r="W25" s="1">
        <f t="shared" si="5"/>
        <v>144.97999999999999</v>
      </c>
      <c r="X25" s="1">
        <f t="shared" si="6"/>
        <v>769.75</v>
      </c>
      <c r="AB25" s="6" t="s">
        <v>49</v>
      </c>
      <c r="AC25" s="6" t="s">
        <v>67</v>
      </c>
      <c r="AD25" s="6" t="s">
        <v>51</v>
      </c>
    </row>
    <row r="26" spans="1:30" x14ac:dyDescent="0.25">
      <c r="A26" s="1" t="s">
        <v>270</v>
      </c>
      <c r="C26" s="1">
        <f>SUM(MAX(C$5:C25),IF(LEN(B26)&gt;0,1,0))</f>
        <v>4</v>
      </c>
      <c r="D26" s="1" t="str">
        <f t="shared" si="3"/>
        <v/>
      </c>
      <c r="E26" s="19" t="s">
        <v>99</v>
      </c>
      <c r="L26" s="1" t="s">
        <v>35</v>
      </c>
      <c r="N26" s="1" t="s">
        <v>8</v>
      </c>
      <c r="R26" s="1">
        <f>SUM(1,IF(E33=$AO$5,AB282,0))</f>
        <v>0.95</v>
      </c>
      <c r="V26" s="1">
        <f t="shared" si="4"/>
        <v>34.26</v>
      </c>
      <c r="W26" s="1">
        <f t="shared" si="5"/>
        <v>137.72999999999999</v>
      </c>
      <c r="X26" s="1">
        <f t="shared" si="6"/>
        <v>769.75</v>
      </c>
      <c r="AA26" s="6" t="s">
        <v>65</v>
      </c>
      <c r="AB26" s="6">
        <v>1</v>
      </c>
      <c r="AC26" s="6">
        <v>1</v>
      </c>
      <c r="AD26" s="6">
        <v>1</v>
      </c>
    </row>
    <row r="27" spans="1:30" x14ac:dyDescent="0.25">
      <c r="C27" s="1">
        <f>SUM(MAX(C$5:C26),IF(LEN(B27)&gt;0,1,0))</f>
        <v>4</v>
      </c>
      <c r="D27" s="1" t="str">
        <f t="shared" si="3"/>
        <v/>
      </c>
      <c r="L27" s="1" t="s">
        <v>36</v>
      </c>
      <c r="N27" s="1" t="s">
        <v>8</v>
      </c>
      <c r="R27" s="1">
        <f>VLOOKUP($E$29,$AA$274:$AF$278,MATCH($E$30,$AA$273:$AF$273,0),FALSE)</f>
        <v>0.68</v>
      </c>
      <c r="V27" s="1">
        <f t="shared" si="4"/>
        <v>34.26</v>
      </c>
      <c r="W27" s="1">
        <f t="shared" si="5"/>
        <v>93.66</v>
      </c>
      <c r="X27" s="1">
        <f t="shared" si="6"/>
        <v>769.75</v>
      </c>
      <c r="AA27" s="6" t="s">
        <v>66</v>
      </c>
      <c r="AB27" s="6">
        <v>1</v>
      </c>
      <c r="AC27" s="6">
        <v>1</v>
      </c>
      <c r="AD27" s="6">
        <v>1</v>
      </c>
    </row>
    <row r="28" spans="1:30" x14ac:dyDescent="0.25">
      <c r="A28" s="2" t="s">
        <v>350</v>
      </c>
      <c r="C28" s="1">
        <f>SUM(MAX(C$5:C27),IF(LEN(B28)&gt;0,1,0))</f>
        <v>4</v>
      </c>
      <c r="D28" s="1" t="str">
        <f t="shared" si="3"/>
        <v/>
      </c>
      <c r="L28" s="1" t="s">
        <v>230</v>
      </c>
      <c r="N28" s="1" t="s">
        <v>8</v>
      </c>
      <c r="R28" s="1">
        <f>SUM(1,IF(E34=$AO$5,AB283,0))</f>
        <v>0.95</v>
      </c>
      <c r="V28" s="1">
        <f t="shared" si="4"/>
        <v>34.26</v>
      </c>
      <c r="W28" s="1">
        <f t="shared" si="5"/>
        <v>88.98</v>
      </c>
      <c r="X28" s="1">
        <f t="shared" si="6"/>
        <v>769.75</v>
      </c>
    </row>
    <row r="29" spans="1:30" x14ac:dyDescent="0.25">
      <c r="A29" s="1" t="s">
        <v>257</v>
      </c>
      <c r="C29" s="1">
        <f>SUM(MAX(C$5:C28),IF(LEN(B29)&gt;0,1,0))</f>
        <v>4</v>
      </c>
      <c r="D29" s="1" t="str">
        <f t="shared" si="3"/>
        <v/>
      </c>
      <c r="E29" s="19" t="s">
        <v>117</v>
      </c>
      <c r="L29" s="1" t="s">
        <v>37</v>
      </c>
      <c r="N29" s="1" t="s">
        <v>8</v>
      </c>
      <c r="R29" s="1">
        <f>SUM(1,IF(E35=$AO$5,AB284,0))</f>
        <v>0.95</v>
      </c>
      <c r="V29" s="1">
        <f t="shared" si="4"/>
        <v>34.26</v>
      </c>
      <c r="W29" s="1">
        <f t="shared" si="5"/>
        <v>84.53</v>
      </c>
      <c r="X29" s="1">
        <f t="shared" si="6"/>
        <v>769.75</v>
      </c>
      <c r="AA29" s="9" t="s">
        <v>69</v>
      </c>
    </row>
    <row r="30" spans="1:30" x14ac:dyDescent="0.25">
      <c r="A30" s="1" t="s">
        <v>114</v>
      </c>
      <c r="C30" s="1">
        <f>SUM(MAX(C$5:C29),IF(LEN(B30)&gt;0,1,0))</f>
        <v>4</v>
      </c>
      <c r="D30" s="1" t="str">
        <f t="shared" si="3"/>
        <v/>
      </c>
      <c r="E30" s="19" t="s">
        <v>115</v>
      </c>
      <c r="L30" s="1" t="s">
        <v>38</v>
      </c>
      <c r="N30" s="1" t="s">
        <v>8</v>
      </c>
      <c r="R30" s="1">
        <f>SUM(1,VLOOKUP(E36,AH282:AI284,2,FALSE))</f>
        <v>0.9</v>
      </c>
      <c r="V30" s="1">
        <f t="shared" si="4"/>
        <v>34.26</v>
      </c>
      <c r="W30" s="1">
        <f t="shared" si="5"/>
        <v>76.08</v>
      </c>
      <c r="X30" s="1">
        <f t="shared" si="6"/>
        <v>769.75</v>
      </c>
      <c r="AA30" s="6" t="s">
        <v>49</v>
      </c>
    </row>
    <row r="31" spans="1:30" x14ac:dyDescent="0.25">
      <c r="C31" s="1">
        <f>SUM(MAX(C$5:C30),IF(LEN(B31)&gt;0,1,0))</f>
        <v>4</v>
      </c>
      <c r="D31" s="1" t="str">
        <f t="shared" si="3"/>
        <v/>
      </c>
      <c r="L31" s="1" t="s">
        <v>39</v>
      </c>
      <c r="N31" s="1" t="s">
        <v>8</v>
      </c>
      <c r="R31" s="1">
        <f>SUM(1,VLOOKUP(E37,$AE$282:$AF$286,2,FALSE))</f>
        <v>0.9</v>
      </c>
      <c r="V31" s="1">
        <f t="shared" si="4"/>
        <v>34.26</v>
      </c>
      <c r="W31" s="1">
        <f t="shared" si="5"/>
        <v>68.47</v>
      </c>
      <c r="X31" s="1">
        <f t="shared" si="6"/>
        <v>769.75</v>
      </c>
      <c r="AA31" s="6" t="s">
        <v>68</v>
      </c>
      <c r="AB31" s="6" t="s">
        <v>21</v>
      </c>
      <c r="AC31" s="6" t="s">
        <v>22</v>
      </c>
      <c r="AD31" s="6" t="s">
        <v>23</v>
      </c>
    </row>
    <row r="32" spans="1:30" x14ac:dyDescent="0.25">
      <c r="A32" s="2" t="s">
        <v>361</v>
      </c>
      <c r="C32" s="1">
        <f>SUM(MAX(C$5:C31),IF(LEN(B32)&gt;0,1,0))</f>
        <v>4</v>
      </c>
      <c r="D32" s="1" t="str">
        <f t="shared" si="3"/>
        <v/>
      </c>
      <c r="L32" s="1" t="s">
        <v>40</v>
      </c>
      <c r="M32" s="1" t="s">
        <v>8</v>
      </c>
      <c r="N32" s="1" t="s">
        <v>8</v>
      </c>
      <c r="O32" s="1" t="s">
        <v>8</v>
      </c>
      <c r="Q32" s="1">
        <f>IF($F$12="North",$AK$393,$AK$420)</f>
        <v>8.5</v>
      </c>
      <c r="R32" s="1">
        <f>IF($F$12="North",$AL$393,$AL$420)</f>
        <v>8.5</v>
      </c>
      <c r="S32" s="1">
        <f>IF($F$12="North",$AM$393,$AM$420)</f>
        <v>8.5</v>
      </c>
      <c r="V32" s="1">
        <f t="shared" si="4"/>
        <v>291.20999999999998</v>
      </c>
      <c r="W32" s="1">
        <f t="shared" si="5"/>
        <v>582</v>
      </c>
      <c r="X32" s="1">
        <f t="shared" si="6"/>
        <v>6542.88</v>
      </c>
      <c r="AA32" s="6">
        <v>3</v>
      </c>
      <c r="AB32" s="6">
        <v>1.2729999999999999</v>
      </c>
      <c r="AC32" s="6">
        <v>1.254</v>
      </c>
      <c r="AD32" s="6">
        <v>2.48</v>
      </c>
    </row>
    <row r="33" spans="1:30" x14ac:dyDescent="0.25">
      <c r="A33" s="1" t="s">
        <v>120</v>
      </c>
      <c r="C33" s="1">
        <f>SUM(MAX(C$5:C32),IF(LEN(B33)&gt;0,1,0))</f>
        <v>4</v>
      </c>
      <c r="D33" s="1" t="str">
        <f t="shared" si="3"/>
        <v/>
      </c>
      <c r="E33" s="19" t="s">
        <v>99</v>
      </c>
      <c r="L33" s="1" t="s">
        <v>41</v>
      </c>
      <c r="O33" s="1" t="s">
        <v>8</v>
      </c>
      <c r="S33" s="1">
        <f>VLOOKUP($E$8,$AA$435:$AK$440,MATCH($E$40,$AA$434:$AK$434,0),TRUE)</f>
        <v>0.96</v>
      </c>
      <c r="V33" s="1">
        <f t="shared" si="4"/>
        <v>291.20999999999998</v>
      </c>
      <c r="W33" s="1">
        <f t="shared" si="5"/>
        <v>582</v>
      </c>
      <c r="X33" s="1">
        <f t="shared" si="6"/>
        <v>6281.16</v>
      </c>
      <c r="AA33" s="6">
        <v>4</v>
      </c>
      <c r="AB33" s="6">
        <v>0.76700000000000002</v>
      </c>
      <c r="AC33" s="6">
        <v>1.173</v>
      </c>
      <c r="AD33" s="6">
        <v>1.494</v>
      </c>
    </row>
    <row r="34" spans="1:30" x14ac:dyDescent="0.25">
      <c r="A34" s="1" t="s">
        <v>273</v>
      </c>
      <c r="C34" s="1">
        <f>SUM(MAX(C$5:C33),IF(LEN(B34)&gt;0,1,0))</f>
        <v>4</v>
      </c>
      <c r="D34" s="1" t="str">
        <f t="shared" si="3"/>
        <v/>
      </c>
      <c r="E34" s="19" t="s">
        <v>99</v>
      </c>
      <c r="L34" s="1" t="s">
        <v>42</v>
      </c>
      <c r="N34" s="1" t="s">
        <v>8</v>
      </c>
      <c r="R34" s="1">
        <f>VLOOKUP($E$8,$AA$459:$AK$465,MATCH($E$41,$AA$458:$AK$458,0),TRUE)</f>
        <v>0.94699999999999995</v>
      </c>
      <c r="V34" s="1">
        <f t="shared" si="4"/>
        <v>291.20999999999998</v>
      </c>
      <c r="W34" s="1">
        <f t="shared" si="5"/>
        <v>551.15</v>
      </c>
      <c r="X34" s="1">
        <f t="shared" si="6"/>
        <v>6281.16</v>
      </c>
      <c r="AA34" s="6">
        <v>6</v>
      </c>
      <c r="AB34" s="6">
        <v>1.377</v>
      </c>
      <c r="AC34" s="6">
        <v>1.7010000000000001</v>
      </c>
      <c r="AD34" s="6">
        <v>2.6819999999999999</v>
      </c>
    </row>
    <row r="35" spans="1:30" x14ac:dyDescent="0.25">
      <c r="A35" s="1" t="s">
        <v>123</v>
      </c>
      <c r="C35" s="1">
        <f>SUM(MAX(C$5:C34),IF(LEN(B35)&gt;0,1,0))</f>
        <v>4</v>
      </c>
      <c r="D35" s="1" t="str">
        <f t="shared" si="3"/>
        <v/>
      </c>
      <c r="E35" s="19" t="s">
        <v>99</v>
      </c>
      <c r="L35" s="1" t="s">
        <v>43</v>
      </c>
      <c r="M35" s="1" t="s">
        <v>8</v>
      </c>
      <c r="Q35" s="1">
        <f>VLOOKUP(E8,$AA$484:$AD$489,MATCH(E42,$AA$483:$AD$483,0),TRUE)</f>
        <v>0.86699999999999999</v>
      </c>
      <c r="V35" s="1">
        <f t="shared" si="4"/>
        <v>252.48</v>
      </c>
      <c r="W35" s="1">
        <f t="shared" si="5"/>
        <v>551.15</v>
      </c>
      <c r="X35" s="1">
        <f t="shared" si="6"/>
        <v>6281.16</v>
      </c>
      <c r="AA35" s="6">
        <v>7</v>
      </c>
      <c r="AB35" s="6">
        <v>1.345</v>
      </c>
      <c r="AC35" s="6">
        <v>1.1140000000000001</v>
      </c>
      <c r="AD35" s="6">
        <v>2.621</v>
      </c>
    </row>
    <row r="36" spans="1:30" x14ac:dyDescent="0.25">
      <c r="A36" s="1" t="s">
        <v>38</v>
      </c>
      <c r="C36" s="1">
        <f>SUM(MAX(C$5:C35),IF(LEN(B36)&gt;0,1,0))</f>
        <v>4</v>
      </c>
      <c r="D36" s="1" t="str">
        <f t="shared" si="3"/>
        <v/>
      </c>
      <c r="E36" s="19" t="s">
        <v>366</v>
      </c>
      <c r="L36" s="1" t="s">
        <v>7</v>
      </c>
      <c r="M36" s="1" t="s">
        <v>8</v>
      </c>
      <c r="N36" s="1" t="s">
        <v>8</v>
      </c>
      <c r="O36" s="1" t="s">
        <v>8</v>
      </c>
      <c r="Q36" s="1">
        <f>SUM(1,-VLOOKUP($F$6,$AA$551:$AB$562,2,TRUE))</f>
        <v>1</v>
      </c>
      <c r="R36" s="1">
        <f>SUM(1,-VLOOKUP($F$6,$AA$551:$AB$562,2,TRUE))</f>
        <v>1</v>
      </c>
      <c r="S36" s="1">
        <f>SUM(1,-VLOOKUP($F$6,$AA$551:$AB$562,2,TRUE))</f>
        <v>1</v>
      </c>
      <c r="V36" s="1">
        <f t="shared" si="4"/>
        <v>252.48</v>
      </c>
      <c r="W36" s="1">
        <f t="shared" si="5"/>
        <v>551.15</v>
      </c>
      <c r="X36" s="1">
        <f t="shared" si="6"/>
        <v>6281.16</v>
      </c>
      <c r="AA36" s="6">
        <v>8</v>
      </c>
      <c r="AB36" s="6">
        <v>0.92900000000000005</v>
      </c>
      <c r="AC36" s="6">
        <v>1.089</v>
      </c>
      <c r="AD36" s="6">
        <v>1.8109999999999999</v>
      </c>
    </row>
    <row r="37" spans="1:30" x14ac:dyDescent="0.25">
      <c r="A37" s="1" t="s">
        <v>119</v>
      </c>
      <c r="C37" s="1">
        <f>SUM(MAX(C$5:C36),IF(LEN(B37)&gt;0,1,0))</f>
        <v>4</v>
      </c>
      <c r="D37" s="1" t="str">
        <f t="shared" si="3"/>
        <v/>
      </c>
      <c r="E37" s="19" t="s">
        <v>369</v>
      </c>
      <c r="L37" s="1" t="s">
        <v>9</v>
      </c>
      <c r="M37" s="1" t="s">
        <v>8</v>
      </c>
      <c r="N37" s="1" t="s">
        <v>8</v>
      </c>
      <c r="O37" s="1" t="s">
        <v>8</v>
      </c>
      <c r="Q37" s="1">
        <f>SUM(1,-IF($E$47=$AO$5,AB501,0))</f>
        <v>1</v>
      </c>
      <c r="R37" s="1">
        <f>SUM(1,-IF($E$47=$AO$5,AC501,0))</f>
        <v>1</v>
      </c>
      <c r="S37" s="1">
        <f>SUM(1,-IF($E$47=$AO$5,AD501,0))</f>
        <v>1</v>
      </c>
      <c r="V37" s="1">
        <f t="shared" si="4"/>
        <v>252.48</v>
      </c>
      <c r="W37" s="1">
        <f t="shared" si="5"/>
        <v>551.15</v>
      </c>
      <c r="X37" s="1">
        <f t="shared" si="6"/>
        <v>6281.16</v>
      </c>
      <c r="AA37" s="6">
        <v>10</v>
      </c>
      <c r="AB37" s="6">
        <v>0.92900000000000005</v>
      </c>
      <c r="AC37" s="6">
        <v>1.2490000000000001</v>
      </c>
      <c r="AD37" s="6">
        <v>1.8109999999999999</v>
      </c>
    </row>
    <row r="38" spans="1:30" x14ac:dyDescent="0.25">
      <c r="C38" s="1">
        <f>SUM(MAX(C$5:C37),IF(LEN(B38)&gt;0,1,0))</f>
        <v>4</v>
      </c>
      <c r="D38" s="1" t="str">
        <f t="shared" si="3"/>
        <v/>
      </c>
      <c r="L38" s="1" t="s">
        <v>10</v>
      </c>
      <c r="M38" s="1" t="s">
        <v>8</v>
      </c>
      <c r="N38" s="1" t="s">
        <v>8</v>
      </c>
      <c r="O38" s="1" t="s">
        <v>8</v>
      </c>
      <c r="Q38" s="1">
        <f>SUM(1,-MIN(SUM($F$58:$F$68,0.2),0))</f>
        <v>1</v>
      </c>
      <c r="R38" s="1">
        <f>SUM(1,-MIN(SUM($F$58:$F$68,0.2),0))</f>
        <v>1</v>
      </c>
      <c r="S38" s="1">
        <f>SUM(1,-MIN(SUM($F$58:$F$68,0.2),0))</f>
        <v>1</v>
      </c>
      <c r="V38" s="1">
        <f t="shared" si="4"/>
        <v>252.48</v>
      </c>
      <c r="W38" s="1">
        <f t="shared" si="5"/>
        <v>551.15</v>
      </c>
      <c r="X38" s="1">
        <f t="shared" si="6"/>
        <v>6281.16</v>
      </c>
      <c r="AA38" s="6">
        <v>11</v>
      </c>
      <c r="AB38" s="6">
        <v>1.329</v>
      </c>
      <c r="AC38" s="6">
        <v>0.72199999999999998</v>
      </c>
      <c r="AD38" s="6">
        <v>2.589</v>
      </c>
    </row>
    <row r="39" spans="1:30" x14ac:dyDescent="0.25">
      <c r="A39" s="2" t="s">
        <v>351</v>
      </c>
      <c r="C39" s="1">
        <f>SUM(MAX(C$5:C38),IF(LEN(B39)&gt;0,1,0))</f>
        <v>4</v>
      </c>
      <c r="D39" s="1" t="str">
        <f t="shared" si="3"/>
        <v/>
      </c>
      <c r="H39" s="6"/>
      <c r="L39" s="1" t="s">
        <v>11</v>
      </c>
      <c r="N39" s="1" t="s">
        <v>8</v>
      </c>
      <c r="O39" s="1" t="s">
        <v>8</v>
      </c>
      <c r="V39" s="1">
        <f t="shared" si="4"/>
        <v>252.48</v>
      </c>
      <c r="W39" s="1">
        <f t="shared" si="5"/>
        <v>551.15</v>
      </c>
      <c r="X39" s="1">
        <f t="shared" si="6"/>
        <v>6281.16</v>
      </c>
      <c r="AA39" s="6">
        <v>17</v>
      </c>
      <c r="AB39" s="6">
        <v>0.96299999999999997</v>
      </c>
      <c r="AC39" s="6">
        <v>0.88500000000000001</v>
      </c>
      <c r="AD39" s="6">
        <v>1.875</v>
      </c>
    </row>
    <row r="40" spans="1:30" x14ac:dyDescent="0.25">
      <c r="A40" s="1" t="s">
        <v>41</v>
      </c>
      <c r="B40" s="1" t="str">
        <f>SUBSTITUTE(SUBSTITUTE(SUBSTITUTE(SUBSTITUTE(A40," ","_"),"-",""),"?",""),",","")</f>
        <v>Base_deductible_factor</v>
      </c>
      <c r="C40" s="1">
        <f>SUM(MAX(C$5:C39),IF(LEN(B40)&gt;0,1,0))</f>
        <v>5</v>
      </c>
      <c r="D40" s="1" t="str">
        <f t="shared" si="3"/>
        <v>Xinput_05_Base_deductible_factor</v>
      </c>
      <c r="E40" s="7">
        <v>1000</v>
      </c>
      <c r="L40" s="1" t="s">
        <v>12</v>
      </c>
      <c r="O40" s="1" t="s">
        <v>8</v>
      </c>
      <c r="Q40" s="1">
        <f>SUM(1,-VLOOKUP($F$7,$AD$551:$AE$558,2,TRUE))</f>
        <v>1</v>
      </c>
      <c r="R40" s="1">
        <f>SUM(1,-VLOOKUP($F$7,$AD$551:$AE$558,2,TRUE))</f>
        <v>1</v>
      </c>
      <c r="S40" s="1">
        <f>SUM(1,-VLOOKUP($F$7,$AD$551:$AE$558,2,TRUE))</f>
        <v>1</v>
      </c>
      <c r="V40" s="1">
        <f t="shared" si="4"/>
        <v>252.48</v>
      </c>
      <c r="W40" s="1">
        <f t="shared" si="5"/>
        <v>551.15</v>
      </c>
      <c r="X40" s="1">
        <f t="shared" si="6"/>
        <v>6281.16</v>
      </c>
      <c r="AA40" s="6">
        <v>18</v>
      </c>
      <c r="AB40" s="6">
        <v>0.89900000000000002</v>
      </c>
      <c r="AC40" s="6">
        <v>1.8939999999999999</v>
      </c>
      <c r="AD40" s="6">
        <v>1.752</v>
      </c>
    </row>
    <row r="41" spans="1:30" x14ac:dyDescent="0.25">
      <c r="A41" s="1" t="s">
        <v>231</v>
      </c>
      <c r="C41" s="1">
        <f>SUM(MAX(C$5:C40),IF(LEN(B41)&gt;0,1,0))</f>
        <v>5</v>
      </c>
      <c r="D41" s="1" t="str">
        <f t="shared" si="3"/>
        <v/>
      </c>
      <c r="E41" s="19">
        <v>10000</v>
      </c>
      <c r="L41" s="1" t="s">
        <v>13</v>
      </c>
      <c r="O41" s="1" t="s">
        <v>8</v>
      </c>
      <c r="Q41" s="1">
        <f>SUM(1,-IF($E$46=$AO$5,$AD$500,0))</f>
        <v>1</v>
      </c>
      <c r="R41" s="1">
        <f>SUM(1,-IF($E$46=$AO$5,$AD$500,0))</f>
        <v>1</v>
      </c>
      <c r="S41" s="1">
        <f>SUM(1,-IF($E$46=$AO$5,$AD$500,0))</f>
        <v>1</v>
      </c>
      <c r="V41" s="1">
        <f t="shared" si="4"/>
        <v>252.48</v>
      </c>
      <c r="W41" s="1">
        <f t="shared" si="5"/>
        <v>551.15</v>
      </c>
      <c r="X41" s="1">
        <f t="shared" si="6"/>
        <v>6281.16</v>
      </c>
      <c r="AA41" s="6">
        <v>20</v>
      </c>
      <c r="AB41" s="6">
        <v>0.89900000000000002</v>
      </c>
      <c r="AC41" s="6">
        <v>1.0089999999999999</v>
      </c>
      <c r="AD41" s="6">
        <v>1.752</v>
      </c>
    </row>
    <row r="42" spans="1:30" x14ac:dyDescent="0.25">
      <c r="A42" s="1" t="s">
        <v>232</v>
      </c>
      <c r="C42" s="1">
        <f>SUM(MAX(C$5:C41),IF(LEN(B42)&gt;0,1,0))</f>
        <v>5</v>
      </c>
      <c r="D42" s="1" t="str">
        <f t="shared" si="3"/>
        <v/>
      </c>
      <c r="E42" s="20">
        <v>5.0000000000000001E-3</v>
      </c>
      <c r="L42" s="1" t="s">
        <v>14</v>
      </c>
      <c r="O42" s="1" t="s">
        <v>8</v>
      </c>
      <c r="V42" s="1">
        <f t="shared" si="4"/>
        <v>252.48</v>
      </c>
      <c r="W42" s="1">
        <f t="shared" si="5"/>
        <v>551.15</v>
      </c>
      <c r="X42" s="1">
        <f t="shared" si="6"/>
        <v>6281.16</v>
      </c>
      <c r="AA42" s="6">
        <v>21</v>
      </c>
      <c r="AB42" s="6">
        <v>1.0680000000000001</v>
      </c>
      <c r="AC42" s="6">
        <v>2.1539999999999999</v>
      </c>
      <c r="AD42" s="6">
        <v>0.81299999999999994</v>
      </c>
    </row>
    <row r="43" spans="1:30" x14ac:dyDescent="0.25">
      <c r="C43" s="1">
        <f>SUM(MAX(C$5:C42),IF(LEN(B43)&gt;0,1,0))</f>
        <v>5</v>
      </c>
      <c r="D43" s="1" t="str">
        <f t="shared" si="3"/>
        <v/>
      </c>
      <c r="L43" s="1" t="s">
        <v>15</v>
      </c>
      <c r="O43" s="1" t="s">
        <v>8</v>
      </c>
      <c r="S43" s="1">
        <f>SUM(1,IF($E$73=$AO$5,$AD$583,0))</f>
        <v>1.25</v>
      </c>
      <c r="V43" s="1">
        <f t="shared" si="4"/>
        <v>252.48</v>
      </c>
      <c r="W43" s="1">
        <f t="shared" si="5"/>
        <v>551.15</v>
      </c>
      <c r="X43" s="1">
        <f t="shared" si="6"/>
        <v>7851.45</v>
      </c>
      <c r="AA43" s="6">
        <v>22</v>
      </c>
      <c r="AB43" s="6">
        <v>0.63600000000000001</v>
      </c>
      <c r="AC43" s="6">
        <v>1.369</v>
      </c>
      <c r="AD43" s="6">
        <v>1.1539999999999999</v>
      </c>
    </row>
    <row r="44" spans="1:30" x14ac:dyDescent="0.25">
      <c r="A44" s="2" t="s">
        <v>352</v>
      </c>
      <c r="C44" s="1">
        <f>SUM(MAX(C$5:C43),IF(LEN(B44)&gt;0,1,0))</f>
        <v>5</v>
      </c>
      <c r="D44" s="1" t="str">
        <f t="shared" si="3"/>
        <v/>
      </c>
      <c r="L44" s="1" t="s">
        <v>16</v>
      </c>
      <c r="M44" s="1" t="s">
        <v>8</v>
      </c>
      <c r="N44" s="1" t="s">
        <v>8</v>
      </c>
      <c r="O44" s="1" t="s">
        <v>8</v>
      </c>
      <c r="Q44" s="1">
        <f>SUM(1,-VLOOKUP($E$53,$AF$523:$AG$526,2,FALSE))</f>
        <v>0.95</v>
      </c>
      <c r="R44" s="1">
        <f>SUM(1,-VLOOKUP($E$53,$AF$523:$AG$526,2,FALSE))</f>
        <v>0.95</v>
      </c>
      <c r="S44" s="1">
        <f>SUM(1,-VLOOKUP($E$53,$AF$523:$AG$526,2,FALSE))</f>
        <v>0.95</v>
      </c>
      <c r="V44" s="1">
        <f t="shared" si="4"/>
        <v>239.86</v>
      </c>
      <c r="W44" s="1">
        <f t="shared" si="5"/>
        <v>523.59</v>
      </c>
      <c r="X44" s="1">
        <f t="shared" si="6"/>
        <v>7458.88</v>
      </c>
      <c r="AA44" s="6">
        <v>24</v>
      </c>
      <c r="AB44" s="6">
        <v>1.17</v>
      </c>
      <c r="AC44" s="6">
        <v>1.778</v>
      </c>
      <c r="AD44" s="6">
        <v>0.89</v>
      </c>
    </row>
    <row r="45" spans="1:30" x14ac:dyDescent="0.25">
      <c r="A45" s="1" t="s">
        <v>258</v>
      </c>
      <c r="B45" s="1" t="str">
        <f t="shared" ref="B45:B52" si="9">SUBSTITUTE(SUBSTITUTE(SUBSTITUTE(SUBSTITUTE(A45," ","_"),"-",""),"?",""),",","")</f>
        <v>Burglar_alarm</v>
      </c>
      <c r="C45" s="1">
        <f>SUM(MAX(C$5:C44),IF(LEN(B45)&gt;0,1,0))</f>
        <v>6</v>
      </c>
      <c r="D45" s="1" t="str">
        <f t="shared" si="3"/>
        <v>Xinput_06_Burglar_alarm</v>
      </c>
      <c r="E45" s="7" t="s">
        <v>99</v>
      </c>
      <c r="L45" s="1" t="s">
        <v>44</v>
      </c>
      <c r="M45" s="1" t="s">
        <v>8</v>
      </c>
      <c r="N45" s="1" t="s">
        <v>8</v>
      </c>
      <c r="O45" s="1" t="s">
        <v>8</v>
      </c>
      <c r="Q45" s="1">
        <f>SUM(1,-IF($E$54&lt;3,VLOOKUP($E$54,$AA$567:$AB$576,2,TRUE),VLOOKUP($E$55,$AD$567:$AE$576,2,TRUE)))</f>
        <v>0.96</v>
      </c>
      <c r="R45" s="1">
        <f>SUM(1,-IF($E$54&lt;3,VLOOKUP($E$54,$AA$567:$AB$576,2,TRUE),VLOOKUP($E$55,$AD$567:$AE$576,2,TRUE)))</f>
        <v>0.96</v>
      </c>
      <c r="S45" s="1">
        <f>SUM(1,-IF($E$54&lt;3,VLOOKUP($E$54,$AA$567:$AB$576,2,TRUE),VLOOKUP($E$55,$AD$567:$AE$576,2,TRUE)))</f>
        <v>0.96</v>
      </c>
      <c r="V45" s="1">
        <f t="shared" si="4"/>
        <v>230.27</v>
      </c>
      <c r="W45" s="1">
        <f t="shared" si="5"/>
        <v>502.65</v>
      </c>
      <c r="X45" s="1">
        <f t="shared" si="6"/>
        <v>7160.52</v>
      </c>
      <c r="AA45" s="6">
        <v>25</v>
      </c>
      <c r="AB45" s="6">
        <v>1.018</v>
      </c>
      <c r="AC45" s="6">
        <v>1.7110000000000001</v>
      </c>
      <c r="AD45" s="6">
        <v>0.77400000000000002</v>
      </c>
    </row>
    <row r="46" spans="1:30" x14ac:dyDescent="0.25">
      <c r="A46" s="1" t="s">
        <v>176</v>
      </c>
      <c r="C46" s="1">
        <f>SUM(MAX(C$5:C45),IF(LEN(B46)&gt;0,1,0))</f>
        <v>6</v>
      </c>
      <c r="D46" s="1" t="str">
        <f t="shared" si="3"/>
        <v/>
      </c>
      <c r="E46" s="19" t="s">
        <v>100</v>
      </c>
      <c r="L46" s="1" t="s">
        <v>17</v>
      </c>
      <c r="M46" s="1" t="s">
        <v>8</v>
      </c>
      <c r="N46" s="1" t="s">
        <v>8</v>
      </c>
      <c r="O46" s="1" t="s">
        <v>8</v>
      </c>
      <c r="Q46" s="1">
        <f>SUM(1,VLOOKUP($E$8,$AI$632:$AJ$634,2,TRUE))</f>
        <v>0.99199999999999999</v>
      </c>
      <c r="R46" s="1">
        <f>SUM(1,VLOOKUP($E$8,$AI$632:$AJ$634,2,TRUE))</f>
        <v>0.99199999999999999</v>
      </c>
      <c r="S46" s="1">
        <f>SUM(1,VLOOKUP($E$8,$AI$632:$AJ$634,2,TRUE))</f>
        <v>0.99199999999999999</v>
      </c>
      <c r="V46" s="1">
        <f t="shared" si="4"/>
        <v>228.43</v>
      </c>
      <c r="W46" s="1">
        <f t="shared" si="5"/>
        <v>498.63</v>
      </c>
      <c r="X46" s="1">
        <f t="shared" si="6"/>
        <v>7103.24</v>
      </c>
      <c r="AA46" s="6">
        <v>26</v>
      </c>
      <c r="AB46" s="6">
        <v>1.0820000000000001</v>
      </c>
      <c r="AC46" s="6">
        <v>1.153</v>
      </c>
      <c r="AD46" s="6">
        <v>1.052</v>
      </c>
    </row>
    <row r="47" spans="1:30" x14ac:dyDescent="0.25">
      <c r="A47" s="1" t="s">
        <v>175</v>
      </c>
      <c r="C47" s="1">
        <f>SUM(MAX(C$5:C46),IF(LEN(B47)&gt;0,1,0))</f>
        <v>6</v>
      </c>
      <c r="D47" s="1" t="str">
        <f t="shared" si="3"/>
        <v/>
      </c>
      <c r="E47" s="19" t="s">
        <v>100</v>
      </c>
      <c r="L47" s="1" t="s">
        <v>18</v>
      </c>
      <c r="M47" s="1" t="s">
        <v>8</v>
      </c>
      <c r="N47" s="1" t="s">
        <v>8</v>
      </c>
      <c r="O47" s="1" t="s">
        <v>8</v>
      </c>
      <c r="Q47" s="1">
        <f>SUM(1,VLOOKUP($E$75,$AI$585:$AL$587,2,FALSE))</f>
        <v>1</v>
      </c>
      <c r="R47" s="1">
        <f>SUM(1,VLOOKUP($E$75,$AI$585:$AL$587,3,FALSE))</f>
        <v>1</v>
      </c>
      <c r="S47" s="1">
        <f>SUM(1,VLOOKUP($E$75,$AI$585:$AL$587,4,FALSE))</f>
        <v>1</v>
      </c>
      <c r="V47" s="1">
        <f t="shared" si="4"/>
        <v>228.43</v>
      </c>
      <c r="W47" s="1">
        <f t="shared" si="5"/>
        <v>498.63</v>
      </c>
      <c r="X47" s="1">
        <f t="shared" si="6"/>
        <v>7103.24</v>
      </c>
      <c r="AA47" s="6">
        <v>28</v>
      </c>
      <c r="AB47" s="6">
        <v>0.97499999999999998</v>
      </c>
      <c r="AC47" s="6">
        <v>0.65200000000000002</v>
      </c>
      <c r="AD47" s="6">
        <v>1.046</v>
      </c>
    </row>
    <row r="48" spans="1:30" x14ac:dyDescent="0.25">
      <c r="A48" s="1" t="s">
        <v>174</v>
      </c>
      <c r="C48" s="1">
        <f>SUM(MAX(C$5:C47),IF(LEN(B48)&gt;0,1,0))</f>
        <v>6</v>
      </c>
      <c r="D48" s="1" t="str">
        <f t="shared" si="3"/>
        <v/>
      </c>
      <c r="E48" s="19" t="s">
        <v>100</v>
      </c>
      <c r="L48" s="1" t="s">
        <v>19</v>
      </c>
      <c r="M48" s="1" t="s">
        <v>8</v>
      </c>
      <c r="N48" s="1" t="s">
        <v>8</v>
      </c>
      <c r="O48" s="1" t="s">
        <v>8</v>
      </c>
      <c r="Q48" s="1">
        <f>SUM(1,IF($E74=$AO$5,AB584,0))</f>
        <v>1.2</v>
      </c>
      <c r="R48" s="1">
        <f>SUM(1,IF($E74=$AO$5,AC584,0))</f>
        <v>1.2</v>
      </c>
      <c r="S48" s="1">
        <f>SUM(1,IF($E74=$AO$5,AD584,0))</f>
        <v>1.2</v>
      </c>
      <c r="V48" s="1">
        <f t="shared" si="4"/>
        <v>274.12</v>
      </c>
      <c r="W48" s="1">
        <f t="shared" si="5"/>
        <v>598.36</v>
      </c>
      <c r="X48" s="1">
        <f t="shared" si="6"/>
        <v>8523.89</v>
      </c>
      <c r="AA48" s="6">
        <v>30</v>
      </c>
      <c r="AB48" s="6">
        <v>1.0820000000000001</v>
      </c>
      <c r="AC48" s="6">
        <v>1.1160000000000001</v>
      </c>
      <c r="AD48" s="6">
        <v>1.052</v>
      </c>
    </row>
    <row r="49" spans="1:30" x14ac:dyDescent="0.25">
      <c r="A49" s="1" t="s">
        <v>173</v>
      </c>
      <c r="C49" s="1">
        <f>SUM(MAX(C$5:C48),IF(LEN(B49)&gt;0,1,0))</f>
        <v>6</v>
      </c>
      <c r="D49" s="1" t="str">
        <f t="shared" si="3"/>
        <v/>
      </c>
      <c r="E49" s="19" t="s">
        <v>100</v>
      </c>
      <c r="L49" s="1" t="s">
        <v>20</v>
      </c>
      <c r="M49" s="1" t="s">
        <v>8</v>
      </c>
      <c r="N49" s="1" t="s">
        <v>8</v>
      </c>
      <c r="O49" s="1" t="s">
        <v>8</v>
      </c>
      <c r="Q49" s="1">
        <f>SUM(1,IF($E76=$AO$5,AB588,0))</f>
        <v>1.25</v>
      </c>
      <c r="R49" s="1">
        <f>SUM(1,IF($E76=$AO$5,AC588,0))</f>
        <v>1.25</v>
      </c>
      <c r="S49" s="1">
        <f>SUM(1,IF($E76=$AO$5,AD588,0))</f>
        <v>1.25</v>
      </c>
      <c r="V49" s="1">
        <f t="shared" si="4"/>
        <v>342.65</v>
      </c>
      <c r="W49" s="1">
        <f t="shared" si="5"/>
        <v>747.95</v>
      </c>
      <c r="X49" s="1">
        <f t="shared" si="6"/>
        <v>10654.86</v>
      </c>
      <c r="AA49" s="6">
        <v>31</v>
      </c>
      <c r="AB49" s="6">
        <v>1.0680000000000001</v>
      </c>
      <c r="AC49" s="6">
        <v>1.8680000000000001</v>
      </c>
      <c r="AD49" s="6">
        <v>0.81299999999999994</v>
      </c>
    </row>
    <row r="50" spans="1:30" x14ac:dyDescent="0.25">
      <c r="A50" s="1" t="s">
        <v>172</v>
      </c>
      <c r="C50" s="1">
        <f>SUM(MAX(C$5:C49),IF(LEN(B50)&gt;0,1,0))</f>
        <v>6</v>
      </c>
      <c r="D50" s="1" t="str">
        <f t="shared" si="3"/>
        <v/>
      </c>
      <c r="E50" s="19" t="s">
        <v>100</v>
      </c>
      <c r="L50" s="1" t="s">
        <v>45</v>
      </c>
      <c r="M50" s="1" t="s">
        <v>8</v>
      </c>
      <c r="O50" s="1" t="s">
        <v>8</v>
      </c>
      <c r="Q50" s="1">
        <f>SUM(1,IF($E52=$AO$5,AB508,0))</f>
        <v>1.1000000000000001</v>
      </c>
      <c r="S50" s="1">
        <f>SUM(1,IF($E52=$AO$5,AD508,0))</f>
        <v>1.1000000000000001</v>
      </c>
      <c r="V50" s="1">
        <f t="shared" si="4"/>
        <v>376.92</v>
      </c>
      <c r="W50" s="1">
        <f t="shared" si="5"/>
        <v>747.95</v>
      </c>
      <c r="X50" s="1">
        <f t="shared" si="6"/>
        <v>11720.35</v>
      </c>
      <c r="AA50" s="6">
        <v>32</v>
      </c>
      <c r="AB50" s="6">
        <v>1.0680000000000001</v>
      </c>
      <c r="AC50" s="6">
        <v>2.2210000000000001</v>
      </c>
      <c r="AD50" s="6">
        <v>0.81299999999999994</v>
      </c>
    </row>
    <row r="51" spans="1:30" x14ac:dyDescent="0.25">
      <c r="A51" s="1" t="s">
        <v>247</v>
      </c>
      <c r="C51" s="1">
        <f>SUM(MAX(C$5:C50),IF(LEN(B51)&gt;0,1,0))</f>
        <v>6</v>
      </c>
      <c r="D51" s="1" t="str">
        <f t="shared" si="3"/>
        <v/>
      </c>
      <c r="E51" s="19" t="s">
        <v>244</v>
      </c>
      <c r="L51" s="1" t="s">
        <v>46</v>
      </c>
      <c r="M51" s="1" t="s">
        <v>8</v>
      </c>
      <c r="N51" s="1" t="s">
        <v>8</v>
      </c>
      <c r="O51" s="1" t="s">
        <v>8</v>
      </c>
      <c r="Q51" s="1">
        <f>SUM(1,-VLOOKUP($E$51,$AF$505:$AI$507,2,FALSE))</f>
        <v>1</v>
      </c>
      <c r="R51" s="1">
        <f>SUM(1,-VLOOKUP($E$51,$AF$505:$AI$507,3,FALSE))</f>
        <v>1</v>
      </c>
      <c r="S51" s="1">
        <f>SUM(1,-VLOOKUP($E$51,$AF$505:$AI$507,4,FALSE))</f>
        <v>1</v>
      </c>
      <c r="V51" s="1">
        <f t="shared" si="4"/>
        <v>376.92</v>
      </c>
      <c r="W51" s="1">
        <f t="shared" si="5"/>
        <v>747.95</v>
      </c>
      <c r="X51" s="1">
        <f t="shared" si="6"/>
        <v>11720.35</v>
      </c>
      <c r="AA51" s="6">
        <v>34</v>
      </c>
      <c r="AB51" s="6">
        <v>0.67100000000000004</v>
      </c>
      <c r="AC51" s="6">
        <v>1.641</v>
      </c>
      <c r="AD51" s="6">
        <v>1.218</v>
      </c>
    </row>
    <row r="52" spans="1:30" x14ac:dyDescent="0.25">
      <c r="A52" s="1" t="s">
        <v>177</v>
      </c>
      <c r="B52" s="1" t="str">
        <f t="shared" si="9"/>
        <v>Lien_free</v>
      </c>
      <c r="C52" s="1">
        <f>SUM(MAX(C$5:C51),IF(LEN(B52)&gt;0,1,0))</f>
        <v>7</v>
      </c>
      <c r="D52" s="1" t="str">
        <f t="shared" si="3"/>
        <v>Xinput_07_Lien_free</v>
      </c>
      <c r="E52" s="7" t="s">
        <v>99</v>
      </c>
      <c r="L52" s="1" t="s">
        <v>47</v>
      </c>
      <c r="M52" s="1" t="s">
        <v>8</v>
      </c>
      <c r="N52" s="1" t="s">
        <v>8</v>
      </c>
      <c r="O52" s="1" t="s">
        <v>8</v>
      </c>
      <c r="Q52" s="1">
        <f>SUM(1,IF($E71=$AO$5,AB581,0))</f>
        <v>1.1000000000000001</v>
      </c>
      <c r="R52" s="1">
        <f>SUM(1,IF($E71=$AO$5,AC581,0))</f>
        <v>1.1000000000000001</v>
      </c>
      <c r="S52" s="1">
        <f>SUM(1,IF($E71=$AO$5,AD581,0))</f>
        <v>1.1000000000000001</v>
      </c>
      <c r="V52" s="1">
        <f t="shared" si="4"/>
        <v>414.61</v>
      </c>
      <c r="W52" s="1">
        <f t="shared" si="5"/>
        <v>822.75</v>
      </c>
      <c r="X52" s="1">
        <f t="shared" si="6"/>
        <v>12892.39</v>
      </c>
      <c r="AA52" s="6">
        <v>36</v>
      </c>
      <c r="AB52" s="6">
        <v>1.1220000000000001</v>
      </c>
      <c r="AC52" s="6">
        <v>1.3340000000000001</v>
      </c>
      <c r="AD52" s="6">
        <v>0.85399999999999998</v>
      </c>
    </row>
    <row r="53" spans="1:30" x14ac:dyDescent="0.25">
      <c r="A53" s="1" t="s">
        <v>181</v>
      </c>
      <c r="C53" s="1">
        <f>SUM(MAX(C$5:C52),IF(LEN(B53)&gt;0,1,0))</f>
        <v>7</v>
      </c>
      <c r="D53" s="1" t="str">
        <f t="shared" si="3"/>
        <v/>
      </c>
      <c r="E53" s="19" t="s">
        <v>252</v>
      </c>
      <c r="L53" s="1" t="s">
        <v>331</v>
      </c>
      <c r="V53" s="1">
        <f>ROUND(V52,0)</f>
        <v>415</v>
      </c>
      <c r="W53" s="1">
        <f>ROUND(W52,0)</f>
        <v>823</v>
      </c>
      <c r="X53" s="1">
        <f>ROUND(X52,0)</f>
        <v>12892</v>
      </c>
      <c r="Y53" s="1">
        <f>ROUND(SUM(ROUND(SUM(V53,W53),0),X53),0)</f>
        <v>14130</v>
      </c>
      <c r="AA53" s="6">
        <v>38</v>
      </c>
      <c r="AB53" s="6">
        <v>1.1220000000000001</v>
      </c>
      <c r="AC53" s="6">
        <v>1.345</v>
      </c>
      <c r="AD53" s="6">
        <v>0.85399999999999998</v>
      </c>
    </row>
    <row r="54" spans="1:30" x14ac:dyDescent="0.25">
      <c r="A54" s="1" t="s">
        <v>240</v>
      </c>
      <c r="C54" s="1">
        <f>SUM(MAX(C$5:C53),IF(LEN(B54)&gt;0,1,0))</f>
        <v>7</v>
      </c>
      <c r="D54" s="1" t="str">
        <f t="shared" si="3"/>
        <v/>
      </c>
      <c r="E54" s="19">
        <v>3</v>
      </c>
      <c r="AA54" s="6">
        <v>39</v>
      </c>
      <c r="AB54" s="6">
        <v>1.222</v>
      </c>
      <c r="AC54" s="6">
        <v>1.1839999999999999</v>
      </c>
      <c r="AD54" s="6">
        <v>1.052</v>
      </c>
    </row>
    <row r="55" spans="1:30" x14ac:dyDescent="0.25">
      <c r="A55" s="1" t="s">
        <v>241</v>
      </c>
      <c r="C55" s="1">
        <f>SUM(MAX(C$5:C54),IF(LEN(B55)&gt;0,1,0))</f>
        <v>7</v>
      </c>
      <c r="D55" s="1" t="str">
        <f t="shared" si="3"/>
        <v/>
      </c>
      <c r="E55" s="19">
        <v>3</v>
      </c>
      <c r="L55" s="1" t="s">
        <v>320</v>
      </c>
      <c r="T55" s="6">
        <f>ROUND(VLOOKUP(E79,$AA$682:$AB$691,2,FALSE),0)</f>
        <v>154</v>
      </c>
      <c r="Y55" s="1">
        <f>ROUND(SUM(Y53,T55),0)</f>
        <v>14284</v>
      </c>
      <c r="AA55" s="6">
        <v>40</v>
      </c>
      <c r="AB55" s="6">
        <v>1.222</v>
      </c>
      <c r="AC55" s="6">
        <v>1.8</v>
      </c>
      <c r="AD55" s="6">
        <v>1.052</v>
      </c>
    </row>
    <row r="56" spans="1:30" x14ac:dyDescent="0.25">
      <c r="C56" s="1">
        <f>SUM(MAX(C$5:C55),IF(LEN(B56)&gt;0,1,0))</f>
        <v>7</v>
      </c>
      <c r="D56" s="1" t="str">
        <f t="shared" si="3"/>
        <v/>
      </c>
      <c r="L56" s="1" t="s">
        <v>321</v>
      </c>
      <c r="T56" s="1">
        <v>0</v>
      </c>
      <c r="Y56" s="1">
        <f>ROUND(SUM(Y55,T56),0)</f>
        <v>14284</v>
      </c>
      <c r="AA56" s="6">
        <v>51</v>
      </c>
      <c r="AB56" s="6">
        <v>1.236</v>
      </c>
      <c r="AC56" s="6">
        <v>0.111</v>
      </c>
      <c r="AD56" s="6">
        <v>1.9830000000000001</v>
      </c>
    </row>
    <row r="57" spans="1:30" x14ac:dyDescent="0.25">
      <c r="A57" s="16" t="s">
        <v>186</v>
      </c>
      <c r="C57" s="1">
        <f>SUM(MAX(C$5:C56),IF(LEN(B57)&gt;0,1,0))</f>
        <v>7</v>
      </c>
      <c r="D57" s="1" t="str">
        <f t="shared" si="3"/>
        <v/>
      </c>
      <c r="F57" s="1" t="s">
        <v>168</v>
      </c>
      <c r="L57" s="1" t="s">
        <v>322</v>
      </c>
      <c r="T57" s="1">
        <f>ROUND(VLOOKUP(E88,$AA$707:$AF$709,6,FALSE),0)</f>
        <v>1500</v>
      </c>
      <c r="Y57" s="1">
        <f t="shared" ref="Y57:Y65" si="10">ROUND(SUM(Y56,T57),0)</f>
        <v>15784</v>
      </c>
      <c r="AA57" s="6">
        <v>55</v>
      </c>
      <c r="AB57" s="6">
        <v>1.3049999999999999</v>
      </c>
      <c r="AC57" s="6">
        <v>0.81799999999999995</v>
      </c>
      <c r="AD57" s="6">
        <v>1.4</v>
      </c>
    </row>
    <row r="58" spans="1:30" x14ac:dyDescent="0.25">
      <c r="A58" s="1" t="s">
        <v>274</v>
      </c>
      <c r="B58" s="1" t="str">
        <f t="shared" ref="B58" si="11">SUBSTITUTE(SUBSTITUTE(SUBSTITUTE(SUBSTITUTE(A58," ","_"),"-",""),"?",""),",","")</f>
        <v>Security_protection</v>
      </c>
      <c r="C58" s="1">
        <f>SUM(MAX(C$5:C57),IF(LEN(B58)&gt;0,1,0))</f>
        <v>8</v>
      </c>
      <c r="D58" s="1" t="str">
        <f t="shared" si="3"/>
        <v>Xinput_08_Security_protection</v>
      </c>
      <c r="E58" s="7" t="s">
        <v>99</v>
      </c>
      <c r="F58" s="1">
        <f t="shared" ref="F58:F67" si="12">IF(E58=$AO$5,AB531,0)</f>
        <v>0.05</v>
      </c>
      <c r="L58" s="1" t="s">
        <v>323</v>
      </c>
      <c r="M58" s="6"/>
      <c r="T58" s="1">
        <f>ROUND(IF($E$90=$AO$5,AA712,0),0)</f>
        <v>135</v>
      </c>
      <c r="Y58" s="1">
        <f t="shared" si="10"/>
        <v>15919</v>
      </c>
      <c r="AA58" s="6">
        <v>58</v>
      </c>
      <c r="AB58" s="6">
        <v>0.83699999999999997</v>
      </c>
      <c r="AC58" s="6">
        <v>2.452</v>
      </c>
      <c r="AD58" s="6">
        <v>1.5189999999999999</v>
      </c>
    </row>
    <row r="59" spans="1:30" x14ac:dyDescent="0.25">
      <c r="A59" s="1" t="s">
        <v>275</v>
      </c>
      <c r="C59" s="1">
        <f>SUM(MAX(C$5:C58),IF(LEN(B59)&gt;0,1,0))</f>
        <v>8</v>
      </c>
      <c r="D59" s="1" t="str">
        <f t="shared" si="3"/>
        <v/>
      </c>
      <c r="E59" s="19" t="s">
        <v>100</v>
      </c>
      <c r="F59" s="1">
        <f t="shared" si="12"/>
        <v>0</v>
      </c>
      <c r="L59" s="1" t="s">
        <v>324</v>
      </c>
      <c r="M59" s="6"/>
      <c r="T59" s="1">
        <f>ROUND(CEILING(MAX(E92-AB716,0)/AA716,1)*AC716,0)</f>
        <v>100</v>
      </c>
      <c r="Y59" s="1">
        <f t="shared" si="10"/>
        <v>16019</v>
      </c>
      <c r="AA59" s="6">
        <v>67</v>
      </c>
      <c r="AB59" s="6">
        <v>0.53100000000000003</v>
      </c>
      <c r="AC59" s="6">
        <v>1.571</v>
      </c>
      <c r="AD59" s="6">
        <v>0.96399999999999997</v>
      </c>
    </row>
    <row r="60" spans="1:30" x14ac:dyDescent="0.25">
      <c r="A60" s="1" t="s">
        <v>284</v>
      </c>
      <c r="C60" s="1">
        <f>SUM(MAX(C$5:C59),IF(LEN(B60)&gt;0,1,0))</f>
        <v>8</v>
      </c>
      <c r="D60" s="1" t="str">
        <f t="shared" si="3"/>
        <v/>
      </c>
      <c r="E60" s="19" t="s">
        <v>100</v>
      </c>
      <c r="F60" s="1">
        <f t="shared" si="12"/>
        <v>0</v>
      </c>
      <c r="L60" s="1" t="s">
        <v>325</v>
      </c>
      <c r="M60" s="6"/>
      <c r="T60" s="1">
        <f>ROUND(SUM(AI719:AI722),0)</f>
        <v>0</v>
      </c>
      <c r="Y60" s="1">
        <f t="shared" si="10"/>
        <v>16019</v>
      </c>
      <c r="AA60" s="6">
        <v>69</v>
      </c>
      <c r="AB60" s="6">
        <v>0.79500000000000004</v>
      </c>
      <c r="AC60" s="6">
        <v>1.7270000000000001</v>
      </c>
      <c r="AD60" s="6">
        <v>1.4430000000000001</v>
      </c>
    </row>
    <row r="61" spans="1:30" x14ac:dyDescent="0.25">
      <c r="A61" s="1" t="s">
        <v>276</v>
      </c>
      <c r="C61" s="1">
        <f>SUM(MAX(C$5:C60),IF(LEN(B61)&gt;0,1,0))</f>
        <v>8</v>
      </c>
      <c r="D61" s="1" t="str">
        <f t="shared" si="3"/>
        <v/>
      </c>
      <c r="E61" s="19" t="s">
        <v>100</v>
      </c>
      <c r="F61" s="1">
        <f t="shared" si="12"/>
        <v>0</v>
      </c>
      <c r="L61" s="1" t="s">
        <v>326</v>
      </c>
      <c r="T61" s="1">
        <f>ROUND(CEILING(MAX(E100-AB735,0)/AA735,1)*AC735,0)</f>
        <v>125</v>
      </c>
      <c r="Y61" s="1">
        <f t="shared" si="10"/>
        <v>16144</v>
      </c>
      <c r="AA61" s="6">
        <v>70</v>
      </c>
      <c r="AB61" s="6">
        <v>0.79700000000000004</v>
      </c>
      <c r="AC61" s="6">
        <v>1.972</v>
      </c>
      <c r="AD61" s="6">
        <v>1.4450000000000001</v>
      </c>
    </row>
    <row r="62" spans="1:30" x14ac:dyDescent="0.25">
      <c r="A62" s="1" t="s">
        <v>277</v>
      </c>
      <c r="C62" s="1">
        <f>SUM(MAX(C$5:C61),IF(LEN(B62)&gt;0,1,0))</f>
        <v>8</v>
      </c>
      <c r="D62" s="1" t="str">
        <f t="shared" si="3"/>
        <v/>
      </c>
      <c r="E62" s="19" t="s">
        <v>100</v>
      </c>
      <c r="F62" s="1">
        <f t="shared" si="12"/>
        <v>0</v>
      </c>
      <c r="L62" s="1" t="s">
        <v>327</v>
      </c>
      <c r="T62" s="1">
        <f>ROUND(IF(E102&gt;0,AB739)+CEILING(MAX(E102-AA739,0),1)/AC739*AD739,0)</f>
        <v>25</v>
      </c>
      <c r="Y62" s="1">
        <f t="shared" si="10"/>
        <v>16169</v>
      </c>
      <c r="AA62" s="6">
        <v>72</v>
      </c>
      <c r="AB62" s="6">
        <v>0.75800000000000001</v>
      </c>
      <c r="AC62" s="6">
        <v>0.81100000000000005</v>
      </c>
      <c r="AD62" s="6">
        <v>1.375</v>
      </c>
    </row>
    <row r="63" spans="1:30" x14ac:dyDescent="0.25">
      <c r="A63" s="1" t="s">
        <v>278</v>
      </c>
      <c r="C63" s="1">
        <f>SUM(MAX(C$5:C62),IF(LEN(B63)&gt;0,1,0))</f>
        <v>8</v>
      </c>
      <c r="D63" s="1" t="str">
        <f t="shared" si="3"/>
        <v/>
      </c>
      <c r="E63" s="19" t="s">
        <v>100</v>
      </c>
      <c r="F63" s="1">
        <f t="shared" si="12"/>
        <v>0</v>
      </c>
      <c r="L63" s="1" t="s">
        <v>328</v>
      </c>
      <c r="T63" s="1">
        <f>ROUND(IF(E104&gt;0,AB743)+CEILING(MAX(E104-AA743,0),1)/AC743*AD743,0)</f>
        <v>50</v>
      </c>
      <c r="Y63" s="1">
        <f t="shared" si="10"/>
        <v>16219</v>
      </c>
      <c r="AA63" s="6">
        <v>73</v>
      </c>
      <c r="AB63" s="6">
        <v>1.0680000000000001</v>
      </c>
      <c r="AC63" s="6">
        <v>1.849</v>
      </c>
      <c r="AD63" s="6">
        <v>0.81299999999999994</v>
      </c>
    </row>
    <row r="64" spans="1:30" x14ac:dyDescent="0.25">
      <c r="A64" s="1" t="s">
        <v>279</v>
      </c>
      <c r="C64" s="1">
        <f>SUM(MAX(C$5:C63),IF(LEN(B64)&gt;0,1,0))</f>
        <v>8</v>
      </c>
      <c r="D64" s="1" t="str">
        <f t="shared" si="3"/>
        <v/>
      </c>
      <c r="E64" s="19" t="s">
        <v>100</v>
      </c>
      <c r="F64" s="1">
        <f t="shared" si="12"/>
        <v>0</v>
      </c>
      <c r="L64" s="1" t="s">
        <v>329</v>
      </c>
      <c r="T64" s="1">
        <f>ROUND(IF(E84=$AO$5,AB698,0)+E85*AB699+E86*AB700,0)</f>
        <v>980</v>
      </c>
      <c r="Y64" s="1">
        <f t="shared" si="10"/>
        <v>17199</v>
      </c>
      <c r="AA64" s="6">
        <v>75</v>
      </c>
      <c r="AB64" s="6">
        <v>0.90300000000000002</v>
      </c>
      <c r="AC64" s="6">
        <v>1.617</v>
      </c>
      <c r="AD64" s="6">
        <v>0.77700000000000002</v>
      </c>
    </row>
    <row r="65" spans="1:30" x14ac:dyDescent="0.25">
      <c r="A65" s="1" t="s">
        <v>280</v>
      </c>
      <c r="C65" s="1">
        <f>SUM(MAX(C$5:C64),IF(LEN(B65)&gt;0,1,0))</f>
        <v>8</v>
      </c>
      <c r="D65" s="1" t="str">
        <f t="shared" si="3"/>
        <v/>
      </c>
      <c r="E65" s="19" t="s">
        <v>100</v>
      </c>
      <c r="F65" s="1">
        <f t="shared" si="12"/>
        <v>0</v>
      </c>
      <c r="L65" s="1" t="s">
        <v>330</v>
      </c>
      <c r="T65" s="1">
        <f>ROUND(IF($E$81=$AO$5,AA694,0),0)</f>
        <v>0</v>
      </c>
      <c r="Y65" s="1">
        <f t="shared" si="10"/>
        <v>17199</v>
      </c>
      <c r="AA65" s="6">
        <v>76</v>
      </c>
      <c r="AB65" s="6">
        <v>1.222</v>
      </c>
      <c r="AC65" s="6">
        <v>2.0009999999999999</v>
      </c>
      <c r="AD65" s="6">
        <v>1.052</v>
      </c>
    </row>
    <row r="66" spans="1:30" x14ac:dyDescent="0.25">
      <c r="A66" s="1" t="s">
        <v>281</v>
      </c>
      <c r="C66" s="1">
        <f>SUM(MAX(C$5:C65),IF(LEN(B66)&gt;0,1,0))</f>
        <v>8</v>
      </c>
      <c r="D66" s="1" t="str">
        <f t="shared" si="3"/>
        <v/>
      </c>
      <c r="E66" s="19" t="s">
        <v>100</v>
      </c>
      <c r="F66" s="1">
        <f t="shared" si="12"/>
        <v>0</v>
      </c>
      <c r="L66" s="1" t="s">
        <v>331</v>
      </c>
      <c r="Y66" s="1">
        <f>ROUND(SUM(Y65,-Y53),2)</f>
        <v>3069</v>
      </c>
      <c r="AA66" s="6">
        <v>77</v>
      </c>
      <c r="AB66" s="6">
        <v>1.6160000000000001</v>
      </c>
      <c r="AC66" s="6">
        <v>1.1240000000000001</v>
      </c>
      <c r="AD66" s="6">
        <v>1.57</v>
      </c>
    </row>
    <row r="67" spans="1:30" x14ac:dyDescent="0.25">
      <c r="A67" s="1" t="s">
        <v>282</v>
      </c>
      <c r="C67" s="1">
        <f>SUM(MAX(C$5:C66),IF(LEN(B67)&gt;0,1,0))</f>
        <v>8</v>
      </c>
      <c r="D67" s="1" t="str">
        <f t="shared" si="3"/>
        <v/>
      </c>
      <c r="E67" s="19" t="s">
        <v>100</v>
      </c>
      <c r="F67" s="1">
        <f t="shared" si="12"/>
        <v>0</v>
      </c>
      <c r="AA67" s="6">
        <v>78</v>
      </c>
      <c r="AB67" s="6">
        <v>0.63600000000000001</v>
      </c>
      <c r="AC67" s="6">
        <v>1.911</v>
      </c>
      <c r="AD67" s="6">
        <v>1.1539999999999999</v>
      </c>
    </row>
    <row r="68" spans="1:30" x14ac:dyDescent="0.25">
      <c r="A68" s="1" t="s">
        <v>283</v>
      </c>
      <c r="C68" s="1">
        <f>SUM(MAX(C$5:C67),IF(LEN(B68)&gt;0,1,0))</f>
        <v>8</v>
      </c>
      <c r="D68" s="1" t="str">
        <f t="shared" si="3"/>
        <v/>
      </c>
      <c r="E68" s="19" t="s">
        <v>244</v>
      </c>
      <c r="F68" s="1">
        <f>VLOOKUP(E68,$AD$541:$AE$544,2,FALSE)</f>
        <v>0</v>
      </c>
      <c r="L68" s="1" t="s">
        <v>335</v>
      </c>
      <c r="Y68" s="1">
        <f>ROUND(Y65,2)</f>
        <v>17199</v>
      </c>
      <c r="AA68" s="6">
        <v>79</v>
      </c>
      <c r="AB68" s="6">
        <v>1.0680000000000001</v>
      </c>
      <c r="AC68" s="6">
        <v>1.6020000000000001</v>
      </c>
      <c r="AD68" s="6">
        <v>0.81299999999999994</v>
      </c>
    </row>
    <row r="69" spans="1:30" x14ac:dyDescent="0.25">
      <c r="C69" s="1">
        <f>SUM(MAX(C$5:C68),IF(LEN(B69)&gt;0,1,0))</f>
        <v>8</v>
      </c>
      <c r="D69" s="1" t="str">
        <f t="shared" si="3"/>
        <v/>
      </c>
      <c r="L69" s="6"/>
      <c r="M69" s="6"/>
      <c r="P69" s="6"/>
      <c r="AA69" s="6">
        <v>86</v>
      </c>
      <c r="AB69" s="6">
        <v>0.97899999999999998</v>
      </c>
      <c r="AC69" s="6">
        <v>0.622</v>
      </c>
      <c r="AD69" s="6">
        <v>2.2149999999999999</v>
      </c>
    </row>
    <row r="70" spans="1:30" x14ac:dyDescent="0.25">
      <c r="A70" s="2" t="s">
        <v>211</v>
      </c>
      <c r="C70" s="1">
        <f>SUM(MAX(C$5:C69),IF(LEN(B70)&gt;0,1,0))</f>
        <v>8</v>
      </c>
      <c r="D70" s="1" t="str">
        <f t="shared" si="3"/>
        <v/>
      </c>
      <c r="P70" s="6"/>
      <c r="AA70" s="6">
        <v>88</v>
      </c>
      <c r="AB70" s="6">
        <v>0.65</v>
      </c>
      <c r="AC70" s="6">
        <v>2.028</v>
      </c>
      <c r="AD70" s="6">
        <v>0.68400000000000005</v>
      </c>
    </row>
    <row r="71" spans="1:30" x14ac:dyDescent="0.25">
      <c r="A71" s="1" t="s">
        <v>354</v>
      </c>
      <c r="C71" s="1">
        <f>SUM(MAX(C$5:C70),IF(LEN(B71)&gt;0,1,0))</f>
        <v>8</v>
      </c>
      <c r="D71" s="1" t="str">
        <f t="shared" si="3"/>
        <v/>
      </c>
      <c r="E71" s="19" t="s">
        <v>99</v>
      </c>
      <c r="P71" s="6"/>
      <c r="AA71" s="6">
        <v>89</v>
      </c>
      <c r="AB71" s="6">
        <v>0.56200000000000006</v>
      </c>
      <c r="AC71" s="6">
        <v>1.671</v>
      </c>
      <c r="AD71" s="6">
        <v>0.59199999999999997</v>
      </c>
    </row>
    <row r="72" spans="1:30" x14ac:dyDescent="0.25">
      <c r="A72" s="1" t="s">
        <v>355</v>
      </c>
      <c r="C72" s="1">
        <f>SUM(MAX(C$5:C71),IF(LEN(B72)&gt;0,1,0))</f>
        <v>8</v>
      </c>
      <c r="D72" s="1" t="str">
        <f t="shared" ref="D72:D104" si="13">IF(LEN(B72)&gt;0,CONCATENATE("Xinput_",TEXT(C72,"00"),"_",B72),"")</f>
        <v/>
      </c>
      <c r="E72" s="19" t="s">
        <v>99</v>
      </c>
      <c r="P72" s="6"/>
      <c r="AA72" s="6">
        <v>90</v>
      </c>
      <c r="AB72" s="6">
        <v>1.2050000000000001</v>
      </c>
      <c r="AC72" s="6">
        <v>0.5</v>
      </c>
      <c r="AD72" s="6">
        <v>1.6180000000000001</v>
      </c>
    </row>
    <row r="73" spans="1:30" x14ac:dyDescent="0.25">
      <c r="A73" s="1" t="s">
        <v>356</v>
      </c>
      <c r="C73" s="1">
        <f>SUM(MAX(C$5:C72),IF(LEN(B73)&gt;0,1,0))</f>
        <v>8</v>
      </c>
      <c r="D73" s="1" t="str">
        <f t="shared" si="13"/>
        <v/>
      </c>
      <c r="E73" s="19" t="s">
        <v>99</v>
      </c>
      <c r="P73" s="6"/>
      <c r="AA73" s="6">
        <v>92</v>
      </c>
      <c r="AB73" s="6">
        <v>1.4890000000000001</v>
      </c>
      <c r="AC73" s="6">
        <v>0.55300000000000005</v>
      </c>
      <c r="AD73" s="6">
        <v>1.597</v>
      </c>
    </row>
    <row r="74" spans="1:30" x14ac:dyDescent="0.25">
      <c r="A74" s="1" t="s">
        <v>357</v>
      </c>
      <c r="C74" s="1">
        <f>SUM(MAX(C$5:C73),IF(LEN(B74)&gt;0,1,0))</f>
        <v>8</v>
      </c>
      <c r="D74" s="1" t="str">
        <f t="shared" si="13"/>
        <v/>
      </c>
      <c r="E74" s="19" t="s">
        <v>99</v>
      </c>
      <c r="P74" s="6"/>
      <c r="AA74" s="6">
        <v>93</v>
      </c>
      <c r="AB74" s="6">
        <v>1.4890000000000001</v>
      </c>
      <c r="AC74" s="6">
        <v>0.68500000000000005</v>
      </c>
      <c r="AD74" s="6">
        <v>1.597</v>
      </c>
    </row>
    <row r="75" spans="1:30" x14ac:dyDescent="0.25">
      <c r="A75" s="1" t="s">
        <v>267</v>
      </c>
      <c r="B75" s="1" t="str">
        <f t="shared" ref="B75" si="14">SUBSTITUTE(SUBSTITUTE(SUBSTITUTE(SUBSTITUTE(A75," ","_"),"-",""),"?",""),",","")</f>
        <v>Renovation_or_Construction_surcharge</v>
      </c>
      <c r="C75" s="1">
        <f>SUM(MAX(C$5:C74),IF(LEN(B75)&gt;0,1,0))</f>
        <v>9</v>
      </c>
      <c r="D75" s="1" t="str">
        <f t="shared" si="13"/>
        <v>Xinput_09_Renovation_or_Construction_surcharge</v>
      </c>
      <c r="E75" s="7" t="s">
        <v>244</v>
      </c>
      <c r="P75" s="6"/>
      <c r="AA75" s="6">
        <v>94</v>
      </c>
      <c r="AB75" s="6">
        <v>1.397</v>
      </c>
      <c r="AC75" s="6">
        <v>1.609</v>
      </c>
      <c r="AD75" s="6">
        <v>1.202</v>
      </c>
    </row>
    <row r="76" spans="1:30" x14ac:dyDescent="0.25">
      <c r="A76" s="1" t="s">
        <v>353</v>
      </c>
      <c r="C76" s="1">
        <f>SUM(MAX(C$5:C75),IF(LEN(B76)&gt;0,1,0))</f>
        <v>9</v>
      </c>
      <c r="D76" s="1" t="str">
        <f t="shared" si="13"/>
        <v/>
      </c>
      <c r="E76" s="19" t="s">
        <v>99</v>
      </c>
      <c r="P76" s="6"/>
      <c r="AA76" s="6">
        <v>95</v>
      </c>
      <c r="AB76" s="6">
        <v>1.397</v>
      </c>
      <c r="AC76" s="6">
        <v>1.712</v>
      </c>
      <c r="AD76" s="6">
        <v>1.202</v>
      </c>
    </row>
    <row r="77" spans="1:30" x14ac:dyDescent="0.25">
      <c r="A77" s="1" t="s">
        <v>268</v>
      </c>
      <c r="C77" s="1">
        <f>SUM(MAX(C$5:C76),IF(LEN(B77)&gt;0,1,0))</f>
        <v>9</v>
      </c>
      <c r="D77" s="1" t="str">
        <f t="shared" si="13"/>
        <v/>
      </c>
      <c r="E77" s="19">
        <v>0</v>
      </c>
      <c r="AA77" s="6">
        <v>98</v>
      </c>
      <c r="AB77" s="6">
        <v>0.80300000000000005</v>
      </c>
      <c r="AC77" s="6">
        <v>1.877</v>
      </c>
      <c r="AD77" s="6">
        <v>1.4570000000000001</v>
      </c>
    </row>
    <row r="78" spans="1:30" x14ac:dyDescent="0.25">
      <c r="C78" s="1">
        <f>SUM(MAX(C$5:C77),IF(LEN(B78)&gt;0,1,0))</f>
        <v>9</v>
      </c>
      <c r="D78" s="1" t="str">
        <f t="shared" si="13"/>
        <v/>
      </c>
      <c r="AA78" s="6">
        <v>100</v>
      </c>
      <c r="AB78" s="6">
        <v>1.222</v>
      </c>
      <c r="AC78" s="6">
        <v>1.502</v>
      </c>
      <c r="AD78" s="6">
        <v>1.052</v>
      </c>
    </row>
    <row r="79" spans="1:30" x14ac:dyDescent="0.25">
      <c r="A79" s="9" t="s">
        <v>359</v>
      </c>
      <c r="C79" s="1">
        <f>SUM(MAX(C$5:C78),IF(LEN(B79)&gt;0,1,0))</f>
        <v>9</v>
      </c>
      <c r="D79" s="1" t="str">
        <f t="shared" si="13"/>
        <v/>
      </c>
      <c r="E79" s="20">
        <v>1000000</v>
      </c>
      <c r="AA79" s="6">
        <v>101</v>
      </c>
      <c r="AB79" s="6">
        <v>1.351</v>
      </c>
      <c r="AC79" s="6">
        <v>1.946</v>
      </c>
      <c r="AD79" s="6">
        <v>1.1619999999999999</v>
      </c>
    </row>
    <row r="80" spans="1:30" x14ac:dyDescent="0.25">
      <c r="C80" s="1">
        <f>SUM(MAX(C$5:C79),IF(LEN(B80)&gt;0,1,0))</f>
        <v>9</v>
      </c>
      <c r="D80" s="1" t="str">
        <f t="shared" si="13"/>
        <v/>
      </c>
      <c r="AA80" s="6">
        <v>102</v>
      </c>
      <c r="AB80" s="6">
        <v>0.91900000000000004</v>
      </c>
      <c r="AC80" s="6">
        <v>0.69199999999999995</v>
      </c>
      <c r="AD80" s="6">
        <v>1.79</v>
      </c>
    </row>
    <row r="81" spans="1:30" x14ac:dyDescent="0.25">
      <c r="A81" s="9" t="s">
        <v>332</v>
      </c>
      <c r="C81" s="1">
        <f>SUM(MAX(C$5:C80),IF(LEN(B81)&gt;0,1,0))</f>
        <v>9</v>
      </c>
      <c r="D81" s="1" t="str">
        <f t="shared" si="13"/>
        <v/>
      </c>
      <c r="E81" s="19" t="s">
        <v>100</v>
      </c>
      <c r="P81" s="6"/>
      <c r="Q81" s="6"/>
      <c r="R81" s="6"/>
      <c r="S81" s="6"/>
      <c r="AA81" s="6">
        <v>106</v>
      </c>
      <c r="AB81" s="6">
        <v>0.76700000000000002</v>
      </c>
      <c r="AC81" s="6">
        <v>1.198</v>
      </c>
      <c r="AD81" s="6">
        <v>1.494</v>
      </c>
    </row>
    <row r="82" spans="1:30" x14ac:dyDescent="0.25">
      <c r="C82" s="1">
        <f>SUM(MAX(C$5:C81),IF(LEN(B82)&gt;0,1,0))</f>
        <v>9</v>
      </c>
      <c r="D82" s="1" t="str">
        <f t="shared" si="13"/>
        <v/>
      </c>
      <c r="AA82" s="6">
        <v>110</v>
      </c>
      <c r="AB82" s="6">
        <v>1.631</v>
      </c>
      <c r="AC82" s="6">
        <v>1.155</v>
      </c>
      <c r="AD82" s="6">
        <v>3.177</v>
      </c>
    </row>
    <row r="83" spans="1:30" x14ac:dyDescent="0.25">
      <c r="A83" s="9" t="s">
        <v>360</v>
      </c>
      <c r="C83" s="1">
        <f>SUM(MAX(C$5:C82),IF(LEN(B83)&gt;0,1,0))</f>
        <v>9</v>
      </c>
      <c r="D83" s="1" t="str">
        <f t="shared" si="13"/>
        <v/>
      </c>
      <c r="E83" s="6"/>
      <c r="AA83" s="6">
        <v>112</v>
      </c>
      <c r="AB83" s="6">
        <v>1.101</v>
      </c>
      <c r="AC83" s="6">
        <v>1.399</v>
      </c>
      <c r="AD83" s="6">
        <v>2.145</v>
      </c>
    </row>
    <row r="84" spans="1:30" x14ac:dyDescent="0.25">
      <c r="A84" s="6" t="s">
        <v>344</v>
      </c>
      <c r="C84" s="1">
        <f>SUM(MAX(C$5:C83),IF(LEN(B84)&gt;0,1,0))</f>
        <v>9</v>
      </c>
      <c r="D84" s="1" t="str">
        <f t="shared" si="13"/>
        <v/>
      </c>
      <c r="E84" s="19" t="s">
        <v>99</v>
      </c>
      <c r="AA84" s="6">
        <v>113</v>
      </c>
      <c r="AB84" s="6">
        <v>1.3520000000000001</v>
      </c>
      <c r="AC84" s="6">
        <v>1.218</v>
      </c>
      <c r="AD84" s="6">
        <v>2.6339999999999999</v>
      </c>
    </row>
    <row r="85" spans="1:30" x14ac:dyDescent="0.25">
      <c r="A85" s="6" t="s">
        <v>345</v>
      </c>
      <c r="C85" s="1">
        <f>SUM(MAX(C$5:C84),IF(LEN(B85)&gt;0,1,0))</f>
        <v>9</v>
      </c>
      <c r="D85" s="1" t="str">
        <f t="shared" si="13"/>
        <v/>
      </c>
      <c r="E85" s="20">
        <v>1</v>
      </c>
      <c r="AA85" s="6">
        <v>114</v>
      </c>
      <c r="AB85" s="6">
        <v>1.3680000000000001</v>
      </c>
      <c r="AC85" s="6">
        <v>1.4359999999999999</v>
      </c>
      <c r="AD85" s="6">
        <v>2.6659999999999999</v>
      </c>
    </row>
    <row r="86" spans="1:30" x14ac:dyDescent="0.25">
      <c r="A86" s="6" t="s">
        <v>346</v>
      </c>
      <c r="C86" s="1">
        <f>SUM(MAX(C$5:C85),IF(LEN(B86)&gt;0,1,0))</f>
        <v>9</v>
      </c>
      <c r="D86" s="1" t="str">
        <f t="shared" si="13"/>
        <v/>
      </c>
      <c r="E86" s="20">
        <v>1</v>
      </c>
      <c r="AA86" s="6">
        <v>116</v>
      </c>
      <c r="AB86" s="6">
        <v>1.9590000000000001</v>
      </c>
      <c r="AC86" s="6">
        <v>1.379</v>
      </c>
      <c r="AD86" s="6">
        <v>3.8159999999999998</v>
      </c>
    </row>
    <row r="87" spans="1:30" x14ac:dyDescent="0.25">
      <c r="C87" s="1">
        <f>SUM(MAX(C$5:C86),IF(LEN(B87)&gt;0,1,0))</f>
        <v>9</v>
      </c>
      <c r="D87" s="1" t="str">
        <f t="shared" si="13"/>
        <v/>
      </c>
      <c r="AA87" s="6">
        <v>118</v>
      </c>
      <c r="AB87" s="6">
        <v>0.92900000000000005</v>
      </c>
      <c r="AC87" s="6">
        <v>1.3420000000000001</v>
      </c>
      <c r="AD87" s="6">
        <v>1.8109999999999999</v>
      </c>
    </row>
    <row r="88" spans="1:30" x14ac:dyDescent="0.25">
      <c r="A88" s="9" t="s">
        <v>296</v>
      </c>
      <c r="C88" s="1">
        <f>SUM(MAX(C$5:C87),IF(LEN(B88)&gt;0,1,0))</f>
        <v>9</v>
      </c>
      <c r="D88" s="1" t="str">
        <f t="shared" si="13"/>
        <v/>
      </c>
      <c r="E88" s="20" t="s">
        <v>107</v>
      </c>
      <c r="AA88" s="6">
        <v>119</v>
      </c>
      <c r="AB88" s="6">
        <v>1.631</v>
      </c>
      <c r="AC88" s="6">
        <v>1.17</v>
      </c>
      <c r="AD88" s="6">
        <v>3.177</v>
      </c>
    </row>
    <row r="89" spans="1:30" x14ac:dyDescent="0.25">
      <c r="C89" s="1">
        <f>SUM(MAX(C$5:C88),IF(LEN(B89)&gt;0,1,0))</f>
        <v>9</v>
      </c>
      <c r="D89" s="1" t="str">
        <f t="shared" si="13"/>
        <v/>
      </c>
      <c r="AA89" s="6">
        <v>122</v>
      </c>
      <c r="AB89" s="6">
        <v>0.69799999999999995</v>
      </c>
      <c r="AC89" s="6">
        <v>1.2529999999999999</v>
      </c>
      <c r="AD89" s="6">
        <v>1.2050000000000001</v>
      </c>
    </row>
    <row r="90" spans="1:30" x14ac:dyDescent="0.25">
      <c r="A90" s="9" t="s">
        <v>342</v>
      </c>
      <c r="C90" s="1">
        <f>SUM(MAX(C$5:C89),IF(LEN(B90)&gt;0,1,0))</f>
        <v>9</v>
      </c>
      <c r="D90" s="1" t="str">
        <f t="shared" si="13"/>
        <v/>
      </c>
      <c r="E90" s="19" t="s">
        <v>99</v>
      </c>
      <c r="AA90" s="6">
        <v>124</v>
      </c>
      <c r="AB90" s="6">
        <v>0.84399999999999997</v>
      </c>
      <c r="AC90" s="6">
        <v>1.1000000000000001</v>
      </c>
      <c r="AD90" s="6">
        <v>1.456</v>
      </c>
    </row>
    <row r="91" spans="1:30" x14ac:dyDescent="0.25">
      <c r="C91" s="1">
        <f>SUM(MAX(C$5:C90),IF(LEN(B91)&gt;0,1,0))</f>
        <v>9</v>
      </c>
      <c r="D91" s="1" t="str">
        <f t="shared" si="13"/>
        <v/>
      </c>
      <c r="AA91" s="6">
        <v>125</v>
      </c>
      <c r="AB91" s="6">
        <v>1.1220000000000001</v>
      </c>
      <c r="AC91" s="6">
        <v>2.343</v>
      </c>
      <c r="AD91" s="6">
        <v>0.85399999999999998</v>
      </c>
    </row>
    <row r="92" spans="1:30" x14ac:dyDescent="0.25">
      <c r="A92" s="2" t="s">
        <v>312</v>
      </c>
      <c r="C92" s="1">
        <f>SUM(MAX(C$5:C91),IF(LEN(B92)&gt;0,1,0))</f>
        <v>9</v>
      </c>
      <c r="D92" s="1" t="str">
        <f t="shared" si="13"/>
        <v/>
      </c>
      <c r="E92" s="20">
        <v>100000</v>
      </c>
      <c r="F92" s="6">
        <f>IF(E92&gt;MAX(AD716,AE716),1,0)</f>
        <v>0</v>
      </c>
      <c r="AA92" s="6">
        <v>127</v>
      </c>
      <c r="AB92" s="6">
        <v>1.8049999999999999</v>
      </c>
      <c r="AC92" s="6">
        <v>1.6</v>
      </c>
      <c r="AD92" s="6">
        <v>1.373</v>
      </c>
    </row>
    <row r="93" spans="1:30" x14ac:dyDescent="0.25">
      <c r="C93" s="1">
        <f>SUM(MAX(C$5:C92),IF(LEN(B93)&gt;0,1,0))</f>
        <v>9</v>
      </c>
      <c r="D93" s="1" t="str">
        <f t="shared" si="13"/>
        <v/>
      </c>
      <c r="AA93" s="6">
        <v>130</v>
      </c>
      <c r="AB93" s="6">
        <v>1.6870000000000001</v>
      </c>
      <c r="AC93" s="6">
        <v>1.538</v>
      </c>
      <c r="AD93" s="6">
        <v>1.2829999999999999</v>
      </c>
    </row>
    <row r="94" spans="1:30" x14ac:dyDescent="0.25">
      <c r="A94" s="9" t="s">
        <v>307</v>
      </c>
      <c r="C94" s="1">
        <f>SUM(MAX(C$5:C93),IF(LEN(B94)&gt;0,1,0))</f>
        <v>9</v>
      </c>
      <c r="D94" s="1" t="str">
        <f t="shared" si="13"/>
        <v/>
      </c>
      <c r="E94" s="20">
        <v>100000</v>
      </c>
      <c r="F94" s="6">
        <f>IF(E94&gt;AF720,1,0)</f>
        <v>0</v>
      </c>
      <c r="AA94" s="6">
        <v>132</v>
      </c>
      <c r="AB94" s="6">
        <v>0.88300000000000001</v>
      </c>
      <c r="AC94" s="6">
        <v>1.2589999999999999</v>
      </c>
      <c r="AD94" s="6">
        <v>1.7210000000000001</v>
      </c>
    </row>
    <row r="95" spans="1:30" x14ac:dyDescent="0.25">
      <c r="A95" s="9" t="s">
        <v>339</v>
      </c>
      <c r="C95" s="1">
        <f>SUM(MAX(C$5:C94),IF(LEN(B95)&gt;0,1,0))</f>
        <v>9</v>
      </c>
      <c r="D95" s="1" t="str">
        <f t="shared" si="13"/>
        <v/>
      </c>
      <c r="E95" s="20">
        <v>0</v>
      </c>
      <c r="AA95" s="6">
        <v>136</v>
      </c>
      <c r="AB95" s="6">
        <v>0.72299999999999998</v>
      </c>
      <c r="AC95" s="6">
        <v>1.5149999999999999</v>
      </c>
      <c r="AD95" s="6">
        <v>1.248</v>
      </c>
    </row>
    <row r="96" spans="1:30" x14ac:dyDescent="0.25">
      <c r="A96" s="9" t="s">
        <v>337</v>
      </c>
      <c r="C96" s="1">
        <f>SUM(MAX(C$5:C95),IF(LEN(B96)&gt;0,1,0))</f>
        <v>9</v>
      </c>
      <c r="D96" s="1" t="str">
        <f t="shared" si="13"/>
        <v/>
      </c>
      <c r="E96" s="20">
        <v>0</v>
      </c>
      <c r="F96" s="6">
        <f>IF(E96&gt;AD723,1,0)</f>
        <v>0</v>
      </c>
      <c r="AA96" s="6">
        <v>137</v>
      </c>
      <c r="AB96" s="6">
        <v>0.84399999999999997</v>
      </c>
      <c r="AC96" s="6">
        <v>1.3859999999999999</v>
      </c>
      <c r="AD96" s="6">
        <v>1.456</v>
      </c>
    </row>
    <row r="97" spans="1:30" x14ac:dyDescent="0.25">
      <c r="A97" s="9" t="s">
        <v>340</v>
      </c>
      <c r="C97" s="1">
        <f>SUM(MAX(C$5:C96),IF(LEN(B97)&gt;0,1,0))</f>
        <v>9</v>
      </c>
      <c r="D97" s="1" t="str">
        <f t="shared" si="13"/>
        <v/>
      </c>
      <c r="E97" s="20">
        <v>0</v>
      </c>
      <c r="F97" s="6"/>
      <c r="AA97" s="6">
        <v>138</v>
      </c>
      <c r="AB97" s="6">
        <v>0.875</v>
      </c>
      <c r="AC97" s="6">
        <v>0.70899999999999996</v>
      </c>
      <c r="AD97" s="6">
        <v>1.9790000000000001</v>
      </c>
    </row>
    <row r="98" spans="1:30" x14ac:dyDescent="0.25">
      <c r="A98" s="9" t="s">
        <v>341</v>
      </c>
      <c r="C98" s="1">
        <f>SUM(MAX(C$5:C97),IF(LEN(B98)&gt;0,1,0))</f>
        <v>9</v>
      </c>
      <c r="D98" s="1" t="str">
        <f t="shared" si="13"/>
        <v/>
      </c>
      <c r="E98" s="20">
        <v>0</v>
      </c>
      <c r="F98" s="6"/>
      <c r="AA98" s="6">
        <v>139</v>
      </c>
      <c r="AB98" s="6">
        <v>1.071</v>
      </c>
      <c r="AC98" s="6">
        <v>0.74099999999999999</v>
      </c>
      <c r="AD98" s="6">
        <v>2.0870000000000002</v>
      </c>
    </row>
    <row r="99" spans="1:30" x14ac:dyDescent="0.25">
      <c r="C99" s="1">
        <f>SUM(MAX(C$5:C98),IF(LEN(B99)&gt;0,1,0))</f>
        <v>9</v>
      </c>
      <c r="D99" s="1" t="str">
        <f t="shared" si="13"/>
        <v/>
      </c>
      <c r="AA99" s="6">
        <v>140</v>
      </c>
      <c r="AB99" s="6">
        <v>0.76700000000000002</v>
      </c>
      <c r="AC99" s="6">
        <v>1.123</v>
      </c>
      <c r="AD99" s="6">
        <v>1.494</v>
      </c>
    </row>
    <row r="100" spans="1:30" x14ac:dyDescent="0.25">
      <c r="A100" s="9" t="s">
        <v>315</v>
      </c>
      <c r="C100" s="1">
        <f>SUM(MAX(C$5:C99),IF(LEN(B100)&gt;0,1,0))</f>
        <v>9</v>
      </c>
      <c r="D100" s="1" t="str">
        <f t="shared" si="13"/>
        <v/>
      </c>
      <c r="E100" s="20">
        <v>50000</v>
      </c>
      <c r="F100" s="6">
        <f>IF(E100&gt;AD735,1,0)</f>
        <v>0</v>
      </c>
      <c r="AA100" s="6">
        <v>141</v>
      </c>
      <c r="AB100" s="6">
        <v>0.69499999999999995</v>
      </c>
      <c r="AC100" s="6">
        <v>1.0229999999999999</v>
      </c>
      <c r="AD100" s="6">
        <v>1.1990000000000001</v>
      </c>
    </row>
    <row r="101" spans="1:30" x14ac:dyDescent="0.25">
      <c r="C101" s="1">
        <f>SUM(MAX(C$5:C100),IF(LEN(B101)&gt;0,1,0))</f>
        <v>9</v>
      </c>
      <c r="D101" s="1" t="str">
        <f t="shared" si="13"/>
        <v/>
      </c>
      <c r="AA101" s="6">
        <v>142</v>
      </c>
      <c r="AB101" s="6">
        <v>0.78500000000000003</v>
      </c>
      <c r="AC101" s="6">
        <v>1.468</v>
      </c>
      <c r="AD101" s="6">
        <v>1.3540000000000001</v>
      </c>
    </row>
    <row r="102" spans="1:30" x14ac:dyDescent="0.25">
      <c r="A102" s="9" t="s">
        <v>316</v>
      </c>
      <c r="C102" s="1">
        <f>SUM(MAX(C$5:C101),IF(LEN(B102)&gt;0,1,0))</f>
        <v>9</v>
      </c>
      <c r="D102" s="1" t="str">
        <f t="shared" si="13"/>
        <v/>
      </c>
      <c r="E102" s="20">
        <v>5000</v>
      </c>
      <c r="F102" s="6">
        <f>IF(E102&gt;AE739,1,0)</f>
        <v>0</v>
      </c>
      <c r="AA102" s="6">
        <v>151</v>
      </c>
      <c r="AB102" s="6">
        <v>1.286</v>
      </c>
      <c r="AC102" s="6">
        <v>1.659</v>
      </c>
      <c r="AD102" s="6">
        <v>1.107</v>
      </c>
    </row>
    <row r="103" spans="1:30" x14ac:dyDescent="0.25">
      <c r="C103" s="1">
        <f>SUM(MAX(C$5:C102),IF(LEN(B103)&gt;0,1,0))</f>
        <v>9</v>
      </c>
      <c r="D103" s="1" t="str">
        <f t="shared" si="13"/>
        <v/>
      </c>
      <c r="AA103" s="6">
        <v>156</v>
      </c>
      <c r="AB103" s="6">
        <v>0.76700000000000002</v>
      </c>
      <c r="AC103" s="6">
        <v>0.97399999999999998</v>
      </c>
      <c r="AD103" s="6">
        <v>1.494</v>
      </c>
    </row>
    <row r="104" spans="1:30" x14ac:dyDescent="0.25">
      <c r="A104" s="9" t="s">
        <v>343</v>
      </c>
      <c r="C104" s="1">
        <f>SUM(MAX(C$5:C103),IF(LEN(B104)&gt;0,1,0))</f>
        <v>9</v>
      </c>
      <c r="D104" s="1" t="str">
        <f t="shared" si="13"/>
        <v/>
      </c>
      <c r="E104" s="20">
        <v>5000</v>
      </c>
      <c r="F104" s="6">
        <f>IF(E104&gt;AE743,1,0)</f>
        <v>0</v>
      </c>
      <c r="AA104" s="6">
        <v>157</v>
      </c>
      <c r="AB104" s="6">
        <v>0.96299999999999997</v>
      </c>
      <c r="AC104" s="6">
        <v>1.3009999999999999</v>
      </c>
      <c r="AD104" s="6">
        <v>1.875</v>
      </c>
    </row>
    <row r="105" spans="1:30" x14ac:dyDescent="0.25">
      <c r="AA105" s="6">
        <v>177</v>
      </c>
      <c r="AB105" s="6">
        <v>1.585</v>
      </c>
      <c r="AC105" s="6">
        <v>1.0529999999999999</v>
      </c>
      <c r="AD105" s="6">
        <v>1.5409999999999999</v>
      </c>
    </row>
    <row r="106" spans="1:30" x14ac:dyDescent="0.25">
      <c r="AA106" s="6">
        <v>188</v>
      </c>
      <c r="AB106" s="6">
        <v>0.56200000000000006</v>
      </c>
      <c r="AC106" s="6">
        <v>1.526</v>
      </c>
      <c r="AD106" s="6">
        <v>0.59199999999999997</v>
      </c>
    </row>
    <row r="107" spans="1:30" x14ac:dyDescent="0.25">
      <c r="AA107" s="6">
        <v>189</v>
      </c>
      <c r="AB107" s="6">
        <v>0.56200000000000006</v>
      </c>
      <c r="AC107" s="6">
        <v>1.6319999999999999</v>
      </c>
      <c r="AD107" s="6">
        <v>0.59199999999999997</v>
      </c>
    </row>
    <row r="108" spans="1:30" x14ac:dyDescent="0.25">
      <c r="AA108" s="6">
        <v>190</v>
      </c>
      <c r="AB108" s="6">
        <v>1.0940000000000001</v>
      </c>
      <c r="AC108" s="6">
        <v>0.42599999999999999</v>
      </c>
      <c r="AD108" s="6">
        <v>1.4690000000000001</v>
      </c>
    </row>
    <row r="110" spans="1:30" x14ac:dyDescent="0.25">
      <c r="AA110" s="6" t="s">
        <v>70</v>
      </c>
    </row>
    <row r="111" spans="1:30" x14ac:dyDescent="0.25">
      <c r="AA111" s="6" t="s">
        <v>68</v>
      </c>
      <c r="AB111" s="6" t="s">
        <v>21</v>
      </c>
      <c r="AC111" s="6" t="s">
        <v>22</v>
      </c>
      <c r="AD111" s="6" t="s">
        <v>23</v>
      </c>
    </row>
    <row r="112" spans="1:30" x14ac:dyDescent="0.25">
      <c r="AA112" s="6">
        <v>3</v>
      </c>
      <c r="AB112" s="6">
        <v>1.9239999999999999</v>
      </c>
      <c r="AC112" s="6">
        <v>0.441</v>
      </c>
      <c r="AD112" s="6">
        <v>1.9239999999999999</v>
      </c>
    </row>
    <row r="113" spans="4:30" x14ac:dyDescent="0.25">
      <c r="D113" s="6"/>
      <c r="E113" s="6"/>
      <c r="F113" s="6"/>
      <c r="AA113" s="6">
        <v>4</v>
      </c>
      <c r="AB113" s="6">
        <v>1.9239999999999999</v>
      </c>
      <c r="AC113" s="6">
        <v>0.441</v>
      </c>
      <c r="AD113" s="6">
        <v>1.9239999999999999</v>
      </c>
    </row>
    <row r="114" spans="4:30" x14ac:dyDescent="0.25">
      <c r="D114" s="6"/>
      <c r="E114" s="6"/>
      <c r="F114" s="6"/>
      <c r="G114" s="6"/>
      <c r="AA114" s="6">
        <v>6</v>
      </c>
      <c r="AB114" s="6">
        <v>1.9239999999999999</v>
      </c>
      <c r="AC114" s="6">
        <v>0.441</v>
      </c>
      <c r="AD114" s="6">
        <v>1.9239999999999999</v>
      </c>
    </row>
    <row r="115" spans="4:30" x14ac:dyDescent="0.25">
      <c r="G115" s="6"/>
      <c r="AA115" s="6">
        <v>7</v>
      </c>
      <c r="AB115" s="6">
        <v>1.9239999999999999</v>
      </c>
      <c r="AC115" s="6">
        <v>0.441</v>
      </c>
      <c r="AD115" s="6">
        <v>1.9239999999999999</v>
      </c>
    </row>
    <row r="116" spans="4:30" x14ac:dyDescent="0.25">
      <c r="D116" s="6"/>
      <c r="E116" s="6"/>
      <c r="F116" s="6"/>
      <c r="AA116" s="6">
        <v>8</v>
      </c>
      <c r="AB116" s="6">
        <v>1.9239999999999999</v>
      </c>
      <c r="AC116" s="6">
        <v>0.441</v>
      </c>
      <c r="AD116" s="6">
        <v>1.9239999999999999</v>
      </c>
    </row>
    <row r="117" spans="4:30" x14ac:dyDescent="0.25">
      <c r="G117" s="6"/>
      <c r="AA117" s="6">
        <v>10</v>
      </c>
      <c r="AB117" s="6">
        <v>1.9239999999999999</v>
      </c>
      <c r="AC117" s="6">
        <v>0.441</v>
      </c>
      <c r="AD117" s="6">
        <v>1.9239999999999999</v>
      </c>
    </row>
    <row r="118" spans="4:30" x14ac:dyDescent="0.25">
      <c r="AA118" s="6">
        <v>11</v>
      </c>
      <c r="AB118" s="6">
        <v>1.9239999999999999</v>
      </c>
      <c r="AC118" s="6">
        <v>0.441</v>
      </c>
      <c r="AD118" s="6">
        <v>1.9239999999999999</v>
      </c>
    </row>
    <row r="119" spans="4:30" x14ac:dyDescent="0.25">
      <c r="AA119" s="6">
        <v>17</v>
      </c>
      <c r="AB119" s="6">
        <v>0.995</v>
      </c>
      <c r="AC119" s="6">
        <v>0.22800000000000001</v>
      </c>
      <c r="AD119" s="6">
        <v>0.995</v>
      </c>
    </row>
    <row r="120" spans="4:30" x14ac:dyDescent="0.25">
      <c r="AA120" s="6">
        <v>18</v>
      </c>
      <c r="AB120" s="6">
        <v>1.9239999999999999</v>
      </c>
      <c r="AC120" s="6">
        <v>0.441</v>
      </c>
      <c r="AD120" s="6">
        <v>1.9239999999999999</v>
      </c>
    </row>
    <row r="121" spans="4:30" x14ac:dyDescent="0.25">
      <c r="AA121" s="6">
        <v>20</v>
      </c>
      <c r="AB121" s="6">
        <v>0.995</v>
      </c>
      <c r="AC121" s="6">
        <v>0.22800000000000001</v>
      </c>
      <c r="AD121" s="6">
        <v>0.995</v>
      </c>
    </row>
    <row r="122" spans="4:30" x14ac:dyDescent="0.25">
      <c r="AA122" s="6">
        <v>21</v>
      </c>
      <c r="AB122" s="6">
        <v>1.135</v>
      </c>
      <c r="AC122" s="6">
        <v>1.18</v>
      </c>
      <c r="AD122" s="6">
        <v>1.135</v>
      </c>
    </row>
    <row r="123" spans="4:30" x14ac:dyDescent="0.25">
      <c r="AA123" s="6">
        <v>22</v>
      </c>
      <c r="AB123" s="6">
        <v>1.125</v>
      </c>
      <c r="AC123" s="6">
        <v>0.53600000000000003</v>
      </c>
      <c r="AD123" s="6">
        <v>1.125</v>
      </c>
    </row>
    <row r="124" spans="4:30" x14ac:dyDescent="0.25">
      <c r="AA124" s="6">
        <v>24</v>
      </c>
      <c r="AB124" s="6">
        <v>1.135</v>
      </c>
      <c r="AC124" s="6">
        <v>1.18</v>
      </c>
      <c r="AD124" s="6">
        <v>1.135</v>
      </c>
    </row>
    <row r="125" spans="4:30" x14ac:dyDescent="0.25">
      <c r="AA125" s="6">
        <v>25</v>
      </c>
      <c r="AB125" s="6">
        <v>1.135</v>
      </c>
      <c r="AC125" s="6">
        <v>1.18</v>
      </c>
      <c r="AD125" s="6">
        <v>1.135</v>
      </c>
    </row>
    <row r="126" spans="4:30" x14ac:dyDescent="0.25">
      <c r="AA126" s="6">
        <v>26</v>
      </c>
      <c r="AB126" s="6">
        <v>1.1299999999999999</v>
      </c>
      <c r="AC126" s="6">
        <v>0.30499999999999999</v>
      </c>
      <c r="AD126" s="6">
        <v>1.1299999999999999</v>
      </c>
    </row>
    <row r="127" spans="4:30" x14ac:dyDescent="0.25">
      <c r="AA127" s="6">
        <v>28</v>
      </c>
      <c r="AB127" s="6">
        <v>1.0900000000000001</v>
      </c>
      <c r="AC127" s="6">
        <v>0.47699999999999998</v>
      </c>
      <c r="AD127" s="6">
        <v>1.0900000000000001</v>
      </c>
    </row>
    <row r="128" spans="4:30" x14ac:dyDescent="0.25">
      <c r="AA128" s="6">
        <v>30</v>
      </c>
      <c r="AB128" s="6">
        <v>1.1299999999999999</v>
      </c>
      <c r="AC128" s="6">
        <v>0.30499999999999999</v>
      </c>
      <c r="AD128" s="6">
        <v>1.1299999999999999</v>
      </c>
    </row>
    <row r="129" spans="27:30" x14ac:dyDescent="0.25">
      <c r="AA129" s="6">
        <v>31</v>
      </c>
      <c r="AB129" s="6">
        <v>1.135</v>
      </c>
      <c r="AC129" s="6">
        <v>1.18</v>
      </c>
      <c r="AD129" s="6">
        <v>1.135</v>
      </c>
    </row>
    <row r="130" spans="27:30" x14ac:dyDescent="0.25">
      <c r="AA130" s="6">
        <v>32</v>
      </c>
      <c r="AB130" s="6">
        <v>1.135</v>
      </c>
      <c r="AC130" s="6">
        <v>1.18</v>
      </c>
      <c r="AD130" s="6">
        <v>1.135</v>
      </c>
    </row>
    <row r="131" spans="27:30" x14ac:dyDescent="0.25">
      <c r="AA131" s="6">
        <v>34</v>
      </c>
      <c r="AB131" s="6">
        <v>1.125</v>
      </c>
      <c r="AC131" s="6">
        <v>0.53600000000000003</v>
      </c>
      <c r="AD131" s="6">
        <v>1.125</v>
      </c>
    </row>
    <row r="132" spans="27:30" x14ac:dyDescent="0.25">
      <c r="AA132" s="6">
        <v>36</v>
      </c>
      <c r="AB132" s="6">
        <v>1.0529999999999999</v>
      </c>
      <c r="AC132" s="6">
        <v>0.53900000000000003</v>
      </c>
      <c r="AD132" s="6">
        <v>1.0529999999999999</v>
      </c>
    </row>
    <row r="133" spans="27:30" x14ac:dyDescent="0.25">
      <c r="AA133" s="6">
        <v>38</v>
      </c>
      <c r="AB133" s="6">
        <v>1.0529999999999999</v>
      </c>
      <c r="AC133" s="6">
        <v>0.53900000000000003</v>
      </c>
      <c r="AD133" s="6">
        <v>1.0529999999999999</v>
      </c>
    </row>
    <row r="134" spans="27:30" x14ac:dyDescent="0.25">
      <c r="AA134" s="6">
        <v>39</v>
      </c>
      <c r="AB134" s="6">
        <v>1.1140000000000001</v>
      </c>
      <c r="AC134" s="6">
        <v>0.65100000000000002</v>
      </c>
      <c r="AD134" s="6">
        <v>1.1140000000000001</v>
      </c>
    </row>
    <row r="135" spans="27:30" x14ac:dyDescent="0.25">
      <c r="AA135" s="6">
        <v>40</v>
      </c>
      <c r="AB135" s="6">
        <v>1.1140000000000001</v>
      </c>
      <c r="AC135" s="6">
        <v>0.65100000000000002</v>
      </c>
      <c r="AD135" s="6">
        <v>1.1140000000000001</v>
      </c>
    </row>
    <row r="136" spans="27:30" x14ac:dyDescent="0.25">
      <c r="AA136" s="6">
        <v>51</v>
      </c>
      <c r="AB136" s="6">
        <v>1.575</v>
      </c>
      <c r="AC136" s="6">
        <v>4.2999999999999997E-2</v>
      </c>
      <c r="AD136" s="6">
        <v>1.575</v>
      </c>
    </row>
    <row r="137" spans="27:30" x14ac:dyDescent="0.25">
      <c r="AA137" s="6">
        <v>55</v>
      </c>
      <c r="AB137" s="6">
        <v>1.0900000000000001</v>
      </c>
      <c r="AC137" s="6">
        <v>0.47699999999999998</v>
      </c>
      <c r="AD137" s="6">
        <v>1.0900000000000001</v>
      </c>
    </row>
    <row r="138" spans="27:30" x14ac:dyDescent="0.25">
      <c r="AA138" s="6">
        <v>58</v>
      </c>
      <c r="AB138" s="6">
        <v>1.353</v>
      </c>
      <c r="AC138" s="6">
        <v>0.64400000000000002</v>
      </c>
      <c r="AD138" s="6">
        <v>1.353</v>
      </c>
    </row>
    <row r="139" spans="27:30" x14ac:dyDescent="0.25">
      <c r="AA139" s="6">
        <v>67</v>
      </c>
      <c r="AB139" s="6">
        <v>1.125</v>
      </c>
      <c r="AC139" s="6">
        <v>0.53600000000000003</v>
      </c>
      <c r="AD139" s="6">
        <v>1.125</v>
      </c>
    </row>
    <row r="140" spans="27:30" x14ac:dyDescent="0.25">
      <c r="AA140" s="6">
        <v>69</v>
      </c>
      <c r="AB140" s="6">
        <v>1.353</v>
      </c>
      <c r="AC140" s="6">
        <v>0.64400000000000002</v>
      </c>
      <c r="AD140" s="6">
        <v>1.353</v>
      </c>
    </row>
    <row r="141" spans="27:30" x14ac:dyDescent="0.25">
      <c r="AA141" s="6">
        <v>70</v>
      </c>
      <c r="AB141" s="6">
        <v>1.125</v>
      </c>
      <c r="AC141" s="6">
        <v>0.53600000000000003</v>
      </c>
      <c r="AD141" s="6">
        <v>1.125</v>
      </c>
    </row>
    <row r="142" spans="27:30" x14ac:dyDescent="0.25">
      <c r="AA142" s="6">
        <v>72</v>
      </c>
      <c r="AB142" s="6">
        <v>1.125</v>
      </c>
      <c r="AC142" s="6">
        <v>0.53600000000000003</v>
      </c>
      <c r="AD142" s="6">
        <v>1.125</v>
      </c>
    </row>
    <row r="143" spans="27:30" x14ac:dyDescent="0.25">
      <c r="AA143" s="6">
        <v>73</v>
      </c>
      <c r="AB143" s="6">
        <v>1.135</v>
      </c>
      <c r="AC143" s="6">
        <v>1.18</v>
      </c>
      <c r="AD143" s="6">
        <v>1.135</v>
      </c>
    </row>
    <row r="144" spans="27:30" x14ac:dyDescent="0.25">
      <c r="AA144" s="6">
        <v>75</v>
      </c>
      <c r="AB144" s="6">
        <v>1.1140000000000001</v>
      </c>
      <c r="AC144" s="6">
        <v>0.65100000000000002</v>
      </c>
      <c r="AD144" s="6">
        <v>1.1140000000000001</v>
      </c>
    </row>
    <row r="145" spans="27:30" x14ac:dyDescent="0.25">
      <c r="AA145" s="6">
        <v>76</v>
      </c>
      <c r="AB145" s="6">
        <v>1.1140000000000001</v>
      </c>
      <c r="AC145" s="6">
        <v>0.65100000000000002</v>
      </c>
      <c r="AD145" s="6">
        <v>1.1140000000000001</v>
      </c>
    </row>
    <row r="146" spans="27:30" x14ac:dyDescent="0.25">
      <c r="AA146" s="6">
        <v>77</v>
      </c>
      <c r="AB146" s="6">
        <v>1.1299999999999999</v>
      </c>
      <c r="AC146" s="6">
        <v>0.30499999999999999</v>
      </c>
      <c r="AD146" s="6">
        <v>1.1299999999999999</v>
      </c>
    </row>
    <row r="147" spans="27:30" x14ac:dyDescent="0.25">
      <c r="AA147" s="6">
        <v>78</v>
      </c>
      <c r="AB147" s="6">
        <v>1.125</v>
      </c>
      <c r="AC147" s="6">
        <v>0.53600000000000003</v>
      </c>
      <c r="AD147" s="6">
        <v>1.125</v>
      </c>
    </row>
    <row r="148" spans="27:30" x14ac:dyDescent="0.25">
      <c r="AA148" s="6">
        <v>79</v>
      </c>
      <c r="AB148" s="6">
        <v>1.135</v>
      </c>
      <c r="AC148" s="6">
        <v>1.18</v>
      </c>
      <c r="AD148" s="6">
        <v>1.135</v>
      </c>
    </row>
    <row r="149" spans="27:30" x14ac:dyDescent="0.25">
      <c r="AA149" s="6">
        <v>86</v>
      </c>
      <c r="AB149" s="6">
        <v>1.139</v>
      </c>
      <c r="AC149" s="6">
        <v>0.158</v>
      </c>
      <c r="AD149" s="6">
        <v>1.139</v>
      </c>
    </row>
    <row r="150" spans="27:30" x14ac:dyDescent="0.25">
      <c r="AA150" s="6">
        <v>88</v>
      </c>
      <c r="AB150" s="6">
        <v>1.0229999999999999</v>
      </c>
      <c r="AC150" s="6">
        <v>2.7450000000000001</v>
      </c>
      <c r="AD150" s="6">
        <v>1.0229999999999999</v>
      </c>
    </row>
    <row r="151" spans="27:30" x14ac:dyDescent="0.25">
      <c r="AA151" s="6">
        <v>89</v>
      </c>
      <c r="AB151" s="6">
        <v>1.0229999999999999</v>
      </c>
      <c r="AC151" s="6">
        <v>2.7450000000000001</v>
      </c>
      <c r="AD151" s="6">
        <v>1.0229999999999999</v>
      </c>
    </row>
    <row r="152" spans="27:30" x14ac:dyDescent="0.25">
      <c r="AA152" s="6">
        <v>90</v>
      </c>
      <c r="AB152" s="6">
        <v>1.052</v>
      </c>
      <c r="AC152" s="6">
        <v>0.216</v>
      </c>
      <c r="AD152" s="6">
        <v>1.052</v>
      </c>
    </row>
    <row r="153" spans="27:30" x14ac:dyDescent="0.25">
      <c r="AA153" s="6">
        <v>92</v>
      </c>
      <c r="AB153" s="6">
        <v>1.079</v>
      </c>
      <c r="AC153" s="6">
        <v>0.47299999999999998</v>
      </c>
      <c r="AD153" s="6">
        <v>1.079</v>
      </c>
    </row>
    <row r="154" spans="27:30" x14ac:dyDescent="0.25">
      <c r="AA154" s="6">
        <v>93</v>
      </c>
      <c r="AB154" s="6">
        <v>1.079</v>
      </c>
      <c r="AC154" s="6">
        <v>0.47299999999999998</v>
      </c>
      <c r="AD154" s="6">
        <v>1.079</v>
      </c>
    </row>
    <row r="155" spans="27:30" x14ac:dyDescent="0.25">
      <c r="AA155" s="6">
        <v>94</v>
      </c>
      <c r="AB155" s="6">
        <v>1.1140000000000001</v>
      </c>
      <c r="AC155" s="6">
        <v>0.65100000000000002</v>
      </c>
      <c r="AD155" s="6">
        <v>1.1140000000000001</v>
      </c>
    </row>
    <row r="156" spans="27:30" x14ac:dyDescent="0.25">
      <c r="AA156" s="6">
        <v>95</v>
      </c>
      <c r="AB156" s="6">
        <v>1.1140000000000001</v>
      </c>
      <c r="AC156" s="6">
        <v>0.65100000000000002</v>
      </c>
      <c r="AD156" s="6">
        <v>1.1140000000000001</v>
      </c>
    </row>
    <row r="157" spans="27:30" x14ac:dyDescent="0.25">
      <c r="AA157" s="6">
        <v>98</v>
      </c>
      <c r="AB157" s="6">
        <v>1.125</v>
      </c>
      <c r="AC157" s="6">
        <v>0.53600000000000003</v>
      </c>
      <c r="AD157" s="6">
        <v>1.125</v>
      </c>
    </row>
    <row r="158" spans="27:30" x14ac:dyDescent="0.25">
      <c r="AA158" s="6">
        <v>100</v>
      </c>
      <c r="AB158" s="6">
        <v>1.1140000000000001</v>
      </c>
      <c r="AC158" s="6">
        <v>0.65100000000000002</v>
      </c>
      <c r="AD158" s="6">
        <v>1.1140000000000001</v>
      </c>
    </row>
    <row r="159" spans="27:30" x14ac:dyDescent="0.25">
      <c r="AA159" s="6">
        <v>101</v>
      </c>
      <c r="AB159" s="6">
        <v>1.1140000000000001</v>
      </c>
      <c r="AC159" s="6">
        <v>0.65100000000000002</v>
      </c>
      <c r="AD159" s="6">
        <v>1.1140000000000001</v>
      </c>
    </row>
    <row r="160" spans="27:30" x14ac:dyDescent="0.25">
      <c r="AA160" s="6">
        <v>102</v>
      </c>
      <c r="AB160" s="6">
        <v>0.995</v>
      </c>
      <c r="AC160" s="6">
        <v>0.22800000000000001</v>
      </c>
      <c r="AD160" s="6">
        <v>0.995</v>
      </c>
    </row>
    <row r="161" spans="27:30" x14ac:dyDescent="0.25">
      <c r="AA161" s="6">
        <v>106</v>
      </c>
      <c r="AB161" s="6">
        <v>1.9239999999999999</v>
      </c>
      <c r="AC161" s="6">
        <v>0.441</v>
      </c>
      <c r="AD161" s="6">
        <v>1.9239999999999999</v>
      </c>
    </row>
    <row r="162" spans="27:30" x14ac:dyDescent="0.25">
      <c r="AA162" s="6">
        <v>110</v>
      </c>
      <c r="AB162" s="6">
        <v>1.9239999999999999</v>
      </c>
      <c r="AC162" s="6">
        <v>0.441</v>
      </c>
      <c r="AD162" s="6">
        <v>1.9239999999999999</v>
      </c>
    </row>
    <row r="163" spans="27:30" x14ac:dyDescent="0.25">
      <c r="AA163" s="6">
        <v>112</v>
      </c>
      <c r="AB163" s="6">
        <v>0.995</v>
      </c>
      <c r="AC163" s="6">
        <v>0.22800000000000001</v>
      </c>
      <c r="AD163" s="6">
        <v>0.995</v>
      </c>
    </row>
    <row r="164" spans="27:30" x14ac:dyDescent="0.25">
      <c r="AA164" s="6">
        <v>113</v>
      </c>
      <c r="AB164" s="6">
        <v>1.9239999999999999</v>
      </c>
      <c r="AC164" s="6">
        <v>0.441</v>
      </c>
      <c r="AD164" s="6">
        <v>1.9239999999999999</v>
      </c>
    </row>
    <row r="165" spans="27:30" x14ac:dyDescent="0.25">
      <c r="AA165" s="6">
        <v>114</v>
      </c>
      <c r="AB165" s="6">
        <v>1.9239999999999999</v>
      </c>
      <c r="AC165" s="6">
        <v>0.441</v>
      </c>
      <c r="AD165" s="6">
        <v>1.9239999999999999</v>
      </c>
    </row>
    <row r="166" spans="27:30" x14ac:dyDescent="0.25">
      <c r="AA166" s="6">
        <v>116</v>
      </c>
      <c r="AB166" s="6">
        <v>0.995</v>
      </c>
      <c r="AC166" s="6">
        <v>0.22800000000000001</v>
      </c>
      <c r="AD166" s="6">
        <v>0.995</v>
      </c>
    </row>
    <row r="167" spans="27:30" x14ac:dyDescent="0.25">
      <c r="AA167" s="6">
        <v>118</v>
      </c>
      <c r="AB167" s="6">
        <v>1.9239999999999999</v>
      </c>
      <c r="AC167" s="6">
        <v>0.441</v>
      </c>
      <c r="AD167" s="6">
        <v>1.9239999999999999</v>
      </c>
    </row>
    <row r="168" spans="27:30" x14ac:dyDescent="0.25">
      <c r="AA168" s="6">
        <v>119</v>
      </c>
      <c r="AB168" s="6">
        <v>1.9239999999999999</v>
      </c>
      <c r="AC168" s="6">
        <v>0.441</v>
      </c>
      <c r="AD168" s="6">
        <v>1.9239999999999999</v>
      </c>
    </row>
    <row r="169" spans="27:30" x14ac:dyDescent="0.25">
      <c r="AA169" s="6">
        <v>122</v>
      </c>
      <c r="AB169" s="6">
        <v>1.2529999999999999</v>
      </c>
      <c r="AC169" s="6">
        <v>0.64700000000000002</v>
      </c>
      <c r="AD169" s="6">
        <v>1.2529999999999999</v>
      </c>
    </row>
    <row r="170" spans="27:30" x14ac:dyDescent="0.25">
      <c r="AA170" s="6">
        <v>124</v>
      </c>
      <c r="AB170" s="6">
        <v>1.2529999999999999</v>
      </c>
      <c r="AC170" s="6">
        <v>0.64700000000000002</v>
      </c>
      <c r="AD170" s="6">
        <v>1.2529999999999999</v>
      </c>
    </row>
    <row r="171" spans="27:30" x14ac:dyDescent="0.25">
      <c r="AA171" s="6">
        <v>125</v>
      </c>
      <c r="AB171" s="6">
        <v>1.0529999999999999</v>
      </c>
      <c r="AC171" s="6">
        <v>0.53900000000000003</v>
      </c>
      <c r="AD171" s="6">
        <v>1.0529999999999999</v>
      </c>
    </row>
    <row r="172" spans="27:30" x14ac:dyDescent="0.25">
      <c r="AA172" s="6">
        <v>127</v>
      </c>
      <c r="AB172" s="6">
        <v>1.135</v>
      </c>
      <c r="AC172" s="6">
        <v>1.18</v>
      </c>
      <c r="AD172" s="6">
        <v>1.135</v>
      </c>
    </row>
    <row r="173" spans="27:30" x14ac:dyDescent="0.25">
      <c r="AA173" s="6">
        <v>130</v>
      </c>
      <c r="AB173" s="6">
        <v>1.135</v>
      </c>
      <c r="AC173" s="6">
        <v>1.18</v>
      </c>
      <c r="AD173" s="6">
        <v>1.135</v>
      </c>
    </row>
    <row r="174" spans="27:30" x14ac:dyDescent="0.25">
      <c r="AA174" s="6">
        <v>132</v>
      </c>
      <c r="AB174" s="6">
        <v>1.0309999999999999</v>
      </c>
      <c r="AC174" s="6">
        <v>0.23599999999999999</v>
      </c>
      <c r="AD174" s="6">
        <v>1.0309999999999999</v>
      </c>
    </row>
    <row r="175" spans="27:30" x14ac:dyDescent="0.25">
      <c r="AA175" s="6">
        <v>136</v>
      </c>
      <c r="AB175" s="6">
        <v>1.298</v>
      </c>
      <c r="AC175" s="6">
        <v>0.67100000000000004</v>
      </c>
      <c r="AD175" s="6">
        <v>1.298</v>
      </c>
    </row>
    <row r="176" spans="27:30" x14ac:dyDescent="0.25">
      <c r="AA176" s="6">
        <v>137</v>
      </c>
      <c r="AB176" s="6">
        <v>1.2529999999999999</v>
      </c>
      <c r="AC176" s="6">
        <v>0.64700000000000002</v>
      </c>
      <c r="AD176" s="6">
        <v>1.2529999999999999</v>
      </c>
    </row>
    <row r="177" spans="27:30" x14ac:dyDescent="0.25">
      <c r="AA177" s="6">
        <v>138</v>
      </c>
      <c r="AB177" s="6">
        <v>1.1819999999999999</v>
      </c>
      <c r="AC177" s="6">
        <v>0.16300000000000001</v>
      </c>
      <c r="AD177" s="6">
        <v>1.1819999999999999</v>
      </c>
    </row>
    <row r="178" spans="27:30" x14ac:dyDescent="0.25">
      <c r="AA178" s="6">
        <v>139</v>
      </c>
      <c r="AB178" s="6">
        <v>0.995</v>
      </c>
      <c r="AC178" s="6">
        <v>0.22800000000000001</v>
      </c>
      <c r="AD178" s="6">
        <v>0.995</v>
      </c>
    </row>
    <row r="179" spans="27:30" x14ac:dyDescent="0.25">
      <c r="AA179" s="6">
        <v>140</v>
      </c>
      <c r="AB179" s="6">
        <v>1.9239999999999999</v>
      </c>
      <c r="AC179" s="6">
        <v>0.441</v>
      </c>
      <c r="AD179" s="6">
        <v>1.9239999999999999</v>
      </c>
    </row>
    <row r="180" spans="27:30" x14ac:dyDescent="0.25">
      <c r="AA180" s="6">
        <v>141</v>
      </c>
      <c r="AB180" s="6">
        <v>1.298</v>
      </c>
      <c r="AC180" s="6">
        <v>0.67100000000000004</v>
      </c>
      <c r="AD180" s="6">
        <v>1.298</v>
      </c>
    </row>
    <row r="181" spans="27:30" x14ac:dyDescent="0.25">
      <c r="AA181" s="6">
        <v>142</v>
      </c>
      <c r="AB181" s="6">
        <v>1.2529999999999999</v>
      </c>
      <c r="AC181" s="6">
        <v>0.64700000000000002</v>
      </c>
      <c r="AD181" s="6">
        <v>1.2529999999999999</v>
      </c>
    </row>
    <row r="182" spans="27:30" x14ac:dyDescent="0.25">
      <c r="AA182" s="6">
        <v>151</v>
      </c>
      <c r="AB182" s="6">
        <v>1.1140000000000001</v>
      </c>
      <c r="AC182" s="6">
        <v>0.65100000000000002</v>
      </c>
      <c r="AD182" s="6">
        <v>1.1140000000000001</v>
      </c>
    </row>
    <row r="183" spans="27:30" x14ac:dyDescent="0.25">
      <c r="AA183" s="6">
        <v>156</v>
      </c>
      <c r="AB183" s="6">
        <v>1.9239999999999999</v>
      </c>
      <c r="AC183" s="6">
        <v>0.441</v>
      </c>
      <c r="AD183" s="6">
        <v>1.9239999999999999</v>
      </c>
    </row>
    <row r="184" spans="27:30" x14ac:dyDescent="0.25">
      <c r="AA184" s="6">
        <v>157</v>
      </c>
      <c r="AB184" s="6">
        <v>0.995</v>
      </c>
      <c r="AC184" s="6">
        <v>0.22800000000000001</v>
      </c>
      <c r="AD184" s="6">
        <v>0.995</v>
      </c>
    </row>
    <row r="185" spans="27:30" x14ac:dyDescent="0.25">
      <c r="AA185" s="6">
        <v>177</v>
      </c>
      <c r="AB185" s="6">
        <v>1.1299999999999999</v>
      </c>
      <c r="AC185" s="6">
        <v>0.30499999999999999</v>
      </c>
      <c r="AD185" s="6">
        <v>1.1299999999999999</v>
      </c>
    </row>
    <row r="186" spans="27:30" x14ac:dyDescent="0.25">
      <c r="AA186" s="6">
        <v>188</v>
      </c>
      <c r="AB186" s="6">
        <v>1.0229999999999999</v>
      </c>
      <c r="AC186" s="6">
        <v>2.7450000000000001</v>
      </c>
      <c r="AD186" s="6">
        <v>1.0229999999999999</v>
      </c>
    </row>
    <row r="187" spans="27:30" x14ac:dyDescent="0.25">
      <c r="AA187" s="6">
        <v>189</v>
      </c>
      <c r="AB187" s="6">
        <v>1.0229999999999999</v>
      </c>
      <c r="AC187" s="6">
        <v>2.7450000000000001</v>
      </c>
      <c r="AD187" s="6">
        <v>1.0229999999999999</v>
      </c>
    </row>
    <row r="188" spans="27:30" x14ac:dyDescent="0.25">
      <c r="AA188" s="6">
        <v>190</v>
      </c>
      <c r="AB188" s="6">
        <v>1.052</v>
      </c>
      <c r="AC188" s="6">
        <v>0.216</v>
      </c>
      <c r="AD188" s="6">
        <v>1.052</v>
      </c>
    </row>
    <row r="190" spans="27:30" x14ac:dyDescent="0.25">
      <c r="AA190" s="9" t="s">
        <v>71</v>
      </c>
    </row>
    <row r="191" spans="27:30" x14ac:dyDescent="0.25">
      <c r="AA191" s="6" t="s">
        <v>74</v>
      </c>
    </row>
    <row r="192" spans="27:30" x14ac:dyDescent="0.25">
      <c r="AA192" s="6" t="s">
        <v>72</v>
      </c>
    </row>
    <row r="193" spans="27:31" x14ac:dyDescent="0.25">
      <c r="AA193" s="6" t="s">
        <v>309</v>
      </c>
      <c r="AB193" s="6" t="s">
        <v>363</v>
      </c>
      <c r="AC193" s="6" t="s">
        <v>80</v>
      </c>
    </row>
    <row r="194" spans="27:31" x14ac:dyDescent="0.25">
      <c r="AA194" s="6">
        <v>0.01</v>
      </c>
      <c r="AB194" s="6">
        <v>0.5</v>
      </c>
      <c r="AC194" s="6">
        <v>5.0000000000000001E-3</v>
      </c>
    </row>
    <row r="196" spans="27:31" x14ac:dyDescent="0.25">
      <c r="AA196" s="6" t="s">
        <v>73</v>
      </c>
    </row>
    <row r="197" spans="27:31" x14ac:dyDescent="0.25">
      <c r="AA197" s="6" t="s">
        <v>76</v>
      </c>
    </row>
    <row r="198" spans="27:31" x14ac:dyDescent="0.25">
      <c r="AA198" s="6" t="s">
        <v>309</v>
      </c>
      <c r="AB198" s="6" t="s">
        <v>362</v>
      </c>
      <c r="AC198" s="6" t="s">
        <v>80</v>
      </c>
    </row>
    <row r="199" spans="27:31" x14ac:dyDescent="0.25">
      <c r="AA199" s="6">
        <v>0.01</v>
      </c>
      <c r="AB199" s="6">
        <v>0.2</v>
      </c>
      <c r="AC199" s="6">
        <v>-2.5000000000000001E-3</v>
      </c>
    </row>
    <row r="200" spans="27:31" x14ac:dyDescent="0.25">
      <c r="AA200" s="6" t="s">
        <v>75</v>
      </c>
    </row>
    <row r="201" spans="27:31" x14ac:dyDescent="0.25">
      <c r="AA201" s="6" t="s">
        <v>309</v>
      </c>
      <c r="AB201" s="6" t="s">
        <v>362</v>
      </c>
      <c r="AC201" s="6" t="s">
        <v>80</v>
      </c>
    </row>
    <row r="202" spans="27:31" x14ac:dyDescent="0.25">
      <c r="AA202" s="6">
        <v>0.01</v>
      </c>
      <c r="AB202" s="6">
        <v>0.05</v>
      </c>
      <c r="AC202" s="6">
        <v>-2.5000000000000001E-3</v>
      </c>
    </row>
    <row r="204" spans="27:31" x14ac:dyDescent="0.25">
      <c r="AA204" s="6" t="s">
        <v>77</v>
      </c>
    </row>
    <row r="205" spans="27:31" x14ac:dyDescent="0.25">
      <c r="AA205" s="6" t="s">
        <v>78</v>
      </c>
    </row>
    <row r="207" spans="27:31" x14ac:dyDescent="0.25">
      <c r="AA207" s="9" t="s">
        <v>79</v>
      </c>
    </row>
    <row r="208" spans="27:31" x14ac:dyDescent="0.25">
      <c r="AA208" s="6" t="s">
        <v>81</v>
      </c>
      <c r="AE208" s="6" t="s">
        <v>82</v>
      </c>
    </row>
    <row r="209" spans="27:33" x14ac:dyDescent="0.25">
      <c r="AA209" s="6" t="s">
        <v>248</v>
      </c>
      <c r="AE209" s="6" t="s">
        <v>249</v>
      </c>
    </row>
    <row r="210" spans="27:33" x14ac:dyDescent="0.25">
      <c r="AA210" s="6" t="s">
        <v>309</v>
      </c>
      <c r="AB210" s="6" t="s">
        <v>363</v>
      </c>
      <c r="AC210" s="6" t="s">
        <v>80</v>
      </c>
      <c r="AE210" s="6" t="s">
        <v>309</v>
      </c>
      <c r="AF210" s="6" t="s">
        <v>362</v>
      </c>
      <c r="AG210" s="6" t="s">
        <v>80</v>
      </c>
    </row>
    <row r="211" spans="27:33" x14ac:dyDescent="0.25">
      <c r="AA211" s="6">
        <v>0.01</v>
      </c>
      <c r="AB211" s="6">
        <v>0.2</v>
      </c>
      <c r="AC211" s="6">
        <v>5.0000000000000001E-3</v>
      </c>
      <c r="AE211" s="6">
        <v>0.01</v>
      </c>
      <c r="AF211" s="6">
        <v>0.05</v>
      </c>
      <c r="AG211" s="6">
        <v>-2.5000000000000001E-3</v>
      </c>
    </row>
    <row r="212" spans="27:33" x14ac:dyDescent="0.25">
      <c r="AA212" s="6" t="s">
        <v>83</v>
      </c>
    </row>
    <row r="214" spans="27:33" x14ac:dyDescent="0.25">
      <c r="AA214" s="9" t="s">
        <v>84</v>
      </c>
    </row>
    <row r="215" spans="27:33" x14ac:dyDescent="0.25">
      <c r="AA215" s="6" t="s">
        <v>85</v>
      </c>
      <c r="AD215" s="6" t="s">
        <v>86</v>
      </c>
    </row>
    <row r="216" spans="27:33" x14ac:dyDescent="0.25">
      <c r="AA216" s="6" t="s">
        <v>87</v>
      </c>
      <c r="AD216" s="6" t="s">
        <v>88</v>
      </c>
    </row>
    <row r="217" spans="27:33" x14ac:dyDescent="0.25">
      <c r="AA217" s="6" t="s">
        <v>80</v>
      </c>
      <c r="AD217" s="6" t="s">
        <v>80</v>
      </c>
    </row>
    <row r="218" spans="27:33" x14ac:dyDescent="0.25">
      <c r="AA218" s="6">
        <v>5.0000000000000001E-3</v>
      </c>
      <c r="AD218" s="6">
        <v>-5.0000000000000001E-3</v>
      </c>
    </row>
    <row r="219" spans="27:33" x14ac:dyDescent="0.25">
      <c r="AA219" s="6" t="s">
        <v>89</v>
      </c>
    </row>
    <row r="221" spans="27:33" x14ac:dyDescent="0.25">
      <c r="AA221" s="9" t="s">
        <v>90</v>
      </c>
    </row>
    <row r="222" spans="27:33" x14ac:dyDescent="0.25">
      <c r="AA222" s="6" t="s">
        <v>91</v>
      </c>
    </row>
    <row r="223" spans="27:33" x14ac:dyDescent="0.25">
      <c r="AA223" s="6" t="s">
        <v>92</v>
      </c>
      <c r="AB223" s="6">
        <v>-0.1</v>
      </c>
    </row>
    <row r="224" spans="27:33" x14ac:dyDescent="0.25">
      <c r="AA224" s="6" t="s">
        <v>70</v>
      </c>
      <c r="AB224" s="6">
        <v>-0.23</v>
      </c>
    </row>
    <row r="226" spans="19:31" x14ac:dyDescent="0.25">
      <c r="AA226" s="9" t="s">
        <v>93</v>
      </c>
    </row>
    <row r="227" spans="19:31" x14ac:dyDescent="0.25">
      <c r="AA227" s="6" t="s">
        <v>94</v>
      </c>
      <c r="AD227" s="6" t="s">
        <v>70</v>
      </c>
    </row>
    <row r="228" spans="19:31" x14ac:dyDescent="0.25">
      <c r="AA228" s="6" t="s">
        <v>95</v>
      </c>
      <c r="AB228" s="6" t="s">
        <v>96</v>
      </c>
      <c r="AD228" s="6" t="s">
        <v>97</v>
      </c>
      <c r="AE228" s="6" t="s">
        <v>96</v>
      </c>
    </row>
    <row r="229" spans="19:31" x14ac:dyDescent="0.25">
      <c r="AA229" s="6">
        <v>0</v>
      </c>
      <c r="AB229" s="6">
        <v>0</v>
      </c>
      <c r="AD229" s="6">
        <v>0</v>
      </c>
      <c r="AE229" s="6">
        <v>0</v>
      </c>
    </row>
    <row r="230" spans="19:31" x14ac:dyDescent="0.25">
      <c r="AA230" s="6">
        <v>2.5000000000000001E-2</v>
      </c>
      <c r="AB230" s="6">
        <v>0.12</v>
      </c>
      <c r="AD230" s="6">
        <v>2.5000000000000001E-2</v>
      </c>
      <c r="AE230" s="6">
        <v>0.06</v>
      </c>
    </row>
    <row r="231" spans="19:31" x14ac:dyDescent="0.25">
      <c r="AA231" s="6">
        <v>0.05</v>
      </c>
      <c r="AB231" s="6">
        <v>0.2</v>
      </c>
      <c r="AD231" s="6">
        <v>0.05</v>
      </c>
      <c r="AE231" s="6">
        <v>0.1</v>
      </c>
    </row>
    <row r="232" spans="19:31" x14ac:dyDescent="0.25">
      <c r="AA232" s="6">
        <v>0.1</v>
      </c>
      <c r="AB232" s="6">
        <v>0.28000000000000003</v>
      </c>
      <c r="AD232" s="6">
        <v>0.1</v>
      </c>
      <c r="AE232" s="6">
        <v>0.14000000000000001</v>
      </c>
    </row>
    <row r="233" spans="19:31" x14ac:dyDescent="0.25">
      <c r="AA233" s="6">
        <v>0.25</v>
      </c>
      <c r="AB233" s="6">
        <v>0.36</v>
      </c>
      <c r="AD233" s="6">
        <v>0.25</v>
      </c>
      <c r="AE233" s="6">
        <v>0.18</v>
      </c>
    </row>
    <row r="234" spans="19:31" x14ac:dyDescent="0.25">
      <c r="AA234" s="6">
        <v>0.5</v>
      </c>
      <c r="AB234" s="6">
        <v>0.44</v>
      </c>
      <c r="AD234" s="6">
        <v>0.5</v>
      </c>
      <c r="AE234" s="6">
        <v>0.22</v>
      </c>
    </row>
    <row r="235" spans="19:31" x14ac:dyDescent="0.25">
      <c r="AA235" s="6">
        <v>0.75</v>
      </c>
      <c r="AB235" s="6">
        <v>0.52</v>
      </c>
      <c r="AD235" s="6">
        <v>0.75</v>
      </c>
      <c r="AE235" s="6">
        <v>0.26</v>
      </c>
    </row>
    <row r="236" spans="19:31" x14ac:dyDescent="0.25">
      <c r="AA236" s="6">
        <v>1</v>
      </c>
      <c r="AB236" s="6">
        <v>0.6</v>
      </c>
      <c r="AD236" s="6">
        <v>1</v>
      </c>
      <c r="AE236" s="6">
        <v>0.3</v>
      </c>
    </row>
    <row r="238" spans="19:31" x14ac:dyDescent="0.25">
      <c r="AA238" s="9" t="s">
        <v>98</v>
      </c>
    </row>
    <row r="239" spans="19:31" x14ac:dyDescent="0.25">
      <c r="S239" s="4"/>
      <c r="T239" s="4"/>
      <c r="AA239" s="6" t="s">
        <v>94</v>
      </c>
      <c r="AD239" s="6" t="s">
        <v>70</v>
      </c>
    </row>
    <row r="240" spans="19:31" x14ac:dyDescent="0.25">
      <c r="AA240" s="6" t="s">
        <v>95</v>
      </c>
      <c r="AB240" s="6" t="s">
        <v>96</v>
      </c>
      <c r="AD240" s="6" t="s">
        <v>97</v>
      </c>
      <c r="AE240" s="6" t="s">
        <v>96</v>
      </c>
    </row>
    <row r="241" spans="27:33" x14ac:dyDescent="0.25">
      <c r="AA241" s="6">
        <v>0</v>
      </c>
      <c r="AB241" s="6">
        <v>0</v>
      </c>
      <c r="AD241" s="6">
        <v>0</v>
      </c>
      <c r="AE241" s="6">
        <v>0</v>
      </c>
    </row>
    <row r="242" spans="27:33" x14ac:dyDescent="0.25">
      <c r="AA242" s="6">
        <v>0.1</v>
      </c>
      <c r="AB242" s="6">
        <v>0.01</v>
      </c>
      <c r="AD242" s="6">
        <v>0.1</v>
      </c>
      <c r="AE242" s="6">
        <v>0.01</v>
      </c>
    </row>
    <row r="243" spans="27:33" x14ac:dyDescent="0.25">
      <c r="AA243" s="6">
        <v>0.25</v>
      </c>
      <c r="AB243" s="6">
        <v>0.02</v>
      </c>
      <c r="AD243" s="6">
        <v>0.25</v>
      </c>
      <c r="AE243" s="6">
        <v>0.02</v>
      </c>
    </row>
    <row r="244" spans="27:33" x14ac:dyDescent="0.25">
      <c r="AA244" s="6">
        <v>0.5</v>
      </c>
      <c r="AB244" s="6">
        <v>0.03</v>
      </c>
      <c r="AD244" s="6">
        <v>0.5</v>
      </c>
      <c r="AE244" s="6">
        <v>0.03</v>
      </c>
    </row>
    <row r="245" spans="27:33" x14ac:dyDescent="0.25">
      <c r="AA245" s="6">
        <v>0.75</v>
      </c>
      <c r="AB245" s="6">
        <v>0.04</v>
      </c>
      <c r="AD245" s="6">
        <v>0.75</v>
      </c>
      <c r="AE245" s="6">
        <v>0.04</v>
      </c>
    </row>
    <row r="246" spans="27:33" x14ac:dyDescent="0.25">
      <c r="AA246" s="6">
        <v>1</v>
      </c>
      <c r="AB246" s="6">
        <v>0.05</v>
      </c>
      <c r="AD246" s="6">
        <v>1</v>
      </c>
      <c r="AE246" s="6">
        <v>0.05</v>
      </c>
    </row>
    <row r="248" spans="27:33" x14ac:dyDescent="0.25">
      <c r="AA248" s="9" t="s">
        <v>108</v>
      </c>
    </row>
    <row r="249" spans="27:33" x14ac:dyDescent="0.25">
      <c r="AB249" s="6" t="s">
        <v>49</v>
      </c>
    </row>
    <row r="250" spans="27:33" x14ac:dyDescent="0.25">
      <c r="AA250" s="6" t="s">
        <v>228</v>
      </c>
      <c r="AB250" s="6" t="s">
        <v>103</v>
      </c>
      <c r="AC250" s="6" t="s">
        <v>102</v>
      </c>
      <c r="AD250" s="6" t="s">
        <v>101</v>
      </c>
      <c r="AE250" s="6" t="s">
        <v>104</v>
      </c>
      <c r="AF250" s="6" t="s">
        <v>23</v>
      </c>
      <c r="AG250" s="6" t="s">
        <v>105</v>
      </c>
    </row>
    <row r="251" spans="27:33" x14ac:dyDescent="0.25">
      <c r="AA251" s="6" t="str">
        <f>CONCATENATE(AB251," ",AC251," ",AD251)</f>
        <v>Yes Yes Yes</v>
      </c>
      <c r="AB251" s="6" t="s">
        <v>99</v>
      </c>
      <c r="AC251" s="6" t="s">
        <v>99</v>
      </c>
      <c r="AD251" s="6" t="s">
        <v>99</v>
      </c>
      <c r="AE251" s="6">
        <v>0.95</v>
      </c>
      <c r="AF251" s="6">
        <v>0.95</v>
      </c>
      <c r="AG251" s="6" t="s">
        <v>106</v>
      </c>
    </row>
    <row r="252" spans="27:33" x14ac:dyDescent="0.25">
      <c r="AA252" s="6" t="str">
        <f t="shared" ref="AA252:AA258" si="15">CONCATENATE(AB252," ",AC252," ",AD252)</f>
        <v>Yes Yes No</v>
      </c>
      <c r="AB252" s="6" t="s">
        <v>99</v>
      </c>
      <c r="AC252" s="6" t="s">
        <v>99</v>
      </c>
      <c r="AD252" s="6" t="s">
        <v>100</v>
      </c>
      <c r="AE252" s="6">
        <v>1</v>
      </c>
      <c r="AF252" s="6">
        <v>1</v>
      </c>
      <c r="AG252" s="6" t="s">
        <v>106</v>
      </c>
    </row>
    <row r="253" spans="27:33" x14ac:dyDescent="0.25">
      <c r="AA253" s="6" t="str">
        <f t="shared" si="15"/>
        <v>Yes No Yes</v>
      </c>
      <c r="AB253" s="6" t="s">
        <v>99</v>
      </c>
      <c r="AC253" s="6" t="s">
        <v>100</v>
      </c>
      <c r="AD253" s="6" t="s">
        <v>99</v>
      </c>
      <c r="AE253" s="6">
        <v>1.05</v>
      </c>
      <c r="AF253" s="6">
        <v>1.05</v>
      </c>
      <c r="AG253" s="6" t="s">
        <v>106</v>
      </c>
    </row>
    <row r="254" spans="27:33" x14ac:dyDescent="0.25">
      <c r="AA254" s="6" t="str">
        <f t="shared" si="15"/>
        <v>Yes No No</v>
      </c>
      <c r="AB254" s="6" t="s">
        <v>99</v>
      </c>
      <c r="AC254" s="6" t="s">
        <v>100</v>
      </c>
      <c r="AD254" s="6" t="s">
        <v>100</v>
      </c>
      <c r="AE254" s="6">
        <v>1.46</v>
      </c>
      <c r="AF254" s="6">
        <v>1.46</v>
      </c>
      <c r="AG254" s="6" t="s">
        <v>107</v>
      </c>
    </row>
    <row r="255" spans="27:33" x14ac:dyDescent="0.25">
      <c r="AA255" s="6" t="str">
        <f t="shared" si="15"/>
        <v>No Yes Yes</v>
      </c>
      <c r="AB255" s="6" t="s">
        <v>100</v>
      </c>
      <c r="AC255" s="6" t="s">
        <v>99</v>
      </c>
      <c r="AD255" s="6" t="s">
        <v>99</v>
      </c>
      <c r="AE255" s="6">
        <v>1.1100000000000001</v>
      </c>
      <c r="AF255" s="6">
        <v>1.1100000000000001</v>
      </c>
      <c r="AG255" s="6" t="s">
        <v>106</v>
      </c>
    </row>
    <row r="256" spans="27:33" x14ac:dyDescent="0.25">
      <c r="AA256" s="6" t="str">
        <f t="shared" si="15"/>
        <v>No Yes No</v>
      </c>
      <c r="AB256" s="6" t="s">
        <v>100</v>
      </c>
      <c r="AC256" s="6" t="s">
        <v>99</v>
      </c>
      <c r="AD256" s="6" t="s">
        <v>100</v>
      </c>
      <c r="AE256" s="6">
        <v>1.51</v>
      </c>
      <c r="AF256" s="6">
        <v>1.51</v>
      </c>
      <c r="AG256" s="6" t="s">
        <v>107</v>
      </c>
    </row>
    <row r="257" spans="24:33" x14ac:dyDescent="0.25">
      <c r="AA257" s="6" t="str">
        <f t="shared" si="15"/>
        <v>No No Yes</v>
      </c>
      <c r="AB257" s="6" t="s">
        <v>100</v>
      </c>
      <c r="AC257" s="6" t="s">
        <v>100</v>
      </c>
      <c r="AD257" s="6" t="s">
        <v>99</v>
      </c>
      <c r="AE257" s="6">
        <v>1.27</v>
      </c>
      <c r="AF257" s="6">
        <v>1.27</v>
      </c>
      <c r="AG257" s="6" t="s">
        <v>107</v>
      </c>
    </row>
    <row r="258" spans="24:33" x14ac:dyDescent="0.25">
      <c r="AA258" s="6" t="str">
        <f t="shared" si="15"/>
        <v>No No No</v>
      </c>
      <c r="AB258" s="6" t="s">
        <v>100</v>
      </c>
      <c r="AC258" s="6" t="s">
        <v>100</v>
      </c>
      <c r="AD258" s="6" t="s">
        <v>100</v>
      </c>
      <c r="AE258" s="6">
        <v>1.6</v>
      </c>
      <c r="AF258" s="6">
        <v>1.6</v>
      </c>
      <c r="AG258" s="6" t="s">
        <v>107</v>
      </c>
    </row>
    <row r="260" spans="24:33" x14ac:dyDescent="0.25">
      <c r="AB260" s="6" t="s">
        <v>109</v>
      </c>
    </row>
    <row r="261" spans="24:33" x14ac:dyDescent="0.25">
      <c r="AB261" s="6" t="s">
        <v>103</v>
      </c>
      <c r="AC261" s="6" t="s">
        <v>102</v>
      </c>
      <c r="AD261" s="6" t="s">
        <v>101</v>
      </c>
      <c r="AE261" s="6" t="s">
        <v>104</v>
      </c>
      <c r="AF261" s="6" t="s">
        <v>23</v>
      </c>
      <c r="AG261" s="6" t="s">
        <v>105</v>
      </c>
    </row>
    <row r="262" spans="24:33" x14ac:dyDescent="0.25">
      <c r="AB262" s="6" t="s">
        <v>99</v>
      </c>
      <c r="AC262" s="6" t="s">
        <v>99</v>
      </c>
      <c r="AD262" s="6" t="s">
        <v>99</v>
      </c>
      <c r="AE262" s="6">
        <v>0.95</v>
      </c>
      <c r="AF262" s="6">
        <v>0.95</v>
      </c>
      <c r="AG262" s="6" t="s">
        <v>106</v>
      </c>
    </row>
    <row r="263" spans="24:33" x14ac:dyDescent="0.25">
      <c r="AB263" s="6" t="s">
        <v>99</v>
      </c>
      <c r="AC263" s="6" t="s">
        <v>99</v>
      </c>
      <c r="AD263" s="6" t="s">
        <v>100</v>
      </c>
      <c r="AE263" s="6">
        <v>1</v>
      </c>
      <c r="AF263" s="6">
        <v>1</v>
      </c>
      <c r="AG263" s="6" t="s">
        <v>106</v>
      </c>
    </row>
    <row r="264" spans="24:33" x14ac:dyDescent="0.25">
      <c r="AB264" s="6" t="s">
        <v>99</v>
      </c>
      <c r="AC264" s="6" t="s">
        <v>100</v>
      </c>
      <c r="AD264" s="6" t="s">
        <v>99</v>
      </c>
      <c r="AE264" s="6">
        <v>1.04</v>
      </c>
      <c r="AF264" s="6">
        <v>1.04</v>
      </c>
      <c r="AG264" s="6" t="s">
        <v>106</v>
      </c>
    </row>
    <row r="265" spans="24:33" x14ac:dyDescent="0.25">
      <c r="AB265" s="6" t="s">
        <v>99</v>
      </c>
      <c r="AC265" s="6" t="s">
        <v>100</v>
      </c>
      <c r="AD265" s="6" t="s">
        <v>100</v>
      </c>
      <c r="AE265" s="6">
        <v>1.41</v>
      </c>
      <c r="AF265" s="6">
        <v>1.41</v>
      </c>
      <c r="AG265" s="6" t="s">
        <v>107</v>
      </c>
    </row>
    <row r="266" spans="24:33" x14ac:dyDescent="0.25">
      <c r="X266" s="6"/>
      <c r="AB266" s="6" t="s">
        <v>100</v>
      </c>
      <c r="AC266" s="6" t="s">
        <v>99</v>
      </c>
      <c r="AD266" s="6" t="s">
        <v>99</v>
      </c>
      <c r="AE266" s="6">
        <v>1.1000000000000001</v>
      </c>
      <c r="AF266" s="6">
        <v>1.1000000000000001</v>
      </c>
      <c r="AG266" s="6" t="s">
        <v>106</v>
      </c>
    </row>
    <row r="267" spans="24:33" x14ac:dyDescent="0.25">
      <c r="X267" s="6"/>
      <c r="AB267" s="6" t="s">
        <v>100</v>
      </c>
      <c r="AC267" s="6" t="s">
        <v>99</v>
      </c>
      <c r="AD267" s="6" t="s">
        <v>100</v>
      </c>
      <c r="AE267" s="6">
        <v>1.46</v>
      </c>
      <c r="AF267" s="6">
        <v>1.46</v>
      </c>
      <c r="AG267" s="6" t="s">
        <v>107</v>
      </c>
    </row>
    <row r="268" spans="24:33" x14ac:dyDescent="0.25">
      <c r="X268" s="6"/>
      <c r="AB268" s="6" t="s">
        <v>100</v>
      </c>
      <c r="AC268" s="6" t="s">
        <v>100</v>
      </c>
      <c r="AD268" s="6" t="s">
        <v>99</v>
      </c>
      <c r="AE268" s="6">
        <v>1.24</v>
      </c>
      <c r="AF268" s="6">
        <v>1.24</v>
      </c>
      <c r="AG268" s="6" t="s">
        <v>107</v>
      </c>
    </row>
    <row r="269" spans="24:33" x14ac:dyDescent="0.25">
      <c r="X269" s="6"/>
      <c r="AB269" s="6" t="s">
        <v>100</v>
      </c>
      <c r="AC269" s="6" t="s">
        <v>100</v>
      </c>
      <c r="AD269" s="6" t="s">
        <v>100</v>
      </c>
      <c r="AE269" s="6">
        <v>1.5</v>
      </c>
      <c r="AF269" s="6">
        <v>1.5</v>
      </c>
      <c r="AG269" s="6" t="s">
        <v>107</v>
      </c>
    </row>
    <row r="270" spans="24:33" x14ac:dyDescent="0.25">
      <c r="X270" s="6"/>
    </row>
    <row r="271" spans="24:33" x14ac:dyDescent="0.25">
      <c r="AA271" s="9" t="s">
        <v>110</v>
      </c>
    </row>
    <row r="272" spans="24:33" x14ac:dyDescent="0.25">
      <c r="AB272" s="6" t="s">
        <v>114</v>
      </c>
    </row>
    <row r="273" spans="27:36" x14ac:dyDescent="0.25">
      <c r="AA273" s="6" t="s">
        <v>257</v>
      </c>
      <c r="AB273" s="6" t="s">
        <v>115</v>
      </c>
      <c r="AC273" s="6" t="s">
        <v>111</v>
      </c>
      <c r="AD273" s="6" t="s">
        <v>112</v>
      </c>
      <c r="AE273" s="6" t="s">
        <v>116</v>
      </c>
      <c r="AF273" s="6" t="s">
        <v>113</v>
      </c>
    </row>
    <row r="274" spans="27:36" x14ac:dyDescent="0.25">
      <c r="AA274" s="6" t="s">
        <v>117</v>
      </c>
      <c r="AB274" s="6">
        <v>0.68</v>
      </c>
      <c r="AC274" s="6">
        <v>0.84</v>
      </c>
      <c r="AD274" s="6">
        <v>1</v>
      </c>
      <c r="AE274" s="6">
        <v>1.06</v>
      </c>
      <c r="AF274" s="6">
        <v>1.23</v>
      </c>
    </row>
    <row r="275" spans="27:36" x14ac:dyDescent="0.25">
      <c r="AA275" s="6" t="s">
        <v>118</v>
      </c>
      <c r="AB275" s="6">
        <v>0.7</v>
      </c>
      <c r="AC275" s="6">
        <v>0.87</v>
      </c>
      <c r="AD275" s="6">
        <v>1.03</v>
      </c>
      <c r="AE275" s="6">
        <v>1.1000000000000001</v>
      </c>
      <c r="AF275" s="6">
        <v>1.26</v>
      </c>
    </row>
    <row r="276" spans="27:36" x14ac:dyDescent="0.25">
      <c r="AA276" s="6" t="s">
        <v>111</v>
      </c>
      <c r="AB276" s="6">
        <v>1.32</v>
      </c>
      <c r="AC276" s="6">
        <v>1.5</v>
      </c>
      <c r="AD276" s="6">
        <v>1.78</v>
      </c>
      <c r="AE276" s="6">
        <v>1.98</v>
      </c>
      <c r="AF276" s="6">
        <v>2.13</v>
      </c>
    </row>
    <row r="277" spans="27:36" x14ac:dyDescent="0.25">
      <c r="AA277" s="6" t="s">
        <v>112</v>
      </c>
      <c r="AB277" s="6">
        <v>1.37</v>
      </c>
      <c r="AC277" s="6">
        <v>1.56</v>
      </c>
      <c r="AD277" s="6">
        <v>1.84</v>
      </c>
      <c r="AE277" s="6">
        <v>2.0499999999999998</v>
      </c>
      <c r="AF277" s="6">
        <v>2.2000000000000002</v>
      </c>
    </row>
    <row r="278" spans="27:36" x14ac:dyDescent="0.25">
      <c r="AA278" s="6" t="s">
        <v>116</v>
      </c>
      <c r="AB278" s="6">
        <v>1.67</v>
      </c>
      <c r="AC278" s="6">
        <v>1.94</v>
      </c>
      <c r="AD278" s="6">
        <v>2.48</v>
      </c>
      <c r="AE278" s="6">
        <v>2.62</v>
      </c>
      <c r="AF278" s="6">
        <v>4.41</v>
      </c>
    </row>
    <row r="280" spans="27:36" x14ac:dyDescent="0.25">
      <c r="AA280" s="9" t="s">
        <v>128</v>
      </c>
    </row>
    <row r="281" spans="27:36" x14ac:dyDescent="0.25">
      <c r="AA281" s="6" t="s">
        <v>127</v>
      </c>
      <c r="AB281" s="6" t="s">
        <v>49</v>
      </c>
      <c r="AC281" s="6" t="s">
        <v>109</v>
      </c>
      <c r="AE281" s="1"/>
      <c r="AF281" s="6" t="s">
        <v>49</v>
      </c>
      <c r="AG281" s="1"/>
      <c r="AI281" s="6" t="s">
        <v>49</v>
      </c>
    </row>
    <row r="282" spans="27:36" x14ac:dyDescent="0.25">
      <c r="AA282" s="6" t="s">
        <v>120</v>
      </c>
      <c r="AB282" s="6">
        <v>-0.05</v>
      </c>
      <c r="AC282" s="6">
        <v>-0.05</v>
      </c>
      <c r="AE282" s="6" t="s">
        <v>369</v>
      </c>
      <c r="AF282" s="6">
        <f>AB287</f>
        <v>-0.1</v>
      </c>
      <c r="AG282" s="1"/>
      <c r="AH282" s="6" t="s">
        <v>366</v>
      </c>
      <c r="AI282" s="6">
        <v>-0.1</v>
      </c>
    </row>
    <row r="283" spans="27:36" x14ac:dyDescent="0.25">
      <c r="AA283" s="6" t="s">
        <v>121</v>
      </c>
      <c r="AB283" s="6">
        <v>-0.05</v>
      </c>
      <c r="AC283" s="6" t="s">
        <v>122</v>
      </c>
      <c r="AE283" s="6" t="s">
        <v>370</v>
      </c>
      <c r="AF283" s="6">
        <f>AB288</f>
        <v>-0.05</v>
      </c>
      <c r="AG283" s="1"/>
      <c r="AH283" s="6" t="s">
        <v>367</v>
      </c>
      <c r="AI283" s="6">
        <v>0</v>
      </c>
    </row>
    <row r="284" spans="27:36" x14ac:dyDescent="0.25">
      <c r="AA284" s="6" t="s">
        <v>123</v>
      </c>
      <c r="AB284" s="6">
        <v>-0.05</v>
      </c>
      <c r="AC284" s="6" t="s">
        <v>122</v>
      </c>
      <c r="AE284" s="6" t="s">
        <v>371</v>
      </c>
      <c r="AF284" s="6">
        <f>AB289</f>
        <v>-0.03</v>
      </c>
      <c r="AG284" s="1"/>
      <c r="AH284" s="6" t="s">
        <v>368</v>
      </c>
      <c r="AI284" s="6">
        <v>0.1</v>
      </c>
    </row>
    <row r="285" spans="27:36" x14ac:dyDescent="0.25">
      <c r="AA285" s="6" t="s">
        <v>124</v>
      </c>
      <c r="AB285" s="6">
        <v>-0.1</v>
      </c>
      <c r="AC285" s="6">
        <v>-0.1</v>
      </c>
      <c r="AE285" s="6" t="s">
        <v>244</v>
      </c>
      <c r="AF285" s="6">
        <v>0</v>
      </c>
      <c r="AG285" s="1"/>
    </row>
    <row r="286" spans="27:36" x14ac:dyDescent="0.25">
      <c r="AA286" s="6" t="s">
        <v>119</v>
      </c>
      <c r="AE286" s="6" t="s">
        <v>372</v>
      </c>
      <c r="AF286" s="6">
        <f>AB292</f>
        <v>0.1</v>
      </c>
      <c r="AG286" s="1"/>
    </row>
    <row r="287" spans="27:36" x14ac:dyDescent="0.25">
      <c r="AA287" s="6" t="s">
        <v>125</v>
      </c>
      <c r="AB287" s="6">
        <v>-0.1</v>
      </c>
      <c r="AC287" s="6" t="s">
        <v>122</v>
      </c>
      <c r="AD287" s="1"/>
      <c r="AE287" s="1"/>
      <c r="AF287" s="1"/>
      <c r="AH287" s="1"/>
      <c r="AI287" s="1"/>
      <c r="AJ287" s="1"/>
    </row>
    <row r="288" spans="27:36" x14ac:dyDescent="0.25">
      <c r="AA288" s="6" t="s">
        <v>229</v>
      </c>
      <c r="AB288" s="6">
        <v>-0.05</v>
      </c>
      <c r="AC288" s="6" t="s">
        <v>122</v>
      </c>
      <c r="AD288" s="1"/>
      <c r="AE288" s="1"/>
      <c r="AF288" s="1"/>
      <c r="AH288" s="1"/>
      <c r="AI288" s="1"/>
      <c r="AJ288" s="1"/>
    </row>
    <row r="289" spans="27:36" x14ac:dyDescent="0.25">
      <c r="AA289" s="6" t="s">
        <v>126</v>
      </c>
      <c r="AB289" s="6">
        <v>-0.03</v>
      </c>
      <c r="AC289" s="6" t="s">
        <v>122</v>
      </c>
      <c r="AD289" s="1"/>
      <c r="AE289" s="1"/>
      <c r="AF289" s="1"/>
      <c r="AH289" s="1"/>
      <c r="AI289" s="1"/>
      <c r="AJ289" s="1"/>
    </row>
    <row r="290" spans="27:36" x14ac:dyDescent="0.25">
      <c r="AD290" s="1"/>
      <c r="AE290" s="1"/>
      <c r="AF290" s="1"/>
      <c r="AH290" s="1"/>
      <c r="AI290" s="1"/>
      <c r="AJ290" s="1"/>
    </row>
    <row r="291" spans="27:36" x14ac:dyDescent="0.25">
      <c r="AA291" s="6" t="s">
        <v>129</v>
      </c>
      <c r="AB291" s="6" t="s">
        <v>49</v>
      </c>
      <c r="AC291" s="6" t="s">
        <v>109</v>
      </c>
      <c r="AE291" s="1"/>
      <c r="AF291" s="1"/>
    </row>
    <row r="292" spans="27:36" x14ac:dyDescent="0.25">
      <c r="AA292" s="6" t="s">
        <v>130</v>
      </c>
      <c r="AB292" s="6">
        <v>0.1</v>
      </c>
      <c r="AC292" s="6">
        <v>0.1</v>
      </c>
    </row>
    <row r="293" spans="27:36" x14ac:dyDescent="0.25">
      <c r="AA293" s="6" t="s">
        <v>131</v>
      </c>
    </row>
    <row r="295" spans="27:36" x14ac:dyDescent="0.25">
      <c r="AA295" s="9" t="s">
        <v>132</v>
      </c>
    </row>
    <row r="296" spans="27:36" x14ac:dyDescent="0.25">
      <c r="AA296" s="6" t="s">
        <v>133</v>
      </c>
    </row>
    <row r="297" spans="27:36" x14ac:dyDescent="0.25">
      <c r="AA297" s="6" t="s">
        <v>68</v>
      </c>
      <c r="AB297" s="6" t="s">
        <v>136</v>
      </c>
      <c r="AC297" s="6" t="s">
        <v>138</v>
      </c>
    </row>
    <row r="298" spans="27:36" x14ac:dyDescent="0.25">
      <c r="AA298" s="6">
        <v>3</v>
      </c>
      <c r="AB298" s="6" t="s">
        <v>134</v>
      </c>
      <c r="AC298" s="6" t="s">
        <v>137</v>
      </c>
    </row>
    <row r="299" spans="27:36" x14ac:dyDescent="0.25">
      <c r="AA299" s="6">
        <v>4</v>
      </c>
      <c r="AB299" s="6" t="s">
        <v>134</v>
      </c>
    </row>
    <row r="300" spans="27:36" x14ac:dyDescent="0.25">
      <c r="AA300" s="6">
        <v>6</v>
      </c>
      <c r="AB300" s="6" t="s">
        <v>134</v>
      </c>
    </row>
    <row r="301" spans="27:36" x14ac:dyDescent="0.25">
      <c r="AA301" s="6">
        <v>7</v>
      </c>
      <c r="AB301" s="6" t="s">
        <v>134</v>
      </c>
    </row>
    <row r="302" spans="27:36" x14ac:dyDescent="0.25">
      <c r="AA302" s="6">
        <v>8</v>
      </c>
      <c r="AB302" s="6" t="s">
        <v>134</v>
      </c>
    </row>
    <row r="303" spans="27:36" x14ac:dyDescent="0.25">
      <c r="AA303" s="6">
        <v>10</v>
      </c>
      <c r="AB303" s="6" t="s">
        <v>134</v>
      </c>
    </row>
    <row r="304" spans="27:36" x14ac:dyDescent="0.25">
      <c r="AA304" s="6">
        <v>11</v>
      </c>
      <c r="AB304" s="6" t="s">
        <v>134</v>
      </c>
    </row>
    <row r="305" spans="27:28" x14ac:dyDescent="0.25">
      <c r="AA305" s="6">
        <v>17</v>
      </c>
      <c r="AB305" s="6" t="s">
        <v>134</v>
      </c>
    </row>
    <row r="306" spans="27:28" x14ac:dyDescent="0.25">
      <c r="AA306" s="6">
        <v>18</v>
      </c>
      <c r="AB306" s="6" t="s">
        <v>134</v>
      </c>
    </row>
    <row r="307" spans="27:28" x14ac:dyDescent="0.25">
      <c r="AA307" s="6">
        <v>20</v>
      </c>
      <c r="AB307" s="6" t="s">
        <v>134</v>
      </c>
    </row>
    <row r="308" spans="27:28" x14ac:dyDescent="0.25">
      <c r="AA308" s="6">
        <v>21</v>
      </c>
      <c r="AB308" s="6" t="s">
        <v>135</v>
      </c>
    </row>
    <row r="309" spans="27:28" x14ac:dyDescent="0.25">
      <c r="AA309" s="6">
        <v>22</v>
      </c>
      <c r="AB309" s="6" t="s">
        <v>134</v>
      </c>
    </row>
    <row r="310" spans="27:28" x14ac:dyDescent="0.25">
      <c r="AA310" s="6">
        <v>24</v>
      </c>
      <c r="AB310" s="6" t="s">
        <v>135</v>
      </c>
    </row>
    <row r="311" spans="27:28" x14ac:dyDescent="0.25">
      <c r="AA311" s="6">
        <v>25</v>
      </c>
      <c r="AB311" s="6" t="s">
        <v>135</v>
      </c>
    </row>
    <row r="312" spans="27:28" x14ac:dyDescent="0.25">
      <c r="AA312" s="6">
        <v>26</v>
      </c>
      <c r="AB312" s="6" t="s">
        <v>135</v>
      </c>
    </row>
    <row r="313" spans="27:28" x14ac:dyDescent="0.25">
      <c r="AA313" s="6">
        <v>28</v>
      </c>
      <c r="AB313" s="6" t="s">
        <v>135</v>
      </c>
    </row>
    <row r="314" spans="27:28" x14ac:dyDescent="0.25">
      <c r="AA314" s="6">
        <v>30</v>
      </c>
      <c r="AB314" s="6" t="s">
        <v>135</v>
      </c>
    </row>
    <row r="315" spans="27:28" x14ac:dyDescent="0.25">
      <c r="AA315" s="6">
        <v>31</v>
      </c>
      <c r="AB315" s="6" t="s">
        <v>135</v>
      </c>
    </row>
    <row r="316" spans="27:28" x14ac:dyDescent="0.25">
      <c r="AA316" s="6">
        <v>32</v>
      </c>
      <c r="AB316" s="6" t="s">
        <v>135</v>
      </c>
    </row>
    <row r="317" spans="27:28" x14ac:dyDescent="0.25">
      <c r="AA317" s="6">
        <v>34</v>
      </c>
      <c r="AB317" s="6" t="s">
        <v>134</v>
      </c>
    </row>
    <row r="318" spans="27:28" x14ac:dyDescent="0.25">
      <c r="AA318" s="6">
        <v>36</v>
      </c>
      <c r="AB318" s="6" t="s">
        <v>135</v>
      </c>
    </row>
    <row r="319" spans="27:28" x14ac:dyDescent="0.25">
      <c r="AA319" s="6">
        <v>38</v>
      </c>
      <c r="AB319" s="6" t="s">
        <v>135</v>
      </c>
    </row>
    <row r="320" spans="27:28" x14ac:dyDescent="0.25">
      <c r="AA320" s="6">
        <v>39</v>
      </c>
      <c r="AB320" s="6" t="s">
        <v>135</v>
      </c>
    </row>
    <row r="321" spans="27:28" x14ac:dyDescent="0.25">
      <c r="AA321" s="6">
        <v>40</v>
      </c>
      <c r="AB321" s="6" t="s">
        <v>135</v>
      </c>
    </row>
    <row r="322" spans="27:28" x14ac:dyDescent="0.25">
      <c r="AA322" s="6">
        <v>51</v>
      </c>
      <c r="AB322" s="6" t="s">
        <v>135</v>
      </c>
    </row>
    <row r="323" spans="27:28" x14ac:dyDescent="0.25">
      <c r="AA323" s="6">
        <v>55</v>
      </c>
      <c r="AB323" s="6" t="s">
        <v>135</v>
      </c>
    </row>
    <row r="324" spans="27:28" x14ac:dyDescent="0.25">
      <c r="AA324" s="6">
        <v>58</v>
      </c>
      <c r="AB324" s="6" t="s">
        <v>134</v>
      </c>
    </row>
    <row r="325" spans="27:28" x14ac:dyDescent="0.25">
      <c r="AA325" s="6">
        <v>67</v>
      </c>
      <c r="AB325" s="6" t="s">
        <v>134</v>
      </c>
    </row>
    <row r="326" spans="27:28" x14ac:dyDescent="0.25">
      <c r="AA326" s="6">
        <v>69</v>
      </c>
      <c r="AB326" s="6" t="s">
        <v>134</v>
      </c>
    </row>
    <row r="327" spans="27:28" x14ac:dyDescent="0.25">
      <c r="AA327" s="6">
        <v>70</v>
      </c>
      <c r="AB327" s="6" t="s">
        <v>134</v>
      </c>
    </row>
    <row r="328" spans="27:28" x14ac:dyDescent="0.25">
      <c r="AA328" s="6">
        <v>72</v>
      </c>
      <c r="AB328" s="6" t="s">
        <v>134</v>
      </c>
    </row>
    <row r="329" spans="27:28" x14ac:dyDescent="0.25">
      <c r="AA329" s="6">
        <v>73</v>
      </c>
      <c r="AB329" s="6" t="s">
        <v>135</v>
      </c>
    </row>
    <row r="330" spans="27:28" x14ac:dyDescent="0.25">
      <c r="AA330" s="6">
        <v>75</v>
      </c>
      <c r="AB330" s="6" t="s">
        <v>135</v>
      </c>
    </row>
    <row r="331" spans="27:28" x14ac:dyDescent="0.25">
      <c r="AA331" s="6">
        <v>76</v>
      </c>
      <c r="AB331" s="6" t="s">
        <v>135</v>
      </c>
    </row>
    <row r="332" spans="27:28" x14ac:dyDescent="0.25">
      <c r="AA332" s="6">
        <v>77</v>
      </c>
      <c r="AB332" s="6" t="s">
        <v>135</v>
      </c>
    </row>
    <row r="333" spans="27:28" x14ac:dyDescent="0.25">
      <c r="AA333" s="6">
        <v>78</v>
      </c>
      <c r="AB333" s="6" t="s">
        <v>134</v>
      </c>
    </row>
    <row r="334" spans="27:28" x14ac:dyDescent="0.25">
      <c r="AA334" s="6">
        <v>79</v>
      </c>
      <c r="AB334" s="6" t="s">
        <v>135</v>
      </c>
    </row>
    <row r="335" spans="27:28" x14ac:dyDescent="0.25">
      <c r="AA335" s="6">
        <v>86</v>
      </c>
      <c r="AB335" s="6" t="s">
        <v>134</v>
      </c>
    </row>
    <row r="336" spans="27:28" x14ac:dyDescent="0.25">
      <c r="AA336" s="6">
        <v>88</v>
      </c>
      <c r="AB336" s="6" t="s">
        <v>134</v>
      </c>
    </row>
    <row r="337" spans="27:28" x14ac:dyDescent="0.25">
      <c r="AA337" s="6">
        <v>89</v>
      </c>
      <c r="AB337" s="6" t="s">
        <v>134</v>
      </c>
    </row>
    <row r="338" spans="27:28" x14ac:dyDescent="0.25">
      <c r="AA338" s="6">
        <v>90</v>
      </c>
      <c r="AB338" s="6" t="s">
        <v>135</v>
      </c>
    </row>
    <row r="339" spans="27:28" x14ac:dyDescent="0.25">
      <c r="AA339" s="6">
        <v>92</v>
      </c>
      <c r="AB339" s="6" t="s">
        <v>135</v>
      </c>
    </row>
    <row r="340" spans="27:28" x14ac:dyDescent="0.25">
      <c r="AA340" s="6">
        <v>93</v>
      </c>
      <c r="AB340" s="6" t="s">
        <v>135</v>
      </c>
    </row>
    <row r="341" spans="27:28" x14ac:dyDescent="0.25">
      <c r="AA341" s="6">
        <v>94</v>
      </c>
      <c r="AB341" s="6" t="s">
        <v>135</v>
      </c>
    </row>
    <row r="342" spans="27:28" x14ac:dyDescent="0.25">
      <c r="AA342" s="6">
        <v>95</v>
      </c>
      <c r="AB342" s="6" t="s">
        <v>135</v>
      </c>
    </row>
    <row r="343" spans="27:28" x14ac:dyDescent="0.25">
      <c r="AA343" s="6">
        <v>98</v>
      </c>
      <c r="AB343" s="6" t="s">
        <v>134</v>
      </c>
    </row>
    <row r="344" spans="27:28" x14ac:dyDescent="0.25">
      <c r="AA344" s="6">
        <v>100</v>
      </c>
      <c r="AB344" s="6" t="s">
        <v>135</v>
      </c>
    </row>
    <row r="345" spans="27:28" x14ac:dyDescent="0.25">
      <c r="AA345" s="6">
        <v>101</v>
      </c>
      <c r="AB345" s="6" t="s">
        <v>135</v>
      </c>
    </row>
    <row r="346" spans="27:28" x14ac:dyDescent="0.25">
      <c r="AA346" s="6">
        <v>102</v>
      </c>
      <c r="AB346" s="6" t="s">
        <v>134</v>
      </c>
    </row>
    <row r="347" spans="27:28" x14ac:dyDescent="0.25">
      <c r="AA347" s="6">
        <v>106</v>
      </c>
      <c r="AB347" s="6" t="s">
        <v>134</v>
      </c>
    </row>
    <row r="348" spans="27:28" x14ac:dyDescent="0.25">
      <c r="AA348" s="6">
        <v>110</v>
      </c>
      <c r="AB348" s="6" t="s">
        <v>134</v>
      </c>
    </row>
    <row r="349" spans="27:28" x14ac:dyDescent="0.25">
      <c r="AA349" s="6">
        <v>112</v>
      </c>
      <c r="AB349" s="6" t="s">
        <v>134</v>
      </c>
    </row>
    <row r="350" spans="27:28" x14ac:dyDescent="0.25">
      <c r="AA350" s="6">
        <v>113</v>
      </c>
      <c r="AB350" s="6" t="s">
        <v>134</v>
      </c>
    </row>
    <row r="351" spans="27:28" x14ac:dyDescent="0.25">
      <c r="AA351" s="6">
        <v>114</v>
      </c>
      <c r="AB351" s="6" t="s">
        <v>134</v>
      </c>
    </row>
    <row r="352" spans="27:28" x14ac:dyDescent="0.25">
      <c r="AA352" s="6">
        <v>116</v>
      </c>
      <c r="AB352" s="6" t="s">
        <v>134</v>
      </c>
    </row>
    <row r="353" spans="27:28" x14ac:dyDescent="0.25">
      <c r="AA353" s="6">
        <v>118</v>
      </c>
      <c r="AB353" s="6" t="s">
        <v>134</v>
      </c>
    </row>
    <row r="354" spans="27:28" x14ac:dyDescent="0.25">
      <c r="AA354" s="6">
        <v>119</v>
      </c>
      <c r="AB354" s="6" t="s">
        <v>134</v>
      </c>
    </row>
    <row r="355" spans="27:28" x14ac:dyDescent="0.25">
      <c r="AA355" s="6">
        <v>122</v>
      </c>
      <c r="AB355" s="6" t="s">
        <v>134</v>
      </c>
    </row>
    <row r="356" spans="27:28" x14ac:dyDescent="0.25">
      <c r="AA356" s="6">
        <v>124</v>
      </c>
      <c r="AB356" s="6" t="s">
        <v>134</v>
      </c>
    </row>
    <row r="357" spans="27:28" x14ac:dyDescent="0.25">
      <c r="AA357" s="6">
        <v>125</v>
      </c>
      <c r="AB357" s="6" t="s">
        <v>135</v>
      </c>
    </row>
    <row r="358" spans="27:28" x14ac:dyDescent="0.25">
      <c r="AA358" s="6">
        <v>127</v>
      </c>
      <c r="AB358" s="6" t="s">
        <v>135</v>
      </c>
    </row>
    <row r="359" spans="27:28" x14ac:dyDescent="0.25">
      <c r="AA359" s="6">
        <v>130</v>
      </c>
      <c r="AB359" s="6" t="s">
        <v>135</v>
      </c>
    </row>
    <row r="360" spans="27:28" x14ac:dyDescent="0.25">
      <c r="AA360" s="6">
        <v>132</v>
      </c>
      <c r="AB360" s="6" t="s">
        <v>134</v>
      </c>
    </row>
    <row r="361" spans="27:28" x14ac:dyDescent="0.25">
      <c r="AA361" s="6">
        <v>136</v>
      </c>
      <c r="AB361" s="6" t="s">
        <v>134</v>
      </c>
    </row>
    <row r="362" spans="27:28" x14ac:dyDescent="0.25">
      <c r="AA362" s="6">
        <v>137</v>
      </c>
      <c r="AB362" s="6" t="s">
        <v>134</v>
      </c>
    </row>
    <row r="363" spans="27:28" x14ac:dyDescent="0.25">
      <c r="AA363" s="6">
        <v>138</v>
      </c>
      <c r="AB363" s="6" t="s">
        <v>134</v>
      </c>
    </row>
    <row r="364" spans="27:28" x14ac:dyDescent="0.25">
      <c r="AA364" s="6">
        <v>139</v>
      </c>
      <c r="AB364" s="6" t="s">
        <v>134</v>
      </c>
    </row>
    <row r="365" spans="27:28" x14ac:dyDescent="0.25">
      <c r="AA365" s="6">
        <v>140</v>
      </c>
      <c r="AB365" s="6" t="s">
        <v>134</v>
      </c>
    </row>
    <row r="366" spans="27:28" x14ac:dyDescent="0.25">
      <c r="AA366" s="6">
        <v>141</v>
      </c>
      <c r="AB366" s="6" t="s">
        <v>134</v>
      </c>
    </row>
    <row r="367" spans="27:28" x14ac:dyDescent="0.25">
      <c r="AA367" s="6">
        <v>142</v>
      </c>
      <c r="AB367" s="6" t="s">
        <v>134</v>
      </c>
    </row>
    <row r="368" spans="27:28" x14ac:dyDescent="0.25">
      <c r="AA368" s="6">
        <v>151</v>
      </c>
      <c r="AB368" s="6" t="s">
        <v>135</v>
      </c>
    </row>
    <row r="369" spans="27:35" x14ac:dyDescent="0.25">
      <c r="AA369" s="6">
        <v>156</v>
      </c>
      <c r="AB369" s="6" t="s">
        <v>134</v>
      </c>
    </row>
    <row r="370" spans="27:35" x14ac:dyDescent="0.25">
      <c r="AA370" s="6">
        <v>157</v>
      </c>
      <c r="AB370" s="6" t="s">
        <v>134</v>
      </c>
    </row>
    <row r="371" spans="27:35" x14ac:dyDescent="0.25">
      <c r="AA371" s="6">
        <v>177</v>
      </c>
      <c r="AB371" s="6" t="s">
        <v>135</v>
      </c>
    </row>
    <row r="372" spans="27:35" x14ac:dyDescent="0.25">
      <c r="AA372" s="6">
        <v>188</v>
      </c>
      <c r="AB372" s="6" t="s">
        <v>134</v>
      </c>
    </row>
    <row r="373" spans="27:35" x14ac:dyDescent="0.25">
      <c r="AA373" s="6">
        <v>189</v>
      </c>
      <c r="AB373" s="6" t="s">
        <v>134</v>
      </c>
    </row>
    <row r="374" spans="27:35" x14ac:dyDescent="0.25">
      <c r="AA374" s="6">
        <v>190</v>
      </c>
      <c r="AB374" s="6" t="s">
        <v>135</v>
      </c>
    </row>
    <row r="376" spans="27:35" x14ac:dyDescent="0.25">
      <c r="AA376" s="9" t="s">
        <v>148</v>
      </c>
    </row>
    <row r="377" spans="27:35" x14ac:dyDescent="0.25">
      <c r="AB377" s="6" t="s">
        <v>49</v>
      </c>
    </row>
    <row r="378" spans="27:35" x14ac:dyDescent="0.25">
      <c r="AB378" s="6" t="s">
        <v>141</v>
      </c>
      <c r="AF378" s="6" t="s">
        <v>22</v>
      </c>
    </row>
    <row r="379" spans="27:35" x14ac:dyDescent="0.25">
      <c r="AB379" s="6" t="s">
        <v>142</v>
      </c>
      <c r="AD379" s="6" t="s">
        <v>143</v>
      </c>
      <c r="AF379" s="6" t="s">
        <v>144</v>
      </c>
      <c r="AH379" s="6" t="s">
        <v>143</v>
      </c>
    </row>
    <row r="380" spans="27:35" x14ac:dyDescent="0.25">
      <c r="AA380" s="6" t="s">
        <v>139</v>
      </c>
      <c r="AB380" s="6" t="s">
        <v>40</v>
      </c>
      <c r="AC380" s="6" t="s">
        <v>140</v>
      </c>
      <c r="AD380" s="6" t="s">
        <v>40</v>
      </c>
      <c r="AE380" s="6" t="s">
        <v>140</v>
      </c>
      <c r="AF380" s="6" t="s">
        <v>40</v>
      </c>
      <c r="AG380" s="6" t="s">
        <v>140</v>
      </c>
      <c r="AH380" s="6" t="s">
        <v>40</v>
      </c>
      <c r="AI380" s="6" t="s">
        <v>140</v>
      </c>
    </row>
    <row r="381" spans="27:35" x14ac:dyDescent="0.25">
      <c r="AA381" s="6">
        <v>50000</v>
      </c>
      <c r="AB381" s="6">
        <v>0.6</v>
      </c>
      <c r="AC381" s="6">
        <v>8.0000000000000002E-3</v>
      </c>
      <c r="AD381" s="6">
        <v>0.6</v>
      </c>
      <c r="AE381" s="6">
        <v>8.0000000000000002E-3</v>
      </c>
      <c r="AF381" s="6">
        <v>0.6</v>
      </c>
      <c r="AG381" s="6">
        <v>8.0000000000000002E-3</v>
      </c>
      <c r="AH381" s="6">
        <v>0.6</v>
      </c>
      <c r="AI381" s="6">
        <v>8.0000000000000002E-3</v>
      </c>
    </row>
    <row r="382" spans="27:35" x14ac:dyDescent="0.25">
      <c r="AA382" s="6">
        <v>100000</v>
      </c>
      <c r="AB382" s="6">
        <v>1</v>
      </c>
      <c r="AC382" s="6">
        <v>1.15E-2</v>
      </c>
      <c r="AD382" s="6">
        <v>1</v>
      </c>
      <c r="AE382" s="6">
        <v>1.5599999999999999E-2</v>
      </c>
      <c r="AF382" s="6">
        <v>1</v>
      </c>
      <c r="AG382" s="6">
        <v>1.15E-2</v>
      </c>
      <c r="AH382" s="6">
        <v>1</v>
      </c>
      <c r="AI382" s="6">
        <v>1.5599999999999999E-2</v>
      </c>
    </row>
    <row r="383" spans="27:35" x14ac:dyDescent="0.25">
      <c r="AA383" s="6">
        <v>150000</v>
      </c>
      <c r="AB383" s="6">
        <v>1.575</v>
      </c>
      <c r="AC383" s="6">
        <v>1.15E-2</v>
      </c>
      <c r="AD383" s="6">
        <v>1.78</v>
      </c>
      <c r="AE383" s="6">
        <v>1.5599999999999999E-2</v>
      </c>
      <c r="AF383" s="6">
        <v>1.575</v>
      </c>
      <c r="AG383" s="6">
        <v>1.15E-2</v>
      </c>
      <c r="AH383" s="6">
        <v>1.78</v>
      </c>
      <c r="AI383" s="6">
        <v>1.5599999999999999E-2</v>
      </c>
    </row>
    <row r="384" spans="27:35" x14ac:dyDescent="0.25">
      <c r="AA384" s="6">
        <v>300000</v>
      </c>
      <c r="AB384" s="6">
        <v>3.3</v>
      </c>
      <c r="AC384" s="6">
        <v>8.0000000000000002E-3</v>
      </c>
      <c r="AD384" s="6">
        <v>4.12</v>
      </c>
      <c r="AE384" s="6">
        <v>1.09E-2</v>
      </c>
      <c r="AF384" s="6">
        <v>3.3</v>
      </c>
      <c r="AG384" s="6">
        <v>8.0000000000000002E-3</v>
      </c>
      <c r="AH384" s="6">
        <v>4.12</v>
      </c>
      <c r="AI384" s="6">
        <v>1.09E-2</v>
      </c>
    </row>
    <row r="385" spans="27:39" x14ac:dyDescent="0.25">
      <c r="AA385" s="6">
        <v>500000</v>
      </c>
      <c r="AB385" s="6">
        <v>4.9000000000000004</v>
      </c>
      <c r="AC385" s="6">
        <v>7.1999999999999998E-3</v>
      </c>
      <c r="AD385" s="6">
        <v>6.3</v>
      </c>
      <c r="AE385" s="6">
        <v>9.7999999999999997E-3</v>
      </c>
      <c r="AF385" s="6">
        <v>4.9000000000000004</v>
      </c>
      <c r="AG385" s="6">
        <v>7.1999999999999998E-3</v>
      </c>
      <c r="AH385" s="6">
        <v>6.3</v>
      </c>
      <c r="AI385" s="6">
        <v>9.7999999999999997E-3</v>
      </c>
    </row>
    <row r="386" spans="27:39" x14ac:dyDescent="0.25">
      <c r="AA386" s="6">
        <v>700000</v>
      </c>
      <c r="AB386" s="6">
        <v>6.34</v>
      </c>
      <c r="AC386" s="6">
        <v>7.1999999999999998E-3</v>
      </c>
      <c r="AD386" s="6">
        <v>8.26</v>
      </c>
      <c r="AE386" s="6">
        <v>9.7999999999999997E-3</v>
      </c>
      <c r="AF386" s="6">
        <v>6.34</v>
      </c>
      <c r="AG386" s="6">
        <v>7.1999999999999998E-3</v>
      </c>
      <c r="AH386" s="6">
        <v>8.26</v>
      </c>
      <c r="AI386" s="6">
        <v>9.7999999999999997E-3</v>
      </c>
    </row>
    <row r="387" spans="27:39" x14ac:dyDescent="0.25">
      <c r="AA387" s="6">
        <v>1000000</v>
      </c>
      <c r="AB387" s="6">
        <v>8.5</v>
      </c>
      <c r="AC387" s="6">
        <v>7.0000000000000001E-3</v>
      </c>
      <c r="AD387" s="6">
        <v>11.2</v>
      </c>
      <c r="AE387" s="6">
        <v>9.4999999999999998E-3</v>
      </c>
      <c r="AF387" s="6">
        <v>8.5</v>
      </c>
      <c r="AG387" s="6">
        <v>7.0000000000000001E-3</v>
      </c>
      <c r="AH387" s="6">
        <v>11.2</v>
      </c>
      <c r="AI387" s="6">
        <v>9.4999999999999998E-3</v>
      </c>
    </row>
    <row r="388" spans="27:39" x14ac:dyDescent="0.25">
      <c r="AA388" s="6">
        <v>2000000</v>
      </c>
      <c r="AB388" s="6">
        <v>15.5</v>
      </c>
      <c r="AC388" s="6">
        <v>7.0000000000000001E-3</v>
      </c>
      <c r="AD388" s="6">
        <v>20.7</v>
      </c>
      <c r="AE388" s="6">
        <v>9.4999999999999998E-3</v>
      </c>
      <c r="AF388" s="6">
        <v>15.5</v>
      </c>
      <c r="AG388" s="6">
        <v>7.0000000000000001E-3</v>
      </c>
      <c r="AH388" s="6">
        <v>20.7</v>
      </c>
      <c r="AI388" s="6">
        <v>9.4999999999999998E-3</v>
      </c>
    </row>
    <row r="389" spans="27:39" x14ac:dyDescent="0.25">
      <c r="AA389" s="6">
        <v>3000000</v>
      </c>
      <c r="AB389" s="6">
        <v>22.5</v>
      </c>
      <c r="AC389" s="6">
        <v>7.0000000000000001E-3</v>
      </c>
      <c r="AD389" s="6">
        <v>30.2</v>
      </c>
      <c r="AE389" s="6">
        <v>9.4999999999999998E-3</v>
      </c>
      <c r="AF389" s="6">
        <v>22.5</v>
      </c>
      <c r="AG389" s="6">
        <v>7.0000000000000001E-3</v>
      </c>
      <c r="AH389" s="6">
        <v>30.2</v>
      </c>
      <c r="AI389" s="6">
        <v>9.4999999999999998E-3</v>
      </c>
    </row>
    <row r="390" spans="27:39" x14ac:dyDescent="0.25">
      <c r="AA390" s="6">
        <v>5000000</v>
      </c>
      <c r="AB390" s="6">
        <v>36.5</v>
      </c>
      <c r="AC390" s="6">
        <v>6.0000000000000001E-3</v>
      </c>
      <c r="AD390" s="6">
        <v>49.2</v>
      </c>
      <c r="AE390" s="6">
        <v>8.2000000000000007E-3</v>
      </c>
      <c r="AF390" s="6">
        <v>36.5</v>
      </c>
      <c r="AG390" s="6">
        <v>6.0000000000000001E-3</v>
      </c>
      <c r="AH390" s="6">
        <v>49.2</v>
      </c>
      <c r="AI390" s="6">
        <v>8.2000000000000007E-3</v>
      </c>
    </row>
    <row r="391" spans="27:39" x14ac:dyDescent="0.25">
      <c r="AA391" s="6">
        <v>7500000</v>
      </c>
      <c r="AB391" s="6">
        <v>51.5</v>
      </c>
      <c r="AC391" s="6">
        <v>5.4999999999999997E-3</v>
      </c>
      <c r="AD391" s="6">
        <v>69.7</v>
      </c>
      <c r="AE391" s="6">
        <v>7.4999999999999997E-3</v>
      </c>
      <c r="AF391" s="6">
        <v>51.5</v>
      </c>
      <c r="AG391" s="6">
        <v>5.4999999999999997E-3</v>
      </c>
      <c r="AH391" s="6">
        <v>69.7</v>
      </c>
      <c r="AI391" s="6">
        <v>7.4999999999999997E-3</v>
      </c>
    </row>
    <row r="392" spans="27:39" x14ac:dyDescent="0.25">
      <c r="AA392" s="6">
        <v>10000000</v>
      </c>
      <c r="AB392" s="6">
        <v>65.25</v>
      </c>
      <c r="AC392" s="6">
        <v>5.0000000000000001E-3</v>
      </c>
      <c r="AD392" s="6">
        <v>88.45</v>
      </c>
      <c r="AE392" s="6">
        <v>6.7999999999999996E-3</v>
      </c>
      <c r="AF392" s="6">
        <v>65.25</v>
      </c>
      <c r="AG392" s="6">
        <v>5.0000000000000001E-3</v>
      </c>
      <c r="AH392" s="6">
        <v>88.45</v>
      </c>
      <c r="AI392" s="6">
        <v>6.7999999999999996E-3</v>
      </c>
      <c r="AK392" s="1" t="s">
        <v>21</v>
      </c>
      <c r="AL392" s="1" t="s">
        <v>22</v>
      </c>
      <c r="AM392" s="1" t="s">
        <v>23</v>
      </c>
    </row>
    <row r="393" spans="27:39" x14ac:dyDescent="0.25">
      <c r="AA393" s="6">
        <v>20000000</v>
      </c>
      <c r="AB393" s="6">
        <v>115.25</v>
      </c>
      <c r="AC393" s="6">
        <v>5.0000000000000001E-3</v>
      </c>
      <c r="AD393" s="6">
        <v>156.44999999999999</v>
      </c>
      <c r="AE393" s="6">
        <v>6.7999999999999996E-3</v>
      </c>
      <c r="AF393" s="6">
        <v>115.25</v>
      </c>
      <c r="AG393" s="6">
        <v>5.0000000000000001E-3</v>
      </c>
      <c r="AH393" s="6">
        <v>156.44999999999999</v>
      </c>
      <c r="AI393" s="6">
        <v>6.7999999999999996E-3</v>
      </c>
      <c r="AK393" s="1">
        <f>VLOOKUP($E$8,$AA$381:$AI$393,2+IF($G$12="B",0),TRUE)+
($E$8-VLOOKUP($E$8,$AA$381:$AI$393,1,TRUE))/1000*
VLOOKUP($E$8,$AA$381:$AI$393,3+IF($G$12="B",0),TRUE)</f>
        <v>8.5</v>
      </c>
      <c r="AL393" s="1">
        <f>VLOOKUP($E$8,$AA$381:$AI$393,6+IF($G$12="B",2),TRUE)+
($E$8-VLOOKUP($E$8,$AA$381:$AI$393,1,TRUE))/1000*
VLOOKUP($E$8,$AA$381:$AI$393,7+IF($G$12="B",2),TRUE)</f>
        <v>8.5</v>
      </c>
      <c r="AM393" s="1">
        <f>VLOOKUP($E$8,$AA$381:$AI$393,2+IF($G$12="B",2),TRUE)+
($E$8-VLOOKUP($E$8,$AA$381:$AI$393,1,TRUE))/1000*
VLOOKUP($E$8,$AA$381:$AI$393,3+IF($G$12="B",2),TRUE)</f>
        <v>8.5</v>
      </c>
    </row>
    <row r="394" spans="27:39" x14ac:dyDescent="0.25">
      <c r="AA394" s="6" t="s">
        <v>145</v>
      </c>
    </row>
    <row r="396" spans="27:39" x14ac:dyDescent="0.25">
      <c r="AB396" s="6" t="s">
        <v>70</v>
      </c>
    </row>
    <row r="397" spans="27:39" x14ac:dyDescent="0.25">
      <c r="AB397" s="6" t="s">
        <v>141</v>
      </c>
      <c r="AD397" s="6" t="s">
        <v>22</v>
      </c>
    </row>
    <row r="398" spans="27:39" x14ac:dyDescent="0.25">
      <c r="AA398" s="6" t="s">
        <v>146</v>
      </c>
      <c r="AB398" s="6" t="s">
        <v>40</v>
      </c>
      <c r="AC398" s="6" t="s">
        <v>140</v>
      </c>
      <c r="AD398" s="6" t="s">
        <v>40</v>
      </c>
      <c r="AE398" s="6" t="s">
        <v>140</v>
      </c>
    </row>
    <row r="399" spans="27:39" x14ac:dyDescent="0.25">
      <c r="AA399" s="6">
        <v>15000</v>
      </c>
      <c r="AB399" s="6">
        <v>0.5</v>
      </c>
      <c r="AC399" s="6">
        <v>0.02</v>
      </c>
      <c r="AD399" s="6">
        <v>0.5</v>
      </c>
      <c r="AE399" s="6">
        <v>0.02</v>
      </c>
    </row>
    <row r="400" spans="27:39" x14ac:dyDescent="0.25">
      <c r="AA400" s="6">
        <v>40000</v>
      </c>
      <c r="AB400" s="6">
        <v>1</v>
      </c>
      <c r="AC400" s="6">
        <v>2.8000000000000001E-2</v>
      </c>
      <c r="AD400" s="6">
        <v>1</v>
      </c>
      <c r="AE400" s="6">
        <v>2.8000000000000001E-2</v>
      </c>
    </row>
    <row r="401" spans="27:35" x14ac:dyDescent="0.25">
      <c r="AA401" s="6" t="s">
        <v>147</v>
      </c>
      <c r="AB401" s="6">
        <v>4.08</v>
      </c>
      <c r="AC401" s="6">
        <v>2.4799999999999999E-2</v>
      </c>
      <c r="AD401" s="6">
        <v>4.08</v>
      </c>
      <c r="AE401" s="6">
        <v>2.4799999999999999E-2</v>
      </c>
    </row>
    <row r="403" spans="27:35" x14ac:dyDescent="0.25">
      <c r="AA403" s="9" t="s">
        <v>149</v>
      </c>
    </row>
    <row r="404" spans="27:35" x14ac:dyDescent="0.25">
      <c r="AB404" s="6" t="s">
        <v>49</v>
      </c>
    </row>
    <row r="405" spans="27:35" x14ac:dyDescent="0.25">
      <c r="AB405" s="6" t="s">
        <v>141</v>
      </c>
      <c r="AF405" s="6" t="s">
        <v>22</v>
      </c>
    </row>
    <row r="406" spans="27:35" x14ac:dyDescent="0.25">
      <c r="AB406" s="6" t="s">
        <v>142</v>
      </c>
      <c r="AD406" s="6" t="s">
        <v>143</v>
      </c>
      <c r="AF406" s="6" t="s">
        <v>144</v>
      </c>
      <c r="AH406" s="6" t="s">
        <v>143</v>
      </c>
    </row>
    <row r="407" spans="27:35" x14ac:dyDescent="0.25">
      <c r="AA407" s="6" t="s">
        <v>139</v>
      </c>
      <c r="AB407" s="6" t="s">
        <v>40</v>
      </c>
      <c r="AC407" s="6" t="s">
        <v>140</v>
      </c>
      <c r="AD407" s="6" t="s">
        <v>40</v>
      </c>
      <c r="AE407" s="6" t="s">
        <v>140</v>
      </c>
      <c r="AF407" s="6" t="s">
        <v>40</v>
      </c>
      <c r="AG407" s="6" t="s">
        <v>140</v>
      </c>
      <c r="AH407" s="6" t="s">
        <v>40</v>
      </c>
      <c r="AI407" s="6" t="s">
        <v>140</v>
      </c>
    </row>
    <row r="408" spans="27:35" x14ac:dyDescent="0.25">
      <c r="AA408" s="6">
        <v>50000</v>
      </c>
      <c r="AB408" s="6">
        <v>0.6</v>
      </c>
      <c r="AC408" s="6">
        <v>8.0000000000000002E-3</v>
      </c>
      <c r="AD408" s="6">
        <v>0.6</v>
      </c>
      <c r="AE408" s="6">
        <v>8.0000000000000002E-3</v>
      </c>
      <c r="AF408" s="6">
        <v>0.6</v>
      </c>
      <c r="AG408" s="6">
        <v>8.0000000000000002E-3</v>
      </c>
      <c r="AH408" s="6">
        <v>0.6</v>
      </c>
      <c r="AI408" s="6">
        <v>8.0000000000000002E-3</v>
      </c>
    </row>
    <row r="409" spans="27:35" x14ac:dyDescent="0.25">
      <c r="AA409" s="6">
        <v>100000</v>
      </c>
      <c r="AB409" s="6">
        <v>1</v>
      </c>
      <c r="AC409" s="6">
        <v>1.15E-2</v>
      </c>
      <c r="AD409" s="6">
        <v>1</v>
      </c>
      <c r="AE409" s="6">
        <v>1.5599999999999999E-2</v>
      </c>
      <c r="AF409" s="6">
        <v>1</v>
      </c>
      <c r="AG409" s="6">
        <v>1.15E-2</v>
      </c>
      <c r="AH409" s="6">
        <v>1</v>
      </c>
      <c r="AI409" s="6">
        <v>1.5599999999999999E-2</v>
      </c>
    </row>
    <row r="410" spans="27:35" x14ac:dyDescent="0.25">
      <c r="AA410" s="6">
        <v>150000</v>
      </c>
      <c r="AB410" s="6">
        <v>1.575</v>
      </c>
      <c r="AC410" s="6">
        <v>1.15E-2</v>
      </c>
      <c r="AD410" s="6">
        <v>1.78</v>
      </c>
      <c r="AE410" s="6">
        <v>1.5599999999999999E-2</v>
      </c>
      <c r="AF410" s="6">
        <v>1.575</v>
      </c>
      <c r="AG410" s="6">
        <v>1.15E-2</v>
      </c>
      <c r="AH410" s="6">
        <v>1.78</v>
      </c>
      <c r="AI410" s="6">
        <v>1.5599999999999999E-2</v>
      </c>
    </row>
    <row r="411" spans="27:35" x14ac:dyDescent="0.25">
      <c r="AA411" s="6">
        <v>300000</v>
      </c>
      <c r="AB411" s="6">
        <v>3.3</v>
      </c>
      <c r="AC411" s="6">
        <v>8.0000000000000002E-3</v>
      </c>
      <c r="AD411" s="6">
        <v>4.12</v>
      </c>
      <c r="AE411" s="6">
        <v>1.09E-2</v>
      </c>
      <c r="AF411" s="6">
        <v>3.3</v>
      </c>
      <c r="AG411" s="6">
        <v>8.0000000000000002E-3</v>
      </c>
      <c r="AH411" s="6">
        <v>4.12</v>
      </c>
      <c r="AI411" s="6">
        <v>1.09E-2</v>
      </c>
    </row>
    <row r="412" spans="27:35" x14ac:dyDescent="0.25">
      <c r="AA412" s="6">
        <v>500000</v>
      </c>
      <c r="AB412" s="6">
        <v>4.9000000000000004</v>
      </c>
      <c r="AC412" s="6">
        <v>7.1999999999999998E-3</v>
      </c>
      <c r="AD412" s="6">
        <v>6.3</v>
      </c>
      <c r="AE412" s="6">
        <v>9.7999999999999997E-3</v>
      </c>
      <c r="AF412" s="6">
        <v>4.9000000000000004</v>
      </c>
      <c r="AG412" s="6">
        <v>7.1999999999999998E-3</v>
      </c>
      <c r="AH412" s="6">
        <v>6.3</v>
      </c>
      <c r="AI412" s="6">
        <v>9.7999999999999997E-3</v>
      </c>
    </row>
    <row r="413" spans="27:35" x14ac:dyDescent="0.25">
      <c r="AA413" s="6">
        <v>700000</v>
      </c>
      <c r="AB413" s="6">
        <v>6.34</v>
      </c>
      <c r="AC413" s="6">
        <v>7.1999999999999998E-3</v>
      </c>
      <c r="AD413" s="6">
        <v>8.26</v>
      </c>
      <c r="AE413" s="6">
        <v>9.7999999999999997E-3</v>
      </c>
      <c r="AF413" s="6">
        <v>6.34</v>
      </c>
      <c r="AG413" s="6">
        <v>7.1999999999999998E-3</v>
      </c>
      <c r="AH413" s="6">
        <v>8.26</v>
      </c>
      <c r="AI413" s="6">
        <v>9.7999999999999997E-3</v>
      </c>
    </row>
    <row r="414" spans="27:35" x14ac:dyDescent="0.25">
      <c r="AA414" s="6">
        <v>1000000</v>
      </c>
      <c r="AB414" s="6">
        <v>8.5</v>
      </c>
      <c r="AC414" s="6">
        <v>7.0000000000000001E-3</v>
      </c>
      <c r="AD414" s="6">
        <v>11.2</v>
      </c>
      <c r="AE414" s="6">
        <v>9.4999999999999998E-3</v>
      </c>
      <c r="AF414" s="6">
        <v>8.5</v>
      </c>
      <c r="AG414" s="6">
        <v>7.0000000000000001E-3</v>
      </c>
      <c r="AH414" s="6">
        <v>11.2</v>
      </c>
      <c r="AI414" s="6">
        <v>9.4999999999999998E-3</v>
      </c>
    </row>
    <row r="415" spans="27:35" x14ac:dyDescent="0.25">
      <c r="AA415" s="6">
        <v>2000000</v>
      </c>
      <c r="AB415" s="6">
        <v>15.5</v>
      </c>
      <c r="AC415" s="6">
        <v>7.0000000000000001E-3</v>
      </c>
      <c r="AD415" s="6">
        <v>20.7</v>
      </c>
      <c r="AE415" s="6">
        <v>9.4999999999999998E-3</v>
      </c>
      <c r="AF415" s="6">
        <v>15.5</v>
      </c>
      <c r="AG415" s="6">
        <v>7.0000000000000001E-3</v>
      </c>
      <c r="AH415" s="6">
        <v>20.7</v>
      </c>
      <c r="AI415" s="6">
        <v>9.4999999999999998E-3</v>
      </c>
    </row>
    <row r="416" spans="27:35" x14ac:dyDescent="0.25">
      <c r="AA416" s="6">
        <v>3000000</v>
      </c>
      <c r="AB416" s="6">
        <v>22.5</v>
      </c>
      <c r="AC416" s="6">
        <v>7.0000000000000001E-3</v>
      </c>
      <c r="AD416" s="6">
        <v>30.2</v>
      </c>
      <c r="AE416" s="6">
        <v>9.4999999999999998E-3</v>
      </c>
      <c r="AF416" s="6">
        <v>22.5</v>
      </c>
      <c r="AG416" s="6">
        <v>7.0000000000000001E-3</v>
      </c>
      <c r="AH416" s="6">
        <v>30.2</v>
      </c>
      <c r="AI416" s="6">
        <v>9.4999999999999998E-3</v>
      </c>
    </row>
    <row r="417" spans="27:39" x14ac:dyDescent="0.25">
      <c r="AA417" s="6">
        <v>5000000</v>
      </c>
      <c r="AB417" s="6">
        <v>36.5</v>
      </c>
      <c r="AC417" s="6">
        <v>6.0000000000000001E-3</v>
      </c>
      <c r="AD417" s="6">
        <v>49.2</v>
      </c>
      <c r="AE417" s="6">
        <v>8.2000000000000007E-3</v>
      </c>
      <c r="AF417" s="6">
        <v>36.5</v>
      </c>
      <c r="AG417" s="6">
        <v>6.0000000000000001E-3</v>
      </c>
      <c r="AH417" s="6">
        <v>49.2</v>
      </c>
      <c r="AI417" s="6">
        <v>8.2000000000000007E-3</v>
      </c>
    </row>
    <row r="418" spans="27:39" x14ac:dyDescent="0.25">
      <c r="AA418" s="6">
        <v>7500000</v>
      </c>
      <c r="AB418" s="6">
        <v>51.5</v>
      </c>
      <c r="AC418" s="6">
        <v>5.4999999999999997E-3</v>
      </c>
      <c r="AD418" s="6">
        <v>69.7</v>
      </c>
      <c r="AE418" s="6">
        <v>7.4999999999999997E-3</v>
      </c>
      <c r="AF418" s="6">
        <v>51.5</v>
      </c>
      <c r="AG418" s="6">
        <v>5.4999999999999997E-3</v>
      </c>
      <c r="AH418" s="6">
        <v>69.7</v>
      </c>
      <c r="AI418" s="6">
        <v>7.4999999999999997E-3</v>
      </c>
    </row>
    <row r="419" spans="27:39" x14ac:dyDescent="0.25">
      <c r="AA419" s="6">
        <v>10000000</v>
      </c>
      <c r="AB419" s="6">
        <v>65.25</v>
      </c>
      <c r="AC419" s="6">
        <v>5.0000000000000001E-3</v>
      </c>
      <c r="AD419" s="6">
        <v>88.45</v>
      </c>
      <c r="AE419" s="6">
        <v>6.7999999999999996E-3</v>
      </c>
      <c r="AF419" s="6">
        <v>65.25</v>
      </c>
      <c r="AG419" s="6">
        <v>5.0000000000000001E-3</v>
      </c>
      <c r="AH419" s="6">
        <v>88.45</v>
      </c>
      <c r="AI419" s="6">
        <v>6.7999999999999996E-3</v>
      </c>
      <c r="AK419" s="1" t="s">
        <v>21</v>
      </c>
      <c r="AL419" s="1" t="s">
        <v>22</v>
      </c>
      <c r="AM419" s="1" t="s">
        <v>23</v>
      </c>
    </row>
    <row r="420" spans="27:39" x14ac:dyDescent="0.25">
      <c r="AA420" s="6">
        <v>20000000</v>
      </c>
      <c r="AB420" s="6">
        <v>115.25</v>
      </c>
      <c r="AC420" s="6">
        <v>5.0000000000000001E-3</v>
      </c>
      <c r="AD420" s="6">
        <v>156.44999999999999</v>
      </c>
      <c r="AE420" s="6">
        <v>6.7999999999999996E-3</v>
      </c>
      <c r="AF420" s="6">
        <v>115.25</v>
      </c>
      <c r="AG420" s="6">
        <v>5.0000000000000001E-3</v>
      </c>
      <c r="AH420" s="6">
        <v>156.44999999999999</v>
      </c>
      <c r="AI420" s="6">
        <v>6.7999999999999996E-3</v>
      </c>
      <c r="AK420" s="1">
        <f>VLOOKUP($E$8,$AA$408:$AI$420,2+IF($G$12="B",0),TRUE)+
($E$8-VLOOKUP($E$8,$AA$408:$AI$420,1,TRUE))/1000*
VLOOKUP($E$8,$AA$408:$AI$420,3+IF($G$12="B",0),TRUE)</f>
        <v>8.5</v>
      </c>
      <c r="AL420" s="1">
        <f>VLOOKUP($E$8,$AA$408:$AI$420,6+IF($G$12="B",2),TRUE)+
($E$8-VLOOKUP($E$8,$AA$408:$AI$420,1,TRUE))/1000*
VLOOKUP($E$8,$AA$408:$AI$420,7+IF($G$12="B",2),TRUE)</f>
        <v>8.5</v>
      </c>
      <c r="AM420" s="1">
        <f>VLOOKUP($E$8,$AA$408:$AI$420,2+IF($G$12="B",2),TRUE)+
($E$8-VLOOKUP($E$8,$AA$408:$AI$420,1,TRUE))/1000*
VLOOKUP($E$8,$AA$408:$AI$420,3+IF($G$12="B",2),TRUE)</f>
        <v>8.5</v>
      </c>
    </row>
    <row r="421" spans="27:39" x14ac:dyDescent="0.25">
      <c r="AA421" s="6" t="s">
        <v>145</v>
      </c>
    </row>
    <row r="423" spans="27:39" x14ac:dyDescent="0.25">
      <c r="AB423" s="6" t="s">
        <v>70</v>
      </c>
    </row>
    <row r="424" spans="27:39" x14ac:dyDescent="0.25">
      <c r="AB424" s="6" t="s">
        <v>141</v>
      </c>
      <c r="AD424" s="6" t="s">
        <v>22</v>
      </c>
    </row>
    <row r="425" spans="27:39" x14ac:dyDescent="0.25">
      <c r="AA425" s="6" t="s">
        <v>146</v>
      </c>
      <c r="AB425" s="6" t="s">
        <v>40</v>
      </c>
      <c r="AC425" s="6" t="s">
        <v>140</v>
      </c>
      <c r="AD425" s="6" t="s">
        <v>40</v>
      </c>
      <c r="AE425" s="6" t="s">
        <v>140</v>
      </c>
    </row>
    <row r="426" spans="27:39" x14ac:dyDescent="0.25">
      <c r="AA426" s="6">
        <v>15000</v>
      </c>
      <c r="AB426" s="6">
        <v>0.5</v>
      </c>
      <c r="AC426" s="6">
        <v>0.02</v>
      </c>
      <c r="AD426" s="6">
        <v>0.5</v>
      </c>
      <c r="AE426" s="6">
        <v>0.02</v>
      </c>
    </row>
    <row r="427" spans="27:39" x14ac:dyDescent="0.25">
      <c r="AA427" s="6">
        <v>40000</v>
      </c>
      <c r="AB427" s="6">
        <v>1</v>
      </c>
      <c r="AC427" s="6">
        <v>2.8000000000000001E-2</v>
      </c>
      <c r="AD427" s="6">
        <v>1</v>
      </c>
      <c r="AE427" s="6">
        <v>2.8000000000000001E-2</v>
      </c>
    </row>
    <row r="428" spans="27:39" x14ac:dyDescent="0.25">
      <c r="AA428" s="6" t="s">
        <v>147</v>
      </c>
      <c r="AB428" s="6">
        <v>4.08</v>
      </c>
      <c r="AC428" s="6">
        <v>2.4799999999999999E-2</v>
      </c>
      <c r="AD428" s="6">
        <v>4.08</v>
      </c>
      <c r="AE428" s="6">
        <v>2.4799999999999999E-2</v>
      </c>
    </row>
    <row r="430" spans="27:39" x14ac:dyDescent="0.25">
      <c r="AA430" s="9" t="s">
        <v>150</v>
      </c>
    </row>
    <row r="431" spans="27:39" x14ac:dyDescent="0.25">
      <c r="AA431" s="9" t="s">
        <v>153</v>
      </c>
    </row>
    <row r="432" spans="27:39" x14ac:dyDescent="0.25">
      <c r="AB432" s="6" t="s">
        <v>49</v>
      </c>
    </row>
    <row r="433" spans="27:37" x14ac:dyDescent="0.25">
      <c r="AB433" s="6" t="s">
        <v>151</v>
      </c>
    </row>
    <row r="434" spans="27:37" x14ac:dyDescent="0.25">
      <c r="AA434" s="6" t="s">
        <v>139</v>
      </c>
      <c r="AB434" s="6">
        <v>250</v>
      </c>
      <c r="AC434" s="6">
        <v>500</v>
      </c>
      <c r="AD434" s="6">
        <v>1000</v>
      </c>
      <c r="AE434" s="6">
        <v>2500</v>
      </c>
      <c r="AF434" s="6">
        <v>5000</v>
      </c>
      <c r="AG434" s="6">
        <v>7500</v>
      </c>
      <c r="AH434" s="6">
        <v>10000</v>
      </c>
      <c r="AI434" s="6">
        <v>25000</v>
      </c>
      <c r="AJ434" s="6">
        <v>50000</v>
      </c>
      <c r="AK434" s="6">
        <v>100000</v>
      </c>
    </row>
    <row r="435" spans="27:37" x14ac:dyDescent="0.25">
      <c r="AA435" s="6">
        <v>50000</v>
      </c>
      <c r="AB435" s="6">
        <v>1.175</v>
      </c>
      <c r="AC435" s="6">
        <v>1.02</v>
      </c>
      <c r="AD435" s="6">
        <v>0.92</v>
      </c>
      <c r="AE435" s="6">
        <v>0.76500000000000001</v>
      </c>
      <c r="AF435" s="6">
        <v>0.64500000000000002</v>
      </c>
      <c r="AG435" s="6">
        <v>0.62</v>
      </c>
      <c r="AH435" s="6">
        <v>0.60499999999999998</v>
      </c>
      <c r="AI435" s="6">
        <v>0.54500000000000004</v>
      </c>
      <c r="AJ435" s="6">
        <v>0.52</v>
      </c>
      <c r="AK435" s="1">
        <v>0.33500000000000002</v>
      </c>
    </row>
    <row r="436" spans="27:37" x14ac:dyDescent="0.25">
      <c r="AA436" s="6">
        <v>500000</v>
      </c>
      <c r="AB436" s="6">
        <v>1.175</v>
      </c>
      <c r="AC436" s="6">
        <v>1.02</v>
      </c>
      <c r="AD436" s="6">
        <v>0.92</v>
      </c>
      <c r="AE436" s="6">
        <v>0.76500000000000001</v>
      </c>
      <c r="AF436" s="6">
        <v>0.64500000000000002</v>
      </c>
      <c r="AG436" s="6">
        <v>0.62</v>
      </c>
      <c r="AH436" s="6">
        <v>0.60499999999999998</v>
      </c>
      <c r="AI436" s="6">
        <v>0.54500000000000004</v>
      </c>
      <c r="AJ436" s="6">
        <v>0.52</v>
      </c>
      <c r="AK436" s="1">
        <v>0.33500000000000002</v>
      </c>
    </row>
    <row r="437" spans="27:37" x14ac:dyDescent="0.25">
      <c r="AA437" s="6">
        <v>1000000</v>
      </c>
      <c r="AB437" s="6">
        <v>1.1950000000000001</v>
      </c>
      <c r="AC437" s="6">
        <v>1.04</v>
      </c>
      <c r="AD437" s="6">
        <v>0.96</v>
      </c>
      <c r="AE437" s="6">
        <v>0.77500000000000002</v>
      </c>
      <c r="AF437" s="6">
        <v>0.66</v>
      </c>
      <c r="AG437" s="6">
        <v>0.64</v>
      </c>
      <c r="AH437" s="6">
        <v>0.625</v>
      </c>
      <c r="AI437" s="6">
        <v>0.57499999999999996</v>
      </c>
      <c r="AJ437" s="6">
        <v>0.55500000000000005</v>
      </c>
      <c r="AK437" s="1">
        <v>0.36499999999999999</v>
      </c>
    </row>
    <row r="438" spans="27:37" x14ac:dyDescent="0.25">
      <c r="AA438" s="6">
        <v>3000000</v>
      </c>
      <c r="AB438" s="6">
        <v>1.2250000000000001</v>
      </c>
      <c r="AC438" s="6">
        <v>1.075</v>
      </c>
      <c r="AD438" s="6">
        <v>1.03</v>
      </c>
      <c r="AE438" s="6">
        <v>0.89</v>
      </c>
      <c r="AF438" s="6">
        <v>0.68</v>
      </c>
      <c r="AG438" s="6">
        <v>0.67</v>
      </c>
      <c r="AH438" s="6">
        <v>0.66</v>
      </c>
      <c r="AI438" s="6">
        <v>0.60499999999999998</v>
      </c>
      <c r="AJ438" s="6">
        <v>0.57999999999999996</v>
      </c>
      <c r="AK438" s="1">
        <v>0.435</v>
      </c>
    </row>
    <row r="439" spans="27:37" x14ac:dyDescent="0.25">
      <c r="AA439" s="6">
        <v>5000000</v>
      </c>
      <c r="AB439" s="6">
        <v>1.26</v>
      </c>
      <c r="AC439" s="6">
        <v>1.105</v>
      </c>
      <c r="AD439" s="6">
        <v>1.0649999999999999</v>
      </c>
      <c r="AE439" s="6">
        <v>0.95</v>
      </c>
      <c r="AF439" s="6">
        <v>0.86</v>
      </c>
      <c r="AG439" s="6">
        <v>0.85</v>
      </c>
      <c r="AH439" s="6">
        <v>0.84</v>
      </c>
      <c r="AI439" s="6">
        <v>0.65500000000000003</v>
      </c>
      <c r="AJ439" s="6">
        <v>0.625</v>
      </c>
      <c r="AK439" s="1">
        <v>0.52500000000000002</v>
      </c>
    </row>
    <row r="440" spans="27:37" x14ac:dyDescent="0.25">
      <c r="AA440" s="6">
        <v>7500000</v>
      </c>
      <c r="AB440" s="6">
        <v>1.3049999999999999</v>
      </c>
      <c r="AC440" s="6">
        <v>1.1499999999999999</v>
      </c>
      <c r="AD440" s="6">
        <v>1.095</v>
      </c>
      <c r="AE440" s="6">
        <v>1.0549999999999999</v>
      </c>
      <c r="AF440" s="6">
        <v>0.97</v>
      </c>
      <c r="AG440" s="6">
        <v>0.96</v>
      </c>
      <c r="AH440" s="6">
        <v>0.95499999999999996</v>
      </c>
      <c r="AI440" s="6">
        <v>0.93500000000000005</v>
      </c>
      <c r="AJ440" s="6">
        <v>0.93</v>
      </c>
      <c r="AK440" s="1">
        <v>0.755</v>
      </c>
    </row>
    <row r="441" spans="27:37" x14ac:dyDescent="0.25">
      <c r="AA441" s="6" t="s">
        <v>155</v>
      </c>
    </row>
    <row r="443" spans="27:37" x14ac:dyDescent="0.25">
      <c r="AA443" s="9" t="s">
        <v>154</v>
      </c>
    </row>
    <row r="444" spans="27:37" x14ac:dyDescent="0.25">
      <c r="AB444" s="6" t="s">
        <v>70</v>
      </c>
    </row>
    <row r="445" spans="27:37" x14ac:dyDescent="0.25">
      <c r="AB445" s="6" t="s">
        <v>151</v>
      </c>
    </row>
    <row r="446" spans="27:37" x14ac:dyDescent="0.25">
      <c r="AA446" s="6" t="s">
        <v>152</v>
      </c>
      <c r="AB446" s="6">
        <v>250</v>
      </c>
      <c r="AC446" s="6">
        <v>500</v>
      </c>
      <c r="AD446" s="6">
        <v>1000</v>
      </c>
      <c r="AE446" s="6">
        <v>2500</v>
      </c>
      <c r="AF446" s="6">
        <v>5000</v>
      </c>
      <c r="AG446" s="6">
        <v>7500</v>
      </c>
      <c r="AH446" s="6">
        <v>10000</v>
      </c>
      <c r="AI446" s="6">
        <v>25000</v>
      </c>
      <c r="AJ446" s="6">
        <v>50000</v>
      </c>
      <c r="AK446" s="6">
        <v>100000</v>
      </c>
    </row>
    <row r="447" spans="27:37" x14ac:dyDescent="0.25">
      <c r="AA447" s="6">
        <v>50000</v>
      </c>
      <c r="AB447" s="6">
        <v>1.3</v>
      </c>
      <c r="AC447" s="6">
        <v>1.04</v>
      </c>
      <c r="AD447" s="6">
        <v>0.92</v>
      </c>
      <c r="AE447" s="6">
        <v>0.79500000000000004</v>
      </c>
      <c r="AF447" s="6">
        <v>0.68500000000000005</v>
      </c>
      <c r="AG447" s="6">
        <v>0.65</v>
      </c>
      <c r="AH447" s="6">
        <v>0.625</v>
      </c>
      <c r="AI447" s="6">
        <v>0.54500000000000004</v>
      </c>
      <c r="AJ447" s="6">
        <v>0.44500000000000001</v>
      </c>
      <c r="AK447" s="1">
        <v>0.28499999999999998</v>
      </c>
    </row>
    <row r="448" spans="27:37" x14ac:dyDescent="0.25">
      <c r="AA448" s="6">
        <v>500000</v>
      </c>
      <c r="AB448" s="6">
        <v>1.3</v>
      </c>
      <c r="AC448" s="6">
        <v>1.04</v>
      </c>
      <c r="AD448" s="6">
        <v>0.92</v>
      </c>
      <c r="AE448" s="6">
        <v>0.79500000000000004</v>
      </c>
      <c r="AF448" s="6">
        <v>0.68500000000000005</v>
      </c>
      <c r="AG448" s="6">
        <v>0.65</v>
      </c>
      <c r="AH448" s="6">
        <v>0.625</v>
      </c>
      <c r="AI448" s="6">
        <v>0.54500000000000004</v>
      </c>
      <c r="AJ448" s="6">
        <v>0.44500000000000001</v>
      </c>
      <c r="AK448" s="1">
        <v>0.28499999999999998</v>
      </c>
    </row>
    <row r="449" spans="27:37" x14ac:dyDescent="0.25">
      <c r="AA449" s="6">
        <v>1000000</v>
      </c>
      <c r="AB449" s="6">
        <v>1.32</v>
      </c>
      <c r="AC449" s="6">
        <v>1.06</v>
      </c>
      <c r="AD449" s="6">
        <v>0.96</v>
      </c>
      <c r="AE449" s="6">
        <v>0.80500000000000005</v>
      </c>
      <c r="AF449" s="6">
        <v>0.71499999999999997</v>
      </c>
      <c r="AG449" s="6">
        <v>0.69499999999999995</v>
      </c>
      <c r="AH449" s="6">
        <v>0.68</v>
      </c>
      <c r="AI449" s="6">
        <v>0.59</v>
      </c>
      <c r="AJ449" s="6">
        <v>0.46</v>
      </c>
      <c r="AK449" s="1">
        <v>0.35</v>
      </c>
    </row>
    <row r="450" spans="27:37" x14ac:dyDescent="0.25">
      <c r="AA450" s="6">
        <v>2500000</v>
      </c>
      <c r="AB450" s="6">
        <v>1.34</v>
      </c>
      <c r="AC450" s="6">
        <v>1.08</v>
      </c>
      <c r="AD450" s="6">
        <v>1.0149999999999999</v>
      </c>
      <c r="AE450" s="6">
        <v>0.94499999999999995</v>
      </c>
      <c r="AF450" s="6">
        <v>0.74</v>
      </c>
      <c r="AG450" s="6">
        <v>0.73</v>
      </c>
      <c r="AH450" s="6">
        <v>0.72</v>
      </c>
      <c r="AI450" s="6">
        <v>0.61</v>
      </c>
      <c r="AJ450" s="6">
        <v>0.49</v>
      </c>
      <c r="AK450" s="1">
        <v>0.39</v>
      </c>
    </row>
    <row r="451" spans="27:37" x14ac:dyDescent="0.25">
      <c r="AA451" s="6">
        <v>5000000</v>
      </c>
      <c r="AB451" s="6">
        <v>1.385</v>
      </c>
      <c r="AC451" s="6">
        <v>1.1200000000000001</v>
      </c>
      <c r="AD451" s="6">
        <v>1.0649999999999999</v>
      </c>
      <c r="AE451" s="6">
        <v>0.98</v>
      </c>
      <c r="AF451" s="6">
        <v>0.9</v>
      </c>
      <c r="AG451" s="6">
        <v>0.89</v>
      </c>
      <c r="AH451" s="6">
        <v>0.88</v>
      </c>
      <c r="AI451" s="6">
        <v>0.63500000000000001</v>
      </c>
      <c r="AJ451" s="6">
        <v>0.52500000000000002</v>
      </c>
      <c r="AK451" s="1">
        <v>0.44</v>
      </c>
    </row>
    <row r="452" spans="27:37" x14ac:dyDescent="0.25">
      <c r="AA452" s="6">
        <v>7500000</v>
      </c>
      <c r="AB452" s="6">
        <v>1.43</v>
      </c>
      <c r="AC452" s="6">
        <v>1.165</v>
      </c>
      <c r="AD452" s="6">
        <v>1.095</v>
      </c>
      <c r="AE452" s="6">
        <v>1.085</v>
      </c>
      <c r="AF452" s="6">
        <v>1.01</v>
      </c>
      <c r="AG452" s="6">
        <v>1.0049999999999999</v>
      </c>
      <c r="AH452" s="6">
        <v>0.995</v>
      </c>
      <c r="AI452" s="6">
        <v>0.97499999999999998</v>
      </c>
      <c r="AJ452" s="6">
        <v>0.81</v>
      </c>
      <c r="AK452" s="1">
        <v>0.7</v>
      </c>
    </row>
    <row r="453" spans="27:37" x14ac:dyDescent="0.25">
      <c r="AA453" s="6" t="s">
        <v>155</v>
      </c>
    </row>
    <row r="455" spans="27:37" x14ac:dyDescent="0.25">
      <c r="AA455" s="9" t="s">
        <v>156</v>
      </c>
    </row>
    <row r="456" spans="27:37" x14ac:dyDescent="0.25">
      <c r="AA456" s="9" t="s">
        <v>157</v>
      </c>
    </row>
    <row r="457" spans="27:37" x14ac:dyDescent="0.25">
      <c r="AB457" s="6" t="s">
        <v>49</v>
      </c>
    </row>
    <row r="458" spans="27:37" x14ac:dyDescent="0.25">
      <c r="AA458" s="6" t="s">
        <v>158</v>
      </c>
      <c r="AB458" s="6">
        <v>250</v>
      </c>
      <c r="AC458" s="6">
        <v>500</v>
      </c>
      <c r="AD458" s="6">
        <v>1000</v>
      </c>
      <c r="AE458" s="6">
        <v>2500</v>
      </c>
      <c r="AF458" s="6">
        <v>5000</v>
      </c>
      <c r="AG458" s="6">
        <v>7500</v>
      </c>
      <c r="AH458" s="6">
        <v>10000</v>
      </c>
      <c r="AI458" s="6">
        <v>25000</v>
      </c>
      <c r="AJ458" s="6">
        <v>50000</v>
      </c>
      <c r="AK458" s="6">
        <v>100000</v>
      </c>
    </row>
    <row r="459" spans="27:37" x14ac:dyDescent="0.25">
      <c r="AA459" s="6">
        <v>15000</v>
      </c>
      <c r="AB459" s="6">
        <v>1.1499999999999999</v>
      </c>
      <c r="AC459" s="6">
        <v>1.034</v>
      </c>
      <c r="AD459" s="6">
        <v>0.91800000000000004</v>
      </c>
      <c r="AE459" s="6">
        <v>0.86</v>
      </c>
      <c r="AF459" s="6">
        <v>0.82499999999999996</v>
      </c>
      <c r="AG459" s="6">
        <v>0.81100000000000005</v>
      </c>
      <c r="AH459" s="6">
        <v>0.78700000000000003</v>
      </c>
      <c r="AI459" s="6">
        <v>0.64100000000000001</v>
      </c>
      <c r="AJ459" s="6">
        <v>0.4</v>
      </c>
      <c r="AK459" s="1">
        <v>0.35</v>
      </c>
    </row>
    <row r="460" spans="27:37" x14ac:dyDescent="0.25">
      <c r="AA460" s="6">
        <v>50000</v>
      </c>
      <c r="AB460" s="6">
        <v>1.2</v>
      </c>
      <c r="AC460" s="6">
        <v>1.034</v>
      </c>
      <c r="AD460" s="6">
        <v>0.91800000000000004</v>
      </c>
      <c r="AE460" s="6">
        <v>0.86</v>
      </c>
      <c r="AF460" s="6">
        <v>0.82499999999999996</v>
      </c>
      <c r="AG460" s="6">
        <v>0.81100000000000005</v>
      </c>
      <c r="AH460" s="6">
        <v>0.78700000000000003</v>
      </c>
      <c r="AI460" s="6">
        <v>0.64100000000000001</v>
      </c>
      <c r="AJ460" s="6">
        <v>0.4</v>
      </c>
      <c r="AK460" s="1">
        <v>0.35</v>
      </c>
    </row>
    <row r="461" spans="27:37" x14ac:dyDescent="0.25">
      <c r="AA461" s="6">
        <v>500000</v>
      </c>
      <c r="AB461" s="6">
        <v>1.25</v>
      </c>
      <c r="AC461" s="6">
        <v>1.077</v>
      </c>
      <c r="AD461" s="6">
        <v>0.99099999999999999</v>
      </c>
      <c r="AE461" s="6">
        <v>0.97199999999999998</v>
      </c>
      <c r="AF461" s="6">
        <v>0.94699999999999995</v>
      </c>
      <c r="AG461" s="6">
        <v>0.93100000000000005</v>
      </c>
      <c r="AH461" s="6">
        <v>0.91800000000000004</v>
      </c>
      <c r="AI461" s="6">
        <v>0.86</v>
      </c>
      <c r="AJ461" s="6">
        <v>0.83499999999999996</v>
      </c>
      <c r="AK461" s="1">
        <v>0.78600000000000003</v>
      </c>
    </row>
    <row r="462" spans="27:37" x14ac:dyDescent="0.25">
      <c r="AA462" s="6">
        <v>1000000</v>
      </c>
      <c r="AB462" s="6">
        <v>1.3</v>
      </c>
      <c r="AC462" s="6">
        <v>1.1200000000000001</v>
      </c>
      <c r="AD462" s="6">
        <v>1</v>
      </c>
      <c r="AE462" s="6">
        <v>0.98699999999999999</v>
      </c>
      <c r="AF462" s="6">
        <v>0.97199999999999998</v>
      </c>
      <c r="AG462" s="6">
        <v>0.96</v>
      </c>
      <c r="AH462" s="6">
        <v>0.94699999999999995</v>
      </c>
      <c r="AI462" s="6">
        <v>0.90100000000000002</v>
      </c>
      <c r="AJ462" s="6">
        <v>0.86</v>
      </c>
      <c r="AK462" s="1">
        <v>0.83499999999999996</v>
      </c>
    </row>
    <row r="463" spans="27:37" x14ac:dyDescent="0.25">
      <c r="AA463" s="6">
        <v>3000000</v>
      </c>
      <c r="AB463" s="6">
        <v>1.33</v>
      </c>
      <c r="AC463" s="6">
        <v>1.1459999999999999</v>
      </c>
      <c r="AD463" s="6">
        <v>1.006</v>
      </c>
      <c r="AE463" s="6">
        <v>1.0009999999999999</v>
      </c>
      <c r="AF463" s="6">
        <v>0.99399999999999999</v>
      </c>
      <c r="AG463" s="6">
        <v>0.98699999999999999</v>
      </c>
      <c r="AH463" s="6">
        <v>0.98099999999999998</v>
      </c>
      <c r="AI463" s="6">
        <v>0.95599999999999996</v>
      </c>
      <c r="AJ463" s="6">
        <v>0.92600000000000005</v>
      </c>
      <c r="AK463" s="1">
        <v>0.88700000000000001</v>
      </c>
    </row>
    <row r="464" spans="27:37" x14ac:dyDescent="0.25">
      <c r="AA464" s="6">
        <v>5000000</v>
      </c>
      <c r="AB464" s="6">
        <v>1.36</v>
      </c>
      <c r="AC464" s="6">
        <v>1.1719999999999999</v>
      </c>
      <c r="AD464" s="6">
        <v>1.008</v>
      </c>
      <c r="AE464" s="6">
        <v>1.0049999999999999</v>
      </c>
      <c r="AF464" s="6">
        <v>1</v>
      </c>
      <c r="AG464" s="6">
        <v>0.995</v>
      </c>
      <c r="AH464" s="6">
        <v>0.99099999999999999</v>
      </c>
      <c r="AI464" s="6">
        <v>0.97199999999999998</v>
      </c>
      <c r="AJ464" s="6">
        <v>0.94699999999999995</v>
      </c>
      <c r="AK464" s="1">
        <v>0.91800000000000004</v>
      </c>
    </row>
    <row r="465" spans="27:37" x14ac:dyDescent="0.25">
      <c r="AA465" s="6">
        <v>7500000</v>
      </c>
      <c r="AB465" s="6">
        <v>1.4</v>
      </c>
      <c r="AC465" s="6">
        <v>1.206</v>
      </c>
      <c r="AD465" s="6">
        <v>1.0089999999999999</v>
      </c>
      <c r="AE465" s="6">
        <v>1.006</v>
      </c>
      <c r="AF465" s="6">
        <v>1.0029999999999999</v>
      </c>
      <c r="AG465" s="6">
        <v>1</v>
      </c>
      <c r="AH465" s="6">
        <v>0.997</v>
      </c>
      <c r="AI465" s="6">
        <v>0.98099999999999998</v>
      </c>
      <c r="AJ465" s="6">
        <v>0.96399999999999997</v>
      </c>
      <c r="AK465" s="1">
        <v>0.93600000000000005</v>
      </c>
    </row>
    <row r="466" spans="27:37" x14ac:dyDescent="0.25">
      <c r="AA466" s="6" t="s">
        <v>155</v>
      </c>
    </row>
    <row r="468" spans="27:37" x14ac:dyDescent="0.25">
      <c r="AA468" s="9" t="s">
        <v>159</v>
      </c>
    </row>
    <row r="469" spans="27:37" x14ac:dyDescent="0.25">
      <c r="AA469" s="6" t="s">
        <v>161</v>
      </c>
    </row>
    <row r="470" spans="27:37" x14ac:dyDescent="0.25">
      <c r="AA470" s="9" t="s">
        <v>160</v>
      </c>
    </row>
    <row r="471" spans="27:37" x14ac:dyDescent="0.25">
      <c r="AB471" s="6" t="s">
        <v>151</v>
      </c>
    </row>
    <row r="472" spans="27:37" x14ac:dyDescent="0.25">
      <c r="AA472" s="6" t="s">
        <v>139</v>
      </c>
      <c r="AB472" s="6">
        <v>250</v>
      </c>
      <c r="AC472" s="6">
        <v>500</v>
      </c>
      <c r="AD472" s="6">
        <v>1000</v>
      </c>
      <c r="AE472" s="6">
        <v>2500</v>
      </c>
      <c r="AF472" s="6">
        <v>5000</v>
      </c>
      <c r="AG472" s="6">
        <v>7500</v>
      </c>
      <c r="AH472" s="6">
        <v>10000</v>
      </c>
      <c r="AI472" s="6">
        <v>25000</v>
      </c>
      <c r="AJ472" s="6">
        <v>50000</v>
      </c>
      <c r="AK472" s="6">
        <v>100000</v>
      </c>
    </row>
    <row r="473" spans="27:37" x14ac:dyDescent="0.25">
      <c r="AA473" s="6">
        <v>50000</v>
      </c>
      <c r="AB473" s="6">
        <v>1.2</v>
      </c>
      <c r="AC473" s="6">
        <v>1.034</v>
      </c>
      <c r="AD473" s="6">
        <v>0.89500000000000002</v>
      </c>
      <c r="AE473" s="6">
        <v>0.753</v>
      </c>
      <c r="AF473" s="6">
        <v>0.6</v>
      </c>
      <c r="AG473" s="6">
        <v>0.55000000000000004</v>
      </c>
      <c r="AH473" s="6">
        <v>0.5</v>
      </c>
      <c r="AI473" s="6">
        <v>0.45</v>
      </c>
      <c r="AJ473" s="6">
        <v>0.4</v>
      </c>
      <c r="AK473" s="1">
        <v>0.35</v>
      </c>
    </row>
    <row r="474" spans="27:37" x14ac:dyDescent="0.25">
      <c r="AA474" s="6">
        <v>500000</v>
      </c>
      <c r="AB474" s="6">
        <v>1.25</v>
      </c>
      <c r="AC474" s="6">
        <v>1.077</v>
      </c>
      <c r="AD474" s="6">
        <v>0.96099999999999997</v>
      </c>
      <c r="AE474" s="6">
        <v>0.86699999999999999</v>
      </c>
      <c r="AF474" s="6">
        <v>0.753</v>
      </c>
      <c r="AG474" s="6">
        <v>0.66300000000000003</v>
      </c>
      <c r="AH474" s="6">
        <v>0.58899999999999997</v>
      </c>
      <c r="AI474" s="6">
        <v>0.5</v>
      </c>
      <c r="AJ474" s="6">
        <v>0.45</v>
      </c>
      <c r="AK474" s="1">
        <v>0.42299999999999999</v>
      </c>
    </row>
    <row r="475" spans="27:37" x14ac:dyDescent="0.25">
      <c r="AA475" s="6">
        <v>1000000</v>
      </c>
      <c r="AB475" s="6">
        <v>1.3</v>
      </c>
      <c r="AC475" s="6">
        <v>1.1200000000000001</v>
      </c>
      <c r="AD475" s="6">
        <v>1</v>
      </c>
      <c r="AE475" s="6">
        <v>0.94299999999999995</v>
      </c>
      <c r="AF475" s="6">
        <v>0.86699999999999999</v>
      </c>
      <c r="AG475" s="6">
        <v>0.80600000000000005</v>
      </c>
      <c r="AH475" s="6">
        <v>0.753</v>
      </c>
      <c r="AI475" s="6">
        <v>0.53</v>
      </c>
      <c r="AJ475" s="6">
        <v>0.5</v>
      </c>
      <c r="AK475" s="1">
        <v>0.45</v>
      </c>
    </row>
    <row r="476" spans="27:37" x14ac:dyDescent="0.25">
      <c r="AA476" s="6">
        <v>3000000</v>
      </c>
      <c r="AB476" s="6">
        <v>1.33</v>
      </c>
      <c r="AC476" s="6">
        <v>1.1459999999999999</v>
      </c>
      <c r="AD476" s="6">
        <v>1.03</v>
      </c>
      <c r="AE476" s="6">
        <v>1.0069999999999999</v>
      </c>
      <c r="AF476" s="6">
        <v>0.97399999999999998</v>
      </c>
      <c r="AG476" s="6">
        <v>0.94299999999999995</v>
      </c>
      <c r="AH476" s="6">
        <v>0.91600000000000004</v>
      </c>
      <c r="AI476" s="6">
        <v>0.78800000000000003</v>
      </c>
      <c r="AJ476" s="6">
        <v>0.63800000000000001</v>
      </c>
      <c r="AK476" s="1">
        <v>0.52</v>
      </c>
    </row>
    <row r="477" spans="27:37" x14ac:dyDescent="0.25">
      <c r="AA477" s="6">
        <v>5000000</v>
      </c>
      <c r="AB477" s="6">
        <v>1.36</v>
      </c>
      <c r="AC477" s="6">
        <v>1.1719999999999999</v>
      </c>
      <c r="AD477" s="6">
        <v>1.036</v>
      </c>
      <c r="AE477" s="6">
        <v>1.022</v>
      </c>
      <c r="AF477" s="6">
        <v>1</v>
      </c>
      <c r="AG477" s="6">
        <v>0.98</v>
      </c>
      <c r="AH477" s="6">
        <v>0.96099999999999997</v>
      </c>
      <c r="AI477" s="6">
        <v>0.86699999999999999</v>
      </c>
      <c r="AJ477" s="6">
        <v>0.753</v>
      </c>
      <c r="AK477" s="1">
        <v>0.58899999999999997</v>
      </c>
    </row>
    <row r="478" spans="27:37" x14ac:dyDescent="0.25">
      <c r="AA478" s="6">
        <v>7500000</v>
      </c>
      <c r="AB478" s="6">
        <v>1.4</v>
      </c>
      <c r="AC478" s="6">
        <v>1.206</v>
      </c>
      <c r="AD478" s="6">
        <v>1.0389999999999999</v>
      </c>
      <c r="AE478" s="6">
        <v>1.03</v>
      </c>
      <c r="AF478" s="6">
        <v>1.0149999999999999</v>
      </c>
      <c r="AG478" s="6">
        <v>1</v>
      </c>
      <c r="AH478" s="6">
        <v>0.98699999999999999</v>
      </c>
      <c r="AI478" s="6">
        <v>0.91600000000000004</v>
      </c>
      <c r="AJ478" s="6">
        <v>0.82499999999999996</v>
      </c>
      <c r="AK478" s="1">
        <v>0.69299999999999995</v>
      </c>
    </row>
    <row r="479" spans="27:37" x14ac:dyDescent="0.25">
      <c r="AA479" s="6" t="s">
        <v>155</v>
      </c>
    </row>
    <row r="481" spans="27:30" x14ac:dyDescent="0.25">
      <c r="AA481" s="9" t="s">
        <v>162</v>
      </c>
    </row>
    <row r="482" spans="27:30" x14ac:dyDescent="0.25">
      <c r="AB482" s="6" t="s">
        <v>163</v>
      </c>
    </row>
    <row r="483" spans="27:30" x14ac:dyDescent="0.25">
      <c r="AA483" s="6" t="s">
        <v>139</v>
      </c>
      <c r="AB483" s="6">
        <v>5.0000000000000001E-3</v>
      </c>
      <c r="AC483" s="6">
        <v>0.01</v>
      </c>
      <c r="AD483" s="6">
        <v>0.02</v>
      </c>
    </row>
    <row r="484" spans="27:30" x14ac:dyDescent="0.25">
      <c r="AA484" s="6">
        <v>50000</v>
      </c>
      <c r="AB484" s="6">
        <v>0.86699999999999999</v>
      </c>
      <c r="AC484" s="6">
        <v>0.753</v>
      </c>
      <c r="AD484" s="6">
        <v>0.58899999999999997</v>
      </c>
    </row>
    <row r="485" spans="27:30" x14ac:dyDescent="0.25">
      <c r="AA485" s="6">
        <v>500000</v>
      </c>
      <c r="AB485" s="6">
        <v>0.86699999999999999</v>
      </c>
      <c r="AC485" s="6">
        <v>0.753</v>
      </c>
      <c r="AD485" s="6">
        <v>0.58899999999999997</v>
      </c>
    </row>
    <row r="486" spans="27:30" x14ac:dyDescent="0.25">
      <c r="AA486" s="6">
        <v>1000000</v>
      </c>
      <c r="AB486" s="6">
        <v>0.86699999999999999</v>
      </c>
      <c r="AC486" s="6">
        <v>0.753</v>
      </c>
      <c r="AD486" s="6">
        <v>0.58899999999999997</v>
      </c>
    </row>
    <row r="487" spans="27:30" x14ac:dyDescent="0.25">
      <c r="AA487" s="6">
        <v>3000000</v>
      </c>
      <c r="AB487" s="6">
        <v>0.86699999999999999</v>
      </c>
      <c r="AC487" s="6">
        <v>0.753</v>
      </c>
      <c r="AD487" s="6">
        <v>0.58899999999999997</v>
      </c>
    </row>
    <row r="488" spans="27:30" x14ac:dyDescent="0.25">
      <c r="AA488" s="6">
        <v>5000000</v>
      </c>
      <c r="AB488" s="6">
        <v>0.86699999999999999</v>
      </c>
      <c r="AC488" s="6">
        <v>0.753</v>
      </c>
      <c r="AD488" s="6">
        <v>0.58899999999999997</v>
      </c>
    </row>
    <row r="489" spans="27:30" x14ac:dyDescent="0.25">
      <c r="AA489" s="6">
        <v>7500000</v>
      </c>
      <c r="AB489" s="6">
        <v>0.86699999999999999</v>
      </c>
      <c r="AC489" s="6">
        <v>0.753</v>
      </c>
      <c r="AD489" s="6">
        <v>0.58899999999999997</v>
      </c>
    </row>
    <row r="491" spans="27:30" x14ac:dyDescent="0.25">
      <c r="AA491" s="9" t="s">
        <v>164</v>
      </c>
    </row>
    <row r="492" spans="27:30" x14ac:dyDescent="0.25">
      <c r="AA492" s="1"/>
    </row>
    <row r="493" spans="27:30" x14ac:dyDescent="0.25">
      <c r="AA493" s="9" t="s">
        <v>165</v>
      </c>
      <c r="AB493" s="6" t="s">
        <v>80</v>
      </c>
    </row>
    <row r="494" spans="27:30" x14ac:dyDescent="0.25">
      <c r="AA494" s="6" t="s">
        <v>166</v>
      </c>
      <c r="AB494" s="6">
        <v>0.95</v>
      </c>
    </row>
    <row r="495" spans="27:30" x14ac:dyDescent="0.25">
      <c r="AA495" s="6" t="s">
        <v>167</v>
      </c>
      <c r="AB495" s="6">
        <v>1</v>
      </c>
    </row>
    <row r="496" spans="27:30" x14ac:dyDescent="0.25">
      <c r="AA496" s="6" t="s">
        <v>109</v>
      </c>
      <c r="AB496" s="6">
        <v>0.95</v>
      </c>
    </row>
    <row r="498" spans="27:35" x14ac:dyDescent="0.25">
      <c r="AA498" s="1"/>
      <c r="AB498" s="6" t="s">
        <v>49</v>
      </c>
    </row>
    <row r="499" spans="27:35" x14ac:dyDescent="0.25">
      <c r="AA499" s="9" t="s">
        <v>168</v>
      </c>
      <c r="AB499" s="6" t="s">
        <v>21</v>
      </c>
      <c r="AC499" s="6" t="s">
        <v>22</v>
      </c>
      <c r="AD499" s="6" t="s">
        <v>23</v>
      </c>
    </row>
    <row r="500" spans="27:35" x14ac:dyDescent="0.25">
      <c r="AA500" s="6" t="s">
        <v>176</v>
      </c>
      <c r="AB500" s="6" t="s">
        <v>122</v>
      </c>
      <c r="AC500" s="6" t="s">
        <v>122</v>
      </c>
      <c r="AD500" s="6">
        <v>0.05</v>
      </c>
    </row>
    <row r="501" spans="27:35" x14ac:dyDescent="0.25">
      <c r="AA501" s="6" t="s">
        <v>175</v>
      </c>
      <c r="AB501" s="6">
        <v>0.05</v>
      </c>
      <c r="AC501" s="6">
        <v>0.05</v>
      </c>
      <c r="AD501" s="6">
        <v>0.05</v>
      </c>
    </row>
    <row r="502" spans="27:35" x14ac:dyDescent="0.25">
      <c r="AA502" s="6" t="s">
        <v>174</v>
      </c>
      <c r="AB502" s="6" t="s">
        <v>122</v>
      </c>
      <c r="AC502" s="6" t="s">
        <v>122</v>
      </c>
      <c r="AD502" s="6">
        <v>0.1</v>
      </c>
    </row>
    <row r="503" spans="27:35" x14ac:dyDescent="0.25">
      <c r="AA503" s="6" t="s">
        <v>173</v>
      </c>
      <c r="AB503" s="6" t="s">
        <v>122</v>
      </c>
      <c r="AC503" s="6">
        <v>0.15</v>
      </c>
      <c r="AD503" s="6">
        <v>0.15</v>
      </c>
    </row>
    <row r="504" spans="27:35" x14ac:dyDescent="0.25">
      <c r="AA504" s="6" t="s">
        <v>172</v>
      </c>
      <c r="AB504" s="6" t="s">
        <v>122</v>
      </c>
      <c r="AC504" s="6">
        <v>0.1</v>
      </c>
      <c r="AD504" s="6">
        <v>0.1</v>
      </c>
      <c r="AG504" s="6" t="s">
        <v>21</v>
      </c>
      <c r="AH504" s="6" t="s">
        <v>22</v>
      </c>
      <c r="AI504" s="6" t="s">
        <v>23</v>
      </c>
    </row>
    <row r="505" spans="27:35" x14ac:dyDescent="0.25">
      <c r="AA505" s="6" t="s">
        <v>169</v>
      </c>
      <c r="AF505" s="6" t="s">
        <v>244</v>
      </c>
      <c r="AG505" s="6">
        <f>AB505</f>
        <v>0</v>
      </c>
      <c r="AH505" s="6">
        <f t="shared" ref="AH505:AH507" si="16">AC505</f>
        <v>0</v>
      </c>
      <c r="AI505" s="6">
        <f t="shared" ref="AI505:AI507" si="17">AD505</f>
        <v>0</v>
      </c>
    </row>
    <row r="506" spans="27:35" x14ac:dyDescent="0.25">
      <c r="AA506" s="6" t="s">
        <v>170</v>
      </c>
      <c r="AB506" s="6">
        <v>0.03</v>
      </c>
      <c r="AC506" s="6">
        <v>0.03</v>
      </c>
      <c r="AD506" s="6">
        <v>0.03</v>
      </c>
      <c r="AF506" s="6" t="s">
        <v>254</v>
      </c>
      <c r="AG506" s="6">
        <f t="shared" ref="AG506:AG507" si="18">AB506</f>
        <v>0.03</v>
      </c>
      <c r="AH506" s="6">
        <f t="shared" si="16"/>
        <v>0.03</v>
      </c>
      <c r="AI506" s="6">
        <f t="shared" si="17"/>
        <v>0.03</v>
      </c>
    </row>
    <row r="507" spans="27:35" x14ac:dyDescent="0.25">
      <c r="AA507" s="6" t="s">
        <v>171</v>
      </c>
      <c r="AB507" s="6">
        <v>0.05</v>
      </c>
      <c r="AC507" s="6">
        <v>0.05</v>
      </c>
      <c r="AD507" s="6">
        <v>0.05</v>
      </c>
      <c r="AF507" s="6" t="s">
        <v>255</v>
      </c>
      <c r="AG507" s="6">
        <f t="shared" si="18"/>
        <v>0.05</v>
      </c>
      <c r="AH507" s="6">
        <f t="shared" si="16"/>
        <v>0.05</v>
      </c>
      <c r="AI507" s="6">
        <f t="shared" si="17"/>
        <v>0.05</v>
      </c>
    </row>
    <row r="508" spans="27:35" x14ac:dyDescent="0.25">
      <c r="AA508" s="6" t="s">
        <v>177</v>
      </c>
      <c r="AB508" s="6">
        <v>0.1</v>
      </c>
      <c r="AC508" s="6" t="s">
        <v>122</v>
      </c>
      <c r="AD508" s="6">
        <v>0.1</v>
      </c>
    </row>
    <row r="510" spans="27:35" x14ac:dyDescent="0.25">
      <c r="AB510" s="6" t="s">
        <v>70</v>
      </c>
    </row>
    <row r="511" spans="27:35" x14ac:dyDescent="0.25">
      <c r="AA511" s="9" t="s">
        <v>168</v>
      </c>
      <c r="AB511" s="6" t="s">
        <v>21</v>
      </c>
      <c r="AC511" s="6" t="s">
        <v>22</v>
      </c>
      <c r="AD511" s="6" t="s">
        <v>23</v>
      </c>
    </row>
    <row r="512" spans="27:35" x14ac:dyDescent="0.25">
      <c r="AA512" s="6" t="s">
        <v>175</v>
      </c>
      <c r="AB512" s="6" t="s">
        <v>122</v>
      </c>
      <c r="AC512" s="6" t="s">
        <v>122</v>
      </c>
      <c r="AD512" s="6">
        <v>0.05</v>
      </c>
    </row>
    <row r="513" spans="27:33" x14ac:dyDescent="0.25">
      <c r="AA513" s="6" t="s">
        <v>173</v>
      </c>
      <c r="AB513" s="6">
        <v>0.05</v>
      </c>
      <c r="AC513" s="6">
        <v>0.05</v>
      </c>
      <c r="AD513" s="6">
        <v>0.05</v>
      </c>
    </row>
    <row r="514" spans="27:33" x14ac:dyDescent="0.25">
      <c r="AA514" s="6" t="s">
        <v>172</v>
      </c>
      <c r="AB514" s="6" t="s">
        <v>122</v>
      </c>
      <c r="AC514" s="6">
        <v>0.1</v>
      </c>
      <c r="AD514" s="6">
        <v>0.1</v>
      </c>
    </row>
    <row r="515" spans="27:33" x14ac:dyDescent="0.25">
      <c r="AA515" s="6" t="s">
        <v>169</v>
      </c>
      <c r="AB515" s="6" t="s">
        <v>122</v>
      </c>
      <c r="AC515" s="6">
        <v>0.1</v>
      </c>
      <c r="AD515" s="6">
        <v>0.1</v>
      </c>
    </row>
    <row r="516" spans="27:33" x14ac:dyDescent="0.25">
      <c r="AA516" s="6" t="s">
        <v>170</v>
      </c>
      <c r="AB516" s="6">
        <v>0.03</v>
      </c>
      <c r="AC516" s="6">
        <v>0.03</v>
      </c>
      <c r="AD516" s="6">
        <v>0.03</v>
      </c>
    </row>
    <row r="517" spans="27:33" x14ac:dyDescent="0.25">
      <c r="AA517" s="6" t="s">
        <v>171</v>
      </c>
      <c r="AB517" s="6">
        <v>0.05</v>
      </c>
      <c r="AC517" s="6">
        <v>0.05</v>
      </c>
      <c r="AD517" s="6">
        <v>0.05</v>
      </c>
    </row>
    <row r="518" spans="27:33" x14ac:dyDescent="0.25">
      <c r="AA518" s="6" t="s">
        <v>178</v>
      </c>
      <c r="AB518" s="6">
        <v>0.1</v>
      </c>
      <c r="AC518" s="6" t="s">
        <v>122</v>
      </c>
      <c r="AD518" s="6">
        <v>0.1</v>
      </c>
    </row>
    <row r="519" spans="27:33" x14ac:dyDescent="0.25">
      <c r="AA519" s="6" t="s">
        <v>179</v>
      </c>
      <c r="AB519" s="6" t="s">
        <v>122</v>
      </c>
      <c r="AC519" s="6" t="s">
        <v>122</v>
      </c>
      <c r="AD519" s="6">
        <v>0.05</v>
      </c>
    </row>
    <row r="520" spans="27:33" x14ac:dyDescent="0.25">
      <c r="AA520" s="6" t="s">
        <v>180</v>
      </c>
      <c r="AB520" s="6" t="s">
        <v>122</v>
      </c>
      <c r="AC520" s="6">
        <v>0.05</v>
      </c>
      <c r="AD520" s="6">
        <v>0.05</v>
      </c>
    </row>
    <row r="522" spans="27:33" x14ac:dyDescent="0.25">
      <c r="AA522" s="1"/>
    </row>
    <row r="523" spans="27:33" x14ac:dyDescent="0.25">
      <c r="AA523" s="9" t="s">
        <v>181</v>
      </c>
      <c r="AC523" s="6" t="s">
        <v>182</v>
      </c>
      <c r="AD523" s="6" t="s">
        <v>70</v>
      </c>
      <c r="AF523" s="6" t="s">
        <v>250</v>
      </c>
      <c r="AG523" s="6">
        <v>0</v>
      </c>
    </row>
    <row r="524" spans="27:33" x14ac:dyDescent="0.25">
      <c r="AA524" s="6" t="s">
        <v>183</v>
      </c>
      <c r="AC524" s="6">
        <v>0.1</v>
      </c>
      <c r="AD524" s="6">
        <v>0.1</v>
      </c>
      <c r="AF524" s="6" t="s">
        <v>183</v>
      </c>
      <c r="AG524" s="6">
        <v>0.1</v>
      </c>
    </row>
    <row r="525" spans="27:33" x14ac:dyDescent="0.25">
      <c r="AA525" s="6" t="s">
        <v>184</v>
      </c>
      <c r="AB525" s="6" t="s">
        <v>239</v>
      </c>
      <c r="AC525" s="6">
        <v>7.4999999999999997E-2</v>
      </c>
      <c r="AD525" s="6">
        <v>7.4999999999999997E-2</v>
      </c>
      <c r="AF525" s="6" t="s">
        <v>251</v>
      </c>
      <c r="AG525" s="6">
        <f>AC525</f>
        <v>7.4999999999999997E-2</v>
      </c>
    </row>
    <row r="526" spans="27:33" x14ac:dyDescent="0.25">
      <c r="AA526" s="6" t="s">
        <v>184</v>
      </c>
      <c r="AB526" s="6" t="s">
        <v>238</v>
      </c>
      <c r="AC526" s="6">
        <v>0.05</v>
      </c>
      <c r="AD526" s="6">
        <v>0.05</v>
      </c>
      <c r="AF526" s="6" t="s">
        <v>252</v>
      </c>
      <c r="AG526" s="6">
        <v>0.05</v>
      </c>
    </row>
    <row r="527" spans="27:33" x14ac:dyDescent="0.25">
      <c r="AA527" s="6" t="s">
        <v>185</v>
      </c>
    </row>
    <row r="529" spans="27:33" x14ac:dyDescent="0.25">
      <c r="AA529" s="9" t="s">
        <v>197</v>
      </c>
      <c r="AG529" s="1"/>
    </row>
    <row r="530" spans="27:33" x14ac:dyDescent="0.25">
      <c r="AA530" s="6" t="s">
        <v>186</v>
      </c>
      <c r="AB530" s="6" t="s">
        <v>182</v>
      </c>
      <c r="AG530" s="1"/>
    </row>
    <row r="531" spans="27:33" x14ac:dyDescent="0.25">
      <c r="AA531" s="6" t="s">
        <v>187</v>
      </c>
      <c r="AB531" s="6">
        <v>0.05</v>
      </c>
      <c r="AG531" s="1"/>
    </row>
    <row r="532" spans="27:33" x14ac:dyDescent="0.25">
      <c r="AA532" s="6" t="s">
        <v>188</v>
      </c>
      <c r="AB532" s="6">
        <v>0.02</v>
      </c>
      <c r="AG532" s="1"/>
    </row>
    <row r="533" spans="27:33" x14ac:dyDescent="0.25">
      <c r="AA533" s="6" t="s">
        <v>189</v>
      </c>
      <c r="AB533" s="6">
        <v>0.02</v>
      </c>
      <c r="AG533" s="1"/>
    </row>
    <row r="534" spans="27:33" x14ac:dyDescent="0.25">
      <c r="AA534" s="6" t="s">
        <v>190</v>
      </c>
      <c r="AB534" s="6">
        <v>0.05</v>
      </c>
      <c r="AG534" s="1"/>
    </row>
    <row r="535" spans="27:33" x14ac:dyDescent="0.25">
      <c r="AA535" s="6" t="s">
        <v>191</v>
      </c>
      <c r="AB535" s="6">
        <v>0.02</v>
      </c>
      <c r="AG535" s="1"/>
    </row>
    <row r="536" spans="27:33" x14ac:dyDescent="0.25">
      <c r="AA536" s="6" t="s">
        <v>192</v>
      </c>
      <c r="AB536" s="6">
        <v>0.05</v>
      </c>
      <c r="AG536" s="1"/>
    </row>
    <row r="537" spans="27:33" x14ac:dyDescent="0.25">
      <c r="AA537" s="6" t="s">
        <v>193</v>
      </c>
      <c r="AB537" s="6">
        <v>0.05</v>
      </c>
      <c r="AG537" s="1"/>
    </row>
    <row r="538" spans="27:33" x14ac:dyDescent="0.25">
      <c r="AA538" s="6" t="s">
        <v>194</v>
      </c>
      <c r="AB538" s="6">
        <v>0.02</v>
      </c>
      <c r="AG538" s="1"/>
    </row>
    <row r="539" spans="27:33" x14ac:dyDescent="0.25">
      <c r="AA539" s="6" t="s">
        <v>195</v>
      </c>
      <c r="AB539" s="6">
        <v>0.05</v>
      </c>
      <c r="AG539" s="1"/>
    </row>
    <row r="540" spans="27:33" x14ac:dyDescent="0.25">
      <c r="AA540" s="6" t="s">
        <v>196</v>
      </c>
      <c r="AB540" s="6">
        <v>0.02</v>
      </c>
      <c r="AG540" s="1"/>
    </row>
    <row r="541" spans="27:33" x14ac:dyDescent="0.25">
      <c r="AA541" s="6" t="s">
        <v>235</v>
      </c>
      <c r="AD541" s="6" t="s">
        <v>244</v>
      </c>
      <c r="AE541" s="6">
        <v>0</v>
      </c>
      <c r="AG541" s="1"/>
    </row>
    <row r="542" spans="27:33" x14ac:dyDescent="0.25">
      <c r="AA542" s="6" t="s">
        <v>198</v>
      </c>
      <c r="AB542" s="6">
        <v>0.03</v>
      </c>
      <c r="AD542" s="6" t="s">
        <v>373</v>
      </c>
      <c r="AE542" s="6">
        <f>AB542</f>
        <v>0.03</v>
      </c>
      <c r="AG542" s="1"/>
    </row>
    <row r="543" spans="27:33" x14ac:dyDescent="0.25">
      <c r="AA543" s="6" t="s">
        <v>199</v>
      </c>
      <c r="AB543" s="6">
        <v>0.05</v>
      </c>
      <c r="AD543" s="6" t="s">
        <v>374</v>
      </c>
      <c r="AE543" s="6">
        <f>AB543</f>
        <v>0.05</v>
      </c>
      <c r="AG543" s="1"/>
    </row>
    <row r="544" spans="27:33" x14ac:dyDescent="0.25">
      <c r="AA544" s="6" t="s">
        <v>200</v>
      </c>
      <c r="AB544" s="6">
        <v>0.08</v>
      </c>
      <c r="AD544" s="6" t="s">
        <v>375</v>
      </c>
      <c r="AE544" s="6">
        <f>AB544</f>
        <v>0.08</v>
      </c>
      <c r="AG544" s="1"/>
    </row>
    <row r="545" spans="27:36" x14ac:dyDescent="0.25">
      <c r="AA545" s="6" t="s">
        <v>201</v>
      </c>
      <c r="AG545" s="1"/>
    </row>
    <row r="547" spans="27:36" x14ac:dyDescent="0.25">
      <c r="AA547" s="9" t="s">
        <v>202</v>
      </c>
      <c r="AJ547" s="1"/>
    </row>
    <row r="548" spans="27:36" x14ac:dyDescent="0.25">
      <c r="AA548" s="9" t="s">
        <v>203</v>
      </c>
      <c r="AJ548" s="1"/>
    </row>
    <row r="549" spans="27:36" x14ac:dyDescent="0.25">
      <c r="AJ549" s="1"/>
    </row>
    <row r="550" spans="27:36" x14ac:dyDescent="0.25">
      <c r="AA550" s="6" t="s">
        <v>204</v>
      </c>
      <c r="AB550" s="6" t="s">
        <v>205</v>
      </c>
      <c r="AD550" s="6" t="s">
        <v>237</v>
      </c>
      <c r="AE550" s="6" t="s">
        <v>12</v>
      </c>
      <c r="AJ550" s="1"/>
    </row>
    <row r="551" spans="27:36" x14ac:dyDescent="0.25">
      <c r="AA551" s="6">
        <v>0</v>
      </c>
      <c r="AB551" s="6">
        <v>0.24</v>
      </c>
      <c r="AD551" s="6">
        <v>0</v>
      </c>
      <c r="AE551" s="6">
        <v>0.17</v>
      </c>
      <c r="AJ551" s="1"/>
    </row>
    <row r="552" spans="27:36" x14ac:dyDescent="0.25">
      <c r="AA552" s="6">
        <v>1</v>
      </c>
      <c r="AB552" s="6">
        <v>0.24</v>
      </c>
      <c r="AD552" s="6">
        <v>1</v>
      </c>
      <c r="AE552" s="6">
        <v>0.17</v>
      </c>
      <c r="AJ552" s="1"/>
    </row>
    <row r="553" spans="27:36" x14ac:dyDescent="0.25">
      <c r="AA553" s="6">
        <v>2</v>
      </c>
      <c r="AB553" s="6">
        <v>0.21</v>
      </c>
      <c r="AD553" s="6">
        <v>2</v>
      </c>
      <c r="AE553" s="6">
        <v>0.15</v>
      </c>
      <c r="AJ553" s="1"/>
    </row>
    <row r="554" spans="27:36" x14ac:dyDescent="0.25">
      <c r="AA554" s="6">
        <v>3</v>
      </c>
      <c r="AB554" s="6">
        <v>0.18</v>
      </c>
      <c r="AD554" s="6">
        <v>3</v>
      </c>
      <c r="AE554" s="6">
        <v>0.12</v>
      </c>
      <c r="AJ554" s="1"/>
    </row>
    <row r="555" spans="27:36" x14ac:dyDescent="0.25">
      <c r="AA555" s="6">
        <v>4</v>
      </c>
      <c r="AB555" s="6">
        <v>0.15</v>
      </c>
      <c r="AD555" s="6">
        <v>4</v>
      </c>
      <c r="AE555" s="6">
        <v>0.09</v>
      </c>
      <c r="AJ555" s="1"/>
    </row>
    <row r="556" spans="27:36" x14ac:dyDescent="0.25">
      <c r="AA556" s="6">
        <v>5</v>
      </c>
      <c r="AB556" s="6">
        <v>0.12</v>
      </c>
      <c r="AD556" s="6">
        <v>5</v>
      </c>
      <c r="AE556" s="6">
        <v>0.06</v>
      </c>
      <c r="AJ556" s="1"/>
    </row>
    <row r="557" spans="27:36" x14ac:dyDescent="0.25">
      <c r="AA557" s="6">
        <v>6</v>
      </c>
      <c r="AB557" s="6">
        <v>0.09</v>
      </c>
      <c r="AD557" s="6">
        <v>6</v>
      </c>
      <c r="AE557" s="6">
        <v>0.03</v>
      </c>
      <c r="AJ557" s="1"/>
    </row>
    <row r="558" spans="27:36" x14ac:dyDescent="0.25">
      <c r="AA558" s="6">
        <v>7</v>
      </c>
      <c r="AB558" s="6">
        <v>0.06</v>
      </c>
      <c r="AD558" s="6">
        <v>7</v>
      </c>
      <c r="AE558" s="6">
        <v>0</v>
      </c>
      <c r="AJ558" s="1"/>
    </row>
    <row r="559" spans="27:36" x14ac:dyDescent="0.25">
      <c r="AA559" s="6">
        <v>8</v>
      </c>
      <c r="AB559" s="6">
        <v>0.03</v>
      </c>
      <c r="AJ559" s="1"/>
    </row>
    <row r="560" spans="27:36" x14ac:dyDescent="0.25">
      <c r="AA560" s="6">
        <v>9</v>
      </c>
      <c r="AB560" s="6">
        <v>0.02</v>
      </c>
      <c r="AJ560" s="1"/>
    </row>
    <row r="561" spans="27:36" x14ac:dyDescent="0.25">
      <c r="AA561" s="6">
        <v>10</v>
      </c>
      <c r="AB561" s="6">
        <v>0.01</v>
      </c>
      <c r="AJ561" s="1"/>
    </row>
    <row r="562" spans="27:36" x14ac:dyDescent="0.25">
      <c r="AA562" s="6">
        <v>11</v>
      </c>
      <c r="AB562" s="6">
        <v>0</v>
      </c>
      <c r="AJ562" s="1"/>
    </row>
    <row r="563" spans="27:36" x14ac:dyDescent="0.25">
      <c r="AJ563" s="1"/>
    </row>
    <row r="564" spans="27:36" x14ac:dyDescent="0.25">
      <c r="AA564" s="9" t="s">
        <v>206</v>
      </c>
      <c r="AJ564" s="1"/>
    </row>
    <row r="565" spans="27:36" x14ac:dyDescent="0.25">
      <c r="AJ565" s="1"/>
    </row>
    <row r="566" spans="27:36" x14ac:dyDescent="0.25">
      <c r="AA566" s="6" t="s">
        <v>207</v>
      </c>
      <c r="AB566" s="6" t="s">
        <v>208</v>
      </c>
      <c r="AD566" s="6" t="s">
        <v>209</v>
      </c>
      <c r="AE566" s="6" t="s">
        <v>208</v>
      </c>
      <c r="AJ566" s="1"/>
    </row>
    <row r="567" spans="27:36" x14ac:dyDescent="0.25">
      <c r="AA567" s="6">
        <v>0</v>
      </c>
      <c r="AB567" s="6">
        <v>0</v>
      </c>
      <c r="AD567" s="6">
        <v>0</v>
      </c>
      <c r="AE567" s="6">
        <v>0</v>
      </c>
      <c r="AJ567" s="1"/>
    </row>
    <row r="568" spans="27:36" x14ac:dyDescent="0.25">
      <c r="AA568" s="6">
        <v>1</v>
      </c>
      <c r="AB568" s="6">
        <v>0</v>
      </c>
      <c r="AD568" s="6">
        <v>1</v>
      </c>
      <c r="AE568" s="6">
        <v>0</v>
      </c>
      <c r="AJ568" s="1"/>
    </row>
    <row r="569" spans="27:36" x14ac:dyDescent="0.25">
      <c r="AA569" s="6">
        <v>2</v>
      </c>
      <c r="AB569" s="6">
        <v>0</v>
      </c>
      <c r="AD569" s="6">
        <v>2</v>
      </c>
      <c r="AE569" s="6">
        <v>0</v>
      </c>
      <c r="AJ569" s="1"/>
    </row>
    <row r="570" spans="27:36" x14ac:dyDescent="0.25">
      <c r="AA570" s="6">
        <v>3</v>
      </c>
      <c r="AB570" s="6">
        <v>0.01</v>
      </c>
      <c r="AD570" s="6">
        <v>3</v>
      </c>
      <c r="AE570" s="6">
        <v>0.04</v>
      </c>
      <c r="AJ570" s="1"/>
    </row>
    <row r="571" spans="27:36" x14ac:dyDescent="0.25">
      <c r="AA571" s="6">
        <v>4</v>
      </c>
      <c r="AB571" s="6">
        <v>1.4999999999999999E-2</v>
      </c>
      <c r="AD571" s="6">
        <v>4</v>
      </c>
      <c r="AE571" s="6">
        <v>4.4999999999999998E-2</v>
      </c>
      <c r="AJ571" s="1"/>
    </row>
    <row r="572" spans="27:36" x14ac:dyDescent="0.25">
      <c r="AA572" s="6">
        <v>5</v>
      </c>
      <c r="AB572" s="6">
        <v>0.02</v>
      </c>
      <c r="AD572" s="6">
        <v>5</v>
      </c>
      <c r="AE572" s="6">
        <v>0.05</v>
      </c>
      <c r="AJ572" s="1"/>
    </row>
    <row r="573" spans="27:36" x14ac:dyDescent="0.25">
      <c r="AA573" s="6">
        <v>6</v>
      </c>
      <c r="AB573" s="6">
        <v>2.5000000000000001E-2</v>
      </c>
      <c r="AD573" s="6">
        <v>6</v>
      </c>
      <c r="AE573" s="6">
        <v>5.5E-2</v>
      </c>
      <c r="AJ573" s="1"/>
    </row>
    <row r="574" spans="27:36" x14ac:dyDescent="0.25">
      <c r="AA574" s="6">
        <v>7</v>
      </c>
      <c r="AB574" s="6">
        <v>0.03</v>
      </c>
      <c r="AD574" s="6">
        <v>7</v>
      </c>
      <c r="AE574" s="6">
        <v>0.06</v>
      </c>
      <c r="AJ574" s="1"/>
    </row>
    <row r="575" spans="27:36" x14ac:dyDescent="0.25">
      <c r="AA575" s="6">
        <v>8</v>
      </c>
      <c r="AB575" s="6">
        <v>3.5000000000000003E-2</v>
      </c>
      <c r="AD575" s="6">
        <v>8</v>
      </c>
      <c r="AE575" s="6">
        <v>6.5000000000000002E-2</v>
      </c>
      <c r="AJ575" s="1"/>
    </row>
    <row r="576" spans="27:36" x14ac:dyDescent="0.25">
      <c r="AA576" s="6">
        <v>9</v>
      </c>
      <c r="AB576" s="6">
        <v>0.04</v>
      </c>
      <c r="AD576" s="6">
        <v>9</v>
      </c>
      <c r="AE576" s="6">
        <v>7.0000000000000007E-2</v>
      </c>
      <c r="AJ576" s="1"/>
    </row>
    <row r="577" spans="27:39" x14ac:dyDescent="0.25">
      <c r="AJ577" s="1"/>
    </row>
    <row r="578" spans="27:39" x14ac:dyDescent="0.25">
      <c r="AJ578" s="1"/>
    </row>
    <row r="579" spans="27:39" x14ac:dyDescent="0.25">
      <c r="AB579" s="6" t="s">
        <v>49</v>
      </c>
      <c r="AE579" s="6" t="s">
        <v>70</v>
      </c>
      <c r="AJ579" s="1"/>
    </row>
    <row r="580" spans="27:39" x14ac:dyDescent="0.25">
      <c r="AA580" s="9" t="s">
        <v>211</v>
      </c>
      <c r="AB580" s="6" t="s">
        <v>21</v>
      </c>
      <c r="AC580" s="6" t="s">
        <v>22</v>
      </c>
      <c r="AD580" s="6" t="s">
        <v>23</v>
      </c>
      <c r="AE580" s="6" t="s">
        <v>21</v>
      </c>
      <c r="AF580" s="6" t="s">
        <v>22</v>
      </c>
      <c r="AG580" s="6" t="s">
        <v>23</v>
      </c>
      <c r="AJ580" s="1"/>
    </row>
    <row r="581" spans="27:39" x14ac:dyDescent="0.25">
      <c r="AA581" s="6" t="s">
        <v>47</v>
      </c>
      <c r="AB581" s="6">
        <v>0.1</v>
      </c>
      <c r="AC581" s="6">
        <v>0.1</v>
      </c>
      <c r="AD581" s="6">
        <v>0.1</v>
      </c>
      <c r="AE581" s="6">
        <v>0.1</v>
      </c>
      <c r="AF581" s="6">
        <v>0.1</v>
      </c>
      <c r="AG581" s="6">
        <v>0.1</v>
      </c>
      <c r="AJ581" s="1"/>
    </row>
    <row r="582" spans="27:39" x14ac:dyDescent="0.25">
      <c r="AA582" s="6" t="s">
        <v>34</v>
      </c>
      <c r="AB582" s="6">
        <v>0.15</v>
      </c>
      <c r="AC582" s="6">
        <v>0.15</v>
      </c>
      <c r="AD582" s="6" t="s">
        <v>122</v>
      </c>
      <c r="AE582" s="6" t="s">
        <v>122</v>
      </c>
      <c r="AF582" s="6" t="s">
        <v>122</v>
      </c>
      <c r="AG582" s="6" t="s">
        <v>122</v>
      </c>
      <c r="AJ582" s="1"/>
    </row>
    <row r="583" spans="27:39" x14ac:dyDescent="0.25">
      <c r="AA583" s="6" t="s">
        <v>15</v>
      </c>
      <c r="AB583" s="6" t="s">
        <v>122</v>
      </c>
      <c r="AC583" s="6" t="s">
        <v>122</v>
      </c>
      <c r="AD583" s="6">
        <v>0.25</v>
      </c>
      <c r="AE583" s="6" t="s">
        <v>122</v>
      </c>
      <c r="AF583" s="6" t="s">
        <v>122</v>
      </c>
      <c r="AG583" s="6">
        <v>0.25</v>
      </c>
      <c r="AJ583" s="1"/>
    </row>
    <row r="584" spans="27:39" x14ac:dyDescent="0.25">
      <c r="AA584" s="6" t="s">
        <v>210</v>
      </c>
      <c r="AB584" s="6">
        <v>0.2</v>
      </c>
      <c r="AC584" s="6">
        <v>0.2</v>
      </c>
      <c r="AD584" s="6">
        <v>0.2</v>
      </c>
      <c r="AE584" s="6" t="s">
        <v>122</v>
      </c>
      <c r="AF584" s="6" t="s">
        <v>122</v>
      </c>
      <c r="AG584" s="6" t="s">
        <v>122</v>
      </c>
      <c r="AJ584" s="1"/>
    </row>
    <row r="585" spans="27:39" x14ac:dyDescent="0.25">
      <c r="AA585" s="6" t="s">
        <v>243</v>
      </c>
      <c r="AB585" s="1"/>
      <c r="AC585" s="1"/>
      <c r="AD585" s="1"/>
      <c r="AE585" s="1"/>
      <c r="AF585" s="1"/>
      <c r="AG585" s="1"/>
      <c r="AI585" s="6" t="s">
        <v>244</v>
      </c>
      <c r="AJ585" s="4">
        <v>0</v>
      </c>
      <c r="AK585" s="4">
        <v>0</v>
      </c>
      <c r="AL585" s="4">
        <v>0</v>
      </c>
      <c r="AM585" s="4"/>
    </row>
    <row r="586" spans="27:39" x14ac:dyDescent="0.25">
      <c r="AA586" s="6" t="s">
        <v>253</v>
      </c>
      <c r="AB586" s="6">
        <v>0.15</v>
      </c>
      <c r="AC586" s="6">
        <v>0.15</v>
      </c>
      <c r="AD586" s="6">
        <v>0.15</v>
      </c>
      <c r="AE586" s="6">
        <v>0.15</v>
      </c>
      <c r="AF586" s="6">
        <v>0.15</v>
      </c>
      <c r="AG586" s="6">
        <v>0.15</v>
      </c>
      <c r="AI586" s="6" t="s">
        <v>245</v>
      </c>
      <c r="AJ586" s="4">
        <f t="shared" ref="AJ586:AJ587" si="19">AB586</f>
        <v>0.15</v>
      </c>
      <c r="AK586" s="4">
        <f t="shared" ref="AK586:AK587" si="20">AC586</f>
        <v>0.15</v>
      </c>
      <c r="AL586" s="4">
        <f t="shared" ref="AL586:AL587" si="21">AD586</f>
        <v>0.15</v>
      </c>
      <c r="AM586" s="4"/>
    </row>
    <row r="587" spans="27:39" x14ac:dyDescent="0.25">
      <c r="AA587" s="6" t="s">
        <v>242</v>
      </c>
      <c r="AB587" s="6">
        <v>0.35</v>
      </c>
      <c r="AC587" s="6">
        <v>0.35</v>
      </c>
      <c r="AD587" s="6">
        <v>0.35</v>
      </c>
      <c r="AE587" s="6">
        <v>0.35</v>
      </c>
      <c r="AF587" s="6">
        <v>0.35</v>
      </c>
      <c r="AG587" s="6">
        <v>0.35</v>
      </c>
      <c r="AI587" s="6" t="s">
        <v>246</v>
      </c>
      <c r="AJ587" s="4">
        <f t="shared" si="19"/>
        <v>0.35</v>
      </c>
      <c r="AK587" s="4">
        <f t="shared" si="20"/>
        <v>0.35</v>
      </c>
      <c r="AL587" s="4">
        <f t="shared" si="21"/>
        <v>0.35</v>
      </c>
      <c r="AM587" s="4"/>
    </row>
    <row r="588" spans="27:39" x14ac:dyDescent="0.25">
      <c r="AA588" s="6" t="s">
        <v>212</v>
      </c>
      <c r="AB588" s="6">
        <v>0.25</v>
      </c>
      <c r="AC588" s="6">
        <v>0.25</v>
      </c>
      <c r="AD588" s="6">
        <v>0.25</v>
      </c>
      <c r="AE588" s="6" t="s">
        <v>122</v>
      </c>
      <c r="AF588" s="6" t="s">
        <v>122</v>
      </c>
      <c r="AG588" s="6" t="s">
        <v>122</v>
      </c>
      <c r="AJ588" s="1"/>
    </row>
    <row r="589" spans="27:39" x14ac:dyDescent="0.25">
      <c r="AA589" s="6" t="s">
        <v>213</v>
      </c>
      <c r="AJ589" s="1"/>
    </row>
    <row r="590" spans="27:39" x14ac:dyDescent="0.25">
      <c r="AA590" s="6" t="s">
        <v>214</v>
      </c>
      <c r="AJ590" s="1"/>
    </row>
    <row r="591" spans="27:39" x14ac:dyDescent="0.25">
      <c r="AJ591" s="1"/>
    </row>
    <row r="592" spans="27:39" x14ac:dyDescent="0.25">
      <c r="AA592" s="9" t="s">
        <v>17</v>
      </c>
      <c r="AJ592" s="1"/>
    </row>
    <row r="593" spans="27:36" x14ac:dyDescent="0.25">
      <c r="AB593" s="6" t="s">
        <v>215</v>
      </c>
      <c r="AJ593" s="1"/>
    </row>
    <row r="594" spans="27:36" x14ac:dyDescent="0.25">
      <c r="AB594" s="6" t="s">
        <v>216</v>
      </c>
      <c r="AJ594" s="1"/>
    </row>
    <row r="595" spans="27:36" x14ac:dyDescent="0.25">
      <c r="AA595" s="6" t="s">
        <v>209</v>
      </c>
      <c r="AB595" s="6">
        <v>0</v>
      </c>
      <c r="AC595" s="6">
        <v>1</v>
      </c>
      <c r="AD595" s="6">
        <v>2</v>
      </c>
      <c r="AE595" s="6">
        <v>3</v>
      </c>
      <c r="AF595" s="6">
        <v>4</v>
      </c>
      <c r="AG595" s="6">
        <v>5</v>
      </c>
      <c r="AJ595" s="1"/>
    </row>
    <row r="596" spans="27:36" x14ac:dyDescent="0.25">
      <c r="AA596" s="6">
        <v>0</v>
      </c>
      <c r="AB596" s="6">
        <v>0</v>
      </c>
      <c r="AC596" s="6">
        <v>0</v>
      </c>
      <c r="AD596" s="6">
        <v>0</v>
      </c>
      <c r="AE596" s="6">
        <v>0</v>
      </c>
      <c r="AF596" s="6">
        <v>0</v>
      </c>
      <c r="AG596" s="6">
        <v>0</v>
      </c>
      <c r="AJ596" s="1"/>
    </row>
    <row r="597" spans="27:36" x14ac:dyDescent="0.25">
      <c r="AA597" s="6">
        <v>1</v>
      </c>
      <c r="AB597" s="6">
        <v>0</v>
      </c>
      <c r="AC597" s="6">
        <v>0.375</v>
      </c>
      <c r="AD597" s="6">
        <v>0.70499999999999996</v>
      </c>
      <c r="AE597" s="6">
        <v>1.0349999999999999</v>
      </c>
      <c r="AF597" s="6">
        <v>1.42</v>
      </c>
      <c r="AG597" s="6">
        <v>1.8879999999999999</v>
      </c>
      <c r="AJ597" s="1"/>
    </row>
    <row r="598" spans="27:36" x14ac:dyDescent="0.25">
      <c r="AA598" s="6">
        <v>2</v>
      </c>
      <c r="AB598" s="6">
        <v>0</v>
      </c>
      <c r="AC598" s="6">
        <v>0.33100000000000002</v>
      </c>
      <c r="AD598" s="6">
        <v>0.65</v>
      </c>
      <c r="AE598" s="6">
        <v>0.98</v>
      </c>
      <c r="AF598" s="6">
        <v>1.365</v>
      </c>
      <c r="AG598" s="6">
        <v>1.8049999999999999</v>
      </c>
      <c r="AJ598" s="1"/>
    </row>
    <row r="599" spans="27:36" x14ac:dyDescent="0.25">
      <c r="AA599" s="6">
        <v>3</v>
      </c>
      <c r="AB599" s="6">
        <v>-8.0000000000000002E-3</v>
      </c>
      <c r="AC599" s="6">
        <v>0.27600000000000002</v>
      </c>
      <c r="AD599" s="6">
        <v>0.59499999999999997</v>
      </c>
      <c r="AE599" s="6">
        <v>0.92500000000000004</v>
      </c>
      <c r="AF599" s="6">
        <v>1.288</v>
      </c>
      <c r="AG599" s="6">
        <v>1.7170000000000001</v>
      </c>
      <c r="AJ599" s="1"/>
    </row>
    <row r="600" spans="27:36" x14ac:dyDescent="0.25">
      <c r="AA600" s="6">
        <v>4</v>
      </c>
      <c r="AB600" s="6">
        <v>-0.01</v>
      </c>
      <c r="AC600" s="6">
        <v>0.23200000000000001</v>
      </c>
      <c r="AD600" s="6">
        <v>0.54</v>
      </c>
      <c r="AE600" s="6">
        <v>0.84799999999999998</v>
      </c>
      <c r="AF600" s="6">
        <v>1.2110000000000001</v>
      </c>
      <c r="AG600" s="6">
        <v>1.6180000000000001</v>
      </c>
      <c r="AJ600" s="1"/>
    </row>
    <row r="601" spans="27:36" x14ac:dyDescent="0.25">
      <c r="AA601" s="6">
        <v>5</v>
      </c>
      <c r="AB601" s="6">
        <v>-1.2999999999999999E-2</v>
      </c>
      <c r="AC601" s="6">
        <v>0.19900000000000001</v>
      </c>
      <c r="AD601" s="6">
        <v>0.48499999999999999</v>
      </c>
      <c r="AE601" s="6">
        <v>0.76</v>
      </c>
      <c r="AF601" s="6">
        <v>1.123</v>
      </c>
      <c r="AG601" s="6">
        <v>1.53</v>
      </c>
      <c r="AJ601" s="1"/>
    </row>
    <row r="602" spans="27:36" x14ac:dyDescent="0.25">
      <c r="AA602" s="6">
        <v>6</v>
      </c>
      <c r="AB602" s="6">
        <v>-1.4999999999999999E-2</v>
      </c>
      <c r="AC602" s="6">
        <v>0.183</v>
      </c>
      <c r="AD602" s="6">
        <v>0.43</v>
      </c>
      <c r="AE602" s="6">
        <v>0.70499999999999996</v>
      </c>
      <c r="AF602" s="6">
        <v>1.046</v>
      </c>
      <c r="AG602" s="6">
        <v>1.431</v>
      </c>
      <c r="AJ602" s="1"/>
    </row>
    <row r="603" spans="27:36" x14ac:dyDescent="0.25">
      <c r="AA603" s="6">
        <v>7</v>
      </c>
      <c r="AB603" s="6">
        <v>-1.7999999999999999E-2</v>
      </c>
      <c r="AC603" s="6">
        <v>0.155</v>
      </c>
      <c r="AD603" s="6">
        <v>0.375</v>
      </c>
      <c r="AE603" s="6">
        <v>0.65</v>
      </c>
      <c r="AF603" s="6">
        <v>0.96899999999999997</v>
      </c>
      <c r="AG603" s="6">
        <v>1.3320000000000001</v>
      </c>
      <c r="AJ603" s="1"/>
    </row>
    <row r="604" spans="27:36" x14ac:dyDescent="0.25">
      <c r="AA604" s="6">
        <v>8</v>
      </c>
      <c r="AB604" s="6">
        <v>-0.02</v>
      </c>
      <c r="AC604" s="6">
        <v>0.128</v>
      </c>
      <c r="AD604" s="6">
        <v>0.32</v>
      </c>
      <c r="AE604" s="6">
        <v>0.57299999999999995</v>
      </c>
      <c r="AF604" s="6">
        <v>0.88100000000000001</v>
      </c>
      <c r="AG604" s="6">
        <v>1.228</v>
      </c>
      <c r="AJ604" s="1"/>
    </row>
    <row r="605" spans="27:36" x14ac:dyDescent="0.25">
      <c r="AA605" s="6">
        <v>9</v>
      </c>
      <c r="AB605" s="6">
        <v>-2.5000000000000001E-2</v>
      </c>
      <c r="AC605" s="6">
        <v>0.1</v>
      </c>
      <c r="AD605" s="6">
        <v>0.26500000000000001</v>
      </c>
      <c r="AE605" s="6">
        <v>0.496</v>
      </c>
      <c r="AF605" s="6">
        <v>0.79300000000000004</v>
      </c>
      <c r="AG605" s="6">
        <v>1.123</v>
      </c>
      <c r="AJ605" s="1"/>
    </row>
    <row r="606" spans="27:36" x14ac:dyDescent="0.25">
      <c r="AJ606" s="1"/>
    </row>
    <row r="607" spans="27:36" x14ac:dyDescent="0.25">
      <c r="AB607" s="6" t="s">
        <v>218</v>
      </c>
      <c r="AJ607" s="1"/>
    </row>
    <row r="608" spans="27:36" x14ac:dyDescent="0.25">
      <c r="AB608" s="6" t="s">
        <v>216</v>
      </c>
      <c r="AJ608" s="1"/>
    </row>
    <row r="609" spans="27:36" x14ac:dyDescent="0.25">
      <c r="AA609" s="6" t="s">
        <v>209</v>
      </c>
      <c r="AB609" s="6">
        <v>0</v>
      </c>
      <c r="AC609" s="6">
        <v>1</v>
      </c>
      <c r="AD609" s="6">
        <v>2</v>
      </c>
      <c r="AE609" s="6">
        <v>3</v>
      </c>
      <c r="AF609" s="6">
        <v>4</v>
      </c>
      <c r="AG609" s="6">
        <v>5</v>
      </c>
      <c r="AJ609" s="1"/>
    </row>
    <row r="610" spans="27:36" x14ac:dyDescent="0.25">
      <c r="AA610" s="6">
        <v>0</v>
      </c>
      <c r="AB610" s="6">
        <v>0</v>
      </c>
      <c r="AC610" s="6">
        <v>0</v>
      </c>
      <c r="AD610" s="6">
        <v>0</v>
      </c>
      <c r="AE610" s="6">
        <v>0</v>
      </c>
      <c r="AF610" s="6">
        <v>0</v>
      </c>
      <c r="AG610" s="6">
        <v>0</v>
      </c>
      <c r="AJ610" s="1"/>
    </row>
    <row r="611" spans="27:36" x14ac:dyDescent="0.25">
      <c r="AA611" s="6">
        <v>1</v>
      </c>
      <c r="AB611" s="6">
        <v>0</v>
      </c>
      <c r="AC611" s="6">
        <v>0.32</v>
      </c>
      <c r="AD611" s="6">
        <v>0.60599999999999998</v>
      </c>
      <c r="AE611" s="6">
        <v>0.89800000000000002</v>
      </c>
      <c r="AF611" s="6">
        <v>1.228</v>
      </c>
      <c r="AG611" s="6">
        <v>1.585</v>
      </c>
      <c r="AJ611" s="1"/>
    </row>
    <row r="612" spans="27:36" x14ac:dyDescent="0.25">
      <c r="AA612" s="6">
        <v>2</v>
      </c>
      <c r="AB612" s="6">
        <v>0</v>
      </c>
      <c r="AC612" s="6">
        <v>0.27600000000000002</v>
      </c>
      <c r="AD612" s="6">
        <v>0.55100000000000005</v>
      </c>
      <c r="AE612" s="6">
        <v>0.84299999999999997</v>
      </c>
      <c r="AF612" s="6">
        <v>1.167</v>
      </c>
      <c r="AG612" s="6">
        <v>1.508</v>
      </c>
      <c r="AJ612" s="1"/>
    </row>
    <row r="613" spans="27:36" x14ac:dyDescent="0.25">
      <c r="AA613" s="6">
        <v>3</v>
      </c>
      <c r="AB613" s="6">
        <v>-1.4999999999999999E-2</v>
      </c>
      <c r="AC613" s="6">
        <v>0.221</v>
      </c>
      <c r="AD613" s="6">
        <v>0.496</v>
      </c>
      <c r="AE613" s="6">
        <v>0.78200000000000003</v>
      </c>
      <c r="AF613" s="6">
        <v>1.0900000000000001</v>
      </c>
      <c r="AG613" s="6">
        <v>1.431</v>
      </c>
      <c r="AJ613" s="1"/>
    </row>
    <row r="614" spans="27:36" x14ac:dyDescent="0.25">
      <c r="AA614" s="6">
        <v>4</v>
      </c>
      <c r="AB614" s="6">
        <v>-0.02</v>
      </c>
      <c r="AC614" s="6">
        <v>0.17699999999999999</v>
      </c>
      <c r="AD614" s="6">
        <v>0.441</v>
      </c>
      <c r="AE614" s="6">
        <v>0.70499999999999996</v>
      </c>
      <c r="AF614" s="6">
        <v>1.0129999999999999</v>
      </c>
      <c r="AG614" s="6">
        <v>1.343</v>
      </c>
      <c r="AJ614" s="1"/>
    </row>
    <row r="615" spans="27:36" x14ac:dyDescent="0.25">
      <c r="AA615" s="6">
        <v>5</v>
      </c>
      <c r="AB615" s="6">
        <v>-2.5000000000000001E-2</v>
      </c>
      <c r="AC615" s="6">
        <v>0.155</v>
      </c>
      <c r="AD615" s="6">
        <v>0.39700000000000002</v>
      </c>
      <c r="AE615" s="6">
        <v>0.63900000000000001</v>
      </c>
      <c r="AF615" s="6">
        <v>0.93600000000000005</v>
      </c>
      <c r="AG615" s="6">
        <v>1.2549999999999999</v>
      </c>
      <c r="AJ615" s="1"/>
    </row>
    <row r="616" spans="27:36" x14ac:dyDescent="0.25">
      <c r="AA616" s="6">
        <v>6</v>
      </c>
      <c r="AB616" s="6">
        <v>-0.03</v>
      </c>
      <c r="AC616" s="6">
        <v>0.14399999999999999</v>
      </c>
      <c r="AD616" s="6">
        <v>0.35299999999999998</v>
      </c>
      <c r="AE616" s="6">
        <v>0.58399999999999996</v>
      </c>
      <c r="AF616" s="6">
        <v>0.88100000000000001</v>
      </c>
      <c r="AG616" s="6">
        <v>1.2</v>
      </c>
      <c r="AJ616" s="1"/>
    </row>
    <row r="617" spans="27:36" x14ac:dyDescent="0.25">
      <c r="AA617" s="6">
        <v>7</v>
      </c>
      <c r="AB617" s="6">
        <v>-3.5000000000000003E-2</v>
      </c>
      <c r="AC617" s="6">
        <v>0.13300000000000001</v>
      </c>
      <c r="AD617" s="6">
        <v>0.309</v>
      </c>
      <c r="AE617" s="6">
        <v>0.54</v>
      </c>
      <c r="AF617" s="6">
        <v>0.81499999999999995</v>
      </c>
      <c r="AG617" s="6">
        <v>1.123</v>
      </c>
      <c r="AJ617" s="1"/>
    </row>
    <row r="618" spans="27:36" x14ac:dyDescent="0.25">
      <c r="AA618" s="6">
        <v>8</v>
      </c>
      <c r="AB618" s="6">
        <v>-0.04</v>
      </c>
      <c r="AC618" s="6">
        <v>0.11700000000000001</v>
      </c>
      <c r="AD618" s="6">
        <v>0.254</v>
      </c>
      <c r="AE618" s="6">
        <v>0.48499999999999999</v>
      </c>
      <c r="AF618" s="6">
        <v>0.749</v>
      </c>
      <c r="AG618" s="6">
        <v>1.0569999999999999</v>
      </c>
      <c r="AJ618" s="1"/>
    </row>
    <row r="619" spans="27:36" x14ac:dyDescent="0.25">
      <c r="AA619" s="6">
        <v>9</v>
      </c>
      <c r="AB619" s="6">
        <v>-0.05</v>
      </c>
      <c r="AC619" s="6">
        <v>0.1</v>
      </c>
      <c r="AD619" s="6">
        <v>0.21</v>
      </c>
      <c r="AE619" s="6">
        <v>0.43</v>
      </c>
      <c r="AF619" s="6">
        <v>0.69399999999999995</v>
      </c>
      <c r="AG619" s="6">
        <v>0.99099999999999999</v>
      </c>
      <c r="AJ619" s="1"/>
    </row>
    <row r="620" spans="27:36" x14ac:dyDescent="0.25">
      <c r="AA620" s="6" t="s">
        <v>217</v>
      </c>
      <c r="AJ620" s="1"/>
    </row>
    <row r="621" spans="27:36" x14ac:dyDescent="0.25">
      <c r="AJ621" s="1"/>
    </row>
    <row r="622" spans="27:36" x14ac:dyDescent="0.25">
      <c r="AB622" s="6" t="s">
        <v>220</v>
      </c>
      <c r="AJ622" s="1"/>
    </row>
    <row r="623" spans="27:36" x14ac:dyDescent="0.25">
      <c r="AB623" s="6" t="s">
        <v>216</v>
      </c>
      <c r="AJ623" s="1"/>
    </row>
    <row r="624" spans="27:36" x14ac:dyDescent="0.25">
      <c r="AA624" s="6" t="s">
        <v>209</v>
      </c>
      <c r="AB624" s="6">
        <v>0</v>
      </c>
      <c r="AC624" s="6">
        <v>1</v>
      </c>
      <c r="AD624" s="6">
        <v>2</v>
      </c>
      <c r="AE624" s="6">
        <v>3</v>
      </c>
      <c r="AF624" s="6">
        <v>4</v>
      </c>
      <c r="AG624" s="6">
        <v>5</v>
      </c>
      <c r="AJ624" s="1"/>
    </row>
    <row r="625" spans="27:36" x14ac:dyDescent="0.25">
      <c r="AA625" s="6">
        <v>0</v>
      </c>
      <c r="AB625" s="6">
        <v>0</v>
      </c>
      <c r="AC625" s="6">
        <v>0</v>
      </c>
      <c r="AD625" s="6">
        <v>0</v>
      </c>
      <c r="AE625" s="6">
        <v>0</v>
      </c>
      <c r="AF625" s="6">
        <v>0</v>
      </c>
      <c r="AG625" s="6">
        <v>0</v>
      </c>
      <c r="AJ625" s="1"/>
    </row>
    <row r="626" spans="27:36" x14ac:dyDescent="0.25">
      <c r="AA626" s="6">
        <v>1</v>
      </c>
      <c r="AB626" s="6">
        <v>0</v>
      </c>
      <c r="AC626" s="6">
        <v>0.26500000000000001</v>
      </c>
      <c r="AD626" s="6">
        <v>0.496</v>
      </c>
      <c r="AE626" s="6">
        <v>0.73799999999999999</v>
      </c>
      <c r="AF626" s="6">
        <v>0.99099999999999999</v>
      </c>
      <c r="AG626" s="6">
        <v>1.2549999999999999</v>
      </c>
      <c r="AJ626" s="1"/>
    </row>
    <row r="627" spans="27:36" x14ac:dyDescent="0.25">
      <c r="AA627" s="6">
        <v>2</v>
      </c>
      <c r="AB627" s="6">
        <v>0</v>
      </c>
      <c r="AC627" s="6">
        <v>0.23200000000000001</v>
      </c>
      <c r="AD627" s="6">
        <v>0.46300000000000002</v>
      </c>
      <c r="AE627" s="6">
        <v>0.70499999999999996</v>
      </c>
      <c r="AF627" s="6">
        <v>0.95299999999999996</v>
      </c>
      <c r="AG627" s="6">
        <v>1.2</v>
      </c>
      <c r="AJ627" s="1"/>
    </row>
    <row r="628" spans="27:36" x14ac:dyDescent="0.25">
      <c r="AA628" s="6">
        <v>3</v>
      </c>
      <c r="AB628" s="6">
        <v>-0.04</v>
      </c>
      <c r="AC628" s="6">
        <v>0.183</v>
      </c>
      <c r="AD628" s="6">
        <v>0.40799999999999997</v>
      </c>
      <c r="AE628" s="6">
        <v>0.65</v>
      </c>
      <c r="AF628" s="6">
        <v>0.89200000000000002</v>
      </c>
      <c r="AG628" s="6">
        <v>1.1339999999999999</v>
      </c>
      <c r="AJ628" s="1"/>
    </row>
    <row r="629" spans="27:36" x14ac:dyDescent="0.25">
      <c r="AA629" s="6">
        <v>4</v>
      </c>
      <c r="AB629" s="6">
        <v>-4.4999999999999998E-2</v>
      </c>
      <c r="AC629" s="6">
        <v>0.15</v>
      </c>
      <c r="AD629" s="6">
        <v>0.375</v>
      </c>
      <c r="AE629" s="6">
        <v>0.59499999999999997</v>
      </c>
      <c r="AF629" s="6">
        <v>0.83699999999999997</v>
      </c>
      <c r="AG629" s="6">
        <v>1.079</v>
      </c>
      <c r="AJ629" s="1"/>
    </row>
    <row r="630" spans="27:36" x14ac:dyDescent="0.25">
      <c r="AA630" s="6">
        <v>5</v>
      </c>
      <c r="AB630" s="6">
        <v>-0.05</v>
      </c>
      <c r="AC630" s="6">
        <v>0.128</v>
      </c>
      <c r="AD630" s="6">
        <v>0.34200000000000003</v>
      </c>
      <c r="AE630" s="6">
        <v>0.54</v>
      </c>
      <c r="AF630" s="6">
        <v>0.77100000000000002</v>
      </c>
      <c r="AG630" s="6">
        <v>1.0129999999999999</v>
      </c>
      <c r="AJ630" s="1"/>
    </row>
    <row r="631" spans="27:36" x14ac:dyDescent="0.25">
      <c r="AA631" s="6">
        <v>6</v>
      </c>
      <c r="AB631" s="6">
        <v>-5.5E-2</v>
      </c>
      <c r="AC631" s="6">
        <v>0.11700000000000001</v>
      </c>
      <c r="AD631" s="6">
        <v>0.29799999999999999</v>
      </c>
      <c r="AE631" s="6">
        <v>0.496</v>
      </c>
      <c r="AF631" s="6">
        <v>0.72699999999999998</v>
      </c>
      <c r="AG631" s="6">
        <v>0.96899999999999997</v>
      </c>
      <c r="AJ631" s="1"/>
    </row>
    <row r="632" spans="27:36" x14ac:dyDescent="0.25">
      <c r="AA632" s="6">
        <v>7</v>
      </c>
      <c r="AB632" s="6">
        <v>-0.06</v>
      </c>
      <c r="AC632" s="6">
        <v>0.106</v>
      </c>
      <c r="AD632" s="6">
        <v>0.26500000000000001</v>
      </c>
      <c r="AE632" s="6">
        <v>0.45800000000000002</v>
      </c>
      <c r="AF632" s="6">
        <v>0.67800000000000005</v>
      </c>
      <c r="AG632" s="6">
        <v>0.91400000000000003</v>
      </c>
      <c r="AI632" s="6">
        <v>0</v>
      </c>
      <c r="AJ632" s="1">
        <f>VLOOKUP($E$55,$AA$596:$AG$605,MATCH(0,$AA$595:$AG$595,0),TRUE)</f>
        <v>-8.0000000000000002E-3</v>
      </c>
    </row>
    <row r="633" spans="27:36" x14ac:dyDescent="0.25">
      <c r="AA633" s="6">
        <v>8</v>
      </c>
      <c r="AB633" s="6">
        <v>-6.5000000000000002E-2</v>
      </c>
      <c r="AC633" s="6">
        <v>8.8999999999999996E-2</v>
      </c>
      <c r="AD633" s="6">
        <v>0.221</v>
      </c>
      <c r="AE633" s="6">
        <v>0.40799999999999997</v>
      </c>
      <c r="AF633" s="6">
        <v>0.623</v>
      </c>
      <c r="AG633" s="6">
        <v>0.85899999999999999</v>
      </c>
      <c r="AI633" s="6">
        <v>2000000</v>
      </c>
      <c r="AJ633" s="1">
        <f>VLOOKUP($E$55,$AA$610:$AG$619,MATCH(0,$AA$609:$AG$609,0),TRUE)</f>
        <v>-1.4999999999999999E-2</v>
      </c>
    </row>
    <row r="634" spans="27:36" x14ac:dyDescent="0.25">
      <c r="AA634" s="6">
        <v>9</v>
      </c>
      <c r="AB634" s="6">
        <v>-7.4999999999999997E-2</v>
      </c>
      <c r="AC634" s="6">
        <v>7.2999999999999995E-2</v>
      </c>
      <c r="AD634" s="6">
        <v>0.183</v>
      </c>
      <c r="AE634" s="6">
        <v>0.36399999999999999</v>
      </c>
      <c r="AF634" s="6">
        <v>0.57299999999999995</v>
      </c>
      <c r="AG634" s="6">
        <v>0.80400000000000005</v>
      </c>
      <c r="AI634" s="6">
        <v>5000000</v>
      </c>
      <c r="AJ634" s="1">
        <f>VLOOKUP($E$55,$AA$625:$AG$634,MATCH(0,$AA$624:$AG$624,0),TRUE)</f>
        <v>-0.04</v>
      </c>
    </row>
    <row r="635" spans="27:36" x14ac:dyDescent="0.25">
      <c r="AA635" s="6" t="s">
        <v>219</v>
      </c>
      <c r="AJ635" s="1"/>
    </row>
    <row r="636" spans="27:36" x14ac:dyDescent="0.25">
      <c r="AJ636" s="1"/>
    </row>
    <row r="637" spans="27:36" x14ac:dyDescent="0.25">
      <c r="AB637" s="6" t="s">
        <v>221</v>
      </c>
      <c r="AJ637" s="1"/>
    </row>
    <row r="638" spans="27:36" x14ac:dyDescent="0.25">
      <c r="AB638" s="6" t="s">
        <v>216</v>
      </c>
      <c r="AJ638" s="1"/>
    </row>
    <row r="639" spans="27:36" x14ac:dyDescent="0.25">
      <c r="AA639" s="6" t="s">
        <v>209</v>
      </c>
      <c r="AB639" s="6">
        <v>0</v>
      </c>
      <c r="AC639" s="6">
        <v>1</v>
      </c>
      <c r="AD639" s="6">
        <v>2</v>
      </c>
      <c r="AE639" s="6">
        <v>3</v>
      </c>
      <c r="AF639" s="6">
        <v>4</v>
      </c>
      <c r="AG639" s="6">
        <v>5</v>
      </c>
      <c r="AJ639" s="1"/>
    </row>
    <row r="640" spans="27:36" x14ac:dyDescent="0.25">
      <c r="AA640" s="6">
        <v>0</v>
      </c>
      <c r="AB640" s="6">
        <v>0</v>
      </c>
      <c r="AC640" s="6">
        <v>0</v>
      </c>
      <c r="AD640" s="6">
        <v>0</v>
      </c>
      <c r="AE640" s="6">
        <v>0</v>
      </c>
      <c r="AF640" s="6">
        <v>0</v>
      </c>
      <c r="AG640" s="6">
        <v>0</v>
      </c>
      <c r="AJ640" s="1"/>
    </row>
    <row r="641" spans="27:36" x14ac:dyDescent="0.25">
      <c r="AA641" s="6">
        <v>1</v>
      </c>
      <c r="AB641" s="6">
        <v>0</v>
      </c>
      <c r="AC641" s="6">
        <v>0.375</v>
      </c>
      <c r="AD641" s="6">
        <v>0.70499999999999996</v>
      </c>
      <c r="AE641" s="6">
        <v>1.0349999999999999</v>
      </c>
      <c r="AF641" s="6">
        <v>1.42</v>
      </c>
      <c r="AG641" s="6">
        <v>1.8879999999999999</v>
      </c>
      <c r="AJ641" s="1"/>
    </row>
    <row r="642" spans="27:36" x14ac:dyDescent="0.25">
      <c r="AA642" s="6">
        <v>2</v>
      </c>
      <c r="AB642" s="6">
        <v>0</v>
      </c>
      <c r="AC642" s="6">
        <v>0.33100000000000002</v>
      </c>
      <c r="AD642" s="6">
        <v>0.65</v>
      </c>
      <c r="AE642" s="6">
        <v>0.98</v>
      </c>
      <c r="AF642" s="6">
        <v>1.365</v>
      </c>
      <c r="AG642" s="6">
        <v>1.8049999999999999</v>
      </c>
      <c r="AJ642" s="1"/>
    </row>
    <row r="643" spans="27:36" x14ac:dyDescent="0.25">
      <c r="AA643" s="6">
        <v>3</v>
      </c>
      <c r="AB643" s="6">
        <v>-8.0000000000000002E-3</v>
      </c>
      <c r="AC643" s="6">
        <v>0.27600000000000002</v>
      </c>
      <c r="AD643" s="6">
        <v>0.59499999999999997</v>
      </c>
      <c r="AE643" s="6">
        <v>0.92500000000000004</v>
      </c>
      <c r="AF643" s="6">
        <v>1.288</v>
      </c>
      <c r="AG643" s="6">
        <v>1.7170000000000001</v>
      </c>
      <c r="AJ643" s="1"/>
    </row>
    <row r="644" spans="27:36" x14ac:dyDescent="0.25">
      <c r="AA644" s="6">
        <v>4</v>
      </c>
      <c r="AB644" s="6">
        <v>-0.01</v>
      </c>
      <c r="AC644" s="6">
        <v>0.23200000000000001</v>
      </c>
      <c r="AD644" s="6">
        <v>0.54</v>
      </c>
      <c r="AE644" s="6">
        <v>0.84799999999999998</v>
      </c>
      <c r="AF644" s="6">
        <v>1.2110000000000001</v>
      </c>
      <c r="AG644" s="6">
        <v>1.6180000000000001</v>
      </c>
      <c r="AJ644" s="1"/>
    </row>
    <row r="645" spans="27:36" x14ac:dyDescent="0.25">
      <c r="AA645" s="6">
        <v>5</v>
      </c>
      <c r="AB645" s="6">
        <v>-1.2999999999999999E-2</v>
      </c>
      <c r="AC645" s="6">
        <v>0.19900000000000001</v>
      </c>
      <c r="AD645" s="6">
        <v>0.48499999999999999</v>
      </c>
      <c r="AE645" s="6">
        <v>0.76</v>
      </c>
      <c r="AF645" s="6">
        <v>1.123</v>
      </c>
      <c r="AG645" s="6">
        <v>1.53</v>
      </c>
      <c r="AJ645" s="1"/>
    </row>
    <row r="646" spans="27:36" x14ac:dyDescent="0.25">
      <c r="AA646" s="6">
        <v>6</v>
      </c>
      <c r="AB646" s="6">
        <v>-1.4999999999999999E-2</v>
      </c>
      <c r="AC646" s="6">
        <v>0.183</v>
      </c>
      <c r="AD646" s="6">
        <v>0.43</v>
      </c>
      <c r="AE646" s="6">
        <v>0.70499999999999996</v>
      </c>
      <c r="AF646" s="6">
        <v>1.046</v>
      </c>
      <c r="AG646" s="6">
        <v>1.431</v>
      </c>
      <c r="AJ646" s="1"/>
    </row>
    <row r="647" spans="27:36" x14ac:dyDescent="0.25">
      <c r="AA647" s="6">
        <v>7</v>
      </c>
      <c r="AB647" s="6">
        <v>-1.7999999999999999E-2</v>
      </c>
      <c r="AC647" s="6">
        <v>0.155</v>
      </c>
      <c r="AD647" s="6">
        <v>0.375</v>
      </c>
      <c r="AE647" s="6">
        <v>0.65</v>
      </c>
      <c r="AF647" s="6">
        <v>0.96899999999999997</v>
      </c>
      <c r="AG647" s="6">
        <v>1.3320000000000001</v>
      </c>
      <c r="AJ647" s="1"/>
    </row>
    <row r="648" spans="27:36" x14ac:dyDescent="0.25">
      <c r="AA648" s="6">
        <v>8</v>
      </c>
      <c r="AB648" s="6">
        <v>-0.02</v>
      </c>
      <c r="AC648" s="6">
        <v>0.128</v>
      </c>
      <c r="AD648" s="6">
        <v>0.32</v>
      </c>
      <c r="AE648" s="6">
        <v>0.57299999999999995</v>
      </c>
      <c r="AF648" s="6">
        <v>0.88100000000000001</v>
      </c>
      <c r="AG648" s="6">
        <v>1.228</v>
      </c>
      <c r="AJ648" s="1"/>
    </row>
    <row r="649" spans="27:36" x14ac:dyDescent="0.25">
      <c r="AA649" s="6">
        <v>9</v>
      </c>
      <c r="AB649" s="6">
        <v>-2.5000000000000001E-2</v>
      </c>
      <c r="AC649" s="6">
        <v>0.1</v>
      </c>
      <c r="AD649" s="6">
        <v>0.26500000000000001</v>
      </c>
      <c r="AE649" s="6">
        <v>0.496</v>
      </c>
      <c r="AF649" s="6">
        <v>0.79300000000000004</v>
      </c>
      <c r="AG649" s="6">
        <v>1.123</v>
      </c>
      <c r="AJ649" s="1"/>
    </row>
    <row r="650" spans="27:36" x14ac:dyDescent="0.25">
      <c r="AJ650" s="1"/>
    </row>
    <row r="651" spans="27:36" x14ac:dyDescent="0.25">
      <c r="AB651" s="6" t="s">
        <v>222</v>
      </c>
      <c r="AJ651" s="1"/>
    </row>
    <row r="652" spans="27:36" x14ac:dyDescent="0.25">
      <c r="AA652" s="6" t="s">
        <v>209</v>
      </c>
      <c r="AB652" s="6">
        <v>0</v>
      </c>
      <c r="AC652" s="6">
        <v>1</v>
      </c>
      <c r="AD652" s="6">
        <v>2</v>
      </c>
      <c r="AE652" s="6">
        <v>3</v>
      </c>
      <c r="AF652" s="6">
        <v>4</v>
      </c>
      <c r="AG652" s="6">
        <v>5</v>
      </c>
      <c r="AJ652" s="1"/>
    </row>
    <row r="653" spans="27:36" x14ac:dyDescent="0.25">
      <c r="AA653" s="6">
        <v>0</v>
      </c>
      <c r="AB653" s="6">
        <v>0</v>
      </c>
      <c r="AC653" s="6">
        <v>0</v>
      </c>
      <c r="AD653" s="6">
        <v>0</v>
      </c>
      <c r="AE653" s="6">
        <v>0</v>
      </c>
      <c r="AF653" s="6">
        <v>0</v>
      </c>
      <c r="AG653" s="6">
        <v>0</v>
      </c>
      <c r="AJ653" s="1"/>
    </row>
    <row r="654" spans="27:36" x14ac:dyDescent="0.25">
      <c r="AA654" s="6">
        <v>1</v>
      </c>
      <c r="AB654" s="6">
        <v>0</v>
      </c>
      <c r="AC654" s="6">
        <v>0.32</v>
      </c>
      <c r="AD654" s="6">
        <v>0.60599999999999998</v>
      </c>
      <c r="AE654" s="6">
        <v>0.89800000000000002</v>
      </c>
      <c r="AF654" s="6">
        <v>1.228</v>
      </c>
      <c r="AG654" s="6">
        <v>1.585</v>
      </c>
      <c r="AJ654" s="1"/>
    </row>
    <row r="655" spans="27:36" x14ac:dyDescent="0.25">
      <c r="AA655" s="6">
        <v>2</v>
      </c>
      <c r="AB655" s="6">
        <v>0</v>
      </c>
      <c r="AC655" s="6">
        <v>0.27600000000000002</v>
      </c>
      <c r="AD655" s="6">
        <v>0.55100000000000005</v>
      </c>
      <c r="AE655" s="6">
        <v>0.84299999999999997</v>
      </c>
      <c r="AF655" s="6">
        <v>1.167</v>
      </c>
      <c r="AG655" s="6">
        <v>1.508</v>
      </c>
      <c r="AJ655" s="1"/>
    </row>
    <row r="656" spans="27:36" x14ac:dyDescent="0.25">
      <c r="AA656" s="6">
        <v>3</v>
      </c>
      <c r="AB656" s="6">
        <v>-1.4999999999999999E-2</v>
      </c>
      <c r="AC656" s="6">
        <v>0.221</v>
      </c>
      <c r="AD656" s="6">
        <v>0.496</v>
      </c>
      <c r="AE656" s="6">
        <v>0.78200000000000003</v>
      </c>
      <c r="AF656" s="6">
        <v>1.0900000000000001</v>
      </c>
      <c r="AG656" s="6">
        <v>1.431</v>
      </c>
      <c r="AJ656" s="1"/>
    </row>
    <row r="657" spans="27:36" x14ac:dyDescent="0.25">
      <c r="AA657" s="6">
        <v>4</v>
      </c>
      <c r="AB657" s="6">
        <v>-0.02</v>
      </c>
      <c r="AC657" s="6">
        <v>0.17699999999999999</v>
      </c>
      <c r="AD657" s="6">
        <v>0.441</v>
      </c>
      <c r="AE657" s="6">
        <v>0.70499999999999996</v>
      </c>
      <c r="AF657" s="6">
        <v>1.0129999999999999</v>
      </c>
      <c r="AG657" s="6">
        <v>1.343</v>
      </c>
      <c r="AJ657" s="1"/>
    </row>
    <row r="658" spans="27:36" x14ac:dyDescent="0.25">
      <c r="AA658" s="6">
        <v>5</v>
      </c>
      <c r="AB658" s="6">
        <v>-2.5000000000000001E-2</v>
      </c>
      <c r="AC658" s="6">
        <v>0.155</v>
      </c>
      <c r="AD658" s="6">
        <v>0.39700000000000002</v>
      </c>
      <c r="AE658" s="6">
        <v>0.63900000000000001</v>
      </c>
      <c r="AF658" s="6">
        <v>0.93600000000000005</v>
      </c>
      <c r="AG658" s="6">
        <v>1.2549999999999999</v>
      </c>
      <c r="AJ658" s="1"/>
    </row>
    <row r="659" spans="27:36" x14ac:dyDescent="0.25">
      <c r="AA659" s="6">
        <v>6</v>
      </c>
      <c r="AB659" s="6">
        <v>-0.03</v>
      </c>
      <c r="AC659" s="6">
        <v>0.14399999999999999</v>
      </c>
      <c r="AD659" s="6">
        <v>0.35299999999999998</v>
      </c>
      <c r="AE659" s="6">
        <v>0.58399999999999996</v>
      </c>
      <c r="AF659" s="6">
        <v>0.88100000000000001</v>
      </c>
      <c r="AG659" s="6">
        <v>1.2</v>
      </c>
      <c r="AJ659" s="1"/>
    </row>
    <row r="660" spans="27:36" x14ac:dyDescent="0.25">
      <c r="AA660" s="6">
        <v>7</v>
      </c>
      <c r="AB660" s="6">
        <v>-3.5000000000000003E-2</v>
      </c>
      <c r="AC660" s="6">
        <v>0.13300000000000001</v>
      </c>
      <c r="AD660" s="6">
        <v>0.309</v>
      </c>
      <c r="AE660" s="6">
        <v>0.54</v>
      </c>
      <c r="AF660" s="6">
        <v>0.81499999999999995</v>
      </c>
      <c r="AG660" s="6">
        <v>1.123</v>
      </c>
      <c r="AJ660" s="1"/>
    </row>
    <row r="661" spans="27:36" x14ac:dyDescent="0.25">
      <c r="AA661" s="6">
        <v>8</v>
      </c>
      <c r="AB661" s="6">
        <v>-0.04</v>
      </c>
      <c r="AC661" s="6">
        <v>0.11700000000000001</v>
      </c>
      <c r="AD661" s="6">
        <v>0.254</v>
      </c>
      <c r="AE661" s="6">
        <v>0.48499999999999999</v>
      </c>
      <c r="AF661" s="6">
        <v>0.749</v>
      </c>
      <c r="AG661" s="6">
        <v>1.0569999999999999</v>
      </c>
      <c r="AJ661" s="1"/>
    </row>
    <row r="662" spans="27:36" x14ac:dyDescent="0.25">
      <c r="AA662" s="6">
        <v>9</v>
      </c>
      <c r="AB662" s="6">
        <v>-0.05</v>
      </c>
      <c r="AC662" s="6">
        <v>0.1</v>
      </c>
      <c r="AD662" s="6">
        <v>0.21</v>
      </c>
      <c r="AE662" s="6">
        <v>0.43</v>
      </c>
      <c r="AF662" s="6">
        <v>0.69399999999999995</v>
      </c>
      <c r="AG662" s="6">
        <v>0.99099999999999999</v>
      </c>
      <c r="AJ662" s="1"/>
    </row>
    <row r="663" spans="27:36" x14ac:dyDescent="0.25">
      <c r="AA663" s="6" t="s">
        <v>223</v>
      </c>
      <c r="AJ663" s="1"/>
    </row>
    <row r="664" spans="27:36" x14ac:dyDescent="0.25">
      <c r="AJ664" s="1"/>
    </row>
    <row r="665" spans="27:36" x14ac:dyDescent="0.25">
      <c r="AB665" s="6" t="s">
        <v>224</v>
      </c>
      <c r="AJ665" s="1"/>
    </row>
    <row r="666" spans="27:36" x14ac:dyDescent="0.25">
      <c r="AA666" s="6" t="s">
        <v>209</v>
      </c>
      <c r="AB666" s="6">
        <v>0</v>
      </c>
      <c r="AC666" s="6">
        <v>1</v>
      </c>
      <c r="AD666" s="6">
        <v>2</v>
      </c>
      <c r="AE666" s="6">
        <v>3</v>
      </c>
      <c r="AF666" s="6">
        <v>4</v>
      </c>
      <c r="AG666" s="6">
        <v>5</v>
      </c>
      <c r="AJ666" s="1"/>
    </row>
    <row r="667" spans="27:36" x14ac:dyDescent="0.25">
      <c r="AA667" s="6">
        <v>0</v>
      </c>
      <c r="AB667" s="6">
        <v>0</v>
      </c>
      <c r="AC667" s="6">
        <v>0</v>
      </c>
      <c r="AD667" s="6">
        <v>0</v>
      </c>
      <c r="AE667" s="6">
        <v>0</v>
      </c>
      <c r="AF667" s="6">
        <v>0</v>
      </c>
      <c r="AG667" s="6">
        <v>0</v>
      </c>
      <c r="AJ667" s="1"/>
    </row>
    <row r="668" spans="27:36" x14ac:dyDescent="0.25">
      <c r="AA668" s="6">
        <v>1</v>
      </c>
      <c r="AB668" s="6">
        <v>0</v>
      </c>
      <c r="AC668" s="6">
        <v>0.32</v>
      </c>
      <c r="AD668" s="6">
        <v>0.60599999999999998</v>
      </c>
      <c r="AE668" s="6">
        <v>0.89800000000000002</v>
      </c>
      <c r="AF668" s="6">
        <v>1.228</v>
      </c>
      <c r="AG668" s="6">
        <v>1.585</v>
      </c>
      <c r="AJ668" s="1"/>
    </row>
    <row r="669" spans="27:36" x14ac:dyDescent="0.25">
      <c r="AA669" s="6">
        <v>2</v>
      </c>
      <c r="AB669" s="6">
        <v>0</v>
      </c>
      <c r="AC669" s="6">
        <v>0.27600000000000002</v>
      </c>
      <c r="AD669" s="6">
        <v>0.55100000000000005</v>
      </c>
      <c r="AE669" s="6">
        <v>0.84299999999999997</v>
      </c>
      <c r="AF669" s="6">
        <v>1.167</v>
      </c>
      <c r="AG669" s="6">
        <v>1.508</v>
      </c>
      <c r="AJ669" s="1"/>
    </row>
    <row r="670" spans="27:36" x14ac:dyDescent="0.25">
      <c r="AA670" s="6">
        <v>3</v>
      </c>
      <c r="AB670" s="6">
        <v>-1.4999999999999999E-2</v>
      </c>
      <c r="AC670" s="6">
        <v>0.221</v>
      </c>
      <c r="AD670" s="6">
        <v>0.496</v>
      </c>
      <c r="AE670" s="6">
        <v>0.78200000000000003</v>
      </c>
      <c r="AF670" s="6">
        <v>1.0900000000000001</v>
      </c>
      <c r="AG670" s="6">
        <v>1.431</v>
      </c>
      <c r="AJ670" s="1"/>
    </row>
    <row r="671" spans="27:36" x14ac:dyDescent="0.25">
      <c r="AA671" s="6">
        <v>4</v>
      </c>
      <c r="AB671" s="6">
        <v>-0.02</v>
      </c>
      <c r="AC671" s="6">
        <v>0.17699999999999999</v>
      </c>
      <c r="AD671" s="6">
        <v>0.441</v>
      </c>
      <c r="AE671" s="6">
        <v>0.70499999999999996</v>
      </c>
      <c r="AF671" s="6">
        <v>1.0129999999999999</v>
      </c>
      <c r="AG671" s="6">
        <v>1.343</v>
      </c>
      <c r="AJ671" s="1"/>
    </row>
    <row r="672" spans="27:36" x14ac:dyDescent="0.25">
      <c r="AA672" s="6">
        <v>5</v>
      </c>
      <c r="AB672" s="6">
        <v>-2.5000000000000001E-2</v>
      </c>
      <c r="AC672" s="6">
        <v>0.155</v>
      </c>
      <c r="AD672" s="6">
        <v>0.39700000000000002</v>
      </c>
      <c r="AE672" s="6">
        <v>0.63900000000000001</v>
      </c>
      <c r="AF672" s="6">
        <v>0.93600000000000005</v>
      </c>
      <c r="AG672" s="6">
        <v>1.2549999999999999</v>
      </c>
      <c r="AJ672" s="1"/>
    </row>
    <row r="673" spans="27:36" x14ac:dyDescent="0.25">
      <c r="AA673" s="6">
        <v>6</v>
      </c>
      <c r="AB673" s="6">
        <v>-0.03</v>
      </c>
      <c r="AC673" s="6">
        <v>0.14399999999999999</v>
      </c>
      <c r="AD673" s="6">
        <v>0.35299999999999998</v>
      </c>
      <c r="AE673" s="6">
        <v>0.58399999999999996</v>
      </c>
      <c r="AF673" s="6">
        <v>0.88100000000000001</v>
      </c>
      <c r="AG673" s="6">
        <v>1.2</v>
      </c>
      <c r="AJ673" s="1"/>
    </row>
    <row r="674" spans="27:36" x14ac:dyDescent="0.25">
      <c r="AA674" s="6">
        <v>7</v>
      </c>
      <c r="AB674" s="6">
        <v>-3.5000000000000003E-2</v>
      </c>
      <c r="AC674" s="6">
        <v>0.13300000000000001</v>
      </c>
      <c r="AD674" s="6">
        <v>0.309</v>
      </c>
      <c r="AE674" s="6">
        <v>0.54</v>
      </c>
      <c r="AF674" s="6">
        <v>0.81499999999999995</v>
      </c>
      <c r="AG674" s="6">
        <v>1.123</v>
      </c>
      <c r="AJ674" s="1"/>
    </row>
    <row r="675" spans="27:36" x14ac:dyDescent="0.25">
      <c r="AA675" s="6">
        <v>8</v>
      </c>
      <c r="AB675" s="6">
        <v>-0.04</v>
      </c>
      <c r="AC675" s="6">
        <v>0.11700000000000001</v>
      </c>
      <c r="AD675" s="6">
        <v>0.254</v>
      </c>
      <c r="AE675" s="6">
        <v>0.48499999999999999</v>
      </c>
      <c r="AF675" s="6">
        <v>0.749</v>
      </c>
      <c r="AG675" s="6">
        <v>1.0569999999999999</v>
      </c>
      <c r="AJ675" s="1"/>
    </row>
    <row r="676" spans="27:36" x14ac:dyDescent="0.25">
      <c r="AA676" s="6">
        <v>9</v>
      </c>
      <c r="AB676" s="6">
        <v>-0.05</v>
      </c>
      <c r="AC676" s="6">
        <v>0.1</v>
      </c>
      <c r="AD676" s="6">
        <v>0.21</v>
      </c>
      <c r="AE676" s="6">
        <v>0.43</v>
      </c>
      <c r="AF676" s="6">
        <v>0.69399999999999995</v>
      </c>
      <c r="AG676" s="6">
        <v>0.99099999999999999</v>
      </c>
      <c r="AJ676" s="1"/>
    </row>
    <row r="677" spans="27:36" x14ac:dyDescent="0.25">
      <c r="AA677" s="6" t="s">
        <v>225</v>
      </c>
      <c r="AJ677" s="1"/>
    </row>
    <row r="678" spans="27:36" x14ac:dyDescent="0.25">
      <c r="AJ678" s="1"/>
    </row>
    <row r="679" spans="27:36" x14ac:dyDescent="0.25">
      <c r="AA679" s="9" t="s">
        <v>285</v>
      </c>
    </row>
    <row r="681" spans="27:36" x14ac:dyDescent="0.25">
      <c r="AA681" s="6" t="s">
        <v>286</v>
      </c>
      <c r="AB681" s="6" t="s">
        <v>287</v>
      </c>
    </row>
    <row r="682" spans="27:36" x14ac:dyDescent="0.25">
      <c r="AA682" s="14">
        <v>50000</v>
      </c>
      <c r="AB682" s="14">
        <v>0</v>
      </c>
    </row>
    <row r="683" spans="27:36" x14ac:dyDescent="0.25">
      <c r="AA683" s="14">
        <v>100000</v>
      </c>
      <c r="AB683" s="14">
        <v>34</v>
      </c>
    </row>
    <row r="684" spans="27:36" x14ac:dyDescent="0.25">
      <c r="AA684" s="14">
        <v>200000</v>
      </c>
      <c r="AB684" s="14">
        <v>57</v>
      </c>
    </row>
    <row r="685" spans="27:36" x14ac:dyDescent="0.25">
      <c r="AA685" s="14">
        <v>300000</v>
      </c>
      <c r="AB685" s="14">
        <v>79</v>
      </c>
    </row>
    <row r="686" spans="27:36" x14ac:dyDescent="0.25">
      <c r="AA686" s="14">
        <v>500000</v>
      </c>
      <c r="AB686" s="14">
        <v>122</v>
      </c>
    </row>
    <row r="687" spans="27:36" x14ac:dyDescent="0.25">
      <c r="AA687" s="14">
        <v>1000000</v>
      </c>
      <c r="AB687" s="14">
        <v>154</v>
      </c>
    </row>
    <row r="688" spans="27:36" x14ac:dyDescent="0.25">
      <c r="AA688" s="14">
        <v>2000000</v>
      </c>
      <c r="AB688" s="14">
        <v>176</v>
      </c>
    </row>
    <row r="689" spans="27:28" x14ac:dyDescent="0.25">
      <c r="AA689" s="14">
        <v>3000000</v>
      </c>
      <c r="AB689" s="14">
        <v>184</v>
      </c>
    </row>
    <row r="690" spans="27:28" x14ac:dyDescent="0.25">
      <c r="AA690" s="14">
        <v>5000000</v>
      </c>
      <c r="AB690" s="14">
        <v>227</v>
      </c>
    </row>
    <row r="691" spans="27:28" x14ac:dyDescent="0.25">
      <c r="AA691" s="14">
        <v>10000000</v>
      </c>
      <c r="AB691" s="14">
        <v>391</v>
      </c>
    </row>
    <row r="693" spans="27:28" x14ac:dyDescent="0.25">
      <c r="AA693" s="9" t="s">
        <v>288</v>
      </c>
    </row>
    <row r="694" spans="27:28" x14ac:dyDescent="0.25">
      <c r="AA694" s="6">
        <v>-5</v>
      </c>
    </row>
    <row r="696" spans="27:28" x14ac:dyDescent="0.25">
      <c r="AA696" s="9" t="s">
        <v>293</v>
      </c>
    </row>
    <row r="697" spans="27:28" x14ac:dyDescent="0.25">
      <c r="AA697" s="6" t="s">
        <v>289</v>
      </c>
      <c r="AB697" s="6" t="s">
        <v>96</v>
      </c>
    </row>
    <row r="698" spans="27:28" x14ac:dyDescent="0.25">
      <c r="AA698" s="6" t="s">
        <v>292</v>
      </c>
      <c r="AB698" s="6">
        <v>110</v>
      </c>
    </row>
    <row r="699" spans="27:28" x14ac:dyDescent="0.25">
      <c r="AA699" s="6" t="s">
        <v>290</v>
      </c>
      <c r="AB699" s="6">
        <v>490</v>
      </c>
    </row>
    <row r="700" spans="27:28" x14ac:dyDescent="0.25">
      <c r="AA700" s="6" t="s">
        <v>291</v>
      </c>
      <c r="AB700" s="6">
        <v>380</v>
      </c>
    </row>
    <row r="702" spans="27:28" x14ac:dyDescent="0.25">
      <c r="AA702" s="9" t="s">
        <v>294</v>
      </c>
    </row>
    <row r="703" spans="27:28" x14ac:dyDescent="0.25">
      <c r="AA703" s="6" t="s">
        <v>295</v>
      </c>
    </row>
    <row r="705" spans="27:36" x14ac:dyDescent="0.25">
      <c r="AB705" s="6" t="s">
        <v>296</v>
      </c>
      <c r="AD705" s="6" t="s">
        <v>297</v>
      </c>
    </row>
    <row r="706" spans="27:36" x14ac:dyDescent="0.25">
      <c r="AA706" s="6" t="s">
        <v>298</v>
      </c>
      <c r="AB706" s="6" t="s">
        <v>286</v>
      </c>
      <c r="AC706" s="6" t="s">
        <v>299</v>
      </c>
      <c r="AD706" s="6" t="s">
        <v>286</v>
      </c>
      <c r="AE706" s="6" t="s">
        <v>299</v>
      </c>
      <c r="AF706" s="6" t="s">
        <v>300</v>
      </c>
    </row>
    <row r="707" spans="27:36" x14ac:dyDescent="0.25">
      <c r="AA707" s="6" t="s">
        <v>244</v>
      </c>
      <c r="AF707" s="6">
        <v>0</v>
      </c>
    </row>
    <row r="708" spans="27:36" x14ac:dyDescent="0.25">
      <c r="AA708" s="6" t="s">
        <v>106</v>
      </c>
      <c r="AB708" s="6">
        <v>250000</v>
      </c>
      <c r="AC708" s="6">
        <v>500000</v>
      </c>
      <c r="AD708" s="6">
        <v>25000</v>
      </c>
      <c r="AE708" s="6">
        <v>25000</v>
      </c>
      <c r="AF708" s="6">
        <v>1000</v>
      </c>
    </row>
    <row r="709" spans="27:36" x14ac:dyDescent="0.25">
      <c r="AA709" s="6" t="s">
        <v>107</v>
      </c>
      <c r="AB709" s="6">
        <v>500000</v>
      </c>
      <c r="AC709" s="6">
        <v>500000</v>
      </c>
      <c r="AD709" s="6">
        <v>50000</v>
      </c>
      <c r="AE709" s="6">
        <v>50000</v>
      </c>
      <c r="AF709" s="6">
        <v>1500</v>
      </c>
    </row>
    <row r="711" spans="27:36" x14ac:dyDescent="0.25">
      <c r="AA711" s="9" t="s">
        <v>301</v>
      </c>
    </row>
    <row r="712" spans="27:36" x14ac:dyDescent="0.25">
      <c r="AA712" s="6">
        <v>135</v>
      </c>
    </row>
    <row r="714" spans="27:36" x14ac:dyDescent="0.25">
      <c r="AA714" s="9" t="s">
        <v>302</v>
      </c>
    </row>
    <row r="715" spans="27:36" x14ac:dyDescent="0.25">
      <c r="AA715" s="6" t="s">
        <v>304</v>
      </c>
      <c r="AB715" s="6" t="s">
        <v>305</v>
      </c>
      <c r="AC715" s="6" t="s">
        <v>306</v>
      </c>
      <c r="AD715" s="6" t="s">
        <v>318</v>
      </c>
      <c r="AE715" s="6" t="s">
        <v>318</v>
      </c>
      <c r="AG715" s="1"/>
      <c r="AH715" s="1"/>
      <c r="AI715" s="1"/>
      <c r="AJ715" s="1"/>
    </row>
    <row r="716" spans="27:36" x14ac:dyDescent="0.25">
      <c r="AA716" s="6">
        <v>1000</v>
      </c>
      <c r="AB716" s="6">
        <v>50000</v>
      </c>
      <c r="AC716" s="6">
        <v>2</v>
      </c>
      <c r="AD716" s="6">
        <v>500000</v>
      </c>
      <c r="AE716" s="6">
        <f>E8</f>
        <v>1000000</v>
      </c>
      <c r="AG716" s="1"/>
      <c r="AH716" s="1"/>
      <c r="AI716" s="1"/>
      <c r="AJ716" s="1"/>
    </row>
    <row r="717" spans="27:36" x14ac:dyDescent="0.25">
      <c r="AG717" s="1"/>
      <c r="AH717" s="1"/>
      <c r="AI717" s="1"/>
      <c r="AJ717" s="1"/>
    </row>
    <row r="718" spans="27:36" x14ac:dyDescent="0.25">
      <c r="AA718" s="9" t="s">
        <v>307</v>
      </c>
      <c r="AG718" s="1"/>
      <c r="AH718" s="1"/>
      <c r="AI718" s="1"/>
      <c r="AJ718" s="1"/>
    </row>
    <row r="719" spans="27:36" x14ac:dyDescent="0.25">
      <c r="AA719" s="6" t="s">
        <v>304</v>
      </c>
      <c r="AB719" s="6" t="s">
        <v>364</v>
      </c>
      <c r="AC719" s="6" t="s">
        <v>365</v>
      </c>
      <c r="AD719" s="6" t="s">
        <v>305</v>
      </c>
      <c r="AE719" s="6" t="s">
        <v>306</v>
      </c>
      <c r="AF719" s="6" t="s">
        <v>318</v>
      </c>
      <c r="AH719" s="6" t="s">
        <v>307</v>
      </c>
      <c r="AI719" s="6">
        <f>ROUND(CEILING(MAX(E94-AD720,0)/AA720,1)*AE720,2)</f>
        <v>0</v>
      </c>
      <c r="AJ719" s="1"/>
    </row>
    <row r="720" spans="27:36" x14ac:dyDescent="0.25">
      <c r="AA720" s="6">
        <v>1000</v>
      </c>
      <c r="AB720" s="4">
        <v>0.05</v>
      </c>
      <c r="AC720" s="4">
        <v>0.1</v>
      </c>
      <c r="AD720" s="6">
        <f>SUM(E8*AB720,E8*AC720)</f>
        <v>150000</v>
      </c>
      <c r="AE720" s="6">
        <v>4</v>
      </c>
      <c r="AF720" s="6">
        <v>250000</v>
      </c>
      <c r="AH720" s="6" t="s">
        <v>310</v>
      </c>
      <c r="AI720" s="6">
        <f>ROUND(CEILING(MAX(E95-AB723,0)/AA723,1)*AC723,2)</f>
        <v>0</v>
      </c>
      <c r="AJ720" s="1"/>
    </row>
    <row r="721" spans="27:36" x14ac:dyDescent="0.25">
      <c r="AA721" s="6" t="s">
        <v>311</v>
      </c>
      <c r="AH721" s="6" t="s">
        <v>313</v>
      </c>
      <c r="AI721" s="6">
        <f>ROUND(CEILING(E97/AA727,1)*AB727,2)</f>
        <v>0</v>
      </c>
      <c r="AJ721" s="1"/>
    </row>
    <row r="722" spans="27:36" x14ac:dyDescent="0.25">
      <c r="AA722" s="6" t="s">
        <v>304</v>
      </c>
      <c r="AB722" s="6" t="s">
        <v>305</v>
      </c>
      <c r="AC722" s="6" t="s">
        <v>306</v>
      </c>
      <c r="AD722" s="6" t="s">
        <v>318</v>
      </c>
      <c r="AH722" s="6" t="s">
        <v>314</v>
      </c>
      <c r="AI722" s="6">
        <f>ROUND(CEILING(E98/AA731,1)*AB731,2)</f>
        <v>0</v>
      </c>
      <c r="AJ722" s="1"/>
    </row>
    <row r="723" spans="27:36" x14ac:dyDescent="0.25">
      <c r="AA723" s="6">
        <v>5000</v>
      </c>
      <c r="AB723" s="6">
        <v>0</v>
      </c>
      <c r="AC723" s="6">
        <v>50</v>
      </c>
      <c r="AD723" s="6">
        <v>50000</v>
      </c>
      <c r="AH723" s="1"/>
      <c r="AI723" s="1"/>
      <c r="AJ723" s="1"/>
    </row>
    <row r="724" spans="27:36" x14ac:dyDescent="0.25">
      <c r="AF724" s="1"/>
      <c r="AG724" s="1"/>
      <c r="AH724" s="1"/>
      <c r="AI724" s="1"/>
      <c r="AJ724" s="1"/>
    </row>
    <row r="725" spans="27:36" x14ac:dyDescent="0.25">
      <c r="AA725" s="9" t="s">
        <v>308</v>
      </c>
      <c r="AG725" s="1"/>
      <c r="AH725" s="1"/>
      <c r="AI725" s="1"/>
      <c r="AJ725" s="1"/>
    </row>
    <row r="726" spans="27:36" x14ac:dyDescent="0.25">
      <c r="AA726" s="6" t="s">
        <v>309</v>
      </c>
      <c r="AB726" s="6" t="s">
        <v>306</v>
      </c>
      <c r="AG726" s="1"/>
      <c r="AH726" s="1"/>
      <c r="AI726" s="1"/>
      <c r="AJ726" s="1"/>
    </row>
    <row r="727" spans="27:36" x14ac:dyDescent="0.25">
      <c r="AA727" s="6">
        <v>1000</v>
      </c>
      <c r="AB727" s="6">
        <v>15</v>
      </c>
      <c r="AG727" s="1"/>
      <c r="AH727" s="1"/>
      <c r="AI727" s="1"/>
      <c r="AJ727" s="1"/>
    </row>
    <row r="728" spans="27:36" x14ac:dyDescent="0.25">
      <c r="AG728" s="1"/>
      <c r="AH728" s="1"/>
      <c r="AI728" s="1"/>
      <c r="AJ728" s="1"/>
    </row>
    <row r="729" spans="27:36" x14ac:dyDescent="0.25">
      <c r="AA729" s="9" t="s">
        <v>314</v>
      </c>
    </row>
    <row r="730" spans="27:36" x14ac:dyDescent="0.25">
      <c r="AA730" s="6" t="s">
        <v>309</v>
      </c>
      <c r="AB730" s="6" t="s">
        <v>306</v>
      </c>
    </row>
    <row r="731" spans="27:36" x14ac:dyDescent="0.25">
      <c r="AA731" s="6">
        <v>1000</v>
      </c>
      <c r="AB731" s="6">
        <v>15</v>
      </c>
    </row>
    <row r="733" spans="27:36" x14ac:dyDescent="0.25">
      <c r="AA733" s="9" t="s">
        <v>315</v>
      </c>
    </row>
    <row r="734" spans="27:36" x14ac:dyDescent="0.25">
      <c r="AA734" s="6" t="s">
        <v>304</v>
      </c>
      <c r="AB734" s="6" t="s">
        <v>305</v>
      </c>
      <c r="AC734" s="6" t="s">
        <v>306</v>
      </c>
      <c r="AD734" s="6" t="s">
        <v>318</v>
      </c>
    </row>
    <row r="735" spans="27:36" x14ac:dyDescent="0.25">
      <c r="AA735" s="6">
        <v>1000</v>
      </c>
      <c r="AB735" s="6">
        <v>25000</v>
      </c>
      <c r="AC735" s="6">
        <v>5</v>
      </c>
      <c r="AD735" s="6">
        <v>250000</v>
      </c>
    </row>
    <row r="737" spans="27:31" x14ac:dyDescent="0.25">
      <c r="AA737" s="9" t="s">
        <v>316</v>
      </c>
    </row>
    <row r="738" spans="27:31" x14ac:dyDescent="0.25">
      <c r="AA738" s="6" t="s">
        <v>317</v>
      </c>
      <c r="AB738" s="6" t="s">
        <v>303</v>
      </c>
      <c r="AC738" s="6" t="s">
        <v>304</v>
      </c>
      <c r="AD738" s="6" t="s">
        <v>306</v>
      </c>
      <c r="AE738" s="6" t="s">
        <v>318</v>
      </c>
    </row>
    <row r="739" spans="27:31" x14ac:dyDescent="0.25">
      <c r="AA739" s="6">
        <v>5000</v>
      </c>
      <c r="AB739" s="6">
        <v>25</v>
      </c>
      <c r="AC739" s="6">
        <v>1000</v>
      </c>
      <c r="AD739" s="6">
        <v>1.5</v>
      </c>
      <c r="AE739" s="6">
        <v>250000</v>
      </c>
    </row>
    <row r="741" spans="27:31" x14ac:dyDescent="0.25">
      <c r="AA741" s="9" t="s">
        <v>319</v>
      </c>
    </row>
    <row r="742" spans="27:31" x14ac:dyDescent="0.25">
      <c r="AA742" s="6" t="s">
        <v>317</v>
      </c>
      <c r="AB742" s="6" t="s">
        <v>303</v>
      </c>
      <c r="AC742" s="6" t="s">
        <v>304</v>
      </c>
      <c r="AD742" s="6" t="s">
        <v>306</v>
      </c>
      <c r="AE742" s="6" t="s">
        <v>318</v>
      </c>
    </row>
    <row r="743" spans="27:31" x14ac:dyDescent="0.25">
      <c r="AA743" s="6">
        <v>5000</v>
      </c>
      <c r="AB743" s="6">
        <v>50</v>
      </c>
      <c r="AC743" s="6">
        <v>1000</v>
      </c>
      <c r="AD743" s="6">
        <v>5</v>
      </c>
      <c r="AE743" s="6">
        <v>250000</v>
      </c>
    </row>
  </sheetData>
  <dataValidations count="25">
    <dataValidation type="list" allowBlank="1" showInputMessage="1" showErrorMessage="1" sqref="E19" xr:uid="{59C47678-5EB0-4B97-B5FC-A6D49A284613}">
      <formula1>$AA$229:$AA$236</formula1>
    </dataValidation>
    <dataValidation type="list" allowBlank="1" showInputMessage="1" showErrorMessage="1" sqref="E37" xr:uid="{F98C16FE-656A-4341-9494-DB8248D20EC4}">
      <formula1>$AE$282:$AE$286</formula1>
    </dataValidation>
    <dataValidation type="list" allowBlank="1" showInputMessage="1" showErrorMessage="1" sqref="E42" xr:uid="{10A785C2-2BB8-403E-A5BF-E88C42EEE65B}">
      <formula1>$AB$483:$AD$483</formula1>
    </dataValidation>
    <dataValidation type="list" allowBlank="1" showInputMessage="1" showErrorMessage="1" sqref="E51" xr:uid="{BA358826-A32B-40BE-A23A-A26E8F25D174}">
      <formula1>$AF$505:$AF$507</formula1>
    </dataValidation>
    <dataValidation type="list" allowBlank="1" showInputMessage="1" showErrorMessage="1" sqref="E75" xr:uid="{88851C14-CFC2-4596-B444-D5631B837312}">
      <formula1>$AI$585:$AI$587</formula1>
    </dataValidation>
    <dataValidation type="list" allowBlank="1" showInputMessage="1" showErrorMessage="1" sqref="E68" xr:uid="{A2DC64E0-A2F8-4224-B871-788F9E0AF583}">
      <formula1>$AD$541:$AD$544</formula1>
    </dataValidation>
    <dataValidation type="list" allowBlank="1" showInputMessage="1" showErrorMessage="1" sqref="E41" xr:uid="{2E26AA38-296D-4006-8896-C977F9A503C2}">
      <formula1>$AB$458:$AK$458</formula1>
    </dataValidation>
    <dataValidation type="whole" allowBlank="1" showInputMessage="1" showErrorMessage="1" sqref="E77" xr:uid="{F2BFBE40-90A3-457D-8B28-5954B7B1756B}">
      <formula1>0</formula1>
      <formula2>5</formula2>
    </dataValidation>
    <dataValidation type="whole" operator="greaterThanOrEqual" allowBlank="1" showInputMessage="1" showErrorMessage="1" sqref="E7" xr:uid="{325E7B05-EC07-413C-BCCE-03958F32C965}">
      <formula1>E6</formula1>
    </dataValidation>
    <dataValidation type="whole" allowBlank="1" showInputMessage="1" showErrorMessage="1" sqref="E6" xr:uid="{A39BEC2C-29D4-40B4-B8F1-A8CC1910A0B7}">
      <formula1>1900</formula1>
      <formula2>2021</formula2>
    </dataValidation>
    <dataValidation type="list" allowBlank="1" showInputMessage="1" showErrorMessage="1" sqref="E29" xr:uid="{C8948C1B-95D0-46B8-8A62-053F25BF44DE}">
      <formula1>$AA$274:$AA$278</formula1>
    </dataValidation>
    <dataValidation type="list" allowBlank="1" showInputMessage="1" showErrorMessage="1" sqref="E30" xr:uid="{353A0D02-DC3C-463C-B4E6-F17EF035D917}">
      <formula1>$AB$273:$AF$273</formula1>
    </dataValidation>
    <dataValidation type="list" allowBlank="1" showInputMessage="1" showErrorMessage="1" sqref="E10" xr:uid="{0F3F61A6-464E-4444-8115-E7F7244CAF76}">
      <formula1>$AA$14:$AA$16</formula1>
    </dataValidation>
    <dataValidation type="list" allowBlank="1" showInputMessage="1" showErrorMessage="1" sqref="E79" xr:uid="{EE96320C-5C4D-4C0C-B36E-B6691620E0E3}">
      <formula1>$AA$682:$AA$691</formula1>
    </dataValidation>
    <dataValidation type="list" allowBlank="1" showInputMessage="1" showErrorMessage="1" sqref="E81 E90 E71:E74 E52 E45:E50 E76 E33:E35 E17 E24:E26 E58:E67 E84" xr:uid="{30BFD485-E4C6-4710-9783-19F239750DE3}">
      <formula1>$AO$5:$AO$6</formula1>
    </dataValidation>
    <dataValidation type="list" allowBlank="1" showInputMessage="1" showErrorMessage="1" sqref="E40" xr:uid="{2054AFEE-3DF0-4065-A2CD-B93F55285DE6}">
      <formula1>$AB$434:$AK$434</formula1>
    </dataValidation>
    <dataValidation type="list" allowBlank="1" showInputMessage="1" showErrorMessage="1" sqref="E88" xr:uid="{C9473705-E1DF-4480-A8AC-4F37F8DDDEAA}">
      <formula1>$AA$707:$AA$709</formula1>
    </dataValidation>
    <dataValidation type="whole" operator="greaterThanOrEqual" allowBlank="1" showInputMessage="1" showErrorMessage="1" sqref="E85:E86 E92 E94:E98 E100 E102 E104 E54:E55" xr:uid="{5D9D50E4-47EA-4145-9EAC-576F9C4C3851}">
      <formula1>0</formula1>
    </dataValidation>
    <dataValidation type="decimal" operator="greaterThanOrEqual" allowBlank="1" showInputMessage="1" showErrorMessage="1" sqref="E15:E16" xr:uid="{7765F6B1-44A0-4932-BDF7-A26BC889124B}">
      <formula1>0.05</formula1>
    </dataValidation>
    <dataValidation type="list" allowBlank="1" showInputMessage="1" showErrorMessage="1" sqref="E12 E19 E15:E17" xr:uid="{2139B310-50EE-4985-8C15-A9A89F456BCA}">
      <formula1>$AA$32:$AA$108</formula1>
    </dataValidation>
    <dataValidation type="list" allowBlank="1" showInputMessage="1" showErrorMessage="1" sqref="E21" xr:uid="{E99C0D5C-EF4A-4CE8-9082-DEF8ED91F445}">
      <formula1>$AA$241:$AA$246</formula1>
    </dataValidation>
    <dataValidation type="list" allowBlank="1" showInputMessage="1" showErrorMessage="1" sqref="E36" xr:uid="{16BBA211-205B-47BF-B58A-8B51B0B71C91}">
      <formula1>$AH$282:$AH$284</formula1>
    </dataValidation>
    <dataValidation type="list" allowBlank="1" showInputMessage="1" showErrorMessage="1" sqref="E53" xr:uid="{4BEEFD3B-81B3-4FD7-8B4E-1188A83BCC27}">
      <formula1>$AF$523:$AF$526</formula1>
    </dataValidation>
    <dataValidation type="decimal" operator="greaterThanOrEqual" allowBlank="1" showInputMessage="1" showErrorMessage="1" sqref="E15:E16" xr:uid="{8B8CA65D-2271-4CBA-B5E8-49007849FA59}">
      <formula1>0</formula1>
    </dataValidation>
    <dataValidation type="whole" allowBlank="1" showInputMessage="1" showErrorMessage="1" sqref="E8" xr:uid="{91F8AA82-237D-444B-B41B-E0DA0A893334}">
      <formula1>500000</formula1>
      <formula2>3000000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E3A392075C67B4BB3C43024092C4209" ma:contentTypeVersion="14" ma:contentTypeDescription="Create a new document." ma:contentTypeScope="" ma:versionID="f03bcddf23aa972075a5976b1f080d85">
  <xsd:schema xmlns:xsd="http://www.w3.org/2001/XMLSchema" xmlns:xs="http://www.w3.org/2001/XMLSchema" xmlns:p="http://schemas.microsoft.com/office/2006/metadata/properties" xmlns:ns2="4faf93bb-00bf-4a02-bb4b-64d3d19c2227" xmlns:ns3="ca38057d-26a1-4996-bd5e-162917bbc47c" targetNamespace="http://schemas.microsoft.com/office/2006/metadata/properties" ma:root="true" ma:fieldsID="5530f84cd4da22310862aed7bcfab369" ns2:_="" ns3:_="">
    <xsd:import namespace="4faf93bb-00bf-4a02-bb4b-64d3d19c2227"/>
    <xsd:import namespace="ca38057d-26a1-4996-bd5e-162917bbc47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_Flow_SignoffStatu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af93bb-00bf-4a02-bb4b-64d3d19c22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_Flow_SignoffStatus" ma:index="20" nillable="true" ma:displayName="Sign-off status" ma:internalName="Sign_x002d_off_x0020_status">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38057d-26a1-4996-bd5e-162917bbc47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4faf93bb-00bf-4a02-bb4b-64d3d19c2227" xsi:nil="true"/>
  </documentManagement>
</p:properties>
</file>

<file path=customXml/itemProps1.xml><?xml version="1.0" encoding="utf-8"?>
<ds:datastoreItem xmlns:ds="http://schemas.openxmlformats.org/officeDocument/2006/customXml" ds:itemID="{DBE7D148-602B-411A-99AA-2F0EF58D53D1}">
  <ds:schemaRefs>
    <ds:schemaRef ds:uri="http://schemas.microsoft.com/sharepoint/v3/contenttype/forms"/>
  </ds:schemaRefs>
</ds:datastoreItem>
</file>

<file path=customXml/itemProps2.xml><?xml version="1.0" encoding="utf-8"?>
<ds:datastoreItem xmlns:ds="http://schemas.openxmlformats.org/officeDocument/2006/customXml" ds:itemID="{BEB1E04D-156F-4291-B2DC-F7963E559A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af93bb-00bf-4a02-bb4b-64d3d19c2227"/>
    <ds:schemaRef ds:uri="ca38057d-26a1-4996-bd5e-162917bbc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2492B6-CFD3-47D7-B1D1-AD5EF6749B7D}">
  <ds:schemaRefs>
    <ds:schemaRef ds:uri="http://schemas.microsoft.com/office/2006/metadata/properties"/>
    <ds:schemaRef ds:uri="http://schemas.microsoft.com/office/infopath/2007/PartnerControls"/>
    <ds:schemaRef ds:uri="4faf93bb-00bf-4a02-bb4b-64d3d19c22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17</vt:i4>
      </vt:variant>
    </vt:vector>
  </HeadingPairs>
  <TitlesOfParts>
    <vt:vector size="18" baseType="lpstr">
      <vt:lpstr>Homeowners</vt:lpstr>
      <vt:lpstr>Xinput_01_Year_Built</vt:lpstr>
      <vt:lpstr>Xinput_02_Building_limit</vt:lpstr>
      <vt:lpstr>Xinput_03_Coverage_type</vt:lpstr>
      <vt:lpstr>Xinput_04_Territory</vt:lpstr>
      <vt:lpstr>Xinput_05_Base_deductible_factor</vt:lpstr>
      <vt:lpstr>Xinput_06_Burglar_alarm</vt:lpstr>
      <vt:lpstr>Xinput_07_Lien_free</vt:lpstr>
      <vt:lpstr>Xinput_08_Security_protection</vt:lpstr>
      <vt:lpstr>Xinput_09_Renovation_or_Construction_surcharge</vt:lpstr>
      <vt:lpstr>Xoutput_Premium_Adjusted</vt:lpstr>
      <vt:lpstr>Xoutput_Premium_Adjustments</vt:lpstr>
      <vt:lpstr>Xoutput_Premium_AllOther</vt:lpstr>
      <vt:lpstr>Xoutput_Premium_Total</vt:lpstr>
      <vt:lpstr>Xoutput_Premium_Wildfire</vt:lpstr>
      <vt:lpstr>Xoutput_Premium_WindHail</vt:lpstr>
      <vt:lpstr>Xoutput_Refer</vt:lpstr>
      <vt:lpstr>Xoutput_V1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Tam</dc:creator>
  <cp:lastModifiedBy>Simon Tam</cp:lastModifiedBy>
  <dcterms:created xsi:type="dcterms:W3CDTF">2021-03-01T11:24:59Z</dcterms:created>
  <dcterms:modified xsi:type="dcterms:W3CDTF">2021-08-04T12:40:49Z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0x010100AE3A392075C67B4BB3C43024092C4209</vt:lpwstr>
  </property>
</Properties>
</file>